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eam-file-center-main\team-file-center-main\"/>
    </mc:Choice>
  </mc:AlternateContent>
  <xr:revisionPtr revIDLastSave="0" documentId="13_ncr:1_{1039A083-E94A-4BCD-BEF0-0C4F8145556C}" xr6:coauthVersionLast="47" xr6:coauthVersionMax="47" xr10:uidLastSave="{00000000-0000-0000-0000-000000000000}"/>
  <bookViews>
    <workbookView xWindow="20370" yWindow="0" windowWidth="29040" windowHeight="15840" xr2:uid="{00000000-000D-0000-FFFF-FFFF00000000}"/>
  </bookViews>
  <sheets>
    <sheet name="หนังสืออนุมัต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1" l="1"/>
  <c r="B37" i="1"/>
  <c r="D23" i="1"/>
</calcChain>
</file>

<file path=xl/sharedStrings.xml><?xml version="1.0" encoding="utf-8"?>
<sst xmlns="http://schemas.openxmlformats.org/spreadsheetml/2006/main" count="69" uniqueCount="54">
  <si>
    <t>HOME LOAN CREDIT APPROVAL</t>
  </si>
  <si>
    <t>วันที่อนุมัติ</t>
  </si>
  <si>
    <t>ข้อมูลผู้ขอสินเชื่อ</t>
  </si>
  <si>
    <t>ชื่อ-นามสกุลผู้กู้</t>
  </si>
  <si>
    <t>โครงการ / ที่อยู่ทรัพย์</t>
  </si>
  <si>
    <t>วัตถุประสงค์การกู้</t>
  </si>
  <si>
    <t>รายละเอียดวงเงินและเงื่อนไขสินเชื่อ</t>
  </si>
  <si>
    <t>บาท</t>
  </si>
  <si>
    <t>ปี</t>
  </si>
  <si>
    <t>บาท / เดือน</t>
  </si>
  <si>
    <t>เงื่อนไขเพิ่มเติม / หมายเหตุ</t>
  </si>
  <si>
    <t>ผลการพิจารณา</t>
  </si>
  <si>
    <t>ผู้จัดทำ / ผู้เสนอ</t>
  </si>
  <si>
    <t>ผู้มีอำนาจอนุมัติ</t>
  </si>
  <si>
    <t>ลงชื่อ ______________________________</t>
  </si>
  <si>
    <t>วันที่ _____________________________</t>
  </si>
  <si>
    <t>หนังสืออนุมัติ</t>
  </si>
  <si>
    <t>เรื่อง</t>
  </si>
  <si>
    <t>แจ้งผลอนุมัติสินเชื่อบ้านธนาคารซีไอเอ็มบีไทย</t>
  </si>
  <si>
    <t>วงเงินที่กู้  HL</t>
  </si>
  <si>
    <t>วงเงินที่กู้  MP</t>
  </si>
  <si>
    <t>ประกันคุ้มครองวงเงินกู้</t>
  </si>
  <si>
    <t>ระยะเวลาคุ้มครอง</t>
  </si>
  <si>
    <r>
      <t xml:space="preserve">ทุนประกัน </t>
    </r>
    <r>
      <rPr>
        <b/>
        <u/>
        <sz val="10"/>
        <rFont val="Tahoma"/>
        <family val="2"/>
      </rPr>
      <t>100 %</t>
    </r>
    <r>
      <rPr>
        <b/>
        <sz val="10"/>
        <rFont val="Tahoma"/>
        <family val="2"/>
      </rPr>
      <t xml:space="preserve"> ของวงเงินกู้</t>
    </r>
  </si>
  <si>
    <t>ประกันอัคคีภัย</t>
  </si>
  <si>
    <t>ระยะเวลาคุ้มครองประกันอัคคีภัย</t>
  </si>
  <si>
    <t xml:space="preserve">25000 / หรือฟรี </t>
  </si>
  <si>
    <t>รวมวงเงินกู้</t>
  </si>
  <si>
    <t>ค่างวด / เดือน</t>
  </si>
  <si>
    <t>อัตราดอกเบี้ยที่ลูกค้าได้รับ   (MRR 8.525%)</t>
  </si>
  <si>
    <t>ปีที่ 1</t>
  </si>
  <si>
    <t>ปีที่ 2</t>
  </si>
  <si>
    <t>ปีที่ 3</t>
  </si>
  <si>
    <t>ค่าอากรแสตมป์ 0.05% ของวงเงินกู้รวม</t>
  </si>
  <si>
    <t>ค่าจดจำนอง 1 % ของวงเงินกู้รวม</t>
  </si>
  <si>
    <t>ปีที่ 4 เป็นต้นไป</t>
  </si>
  <si>
    <t>Mrr-  2.00   =</t>
  </si>
  <si>
    <t>Mrr-5.735%</t>
  </si>
  <si>
    <t>%</t>
  </si>
  <si>
    <t xml:space="preserve">เฉลี่ย 3 ปี </t>
  </si>
  <si>
    <t xml:space="preserve">ค่าใช้จ่าย ณ ที่ดินวันจดจำนอง (สำหรับของธนาคาร) </t>
  </si>
  <si>
    <t>ซื้อบ้านมือหนึ่ง / มือสอง / รีไฟแนนซ์ / บ้านแลกเงิน (พิมพ์เอง)</t>
  </si>
  <si>
    <t>ใจแก้ว เอราวัณ  (พิมพ์เอง)</t>
  </si>
  <si>
    <t>นายใจดี  สามัคคี  (พิมพ์เอง)</t>
  </si>
  <si>
    <t>500 (พิมพ์เอง)</t>
  </si>
  <si>
    <t>ฟรี (พิมพ์เอง)</t>
  </si>
  <si>
    <t>อนุมัติ</t>
  </si>
  <si>
    <t>อนุมัติแบบมีเงื่อนไข</t>
  </si>
  <si>
    <t>(นายชยกฤต  ลำเทียน)</t>
  </si>
  <si>
    <t>(นายเอกรัฐ   ประสานสุข )</t>
  </si>
  <si>
    <t xml:space="preserve">ลงชื่อ                        </t>
  </si>
  <si>
    <t>เอกรัฐ  ประสานสุข</t>
  </si>
  <si>
    <t>ระยะเวลากู้ HL</t>
  </si>
  <si>
    <t>ระยะเวลากู้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</si>
</sst>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[$-1070000]d/mm/yyyy;@"/>
    <numFmt numFmtId="188" formatCode="_-* #,##0_-;\-* #,##0_-;_-* &quot;-&quot;??_-;_-@_-"/>
    <numFmt numFmtId="189" formatCode="0.000"/>
  </numFmts>
  <fonts count="13">
    <font>
      <sz val="11"/>
      <name val="Carlito"/>
    </font>
    <font>
      <sz val="10"/>
      <name val="Tahoma"/>
    </font>
    <font>
      <b/>
      <sz val="11"/>
      <name val="Tahoma"/>
    </font>
    <font>
      <b/>
      <sz val="10"/>
      <name val="Tahoma"/>
    </font>
    <font>
      <sz val="11"/>
      <name val="Carlito"/>
    </font>
    <font>
      <sz val="9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u/>
      <sz val="1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sz val="18"/>
      <color theme="1" tint="4.9989318521683403E-2"/>
      <name val="Tahoma"/>
      <family val="2"/>
    </font>
    <font>
      <i/>
      <sz val="9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6F8"/>
      </patternFill>
    </fill>
    <fill>
      <patternFill patternType="solid">
        <fgColor rgb="FFFFFDF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B9B9B9"/>
      </left>
      <right style="thin">
        <color rgb="FFB9B9B9"/>
      </right>
      <top style="thin">
        <color rgb="FF7A7A7A"/>
      </top>
      <bottom style="thin">
        <color rgb="FF7A7A7A"/>
      </bottom>
      <diagonal/>
    </border>
    <border>
      <left style="thin">
        <color rgb="FFB9B9B9"/>
      </left>
      <right style="thin">
        <color rgb="FFB9B9B9"/>
      </right>
      <top style="thin">
        <color rgb="FF7A7A7A"/>
      </top>
      <bottom style="thin">
        <color rgb="FFB9B9B9"/>
      </bottom>
      <diagonal/>
    </border>
    <border>
      <left style="thin">
        <color rgb="FFB9B9B9"/>
      </left>
      <right style="thin">
        <color rgb="FFB9B9B9"/>
      </right>
      <top style="thin">
        <color rgb="FFB9B9B9"/>
      </top>
      <bottom style="thin">
        <color rgb="FFB9B9B9"/>
      </bottom>
      <diagonal/>
    </border>
    <border>
      <left style="thin">
        <color rgb="FFB9B9B9"/>
      </left>
      <right style="thin">
        <color rgb="FFB9B9B9"/>
      </right>
      <top style="thin">
        <color rgb="FFB9B9B9"/>
      </top>
      <bottom style="thin">
        <color rgb="FF7A7A7A"/>
      </bottom>
      <diagonal/>
    </border>
    <border>
      <left style="thin">
        <color rgb="FFB9B9B9"/>
      </left>
      <right style="thin">
        <color rgb="FFB9B9B9"/>
      </right>
      <top style="thin">
        <color rgb="FFB9B9B9"/>
      </top>
      <bottom style="thin">
        <color rgb="FFB9B9B9"/>
      </bottom>
      <diagonal/>
    </border>
    <border>
      <left style="thin">
        <color rgb="FF4C4C4C"/>
      </left>
      <right/>
      <top style="thin">
        <color rgb="FF4C4C4C"/>
      </top>
      <bottom/>
      <diagonal/>
    </border>
    <border>
      <left/>
      <right/>
      <top style="thin">
        <color rgb="FF4C4C4C"/>
      </top>
      <bottom/>
      <diagonal/>
    </border>
    <border>
      <left/>
      <right style="thin">
        <color rgb="FF4C4C4C"/>
      </right>
      <top style="thin">
        <color rgb="FF4C4C4C"/>
      </top>
      <bottom/>
      <diagonal/>
    </border>
    <border>
      <left style="thin">
        <color rgb="FF4C4C4C"/>
      </left>
      <right/>
      <top/>
      <bottom/>
      <diagonal/>
    </border>
    <border>
      <left/>
      <right style="thin">
        <color rgb="FF4C4C4C"/>
      </right>
      <top/>
      <bottom/>
      <diagonal/>
    </border>
    <border>
      <left style="thin">
        <color rgb="FF4C4C4C"/>
      </left>
      <right style="thin">
        <color rgb="FFB9B9B9"/>
      </right>
      <top style="thin">
        <color rgb="FF7A7A7A"/>
      </top>
      <bottom style="thin">
        <color rgb="FF7A7A7A"/>
      </bottom>
      <diagonal/>
    </border>
    <border>
      <left style="thin">
        <color rgb="FFB9B9B9"/>
      </left>
      <right style="thin">
        <color rgb="FF4C4C4C"/>
      </right>
      <top style="thin">
        <color rgb="FF7A7A7A"/>
      </top>
      <bottom style="thin">
        <color rgb="FF7A7A7A"/>
      </bottom>
      <diagonal/>
    </border>
    <border>
      <left style="thin">
        <color rgb="FF4C4C4C"/>
      </left>
      <right style="thin">
        <color rgb="FFB9B9B9"/>
      </right>
      <top style="thin">
        <color rgb="FF7A7A7A"/>
      </top>
      <bottom style="thin">
        <color rgb="FFB9B9B9"/>
      </bottom>
      <diagonal/>
    </border>
    <border>
      <left style="thin">
        <color rgb="FFB9B9B9"/>
      </left>
      <right style="thin">
        <color rgb="FF4C4C4C"/>
      </right>
      <top style="thin">
        <color rgb="FF7A7A7A"/>
      </top>
      <bottom style="thin">
        <color rgb="FFB9B9B9"/>
      </bottom>
      <diagonal/>
    </border>
    <border>
      <left style="thin">
        <color rgb="FF4C4C4C"/>
      </left>
      <right style="thin">
        <color rgb="FFB9B9B9"/>
      </right>
      <top style="thin">
        <color rgb="FFB9B9B9"/>
      </top>
      <bottom style="thin">
        <color rgb="FFB9B9B9"/>
      </bottom>
      <diagonal/>
    </border>
    <border>
      <left style="thin">
        <color rgb="FFB9B9B9"/>
      </left>
      <right style="thin">
        <color rgb="FF4C4C4C"/>
      </right>
      <top style="thin">
        <color rgb="FFB9B9B9"/>
      </top>
      <bottom style="thin">
        <color rgb="FFB9B9B9"/>
      </bottom>
      <diagonal/>
    </border>
    <border>
      <left style="thin">
        <color rgb="FF4C4C4C"/>
      </left>
      <right style="thin">
        <color rgb="FFB9B9B9"/>
      </right>
      <top style="thin">
        <color rgb="FFB9B9B9"/>
      </top>
      <bottom style="thin">
        <color rgb="FF7A7A7A"/>
      </bottom>
      <diagonal/>
    </border>
    <border>
      <left style="thin">
        <color rgb="FFB9B9B9"/>
      </left>
      <right style="thin">
        <color rgb="FF4C4C4C"/>
      </right>
      <top style="thin">
        <color rgb="FFB9B9B9"/>
      </top>
      <bottom style="thin">
        <color rgb="FF7A7A7A"/>
      </bottom>
      <diagonal/>
    </border>
    <border>
      <left style="thin">
        <color rgb="FF4C4C4C"/>
      </left>
      <right/>
      <top/>
      <bottom style="thin">
        <color rgb="FF4C4C4C"/>
      </bottom>
      <diagonal/>
    </border>
    <border>
      <left/>
      <right/>
      <top/>
      <bottom style="thin">
        <color rgb="FF4C4C4C"/>
      </bottom>
      <diagonal/>
    </border>
    <border>
      <left/>
      <right style="thin">
        <color rgb="FF4C4C4C"/>
      </right>
      <top/>
      <bottom style="thin">
        <color rgb="FF4C4C4C"/>
      </bottom>
      <diagonal/>
    </border>
    <border>
      <left style="thin">
        <color rgb="FF4C4C4C"/>
      </left>
      <right/>
      <top style="thin">
        <color rgb="FFB9B9B9"/>
      </top>
      <bottom style="thin">
        <color rgb="FFB9B9B9"/>
      </bottom>
      <diagonal/>
    </border>
    <border>
      <left/>
      <right style="thin">
        <color rgb="FFB9B9B9"/>
      </right>
      <top style="thin">
        <color rgb="FFB9B9B9"/>
      </top>
      <bottom style="thin">
        <color rgb="FFB9B9B9"/>
      </bottom>
      <diagonal/>
    </border>
    <border>
      <left style="thin">
        <color rgb="FFB9B9B9"/>
      </left>
      <right/>
      <top style="thin">
        <color rgb="FFB9B9B9"/>
      </top>
      <bottom style="thin">
        <color rgb="FFB9B9B9"/>
      </bottom>
      <diagonal/>
    </border>
    <border>
      <left/>
      <right/>
      <top style="thin">
        <color rgb="FFB9B9B9"/>
      </top>
      <bottom style="thin">
        <color rgb="FFB9B9B9"/>
      </bottom>
      <diagonal/>
    </border>
    <border>
      <left/>
      <right style="thin">
        <color rgb="FF4C4C4C"/>
      </right>
      <top style="thin">
        <color rgb="FFB9B9B9"/>
      </top>
      <bottom style="thin">
        <color rgb="FFB9B9B9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188" fontId="1" fillId="4" borderId="24" xfId="1" applyNumberFormat="1" applyFont="1" applyFill="1" applyBorder="1" applyAlignment="1">
      <alignment horizontal="right" vertical="center" wrapText="1"/>
    </xf>
    <xf numFmtId="188" fontId="1" fillId="4" borderId="25" xfId="1" applyNumberFormat="1" applyFont="1" applyFill="1" applyBorder="1" applyAlignment="1">
      <alignment horizontal="right" vertical="center" wrapText="1"/>
    </xf>
    <xf numFmtId="188" fontId="1" fillId="4" borderId="23" xfId="1" applyNumberFormat="1" applyFont="1" applyFill="1" applyBorder="1" applyAlignment="1">
      <alignment horizontal="right" vertical="center" wrapText="1"/>
    </xf>
    <xf numFmtId="0" fontId="7" fillId="4" borderId="16" xfId="0" applyFont="1" applyFill="1" applyBorder="1" applyAlignment="1">
      <alignment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 wrapText="1"/>
    </xf>
    <xf numFmtId="2" fontId="7" fillId="4" borderId="3" xfId="2" applyNumberFormat="1" applyFont="1" applyFill="1" applyBorder="1" applyAlignment="1">
      <alignment vertical="center" wrapText="1"/>
    </xf>
    <xf numFmtId="2" fontId="7" fillId="4" borderId="25" xfId="2" applyNumberFormat="1" applyFont="1" applyFill="1" applyBorder="1" applyAlignment="1">
      <alignment vertical="center" wrapText="1"/>
    </xf>
    <xf numFmtId="189" fontId="7" fillId="4" borderId="5" xfId="2" applyNumberFormat="1" applyFont="1" applyFill="1" applyBorder="1" applyAlignment="1">
      <alignment horizontal="right"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9" fillId="0" borderId="15" xfId="0" applyFont="1" applyBorder="1" applyAlignment="1">
      <alignment horizontal="right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wrapText="1"/>
    </xf>
    <xf numFmtId="0" fontId="7" fillId="0" borderId="9" xfId="0" applyFont="1" applyBorder="1" applyAlignment="1">
      <alignment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187" fontId="1" fillId="4" borderId="1" xfId="0" applyNumberFormat="1" applyFont="1" applyFill="1" applyBorder="1" applyAlignment="1">
      <alignment horizontal="center" vertical="center" wrapText="1"/>
    </xf>
    <xf numFmtId="187" fontId="1" fillId="4" borderId="12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188" fontId="1" fillId="4" borderId="3" xfId="1" applyNumberFormat="1" applyFont="1" applyFill="1" applyBorder="1" applyAlignment="1">
      <alignment horizontal="right" vertical="center" wrapText="1"/>
    </xf>
    <xf numFmtId="0" fontId="6" fillId="3" borderId="17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188" fontId="1" fillId="4" borderId="4" xfId="1" applyNumberFormat="1" applyFont="1" applyFill="1" applyBorder="1" applyAlignment="1">
      <alignment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right" vertical="center" wrapText="1"/>
    </xf>
    <xf numFmtId="188" fontId="7" fillId="4" borderId="3" xfId="1" applyNumberFormat="1" applyFont="1" applyFill="1" applyBorder="1" applyAlignment="1">
      <alignment horizontal="right" vertical="center" wrapText="1"/>
    </xf>
    <xf numFmtId="0" fontId="6" fillId="3" borderId="22" xfId="0" applyFont="1" applyFill="1" applyBorder="1" applyAlignment="1">
      <alignment horizontal="left" vertical="center" wrapText="1"/>
    </xf>
    <xf numFmtId="0" fontId="3" fillId="3" borderId="23" xfId="0" applyFont="1" applyFill="1" applyBorder="1" applyAlignment="1">
      <alignment horizontal="left" vertical="center" wrapText="1"/>
    </xf>
    <xf numFmtId="0" fontId="1" fillId="4" borderId="24" xfId="0" applyFont="1" applyFill="1" applyBorder="1" applyAlignment="1">
      <alignment horizontal="right" vertical="center" wrapText="1"/>
    </xf>
    <xf numFmtId="0" fontId="1" fillId="4" borderId="25" xfId="0" applyFont="1" applyFill="1" applyBorder="1" applyAlignment="1">
      <alignment horizontal="right" vertical="center" wrapText="1"/>
    </xf>
    <xf numFmtId="0" fontId="1" fillId="4" borderId="23" xfId="0" applyFont="1" applyFill="1" applyBorder="1" applyAlignment="1">
      <alignment horizontal="right" vertical="center" wrapText="1"/>
    </xf>
    <xf numFmtId="0" fontId="7" fillId="3" borderId="1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3" fillId="6" borderId="15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7" fillId="6" borderId="24" xfId="0" applyFont="1" applyFill="1" applyBorder="1" applyAlignment="1">
      <alignment horizontal="center" vertical="center" wrapText="1"/>
    </xf>
    <xf numFmtId="0" fontId="1" fillId="6" borderId="25" xfId="0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left" vertical="center" wrapText="1"/>
    </xf>
    <xf numFmtId="0" fontId="7" fillId="3" borderId="23" xfId="0" applyFont="1" applyFill="1" applyBorder="1" applyAlignment="1">
      <alignment horizontal="left" vertical="center" wrapText="1"/>
    </xf>
    <xf numFmtId="0" fontId="7" fillId="4" borderId="24" xfId="0" applyFont="1" applyFill="1" applyBorder="1" applyAlignment="1">
      <alignment horizontal="left" vertical="center" wrapText="1"/>
    </xf>
    <xf numFmtId="0" fontId="7" fillId="4" borderId="26" xfId="0" applyFont="1" applyFill="1" applyBorder="1" applyAlignment="1">
      <alignment horizontal="left" vertic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6" fillId="5" borderId="22" xfId="0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  <xf numFmtId="188" fontId="1" fillId="5" borderId="24" xfId="1" applyNumberFormat="1" applyFont="1" applyFill="1" applyBorder="1" applyAlignment="1">
      <alignment horizontal="center" vertical="center" wrapText="1"/>
    </xf>
    <xf numFmtId="188" fontId="1" fillId="5" borderId="25" xfId="1" applyNumberFormat="1" applyFont="1" applyFill="1" applyBorder="1" applyAlignment="1">
      <alignment horizontal="center" vertical="center" wrapText="1"/>
    </xf>
    <xf numFmtId="188" fontId="1" fillId="5" borderId="23" xfId="1" applyNumberFormat="1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7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10" fontId="6" fillId="4" borderId="24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162340</xdr:colOff>
      <xdr:row>1</xdr:row>
      <xdr:rowOff>53010</xdr:rowOff>
    </xdr:from>
    <xdr:to>
      <xdr:col>2</xdr:col>
      <xdr:colOff>844826</xdr:colOff>
      <xdr:row>4</xdr:row>
      <xdr:rowOff>16498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D022EAEC-F881-6E7E-637A-567BFEC11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840" y="152401"/>
          <a:ext cx="1543877" cy="385901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44</xdr:row>
      <xdr:rowOff>38100</xdr:rowOff>
    </xdr:from>
    <xdr:to>
      <xdr:col>6</xdr:col>
      <xdr:colOff>577454</xdr:colOff>
      <xdr:row>47</xdr:row>
      <xdr:rowOff>168039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3FF2F34-6D8D-F464-83A3-75F31F328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6" y="7991475"/>
          <a:ext cx="5600700" cy="672864"/>
        </a:xfrm>
        <a:prstGeom prst="rect">
          <a:avLst/>
        </a:prstGeom>
      </xdr:spPr>
    </xdr:pic>
    <xdr:clientData/>
  </xdr:twoCellAnchor>
  <xdr:twoCellAnchor editAs="oneCell">
    <xdr:from>
      <xdr:col>5</xdr:col>
      <xdr:colOff>221456</xdr:colOff>
      <xdr:row>40</xdr:row>
      <xdr:rowOff>36128</xdr:rowOff>
    </xdr:from>
    <xdr:to>
      <xdr:col>5</xdr:col>
      <xdr:colOff>783431</xdr:colOff>
      <xdr:row>40</xdr:row>
      <xdr:rowOff>508398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662F3B-E3FB-F298-D0E7-FABBA4F6E9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821" t="11928" r="12040" b="13708"/>
        <a:stretch>
          <a:fillRect/>
        </a:stretch>
      </xdr:blipFill>
      <xdr:spPr>
        <a:xfrm>
          <a:off x="4305300" y="6858409"/>
          <a:ext cx="561975" cy="472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4"/>
  <sheetViews>
    <sheetView tabSelected="1" zoomScale="85" zoomScaleNormal="85" workbookViewId="0">
      <selection activeCell="N19" sqref="N19"/>
    </sheetView>
  </sheetViews>
  <sheetFormatPr defaultRowHeight="14.25"/>
  <cols>
    <col min="1" max="1" width="2.5" customWidth="1"/>
    <col min="2" max="2" width="11.25" customWidth="1"/>
    <col min="3" max="3" width="16.375" customWidth="1"/>
    <col min="4" max="4" width="14.75" customWidth="1"/>
    <col min="5" max="5" width="9.875" customWidth="1"/>
    <col min="6" max="6" width="15" customWidth="1"/>
    <col min="7" max="7" width="8.75" customWidth="1"/>
    <col min="8" max="8" width="4" customWidth="1"/>
  </cols>
  <sheetData>
    <row r="1" spans="2:8" ht="8.1" customHeight="1">
      <c r="B1" s="1"/>
      <c r="C1" s="1"/>
      <c r="D1" s="1"/>
      <c r="E1" s="1"/>
      <c r="F1" s="1"/>
      <c r="G1" s="1"/>
      <c r="H1" s="1"/>
    </row>
    <row r="2" spans="2:8" ht="13.5" customHeight="1">
      <c r="B2" s="35" t="s">
        <v>16</v>
      </c>
      <c r="C2" s="36"/>
      <c r="D2" s="36"/>
      <c r="E2" s="36"/>
      <c r="F2" s="36"/>
      <c r="G2" s="37"/>
      <c r="H2" s="1"/>
    </row>
    <row r="3" spans="2:8" ht="7.5" customHeight="1">
      <c r="B3" s="38"/>
      <c r="C3" s="39"/>
      <c r="D3" s="39"/>
      <c r="E3" s="39"/>
      <c r="F3" s="39"/>
      <c r="G3" s="40"/>
      <c r="H3" s="1"/>
    </row>
    <row r="4" spans="2:8" ht="12" customHeight="1">
      <c r="B4" s="41" t="s">
        <v>0</v>
      </c>
      <c r="C4" s="42"/>
      <c r="D4" s="42"/>
      <c r="E4" s="42"/>
      <c r="F4" s="42"/>
      <c r="G4" s="43"/>
      <c r="H4" s="1"/>
    </row>
    <row r="5" spans="2:8" ht="8.1" customHeight="1">
      <c r="B5" s="3"/>
      <c r="C5" s="1"/>
      <c r="D5" s="1"/>
      <c r="E5" s="1"/>
      <c r="F5" s="1"/>
      <c r="G5" s="4"/>
      <c r="H5" s="1"/>
    </row>
    <row r="6" spans="2:8" ht="16.5" customHeight="1">
      <c r="B6" s="17" t="s">
        <v>17</v>
      </c>
      <c r="C6" s="44" t="s">
        <v>18</v>
      </c>
      <c r="D6" s="44"/>
      <c r="E6" s="9" t="s">
        <v>1</v>
      </c>
      <c r="F6" s="45">
        <v>46248</v>
      </c>
      <c r="G6" s="46"/>
      <c r="H6" s="1"/>
    </row>
    <row r="7" spans="2:8" ht="8.1" customHeight="1">
      <c r="B7" s="5"/>
      <c r="C7" s="2"/>
      <c r="D7" s="2"/>
      <c r="E7" s="2"/>
      <c r="F7" s="2"/>
      <c r="G7" s="6"/>
      <c r="H7" s="1"/>
    </row>
    <row r="8" spans="2:8" ht="15" customHeight="1">
      <c r="B8" s="47" t="s">
        <v>2</v>
      </c>
      <c r="C8" s="48"/>
      <c r="D8" s="48"/>
      <c r="E8" s="48"/>
      <c r="F8" s="48"/>
      <c r="G8" s="49"/>
      <c r="H8" s="1"/>
    </row>
    <row r="9" spans="2:8" ht="20.25" customHeight="1">
      <c r="B9" s="30" t="s">
        <v>3</v>
      </c>
      <c r="C9" s="31"/>
      <c r="D9" s="32" t="s">
        <v>43</v>
      </c>
      <c r="E9" s="33"/>
      <c r="F9" s="33"/>
      <c r="G9" s="34"/>
      <c r="H9" s="1"/>
    </row>
    <row r="10" spans="2:8" ht="20.25" customHeight="1">
      <c r="B10" s="30" t="s">
        <v>4</v>
      </c>
      <c r="C10" s="31"/>
      <c r="D10" s="32" t="s">
        <v>42</v>
      </c>
      <c r="E10" s="33"/>
      <c r="F10" s="33"/>
      <c r="G10" s="34"/>
      <c r="H10" s="1"/>
    </row>
    <row r="11" spans="2:8" ht="20.25" customHeight="1">
      <c r="B11" s="50" t="s">
        <v>5</v>
      </c>
      <c r="C11" s="51"/>
      <c r="D11" s="52" t="s">
        <v>41</v>
      </c>
      <c r="E11" s="53"/>
      <c r="F11" s="53"/>
      <c r="G11" s="54"/>
      <c r="H11" s="1"/>
    </row>
    <row r="12" spans="2:8" ht="8.1" customHeight="1">
      <c r="B12" s="5"/>
      <c r="C12" s="2"/>
      <c r="D12" s="2"/>
      <c r="E12" s="2"/>
      <c r="F12" s="2"/>
      <c r="G12" s="6"/>
      <c r="H12" s="1"/>
    </row>
    <row r="13" spans="2:8" ht="16.5" customHeight="1">
      <c r="B13" s="47" t="s">
        <v>6</v>
      </c>
      <c r="C13" s="48"/>
      <c r="D13" s="48"/>
      <c r="E13" s="48"/>
      <c r="F13" s="48"/>
      <c r="G13" s="49"/>
      <c r="H13" s="1"/>
    </row>
    <row r="14" spans="2:8" ht="15.75" customHeight="1">
      <c r="B14" s="55" t="s">
        <v>19</v>
      </c>
      <c r="C14" s="56"/>
      <c r="D14" s="57">
        <v>5000000</v>
      </c>
      <c r="E14" s="57"/>
      <c r="F14" s="57"/>
      <c r="G14" s="7" t="s">
        <v>7</v>
      </c>
      <c r="H14" s="1"/>
    </row>
    <row r="15" spans="2:8" ht="15.75" customHeight="1">
      <c r="B15" s="62" t="s">
        <v>52</v>
      </c>
      <c r="C15" s="56"/>
      <c r="D15" s="63">
        <v>30</v>
      </c>
      <c r="E15" s="63"/>
      <c r="F15" s="63"/>
      <c r="G15" s="10" t="s">
        <v>8</v>
      </c>
      <c r="H15" s="1"/>
    </row>
    <row r="16" spans="2:8" ht="15.75" customHeight="1">
      <c r="B16" s="55" t="s">
        <v>20</v>
      </c>
      <c r="C16" s="56"/>
      <c r="D16" s="57">
        <v>500000</v>
      </c>
      <c r="E16" s="57"/>
      <c r="F16" s="57"/>
      <c r="G16" s="7" t="s">
        <v>7</v>
      </c>
      <c r="H16" s="1"/>
    </row>
    <row r="17" spans="2:8" ht="15.75" customHeight="1">
      <c r="B17" s="62" t="s">
        <v>53</v>
      </c>
      <c r="C17" s="56"/>
      <c r="D17" s="63">
        <v>20</v>
      </c>
      <c r="E17" s="63"/>
      <c r="F17" s="63"/>
      <c r="G17" s="10" t="s">
        <v>8</v>
      </c>
      <c r="H17" s="1"/>
    </row>
    <row r="18" spans="2:8" ht="15.75" customHeight="1">
      <c r="B18" s="55" t="s">
        <v>21</v>
      </c>
      <c r="C18" s="56"/>
      <c r="D18" s="57">
        <v>280000</v>
      </c>
      <c r="E18" s="57"/>
      <c r="F18" s="57"/>
      <c r="G18" s="7" t="s">
        <v>7</v>
      </c>
      <c r="H18" s="1"/>
    </row>
    <row r="19" spans="2:8" ht="15.75" customHeight="1">
      <c r="B19" s="65" t="s">
        <v>22</v>
      </c>
      <c r="C19" s="66"/>
      <c r="D19" s="67">
        <v>15</v>
      </c>
      <c r="E19" s="68"/>
      <c r="F19" s="69"/>
      <c r="G19" s="10" t="s">
        <v>8</v>
      </c>
      <c r="H19" s="1"/>
    </row>
    <row r="20" spans="2:8" ht="15.75" customHeight="1">
      <c r="B20" s="84" t="s">
        <v>23</v>
      </c>
      <c r="C20" s="85"/>
      <c r="D20" s="67"/>
      <c r="E20" s="68"/>
      <c r="F20" s="69"/>
      <c r="G20" s="10"/>
      <c r="H20" s="1"/>
    </row>
    <row r="21" spans="2:8" ht="15.75" customHeight="1">
      <c r="B21" s="55" t="s">
        <v>24</v>
      </c>
      <c r="C21" s="56"/>
      <c r="D21" s="64" t="s">
        <v>26</v>
      </c>
      <c r="E21" s="57"/>
      <c r="F21" s="57"/>
      <c r="G21" s="7" t="s">
        <v>7</v>
      </c>
      <c r="H21" s="1"/>
    </row>
    <row r="22" spans="2:8" ht="15.75" customHeight="1">
      <c r="B22" s="65" t="s">
        <v>25</v>
      </c>
      <c r="C22" s="86"/>
      <c r="D22" s="11"/>
      <c r="E22" s="12"/>
      <c r="F22" s="13">
        <v>9</v>
      </c>
      <c r="G22" s="10" t="s">
        <v>8</v>
      </c>
      <c r="H22" s="1"/>
    </row>
    <row r="23" spans="2:8" ht="15.75" customHeight="1">
      <c r="B23" s="65" t="s">
        <v>27</v>
      </c>
      <c r="C23" s="86"/>
      <c r="D23" s="87">
        <f>SUM(D14:F16,D18,D21)</f>
        <v>5780030</v>
      </c>
      <c r="E23" s="88"/>
      <c r="F23" s="89"/>
      <c r="G23" s="10" t="s">
        <v>7</v>
      </c>
      <c r="H23" s="1"/>
    </row>
    <row r="24" spans="2:8" ht="15.75" customHeight="1">
      <c r="B24" s="58" t="s">
        <v>28</v>
      </c>
      <c r="C24" s="59"/>
      <c r="D24" s="60">
        <v>35000</v>
      </c>
      <c r="E24" s="60"/>
      <c r="F24" s="60"/>
      <c r="G24" s="8" t="s">
        <v>9</v>
      </c>
      <c r="H24" s="1"/>
    </row>
    <row r="25" spans="2:8" ht="8.1" customHeight="1">
      <c r="B25" s="5"/>
      <c r="C25" s="2"/>
      <c r="D25" s="2"/>
      <c r="E25" s="2"/>
      <c r="F25" s="2"/>
      <c r="G25" s="6"/>
      <c r="H25" s="1"/>
    </row>
    <row r="26" spans="2:8" ht="16.5" customHeight="1">
      <c r="B26" s="61" t="s">
        <v>29</v>
      </c>
      <c r="C26" s="48"/>
      <c r="D26" s="48"/>
      <c r="E26" s="48"/>
      <c r="F26" s="48"/>
      <c r="G26" s="49"/>
      <c r="H26" s="1"/>
    </row>
    <row r="27" spans="2:8" ht="15" customHeight="1">
      <c r="B27" s="70" t="s">
        <v>30</v>
      </c>
      <c r="C27" s="71"/>
      <c r="D27" s="18" t="s">
        <v>37</v>
      </c>
      <c r="E27" s="19">
        <v>2.79</v>
      </c>
      <c r="F27" s="79" t="s">
        <v>38</v>
      </c>
      <c r="G27" s="80"/>
      <c r="H27" s="1"/>
    </row>
    <row r="28" spans="2:8" ht="15" customHeight="1">
      <c r="B28" s="70" t="s">
        <v>31</v>
      </c>
      <c r="C28" s="71"/>
      <c r="D28" s="18" t="s">
        <v>37</v>
      </c>
      <c r="E28" s="20">
        <v>2.79</v>
      </c>
      <c r="F28" s="79" t="s">
        <v>38</v>
      </c>
      <c r="G28" s="80"/>
      <c r="H28" s="1"/>
    </row>
    <row r="29" spans="2:8" ht="15" customHeight="1">
      <c r="B29" s="70" t="s">
        <v>32</v>
      </c>
      <c r="C29" s="71"/>
      <c r="D29" s="18" t="s">
        <v>37</v>
      </c>
      <c r="E29" s="20">
        <v>2.79</v>
      </c>
      <c r="F29" s="79" t="s">
        <v>38</v>
      </c>
      <c r="G29" s="80"/>
      <c r="H29" s="1"/>
    </row>
    <row r="30" spans="2:8" ht="15" customHeight="1">
      <c r="B30" s="77" t="s">
        <v>35</v>
      </c>
      <c r="C30" s="78"/>
      <c r="D30" s="16" t="s">
        <v>36</v>
      </c>
      <c r="E30" s="21">
        <v>6.5250000000000004</v>
      </c>
      <c r="F30" s="79" t="s">
        <v>38</v>
      </c>
      <c r="G30" s="80"/>
      <c r="H30" s="1"/>
    </row>
    <row r="31" spans="2:8" ht="15" customHeight="1">
      <c r="B31" s="90" t="s">
        <v>39</v>
      </c>
      <c r="C31" s="91"/>
      <c r="D31" s="102">
        <v>2.7900000000000001E-2</v>
      </c>
      <c r="E31" s="103"/>
      <c r="F31" s="18"/>
      <c r="G31" s="14"/>
      <c r="H31" s="1"/>
    </row>
    <row r="32" spans="2:8" ht="12.75" customHeight="1">
      <c r="B32" s="72" t="s">
        <v>10</v>
      </c>
      <c r="C32" s="73"/>
      <c r="D32" s="74" t="s">
        <v>40</v>
      </c>
      <c r="E32" s="75"/>
      <c r="F32" s="75"/>
      <c r="G32" s="76"/>
      <c r="H32" s="1"/>
    </row>
    <row r="33" spans="2:8" ht="15.75" customHeight="1">
      <c r="B33" s="92" t="s">
        <v>33</v>
      </c>
      <c r="C33" s="93"/>
      <c r="D33" s="94" t="s">
        <v>44</v>
      </c>
      <c r="E33" s="95"/>
      <c r="F33" s="96"/>
      <c r="G33" s="15" t="s">
        <v>7</v>
      </c>
      <c r="H33" s="1"/>
    </row>
    <row r="34" spans="2:8" ht="15" customHeight="1">
      <c r="B34" s="92" t="s">
        <v>34</v>
      </c>
      <c r="C34" s="93"/>
      <c r="D34" s="94" t="s">
        <v>45</v>
      </c>
      <c r="E34" s="95"/>
      <c r="F34" s="96"/>
      <c r="G34" s="15" t="s">
        <v>7</v>
      </c>
      <c r="H34" s="1"/>
    </row>
    <row r="35" spans="2:8" ht="8.1" customHeight="1">
      <c r="B35" s="5"/>
      <c r="C35" s="2"/>
      <c r="D35" s="2"/>
      <c r="E35" s="2"/>
      <c r="F35" s="2"/>
      <c r="G35" s="6"/>
      <c r="H35" s="1"/>
    </row>
    <row r="36" spans="2:8" ht="16.5" customHeight="1">
      <c r="B36" s="47" t="s">
        <v>11</v>
      </c>
      <c r="C36" s="48"/>
      <c r="D36" s="48"/>
      <c r="E36" s="48"/>
      <c r="F36" s="48"/>
      <c r="G36" s="49"/>
      <c r="H36" s="1"/>
    </row>
    <row r="37" spans="2:8" ht="17.25" customHeight="1">
      <c r="B37" s="26" t="str">
        <f>_xlfn.UNICHAR(9745)</f>
        <v>☑</v>
      </c>
      <c r="C37" s="27" t="s">
        <v>46</v>
      </c>
      <c r="D37" s="26" t="str">
        <f>_xlfn.UNICHAR(9744)</f>
        <v>☐</v>
      </c>
      <c r="E37" s="104" t="s">
        <v>47</v>
      </c>
      <c r="F37" s="105"/>
      <c r="G37" s="22"/>
      <c r="H37" s="1"/>
    </row>
    <row r="38" spans="2:8" ht="19.5" hidden="1" customHeight="1">
      <c r="B38" s="23"/>
      <c r="C38" s="24"/>
      <c r="D38" s="24"/>
      <c r="E38" s="24"/>
      <c r="F38" s="24"/>
      <c r="G38" s="25"/>
      <c r="H38" s="1"/>
    </row>
    <row r="39" spans="2:8" ht="8.1" customHeight="1">
      <c r="B39" s="5"/>
      <c r="C39" s="2"/>
      <c r="D39" s="2"/>
      <c r="E39" s="2"/>
      <c r="F39" s="2"/>
      <c r="G39" s="6"/>
      <c r="H39" s="1"/>
    </row>
    <row r="40" spans="2:8" ht="15" customHeight="1">
      <c r="B40" s="97" t="s">
        <v>12</v>
      </c>
      <c r="C40" s="98"/>
      <c r="D40" s="98"/>
      <c r="E40" s="98" t="s">
        <v>13</v>
      </c>
      <c r="F40" s="98"/>
      <c r="G40" s="99"/>
      <c r="H40" s="1"/>
    </row>
    <row r="41" spans="2:8" ht="43.5" customHeight="1">
      <c r="B41" s="28" t="s">
        <v>50</v>
      </c>
      <c r="C41" s="106" t="s">
        <v>51</v>
      </c>
      <c r="D41" s="106"/>
      <c r="E41" s="100" t="s">
        <v>14</v>
      </c>
      <c r="F41" s="100"/>
      <c r="G41" s="101"/>
      <c r="H41" s="1"/>
    </row>
    <row r="42" spans="2:8" ht="15.75" customHeight="1">
      <c r="B42" s="29"/>
      <c r="C42" s="107" t="s">
        <v>49</v>
      </c>
      <c r="D42" s="100"/>
      <c r="E42" s="107" t="s">
        <v>48</v>
      </c>
      <c r="F42" s="100"/>
      <c r="G42" s="101"/>
      <c r="H42" s="1"/>
    </row>
    <row r="43" spans="2:8" ht="24" customHeight="1">
      <c r="B43" s="81" t="s">
        <v>15</v>
      </c>
      <c r="C43" s="82"/>
      <c r="D43" s="82"/>
      <c r="E43" s="82" t="s">
        <v>15</v>
      </c>
      <c r="F43" s="82"/>
      <c r="G43" s="83"/>
      <c r="H43" s="1"/>
    </row>
    <row r="44" spans="2:8" ht="8.1" customHeight="1">
      <c r="B44" s="1"/>
      <c r="C44" s="1"/>
      <c r="D44" s="1"/>
      <c r="E44" s="1"/>
      <c r="F44" s="1"/>
      <c r="G44" s="1"/>
      <c r="H44" s="1"/>
    </row>
  </sheetData>
  <mergeCells count="60">
    <mergeCell ref="E37:F37"/>
    <mergeCell ref="C41:D41"/>
    <mergeCell ref="C42:D42"/>
    <mergeCell ref="E42:G42"/>
    <mergeCell ref="B15:C15"/>
    <mergeCell ref="D15:F15"/>
    <mergeCell ref="B43:D43"/>
    <mergeCell ref="E43:G43"/>
    <mergeCell ref="B20:C20"/>
    <mergeCell ref="D20:F20"/>
    <mergeCell ref="B22:C22"/>
    <mergeCell ref="D23:F23"/>
    <mergeCell ref="B23:C23"/>
    <mergeCell ref="B31:C31"/>
    <mergeCell ref="B33:C33"/>
    <mergeCell ref="B34:C34"/>
    <mergeCell ref="D33:F33"/>
    <mergeCell ref="D34:F34"/>
    <mergeCell ref="B36:G36"/>
    <mergeCell ref="B40:D40"/>
    <mergeCell ref="E40:G40"/>
    <mergeCell ref="E41:G41"/>
    <mergeCell ref="B27:C27"/>
    <mergeCell ref="B28:C28"/>
    <mergeCell ref="B32:C32"/>
    <mergeCell ref="D32:G32"/>
    <mergeCell ref="B29:C29"/>
    <mergeCell ref="B30:C30"/>
    <mergeCell ref="F27:G27"/>
    <mergeCell ref="F30:G30"/>
    <mergeCell ref="F28:G28"/>
    <mergeCell ref="F29:G29"/>
    <mergeCell ref="D31:E31"/>
    <mergeCell ref="B24:C24"/>
    <mergeCell ref="D24:F24"/>
    <mergeCell ref="B26:G26"/>
    <mergeCell ref="B16:C16"/>
    <mergeCell ref="D16:F16"/>
    <mergeCell ref="B17:C17"/>
    <mergeCell ref="D17:F17"/>
    <mergeCell ref="B21:C21"/>
    <mergeCell ref="D21:F21"/>
    <mergeCell ref="B18:C18"/>
    <mergeCell ref="D18:F18"/>
    <mergeCell ref="B19:C19"/>
    <mergeCell ref="D19:F19"/>
    <mergeCell ref="B11:C11"/>
    <mergeCell ref="D11:G11"/>
    <mergeCell ref="B13:G13"/>
    <mergeCell ref="B14:C14"/>
    <mergeCell ref="D14:F14"/>
    <mergeCell ref="B9:C9"/>
    <mergeCell ref="D9:G9"/>
    <mergeCell ref="B10:C10"/>
    <mergeCell ref="D10:G10"/>
    <mergeCell ref="B2:G3"/>
    <mergeCell ref="B4:G4"/>
    <mergeCell ref="C6:D6"/>
    <mergeCell ref="F6:G6"/>
    <mergeCell ref="B8:G8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หนังสืออนุมัติ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I3owjung casnovy</cp:lastModifiedBy>
  <dcterms:modified xsi:type="dcterms:W3CDTF">2026-08-18T04:16:40Z</dcterms:modified>
</cp:coreProperties>
</file>