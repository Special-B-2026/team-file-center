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CIMB\"/>
    </mc:Choice>
  </mc:AlternateContent>
  <xr:revisionPtr revIDLastSave="0" documentId="13_ncr:1_{DD0A5545-088E-4CFA-9462-58C184C1C067}" xr6:coauthVersionLast="47" xr6:coauthVersionMax="47" xr10:uidLastSave="{00000000-0000-0000-0000-000000000000}"/>
  <bookViews>
    <workbookView xWindow="-110" yWindow="-110" windowWidth="21820" windowHeight="13900" tabRatio="714" activeTab="1" xr2:uid="{00000000-000D-0000-FFFF-FFFF00000000}"/>
  </bookViews>
  <sheets>
    <sheet name="Income" sheetId="15" r:id="rId1"/>
    <sheet name="Statement AC1" sheetId="8" r:id="rId2"/>
    <sheet name="Statement AC2" sheetId="13" r:id="rId3"/>
    <sheet name="Statement AC3" sheetId="14" r:id="rId4"/>
    <sheet name="IncomeFactor" sheetId="9" state="hidden" r:id="rId5"/>
  </sheets>
  <definedNames>
    <definedName name="__xlfn_COUNTIFS">NA()</definedName>
    <definedName name="_xlnm.Print_Area" localSheetId="3">'Statement AC3'!$A$1:$Y$64</definedName>
    <definedName name="_xlnm.Print_Titles" localSheetId="1">'Statement AC1'!$1:$8</definedName>
    <definedName name="_xlnm.Print_Titles" localSheetId="2">'Statement AC2'!$1:$8</definedName>
    <definedName name="_xlnm.Print_Titles" localSheetId="3">'Statement AC3'!$1:$8</definedName>
  </definedNames>
  <calcPr calcId="181029"/>
</workbook>
</file>

<file path=xl/calcChain.xml><?xml version="1.0" encoding="utf-8"?>
<calcChain xmlns="http://schemas.openxmlformats.org/spreadsheetml/2006/main">
  <c r="G3" i="13" l="1"/>
  <c r="H3" i="13"/>
  <c r="I3" i="13"/>
  <c r="K3" i="8"/>
  <c r="K4" i="8" s="1"/>
  <c r="L3" i="8"/>
  <c r="K4" i="13" l="1"/>
  <c r="K4" i="14"/>
  <c r="L5" i="8"/>
  <c r="K9" i="15" l="1"/>
  <c r="F6" i="15"/>
  <c r="E6" i="15"/>
  <c r="K8" i="15" l="1"/>
  <c r="K7" i="15"/>
  <c r="I9" i="15"/>
  <c r="I8" i="15"/>
  <c r="I7" i="15"/>
  <c r="K26" i="15"/>
  <c r="I26" i="15"/>
  <c r="G26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G9" i="15"/>
  <c r="G8" i="15"/>
  <c r="G7" i="15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M6" i="14"/>
  <c r="N5" i="14"/>
  <c r="M5" i="14"/>
  <c r="L5" i="14"/>
  <c r="T4" i="14"/>
  <c r="S4" i="14"/>
  <c r="Q4" i="14"/>
  <c r="P4" i="14"/>
  <c r="N4" i="14"/>
  <c r="M4" i="14"/>
  <c r="Q3" i="14"/>
  <c r="P3" i="14"/>
  <c r="N3" i="14"/>
  <c r="M3" i="14"/>
  <c r="M1" i="14"/>
  <c r="X61" i="13"/>
  <c r="W61" i="13"/>
  <c r="V61" i="13"/>
  <c r="U61" i="13"/>
  <c r="T61" i="13"/>
  <c r="S61" i="13"/>
  <c r="R61" i="13"/>
  <c r="Q61" i="13"/>
  <c r="P61" i="13"/>
  <c r="O61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B61" i="13"/>
  <c r="A61" i="13"/>
  <c r="M6" i="13"/>
  <c r="N5" i="13"/>
  <c r="M5" i="13"/>
  <c r="L5" i="13"/>
  <c r="T4" i="13"/>
  <c r="S4" i="13"/>
  <c r="Q4" i="13"/>
  <c r="P4" i="13"/>
  <c r="N4" i="13"/>
  <c r="M4" i="13"/>
  <c r="Q3" i="13"/>
  <c r="P3" i="13"/>
  <c r="N3" i="13"/>
  <c r="M3" i="13"/>
  <c r="M1" i="13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" i="9"/>
  <c r="B6" i="8" l="1"/>
  <c r="B6" i="13"/>
  <c r="I25" i="15" s="1"/>
  <c r="D63" i="14"/>
  <c r="K12" i="15" s="1"/>
  <c r="L63" i="14"/>
  <c r="J63" i="14"/>
  <c r="K15" i="15" s="1"/>
  <c r="R63" i="14"/>
  <c r="T63" i="13"/>
  <c r="I20" i="15" s="1"/>
  <c r="B63" i="14"/>
  <c r="K11" i="15" s="1"/>
  <c r="B63" i="13"/>
  <c r="I11" i="15" s="1"/>
  <c r="J63" i="13"/>
  <c r="R63" i="13"/>
  <c r="D63" i="13"/>
  <c r="I12" i="15" s="1"/>
  <c r="L63" i="13"/>
  <c r="B6" i="14"/>
  <c r="N6" i="14" s="1"/>
  <c r="T63" i="14"/>
  <c r="H63" i="13"/>
  <c r="P63" i="13"/>
  <c r="X63" i="13"/>
  <c r="F63" i="14"/>
  <c r="N63" i="14"/>
  <c r="V63" i="14"/>
  <c r="F63" i="13"/>
  <c r="N63" i="13"/>
  <c r="V63" i="13"/>
  <c r="H63" i="14"/>
  <c r="P63" i="14"/>
  <c r="X63" i="14"/>
  <c r="N5" i="8"/>
  <c r="X115" i="8"/>
  <c r="W115" i="8"/>
  <c r="V115" i="8"/>
  <c r="U115" i="8"/>
  <c r="T115" i="8"/>
  <c r="S115" i="8"/>
  <c r="R115" i="8"/>
  <c r="Q115" i="8"/>
  <c r="R117" i="8" s="1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B115" i="8"/>
  <c r="A115" i="8"/>
  <c r="M6" i="8"/>
  <c r="M5" i="8"/>
  <c r="T4" i="8"/>
  <c r="S4" i="8"/>
  <c r="Q4" i="8"/>
  <c r="P4" i="8"/>
  <c r="N4" i="8"/>
  <c r="M4" i="8"/>
  <c r="Q3" i="8"/>
  <c r="P3" i="8"/>
  <c r="N3" i="8"/>
  <c r="M3" i="8"/>
  <c r="M1" i="8"/>
  <c r="J117" i="8" l="1"/>
  <c r="G15" i="15" s="1"/>
  <c r="B15" i="15" s="1"/>
  <c r="B117" i="8"/>
  <c r="G11" i="15" s="1"/>
  <c r="B11" i="15" s="1"/>
  <c r="K18" i="15"/>
  <c r="D17" i="15"/>
  <c r="K19" i="15"/>
  <c r="D19" i="15" s="1"/>
  <c r="D12" i="15"/>
  <c r="K14" i="15"/>
  <c r="K21" i="15"/>
  <c r="D21" i="15" s="1"/>
  <c r="D15" i="15"/>
  <c r="K17" i="15"/>
  <c r="D14" i="15"/>
  <c r="K16" i="15"/>
  <c r="D16" i="15" s="1"/>
  <c r="K22" i="15"/>
  <c r="D22" i="15" s="1"/>
  <c r="D18" i="15"/>
  <c r="K20" i="15"/>
  <c r="D20" i="15" s="1"/>
  <c r="I17" i="15"/>
  <c r="I19" i="15"/>
  <c r="C19" i="15" s="1"/>
  <c r="I15" i="15"/>
  <c r="C12" i="15"/>
  <c r="I13" i="15"/>
  <c r="I16" i="15"/>
  <c r="C16" i="15" s="1"/>
  <c r="I22" i="15"/>
  <c r="C22" i="15" s="1"/>
  <c r="C17" i="15"/>
  <c r="I18" i="15"/>
  <c r="C18" i="15" s="1"/>
  <c r="C20" i="15"/>
  <c r="I21" i="15"/>
  <c r="C21" i="15" s="1"/>
  <c r="C13" i="15"/>
  <c r="I14" i="15"/>
  <c r="C14" i="15" s="1"/>
  <c r="G19" i="15"/>
  <c r="D11" i="15"/>
  <c r="K13" i="15"/>
  <c r="C11" i="15"/>
  <c r="K25" i="15"/>
  <c r="T117" i="8"/>
  <c r="G20" i="15" s="1"/>
  <c r="D117" i="8"/>
  <c r="N6" i="13"/>
  <c r="L117" i="8"/>
  <c r="G16" i="15" s="1"/>
  <c r="H117" i="8"/>
  <c r="G14" i="15" s="1"/>
  <c r="P117" i="8"/>
  <c r="G18" i="15" s="1"/>
  <c r="X117" i="8"/>
  <c r="G22" i="15" s="1"/>
  <c r="F117" i="8"/>
  <c r="G13" i="15" s="1"/>
  <c r="N117" i="8"/>
  <c r="G17" i="15" s="1"/>
  <c r="V117" i="8"/>
  <c r="G21" i="15" s="1"/>
  <c r="L15" i="15" l="1"/>
  <c r="L20" i="15"/>
  <c r="C15" i="15"/>
  <c r="C23" i="15" s="1"/>
  <c r="I24" i="15" s="1"/>
  <c r="H27" i="15" s="1"/>
  <c r="I23" i="15"/>
  <c r="L19" i="15"/>
  <c r="B20" i="15"/>
  <c r="B19" i="15"/>
  <c r="G12" i="15"/>
  <c r="L12" i="15" s="1"/>
  <c r="L11" i="15"/>
  <c r="D13" i="15"/>
  <c r="D23" i="15" s="1"/>
  <c r="K23" i="15"/>
  <c r="B16" i="15"/>
  <c r="L16" i="15"/>
  <c r="B22" i="15"/>
  <c r="L22" i="15"/>
  <c r="B21" i="15"/>
  <c r="L21" i="15"/>
  <c r="B18" i="15"/>
  <c r="L18" i="15"/>
  <c r="B17" i="15"/>
  <c r="L17" i="15"/>
  <c r="L14" i="15"/>
  <c r="B14" i="15"/>
  <c r="L13" i="15"/>
  <c r="B13" i="15"/>
  <c r="G25" i="15"/>
  <c r="N6" i="8"/>
  <c r="G23" i="15" l="1"/>
  <c r="B12" i="15"/>
  <c r="B23" i="15" s="1"/>
  <c r="K24" i="15"/>
  <c r="J27" i="15" s="1"/>
  <c r="L23" i="15"/>
  <c r="G24" i="15" l="1"/>
  <c r="L24" i="15" s="1"/>
  <c r="F27" i="15" l="1"/>
  <c r="L27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Rawat Lordamrongkiat</author>
  </authors>
  <commentList>
    <comment ref="L6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Input date Register NCB Active account (พ.ศ.)
</t>
        </r>
        <r>
          <rPr>
            <u/>
            <sz val="9"/>
            <color indexed="81"/>
            <rFont val="Tahoma"/>
            <family val="2"/>
          </rPr>
          <t>หมายเหตุ</t>
        </r>
        <r>
          <rPr>
            <sz val="9"/>
            <color indexed="81"/>
            <rFont val="Tahoma"/>
            <family val="2"/>
          </rPr>
          <t xml:space="preserve"> สาขา/ทีมขาย ให้สัมภาษณ์ลูกค้า
</t>
        </r>
      </text>
    </comment>
  </commentList>
</comments>
</file>

<file path=xl/sharedStrings.xml><?xml version="1.0" encoding="utf-8"?>
<sst xmlns="http://schemas.openxmlformats.org/spreadsheetml/2006/main" count="174" uniqueCount="72">
  <si>
    <t>แบบสรุปการคำนวณรายได้เจ้าของกิจการ</t>
  </si>
  <si>
    <t>ชื่อธนาคาร</t>
  </si>
  <si>
    <t>ยอดรวม</t>
  </si>
  <si>
    <t>เดือน-ปี</t>
  </si>
  <si>
    <t>ชื่อบัญชี</t>
  </si>
  <si>
    <t>ทุกบัญชี</t>
  </si>
  <si>
    <t>เลขที่บัญชี</t>
  </si>
  <si>
    <t>ต่อเดือน</t>
  </si>
  <si>
    <t>ยอดหมุนเวียนเฉลี่ย</t>
  </si>
  <si>
    <t>Income Factor</t>
  </si>
  <si>
    <t>สัดส่วนผู้ถือหุ้น</t>
  </si>
  <si>
    <t>รายได้สุทธิ</t>
  </si>
  <si>
    <t>ชื่อ-นามสกุล</t>
  </si>
  <si>
    <t>ตำแหน่ง</t>
  </si>
  <si>
    <t>สาขา/ทีมขาย</t>
  </si>
  <si>
    <t>รายละเอียดบัญชี</t>
  </si>
  <si>
    <r>
      <t>ชื่อ</t>
    </r>
    <r>
      <rPr>
        <b/>
        <sz val="9"/>
        <color indexed="8"/>
        <rFont val="Tahoma"/>
        <family val="2"/>
        <charset val="222"/>
      </rPr>
      <t>-นามสกุลลูกค้า</t>
    </r>
  </si>
  <si>
    <t>ประเภทธุรกิจ</t>
  </si>
  <si>
    <t>กลุ่มธุรกิจ และ ประเภทธุรกิจ</t>
  </si>
  <si>
    <r>
      <t xml:space="preserve">รายการที่ไม่นับรวม
เป็นเงินหมุนเวียน
อาทิ </t>
    </r>
    <r>
      <rPr>
        <b/>
        <sz val="9"/>
        <color indexed="8"/>
        <rFont val="Tahoma"/>
        <family val="2"/>
        <charset val="222"/>
      </rPr>
      <t>passing หรือ loan</t>
    </r>
  </si>
  <si>
    <t>เครดิต</t>
  </si>
  <si>
    <t>หมายเหตุ</t>
  </si>
  <si>
    <t>*1)  ประเภทธุรกิจที่มีความเสี่ยงสูงดังต่อไปนี้ ต้องใช้ความระมัดระวังในการอนุมัติสินเชื่อ โดยควรพิจารณาประวัติการค้างชำระของลูกค้า รวมถึงพิจารณารายได้ที่</t>
  </si>
  <si>
    <t xml:space="preserve"> 3)    กรณีประเภทธุรกิจของลูกค้าไม่สามารถเทียบเคียงกันได้กับประเภทธุรกิจที่กำหนดไว้ข้างต้นให้ใช้ Income Factor ของประเภทธุรกิจอื่นๆของแต่ละกลุ่มธุรกิจได้</t>
  </si>
  <si>
    <t xml:space="preserve">      สม่ำเสมอในกิจการของลูกค้า ซึ่งควรจะมีบัญชีธนาคารที่แสดงความเคลื่อนไหวทางการเงินที่มีการเดินบัญชีสม่ำเสมออย่างน้อย 6 เดือน</t>
  </si>
  <si>
    <t>1.1      กลุ่มธุรกิจการผลิต : ธุรกิจเฟอร์นิเจอร์, ของเล่น / เกมส์, ผลิตภัณฑ์สิ่งทอ และ เครื่องแต่งกาย, รองเท้า และ กระเป๋า</t>
  </si>
  <si>
    <t>1.2      กลุ่มธุรกิจค้าปลีก : ร้านขายวัสดุก่อสร้าง, ร้านค้าปลีกทัวไป</t>
  </si>
  <si>
    <t>1.3      กลุ่มธุรกิจบริการ : ธุรกิจสปา, ขนส่ง</t>
  </si>
  <si>
    <t>1.4      กลุ่มธุรกิจรับเหมาก่อสร้าง</t>
  </si>
  <si>
    <t>*2)    สำหรับธุรกิจให้เช่าอสังหาริมทรัพย์ เช่น อพาร์ทเมนท์ และ ธุรกิจโรงแรม, สามารถพิจารณาให้ Income factor ที่ 50% ได้ หากมีเอกสารของบุคคลที่สามที่สามารถ</t>
  </si>
  <si>
    <t xml:space="preserve">        พิสูจน์ได้ว่ามีอัตราการเข้าพักอย่างน้อย 70% </t>
  </si>
  <si>
    <t xml:space="preserve"> 4)    กรณีประเภทธุรกิจของลูกค้าสามารถพิจารณาได้ว่าเข้าข่ายประเภทธุรกิจ 2 ประเภท ให้ใช้ Income Factor ของประเภทธุรกิจที่เป็นรายได้หลักของกิจการ</t>
  </si>
  <si>
    <t>Register NCB
 &lt;36Mths</t>
  </si>
  <si>
    <t>Register NCB
 &gt;=36Mths</t>
  </si>
  <si>
    <t>IncomeFactor</t>
  </si>
  <si>
    <t>Register NCB Active</t>
  </si>
  <si>
    <t xml:space="preserve"> </t>
  </si>
  <si>
    <t>1 ธุรกิจที่มีความเสี่ยงสูง*1): เฟอร์นิเจอร์, ของเล่น / เกมส์, ผลิตภัณฑ์สิ่งทอ และ 
เครื่องแต่งกาย, รองเท้า, กระเป๋า</t>
  </si>
  <si>
    <t>2 การผลิตอื่นๆ เช่น การผลิต แปรรูป และ ถนอมอาหารทุกประเภท, โรงสีข้าว,เครื่องดื่มที่มีและไม่มีแอลกอฮออล์ทุกประเภท, กระดาษ และ ผลิตภัณฑ์จากกระดาษ,การพิมพ์, สิ่งพิมพ์, เคมีภัณฑ์, พลาสติก, โพลีเมอร์, บรรจุภัณฑ์, เคมีเกษตร,อุปกรณ์คอมพิวเตอร์, ชิ้นส่วนอิเล็กทรอนิกส์, เครื่องใช้ไฟฟ้า,อุปกรณ์ไฟฟ้าและอิเล็กทรอนิกส์อื่นๆ, วัสดุก่อสร้าง, ผลิต / ประกอบชิ้นส่วนยานยนต์, น้ำมันปาล์มดิบ, อาหารสัตว์, เครื่องเพชรพลอย หรือ ทองรูปพรรณ, ดอกไม้ประดิษฐ์, ผลิตภัณฑ์จากยาง, สินค้าอุปโภคบริโภค, โรงไฟฟ้า และ ธุรกิจการผลิตอื่นๆ ที่ไม่เป็นธุรกิจที่มีความเสี่ยงสูงรายชื่อตามข้างต้น</t>
  </si>
  <si>
    <t>3 ค่าส่งพลังงาน</t>
  </si>
  <si>
    <t>4 ค้าส่งอื่นๆ</t>
  </si>
  <si>
    <t>5 ร้านสะดวกซื้อ, มินิมารท์, ร้านขายของชำ</t>
  </si>
  <si>
    <t>6 ร้ายขายยาและเวชภัณฑ์</t>
  </si>
  <si>
    <t>7 ร้านขายอาหาร และ/ หรือขายเครื่องดื่ม</t>
  </si>
  <si>
    <t>8 ปั๊มแก็ส / ปั๊มน้ำมัน / ร้านขายวัสดุก่อสร้าง</t>
  </si>
  <si>
    <t>9 จำหน่ายทองและ/หรือเพชรพลอย</t>
  </si>
  <si>
    <t>10 ค้าปลีกอื่นๆ เช่น ผู้ค้าโทรศัพท์มือถือ, ร้าน 7 Eleven (Type C), ดิสเคาน์สโตร์,
จำหน่ายอุปกรณ์ ชิ้นส่วนยานยนต์, จำหน่ายปุ๋ย และ เคมีภัณฑ์เกษตร, ร้านขายเครื่องใช้ไฟฟ้า และ ร้านขายอุปกรณ์อิเล็กทรอนิกส์ และ ธุรกิจค้าปลีกอื่นๆ</t>
  </si>
  <si>
    <t>11 สปา, นำเที่ยวและจำหน่ายตั๋วเครื่องบิน</t>
  </si>
  <si>
    <t>12 โรงแรม*2)</t>
  </si>
  <si>
    <t>13 ภัตตาคาร</t>
  </si>
  <si>
    <t>14 โรงพยาบาล / คลีนิก</t>
  </si>
  <si>
    <t>15 จัดงาน Event</t>
  </si>
  <si>
    <t>16 เช่าซื้อ หรือ ดีลเลอร์รถยนต์/รถจักรยานยนต์</t>
  </si>
  <si>
    <t>17 ขนส่ง</t>
  </si>
  <si>
    <t>18 ขนส่งทางเรือ (ชิปปิ้ง)</t>
  </si>
  <si>
    <t>19 ส่งเอกสาร หรือ พัสดุ</t>
  </si>
  <si>
    <t>20 สถาบันการศึกษา เช่น โรงเรียน/สถาบันกวดวิชา/สถาบันสอนภาษา</t>
  </si>
  <si>
    <t>21 เสริมสวย ทำผม</t>
  </si>
  <si>
    <t>22 สื่อสาร/ไปรษณีย์/โทรคมนาคม</t>
  </si>
  <si>
    <t>23 บริการอื่นๆ เช่น บำรุงรักษา และ ซ่อมแซมยานยนต์, คลังสินค้า, บริการเกี่ยวกับการโฆษณา, ร้านซักรีด, บริการทำความสะอาด, รักษาความปลอดภัย และ ธุรกิจบริการอื่นๆ</t>
  </si>
  <si>
    <t>24 กลุ่มธุรกิจการเกษตรกรรม เช่น ปศุสัตว์, ประมง, ทำไร่-สวน และ อื่นๆ</t>
  </si>
  <si>
    <t>25 ให้เช่าอพารท์เม้นท์ หรือให้เช่าอสังหาริมทรัพย์อื่นๆ*2)</t>
  </si>
  <si>
    <t>26 พัฒนาอสังหาริมทรัพย์</t>
  </si>
  <si>
    <t>27 ตัวแทนและนายหน้าซื้อขายอสังหาริมทรัพย์</t>
  </si>
  <si>
    <t>28 กลุ่มธุรกิจรับเหมาก่อสร้าง</t>
  </si>
  <si>
    <t xml:space="preserve">29 กลุ่มธุรกิจบันเทิง เช่น ดารา, นักร้อง และ งานบันเทิงต่าง ๆ </t>
  </si>
  <si>
    <t>30 แพทย์ / ทันตแพทย์ / สัตวแพทย์ / แพทย์ชำนาญการจัดกระดูกหรือแพทย์อื่นๆ</t>
  </si>
  <si>
    <t>31 วิศวกร / สถาปนิก</t>
  </si>
  <si>
    <t>32 สำนักงานบัญชี / สำนักงานกฏหมาย</t>
  </si>
  <si>
    <t>33 วิชาชีพเชี่ยวชาญเฉพาะด้านอื่นๆ เช่น  ที่ปรึกษาด้านผลกระทบสิ่งแวดล้อม และ 
วิชาชีพเชี่ยวชาญเฉพาะด้านอื่นๆ</t>
  </si>
  <si>
    <t>ชื่อ-นามสกุลลูกค้า</t>
  </si>
  <si>
    <t>รายการที่ไม่นับรวม
เป็นเงินหมุนเวียน
อาทิ passing หรือ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</si>
</sst>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7" formatCode="mmm\ yyyy"/>
    <numFmt numFmtId="188" formatCode="_-* #,##0.00_-;\-* #,##0.00_-;_-* \-??_-;_-@_-"/>
    <numFmt numFmtId="189" formatCode="_-* #,##0_-;\-* #,##0_-;_-* \-??_-;_-@_-"/>
    <numFmt numFmtId="190" formatCode="#,##0_ ;[Red]\-#,##0\ "/>
    <numFmt numFmtId="191" formatCode="&quot;B1&quot;mmm\-yy"/>
  </numFmts>
  <fonts count="27" x14ac:knownFonts="1">
    <font>
      <sz val="11"/>
      <color indexed="8"/>
      <name val="Tahoma"/>
      <family val="2"/>
      <charset val="222"/>
    </font>
    <font>
      <sz val="9"/>
      <color indexed="8"/>
      <name val="Tahoma"/>
      <family val="2"/>
      <charset val="222"/>
    </font>
    <font>
      <b/>
      <u/>
      <sz val="11"/>
      <color indexed="8"/>
      <name val="Tahoma"/>
      <family val="2"/>
      <charset val="222"/>
    </font>
    <font>
      <b/>
      <sz val="11"/>
      <color indexed="8"/>
      <name val="Tahoma"/>
      <family val="2"/>
      <charset val="222"/>
    </font>
    <font>
      <b/>
      <sz val="9"/>
      <color indexed="8"/>
      <name val="Tahoma"/>
      <family val="2"/>
      <charset val="222"/>
    </font>
    <font>
      <b/>
      <u/>
      <sz val="9"/>
      <name val="Tahoma"/>
      <family val="2"/>
      <charset val="222"/>
    </font>
    <font>
      <u/>
      <sz val="9"/>
      <color indexed="8"/>
      <name val="Tahoma"/>
      <family val="2"/>
      <charset val="222"/>
    </font>
    <font>
      <b/>
      <sz val="9"/>
      <color indexed="17"/>
      <name val="Tahoma"/>
      <family val="2"/>
      <charset val="222"/>
    </font>
    <font>
      <b/>
      <sz val="9"/>
      <name val="Tahoma"/>
      <family val="2"/>
      <charset val="222"/>
    </font>
    <font>
      <sz val="9"/>
      <color indexed="8"/>
      <name val="Tahoma"/>
      <family val="2"/>
    </font>
    <font>
      <b/>
      <u/>
      <sz val="11"/>
      <color indexed="8"/>
      <name val="Tahoma"/>
      <family val="2"/>
    </font>
    <font>
      <b/>
      <sz val="9"/>
      <color indexed="8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b/>
      <u/>
      <sz val="9"/>
      <color indexed="8"/>
      <name val="Tahoma"/>
      <family val="2"/>
    </font>
    <font>
      <sz val="11"/>
      <color indexed="8"/>
      <name val="Tahoma"/>
      <family val="2"/>
      <charset val="222"/>
    </font>
    <font>
      <sz val="8"/>
      <name val="Arial"/>
      <family val="2"/>
    </font>
    <font>
      <sz val="10"/>
      <name val="Arial"/>
      <family val="2"/>
    </font>
    <font>
      <sz val="11"/>
      <color theme="1"/>
      <name val="Tahoma"/>
      <family val="2"/>
      <scheme val="minor"/>
    </font>
    <font>
      <sz val="9"/>
      <color theme="0"/>
      <name val="Tahoma"/>
      <family val="2"/>
    </font>
    <font>
      <sz val="11"/>
      <color theme="0"/>
      <name val="Tahoma"/>
      <family val="2"/>
      <charset val="222"/>
    </font>
    <font>
      <b/>
      <sz val="9"/>
      <color theme="0"/>
      <name val="Tahoma"/>
      <family val="2"/>
    </font>
    <font>
      <sz val="9"/>
      <color indexed="81"/>
      <name val="Tahoma"/>
      <family val="2"/>
    </font>
    <font>
      <u/>
      <sz val="9"/>
      <color indexed="81"/>
      <name val="Tahoma"/>
      <family val="2"/>
    </font>
    <font>
      <sz val="11"/>
      <color theme="1"/>
      <name val="Tahoma"/>
      <family val="2"/>
      <charset val="222"/>
    </font>
    <font>
      <b/>
      <sz val="9"/>
      <color theme="1"/>
      <name val="Tahoma"/>
      <family val="2"/>
    </font>
    <font>
      <sz val="11"/>
      <color theme="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11"/>
        <bgColor indexed="49"/>
      </patternFill>
    </fill>
    <fill>
      <patternFill patternType="solid">
        <fgColor indexed="13"/>
        <bgColor indexed="34"/>
      </patternFill>
    </fill>
    <fill>
      <patternFill patternType="solid">
        <fgColor indexed="45"/>
        <bgColor indexed="29"/>
      </patternFill>
    </fill>
    <fill>
      <patternFill patternType="solid">
        <fgColor theme="0"/>
        <bgColor indexed="3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27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/>
      <bottom style="dotted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</borders>
  <cellStyleXfs count="8">
    <xf numFmtId="0" fontId="0" fillId="0" borderId="0"/>
    <xf numFmtId="188" fontId="15" fillId="0" borderId="0" applyFill="0" applyBorder="0" applyAlignment="0" applyProtection="0"/>
    <xf numFmtId="9" fontId="15" fillId="0" borderId="0" applyFill="0" applyBorder="0" applyAlignment="0" applyProtection="0"/>
    <xf numFmtId="0" fontId="16" fillId="0" borderId="0"/>
    <xf numFmtId="0" fontId="17" fillId="0" borderId="0"/>
    <xf numFmtId="0" fontId="18" fillId="0" borderId="0"/>
    <xf numFmtId="0" fontId="16" fillId="0" borderId="0"/>
    <xf numFmtId="9" fontId="18" fillId="0" borderId="0" applyFont="0" applyFill="0" applyBorder="0" applyAlignment="0" applyProtection="0"/>
  </cellStyleXfs>
  <cellXfs count="153">
    <xf numFmtId="0" fontId="0" fillId="0" borderId="0" xfId="0"/>
    <xf numFmtId="188" fontId="9" fillId="0" borderId="0" xfId="1" applyFont="1" applyFill="1" applyBorder="1" applyAlignment="1" applyProtection="1">
      <alignment vertical="center"/>
    </xf>
    <xf numFmtId="0" fontId="11" fillId="0" borderId="0" xfId="1" applyNumberFormat="1" applyFont="1" applyFill="1" applyBorder="1" applyAlignment="1" applyProtection="1">
      <alignment vertical="center"/>
    </xf>
    <xf numFmtId="10" fontId="8" fillId="2" borderId="0" xfId="0" applyNumberFormat="1" applyFont="1" applyFill="1" applyAlignment="1" applyProtection="1">
      <alignment vertical="center"/>
      <protection locked="0"/>
    </xf>
    <xf numFmtId="0" fontId="11" fillId="2" borderId="17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190" fontId="9" fillId="0" borderId="0" xfId="1" applyNumberFormat="1" applyFont="1" applyFill="1" applyBorder="1" applyAlignment="1" applyProtection="1">
      <alignment vertical="center"/>
    </xf>
    <xf numFmtId="190" fontId="4" fillId="5" borderId="22" xfId="1" applyNumberFormat="1" applyFont="1" applyFill="1" applyBorder="1" applyAlignment="1" applyProtection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9" fontId="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4"/>
    </xf>
    <xf numFmtId="190" fontId="13" fillId="0" borderId="23" xfId="1" applyNumberFormat="1" applyFont="1" applyFill="1" applyBorder="1" applyAlignment="1" applyProtection="1">
      <alignment vertical="center"/>
      <protection locked="0"/>
    </xf>
    <xf numFmtId="190" fontId="9" fillId="0" borderId="23" xfId="1" applyNumberFormat="1" applyFont="1" applyFill="1" applyBorder="1" applyAlignment="1" applyProtection="1">
      <alignment vertical="center"/>
      <protection locked="0"/>
    </xf>
    <xf numFmtId="190" fontId="13" fillId="0" borderId="13" xfId="1" applyNumberFormat="1" applyFont="1" applyFill="1" applyBorder="1" applyAlignment="1" applyProtection="1">
      <alignment vertical="center"/>
      <protection locked="0"/>
    </xf>
    <xf numFmtId="190" fontId="9" fillId="0" borderId="13" xfId="1" applyNumberFormat="1" applyFont="1" applyFill="1" applyBorder="1" applyAlignment="1" applyProtection="1">
      <alignment vertical="center"/>
      <protection locked="0"/>
    </xf>
    <xf numFmtId="188" fontId="9" fillId="0" borderId="21" xfId="1" applyFont="1" applyFill="1" applyBorder="1" applyAlignment="1" applyProtection="1">
      <alignment vertical="center"/>
      <protection locked="0"/>
    </xf>
    <xf numFmtId="190" fontId="9" fillId="0" borderId="24" xfId="1" applyNumberFormat="1" applyFont="1" applyFill="1" applyBorder="1" applyAlignment="1" applyProtection="1">
      <alignment vertical="center"/>
      <protection locked="0"/>
    </xf>
    <xf numFmtId="190" fontId="13" fillId="0" borderId="24" xfId="1" applyNumberFormat="1" applyFont="1" applyFill="1" applyBorder="1" applyAlignment="1" applyProtection="1">
      <alignment vertical="center"/>
      <protection locked="0"/>
    </xf>
    <xf numFmtId="14" fontId="19" fillId="0" borderId="0" xfId="1" applyNumberFormat="1" applyFont="1" applyFill="1" applyBorder="1" applyAlignment="1" applyProtection="1">
      <alignment vertical="center"/>
    </xf>
    <xf numFmtId="189" fontId="19" fillId="0" borderId="0" xfId="1" applyNumberFormat="1" applyFont="1" applyFill="1" applyBorder="1" applyAlignment="1" applyProtection="1">
      <alignment vertical="center"/>
    </xf>
    <xf numFmtId="189" fontId="20" fillId="6" borderId="0" xfId="1" applyNumberFormat="1" applyFont="1" applyFill="1" applyAlignment="1" applyProtection="1">
      <alignment vertical="center" wrapText="1"/>
    </xf>
    <xf numFmtId="14" fontId="21" fillId="8" borderId="28" xfId="0" applyNumberFormat="1" applyFont="1" applyFill="1" applyBorder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vertical="center"/>
      <protection hidden="1"/>
    </xf>
    <xf numFmtId="0" fontId="6" fillId="0" borderId="1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7" fillId="2" borderId="2" xfId="0" applyFont="1" applyFill="1" applyBorder="1" applyAlignment="1" applyProtection="1">
      <alignment horizontal="center" vertical="center"/>
      <protection hidden="1"/>
    </xf>
    <xf numFmtId="0" fontId="8" fillId="2" borderId="3" xfId="0" applyFont="1" applyFill="1" applyBorder="1" applyAlignment="1" applyProtection="1">
      <alignment horizontal="right" vertical="center"/>
      <protection hidden="1"/>
    </xf>
    <xf numFmtId="0" fontId="8" fillId="2" borderId="4" xfId="0" applyFont="1" applyFill="1" applyBorder="1" applyAlignment="1" applyProtection="1">
      <alignment horizontal="center" vertical="center"/>
      <protection hidden="1"/>
    </xf>
    <xf numFmtId="0" fontId="8" fillId="2" borderId="6" xfId="0" applyFont="1" applyFill="1" applyBorder="1" applyAlignment="1" applyProtection="1">
      <alignment horizontal="right" vertical="center"/>
      <protection hidden="1"/>
    </xf>
    <xf numFmtId="0" fontId="8" fillId="2" borderId="25" xfId="0" applyFont="1" applyFill="1" applyBorder="1" applyAlignment="1" applyProtection="1">
      <alignment horizontal="center" vertical="center"/>
      <protection hidden="1"/>
    </xf>
    <xf numFmtId="0" fontId="4" fillId="2" borderId="5" xfId="0" applyFont="1" applyFill="1" applyBorder="1" applyAlignment="1" applyProtection="1">
      <alignment horizontal="center" vertical="center"/>
      <protection hidden="1"/>
    </xf>
    <xf numFmtId="0" fontId="8" fillId="2" borderId="0" xfId="0" applyFont="1" applyFill="1" applyAlignment="1" applyProtection="1">
      <alignment horizontal="center" vertical="center"/>
      <protection hidden="1"/>
    </xf>
    <xf numFmtId="49" fontId="8" fillId="2" borderId="7" xfId="0" applyNumberFormat="1" applyFont="1" applyFill="1" applyBorder="1" applyAlignment="1" applyProtection="1">
      <alignment horizontal="center" vertical="center"/>
      <protection hidden="1"/>
    </xf>
    <xf numFmtId="0" fontId="4" fillId="2" borderId="8" xfId="0" applyFont="1" applyFill="1" applyBorder="1" applyAlignment="1" applyProtection="1">
      <alignment vertical="center"/>
      <protection hidden="1"/>
    </xf>
    <xf numFmtId="0" fontId="1" fillId="2" borderId="9" xfId="0" applyFont="1" applyFill="1" applyBorder="1" applyAlignment="1" applyProtection="1">
      <alignment vertical="center"/>
      <protection hidden="1"/>
    </xf>
    <xf numFmtId="0" fontId="1" fillId="2" borderId="10" xfId="0" applyFont="1" applyFill="1" applyBorder="1" applyAlignment="1" applyProtection="1">
      <alignment vertical="center"/>
      <protection hidden="1"/>
    </xf>
    <xf numFmtId="0" fontId="1" fillId="2" borderId="8" xfId="0" applyFont="1" applyFill="1" applyBorder="1" applyAlignment="1" applyProtection="1">
      <alignment vertical="center"/>
      <protection hidden="1"/>
    </xf>
    <xf numFmtId="187" fontId="4" fillId="0" borderId="2" xfId="0" applyNumberFormat="1" applyFont="1" applyBorder="1" applyAlignment="1" applyProtection="1">
      <alignment horizontal="center" vertical="center"/>
      <protection hidden="1"/>
    </xf>
    <xf numFmtId="189" fontId="1" fillId="0" borderId="11" xfId="1" applyNumberFormat="1" applyFont="1" applyFill="1" applyBorder="1" applyAlignment="1" applyProtection="1">
      <alignment vertical="center"/>
      <protection hidden="1"/>
    </xf>
    <xf numFmtId="190" fontId="1" fillId="0" borderId="12" xfId="1" applyNumberFormat="1" applyFont="1" applyFill="1" applyBorder="1" applyAlignment="1" applyProtection="1">
      <alignment vertical="center"/>
      <protection hidden="1"/>
    </xf>
    <xf numFmtId="190" fontId="1" fillId="0" borderId="11" xfId="1" applyNumberFormat="1" applyFont="1" applyFill="1" applyBorder="1" applyAlignment="1" applyProtection="1">
      <alignment vertical="center"/>
      <protection hidden="1"/>
    </xf>
    <xf numFmtId="190" fontId="4" fillId="0" borderId="2" xfId="0" applyNumberFormat="1" applyFont="1" applyBorder="1" applyAlignment="1" applyProtection="1">
      <alignment vertical="center"/>
      <protection hidden="1"/>
    </xf>
    <xf numFmtId="187" fontId="4" fillId="0" borderId="13" xfId="0" applyNumberFormat="1" applyFont="1" applyBorder="1" applyAlignment="1" applyProtection="1">
      <alignment horizontal="center" vertical="center"/>
      <protection hidden="1"/>
    </xf>
    <xf numFmtId="189" fontId="1" fillId="0" borderId="14" xfId="1" applyNumberFormat="1" applyFont="1" applyFill="1" applyBorder="1" applyAlignment="1" applyProtection="1">
      <alignment vertical="center"/>
      <protection hidden="1"/>
    </xf>
    <xf numFmtId="190" fontId="1" fillId="0" borderId="15" xfId="1" applyNumberFormat="1" applyFont="1" applyFill="1" applyBorder="1" applyAlignment="1" applyProtection="1">
      <alignment vertical="center"/>
      <protection hidden="1"/>
    </xf>
    <xf numFmtId="190" fontId="1" fillId="0" borderId="14" xfId="1" applyNumberFormat="1" applyFont="1" applyFill="1" applyBorder="1" applyAlignment="1" applyProtection="1">
      <alignment vertical="center"/>
      <protection hidden="1"/>
    </xf>
    <xf numFmtId="190" fontId="4" fillId="0" borderId="13" xfId="0" applyNumberFormat="1" applyFont="1" applyBorder="1" applyAlignment="1" applyProtection="1">
      <alignment vertical="center"/>
      <protection hidden="1"/>
    </xf>
    <xf numFmtId="187" fontId="4" fillId="0" borderId="5" xfId="0" applyNumberFormat="1" applyFont="1" applyBorder="1" applyAlignment="1" applyProtection="1">
      <alignment horizontal="center" vertical="center"/>
      <protection hidden="1"/>
    </xf>
    <xf numFmtId="189" fontId="1" fillId="0" borderId="16" xfId="1" applyNumberFormat="1" applyFont="1" applyFill="1" applyBorder="1" applyAlignment="1" applyProtection="1">
      <alignment vertical="center"/>
      <protection hidden="1"/>
    </xf>
    <xf numFmtId="190" fontId="1" fillId="0" borderId="16" xfId="1" applyNumberFormat="1" applyFont="1" applyFill="1" applyBorder="1" applyAlignment="1" applyProtection="1">
      <alignment vertical="center"/>
      <protection hidden="1"/>
    </xf>
    <xf numFmtId="190" fontId="4" fillId="0" borderId="8" xfId="0" applyNumberFormat="1" applyFont="1" applyBorder="1" applyAlignment="1" applyProtection="1">
      <alignment vertical="center"/>
      <protection hidden="1"/>
    </xf>
    <xf numFmtId="0" fontId="4" fillId="2" borderId="17" xfId="0" applyFont="1" applyFill="1" applyBorder="1" applyAlignment="1" applyProtection="1">
      <alignment horizontal="right" vertical="center"/>
      <protection hidden="1"/>
    </xf>
    <xf numFmtId="189" fontId="4" fillId="2" borderId="18" xfId="0" applyNumberFormat="1" applyFont="1" applyFill="1" applyBorder="1" applyAlignment="1" applyProtection="1">
      <alignment vertical="center"/>
      <protection hidden="1"/>
    </xf>
    <xf numFmtId="190" fontId="4" fillId="2" borderId="19" xfId="0" applyNumberFormat="1" applyFont="1" applyFill="1" applyBorder="1" applyAlignment="1" applyProtection="1">
      <alignment vertical="center"/>
      <protection hidden="1"/>
    </xf>
    <xf numFmtId="190" fontId="4" fillId="2" borderId="18" xfId="0" applyNumberFormat="1" applyFont="1" applyFill="1" applyBorder="1" applyAlignment="1" applyProtection="1">
      <alignment vertical="center"/>
      <protection hidden="1"/>
    </xf>
    <xf numFmtId="190" fontId="4" fillId="2" borderId="17" xfId="0" applyNumberFormat="1" applyFont="1" applyFill="1" applyBorder="1" applyAlignment="1" applyProtection="1">
      <alignment vertical="center"/>
      <protection hidden="1"/>
    </xf>
    <xf numFmtId="0" fontId="4" fillId="3" borderId="18" xfId="0" applyFont="1" applyFill="1" applyBorder="1" applyAlignment="1" applyProtection="1">
      <alignment horizontal="right" vertical="center"/>
      <protection hidden="1"/>
    </xf>
    <xf numFmtId="0" fontId="1" fillId="3" borderId="18" xfId="0" applyFont="1" applyFill="1" applyBorder="1" applyAlignment="1" applyProtection="1">
      <alignment vertical="center"/>
      <protection hidden="1"/>
    </xf>
    <xf numFmtId="190" fontId="4" fillId="3" borderId="19" xfId="1" applyNumberFormat="1" applyFont="1" applyFill="1" applyBorder="1" applyAlignment="1" applyProtection="1">
      <alignment vertical="center"/>
      <protection hidden="1"/>
    </xf>
    <xf numFmtId="190" fontId="1" fillId="3" borderId="20" xfId="0" applyNumberFormat="1" applyFont="1" applyFill="1" applyBorder="1" applyAlignment="1" applyProtection="1">
      <alignment vertical="center"/>
      <protection hidden="1"/>
    </xf>
    <xf numFmtId="190" fontId="1" fillId="3" borderId="18" xfId="0" applyNumberFormat="1" applyFont="1" applyFill="1" applyBorder="1" applyAlignment="1" applyProtection="1">
      <alignment vertical="center"/>
      <protection hidden="1"/>
    </xf>
    <xf numFmtId="0" fontId="4" fillId="4" borderId="18" xfId="0" applyFont="1" applyFill="1" applyBorder="1" applyAlignment="1" applyProtection="1">
      <alignment horizontal="right" vertical="center"/>
      <protection hidden="1"/>
    </xf>
    <xf numFmtId="0" fontId="1" fillId="4" borderId="18" xfId="0" applyFont="1" applyFill="1" applyBorder="1" applyAlignment="1" applyProtection="1">
      <alignment vertical="center"/>
      <protection hidden="1"/>
    </xf>
    <xf numFmtId="9" fontId="4" fillId="4" borderId="19" xfId="1" applyNumberFormat="1" applyFont="1" applyFill="1" applyBorder="1" applyAlignment="1" applyProtection="1">
      <alignment vertical="center"/>
      <protection hidden="1"/>
    </xf>
    <xf numFmtId="0" fontId="1" fillId="4" borderId="20" xfId="0" applyFont="1" applyFill="1" applyBorder="1" applyAlignment="1" applyProtection="1">
      <alignment vertical="center"/>
      <protection hidden="1"/>
    </xf>
    <xf numFmtId="10" fontId="4" fillId="4" borderId="19" xfId="1" applyNumberFormat="1" applyFont="1" applyFill="1" applyBorder="1" applyAlignment="1" applyProtection="1">
      <alignment vertical="center"/>
      <protection hidden="1"/>
    </xf>
    <xf numFmtId="10" fontId="4" fillId="4" borderId="20" xfId="1" applyNumberFormat="1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right"/>
      <protection hidden="1"/>
    </xf>
    <xf numFmtId="0" fontId="1" fillId="0" borderId="1" xfId="0" applyFont="1" applyBorder="1" applyProtection="1">
      <protection hidden="1"/>
    </xf>
    <xf numFmtId="0" fontId="1" fillId="0" borderId="0" xfId="0" applyFont="1" applyProtection="1">
      <protection hidden="1"/>
    </xf>
    <xf numFmtId="0" fontId="1" fillId="0" borderId="21" xfId="0" applyFont="1" applyBorder="1" applyProtection="1">
      <protection hidden="1"/>
    </xf>
    <xf numFmtId="0" fontId="1" fillId="0" borderId="21" xfId="0" applyFont="1" applyBorder="1" applyAlignment="1" applyProtection="1">
      <alignment vertical="center"/>
      <protection hidden="1"/>
    </xf>
    <xf numFmtId="190" fontId="4" fillId="3" borderId="29" xfId="0" applyNumberFormat="1" applyFont="1" applyFill="1" applyBorder="1" applyAlignment="1" applyProtection="1">
      <alignment vertical="center"/>
      <protection hidden="1"/>
    </xf>
    <xf numFmtId="190" fontId="8" fillId="3" borderId="10" xfId="0" applyNumberFormat="1" applyFont="1" applyFill="1" applyBorder="1" applyAlignment="1" applyProtection="1">
      <alignment horizontal="right" vertical="center"/>
      <protection hidden="1"/>
    </xf>
    <xf numFmtId="10" fontId="12" fillId="2" borderId="0" xfId="0" applyNumberFormat="1" applyFont="1" applyFill="1" applyAlignment="1" applyProtection="1">
      <alignment vertical="center"/>
      <protection locked="0"/>
    </xf>
    <xf numFmtId="189" fontId="19" fillId="6" borderId="0" xfId="1" applyNumberFormat="1" applyFont="1" applyFill="1" applyAlignment="1" applyProtection="1">
      <alignment vertical="center" wrapText="1"/>
    </xf>
    <xf numFmtId="190" fontId="11" fillId="5" borderId="22" xfId="1" applyNumberFormat="1" applyFont="1" applyFill="1" applyBorder="1" applyAlignment="1" applyProtection="1">
      <alignment vertical="center"/>
    </xf>
    <xf numFmtId="190" fontId="13" fillId="0" borderId="30" xfId="1" applyNumberFormat="1" applyFont="1" applyFill="1" applyBorder="1" applyAlignment="1" applyProtection="1">
      <alignment vertical="center"/>
      <protection locked="0"/>
    </xf>
    <xf numFmtId="190" fontId="9" fillId="0" borderId="30" xfId="1" applyNumberFormat="1" applyFont="1" applyFill="1" applyBorder="1" applyAlignment="1" applyProtection="1">
      <alignment vertical="center"/>
      <protection locked="0"/>
    </xf>
    <xf numFmtId="0" fontId="4" fillId="0" borderId="5" xfId="0" applyFont="1" applyBorder="1" applyAlignment="1">
      <alignment horizontal="left" vertical="center" wrapText="1"/>
    </xf>
    <xf numFmtId="9" fontId="1" fillId="0" borderId="5" xfId="0" applyNumberFormat="1" applyFont="1" applyBorder="1" applyAlignment="1">
      <alignment horizontal="center" vertical="center"/>
    </xf>
    <xf numFmtId="0" fontId="1" fillId="0" borderId="8" xfId="0" quotePrefix="1" applyFont="1" applyBorder="1" applyAlignment="1">
      <alignment horizontal="left" vertical="top" wrapText="1"/>
    </xf>
    <xf numFmtId="9" fontId="1" fillId="0" borderId="8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top" wrapText="1"/>
    </xf>
    <xf numFmtId="0" fontId="1" fillId="9" borderId="5" xfId="0" applyFont="1" applyFill="1" applyBorder="1" applyAlignment="1">
      <alignment horizontal="left" vertical="center"/>
    </xf>
    <xf numFmtId="9" fontId="1" fillId="9" borderId="5" xfId="0" applyNumberFormat="1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left" vertical="center"/>
    </xf>
    <xf numFmtId="9" fontId="1" fillId="9" borderId="17" xfId="0" applyNumberFormat="1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left" vertical="center"/>
    </xf>
    <xf numFmtId="9" fontId="1" fillId="9" borderId="8" xfId="0" applyNumberFormat="1" applyFont="1" applyFill="1" applyBorder="1" applyAlignment="1">
      <alignment horizontal="center" vertical="center"/>
    </xf>
    <xf numFmtId="0" fontId="11" fillId="9" borderId="17" xfId="0" applyFont="1" applyFill="1" applyBorder="1" applyAlignment="1">
      <alignment horizontal="left" vertical="center"/>
    </xf>
    <xf numFmtId="0" fontId="1" fillId="9" borderId="8" xfId="0" applyFont="1" applyFill="1" applyBorder="1" applyAlignment="1">
      <alignment horizontal="left" vertical="center" wrapText="1"/>
    </xf>
    <xf numFmtId="189" fontId="24" fillId="0" borderId="0" xfId="1" applyNumberFormat="1" applyFont="1" applyAlignment="1">
      <alignment horizontal="left" vertical="center"/>
    </xf>
    <xf numFmtId="49" fontId="24" fillId="0" borderId="0" xfId="1" applyNumberFormat="1" applyFont="1" applyAlignment="1">
      <alignment horizontal="left" vertical="center"/>
    </xf>
    <xf numFmtId="0" fontId="24" fillId="0" borderId="0" xfId="1" applyNumberFormat="1" applyFont="1" applyAlignment="1">
      <alignment horizontal="left" vertical="center"/>
    </xf>
    <xf numFmtId="9" fontId="4" fillId="4" borderId="0" xfId="2" applyFont="1" applyFill="1" applyBorder="1" applyAlignment="1" applyProtection="1">
      <alignment vertical="center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9" fontId="4" fillId="4" borderId="0" xfId="0" applyNumberFormat="1" applyFont="1" applyFill="1" applyAlignment="1">
      <alignment vertical="center"/>
    </xf>
    <xf numFmtId="191" fontId="11" fillId="5" borderId="8" xfId="0" applyNumberFormat="1" applyFont="1" applyFill="1" applyBorder="1" applyAlignment="1">
      <alignment horizontal="center" vertical="center" wrapText="1"/>
    </xf>
    <xf numFmtId="191" fontId="11" fillId="5" borderId="8" xfId="0" applyNumberFormat="1" applyFont="1" applyFill="1" applyBorder="1" applyAlignment="1">
      <alignment horizontal="center" vertical="center"/>
    </xf>
    <xf numFmtId="190" fontId="4" fillId="0" borderId="17" xfId="1" applyNumberFormat="1" applyFont="1" applyFill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10" fontId="4" fillId="2" borderId="0" xfId="0" applyNumberFormat="1" applyFont="1" applyFill="1" applyAlignment="1">
      <alignment vertical="center"/>
    </xf>
    <xf numFmtId="0" fontId="12" fillId="0" borderId="0" xfId="0" applyFont="1" applyAlignment="1">
      <alignment vertical="center"/>
    </xf>
    <xf numFmtId="188" fontId="13" fillId="0" borderId="0" xfId="1" applyFont="1" applyFill="1" applyBorder="1" applyAlignment="1" applyProtection="1">
      <alignment vertical="center"/>
    </xf>
    <xf numFmtId="0" fontId="19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189" fontId="26" fillId="6" borderId="0" xfId="1" applyNumberFormat="1" applyFont="1" applyFill="1" applyAlignment="1" applyProtection="1">
      <alignment vertical="center" wrapText="1"/>
    </xf>
    <xf numFmtId="0" fontId="25" fillId="4" borderId="0" xfId="0" applyFont="1" applyFill="1" applyAlignment="1">
      <alignment vertical="center" wrapText="1"/>
    </xf>
    <xf numFmtId="190" fontId="9" fillId="0" borderId="0" xfId="0" applyNumberFormat="1" applyFont="1" applyAlignment="1">
      <alignment vertical="center"/>
    </xf>
    <xf numFmtId="0" fontId="11" fillId="4" borderId="0" xfId="0" applyFont="1" applyFill="1" applyAlignment="1">
      <alignment vertical="center" wrapText="1"/>
    </xf>
    <xf numFmtId="0" fontId="14" fillId="0" borderId="0" xfId="0" applyFont="1" applyAlignment="1">
      <alignment horizontal="center" vertical="center"/>
    </xf>
    <xf numFmtId="10" fontId="12" fillId="2" borderId="0" xfId="0" applyNumberFormat="1" applyFont="1" applyFill="1" applyAlignment="1">
      <alignment vertical="center"/>
    </xf>
    <xf numFmtId="9" fontId="11" fillId="4" borderId="0" xfId="2" applyFont="1" applyFill="1" applyBorder="1" applyAlignment="1" applyProtection="1">
      <alignment vertical="center"/>
    </xf>
    <xf numFmtId="190" fontId="11" fillId="0" borderId="17" xfId="1" applyNumberFormat="1" applyFont="1" applyFill="1" applyBorder="1" applyAlignment="1" applyProtection="1">
      <alignment vertical="center"/>
      <protection locked="0"/>
    </xf>
    <xf numFmtId="187" fontId="4" fillId="5" borderId="17" xfId="0" applyNumberFormat="1" applyFont="1" applyFill="1" applyBorder="1" applyAlignment="1" applyProtection="1">
      <alignment horizontal="center" vertical="center"/>
      <protection locked="0"/>
    </xf>
    <xf numFmtId="0" fontId="10" fillId="0" borderId="0" xfId="1" applyNumberFormat="1" applyFont="1" applyFill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4" borderId="0" xfId="0" applyFont="1" applyFill="1" applyAlignment="1" applyProtection="1">
      <alignment horizontal="left" vertical="center" wrapText="1"/>
      <protection locked="0"/>
    </xf>
    <xf numFmtId="0" fontId="4" fillId="4" borderId="0" xfId="0" applyFont="1" applyFill="1" applyAlignment="1">
      <alignment horizontal="left" vertical="center" wrapText="1"/>
    </xf>
    <xf numFmtId="49" fontId="4" fillId="2" borderId="0" xfId="0" applyNumberFormat="1" applyFont="1" applyFill="1" applyAlignment="1">
      <alignment horizontal="center" vertical="center"/>
    </xf>
    <xf numFmtId="49" fontId="12" fillId="2" borderId="0" xfId="0" applyNumberFormat="1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hidden="1"/>
    </xf>
    <xf numFmtId="0" fontId="21" fillId="7" borderId="26" xfId="0" applyFont="1" applyFill="1" applyBorder="1" applyAlignment="1" applyProtection="1">
      <alignment horizontal="center" vertical="center"/>
      <protection hidden="1"/>
    </xf>
    <xf numFmtId="0" fontId="21" fillId="7" borderId="27" xfId="0" applyFont="1" applyFill="1" applyBorder="1" applyAlignment="1" applyProtection="1">
      <alignment horizontal="center" vertical="center"/>
      <protection hidden="1"/>
    </xf>
    <xf numFmtId="190" fontId="4" fillId="3" borderId="18" xfId="1" applyNumberFormat="1" applyFont="1" applyFill="1" applyBorder="1" applyAlignment="1" applyProtection="1">
      <alignment horizontal="right" vertical="center"/>
      <protection hidden="1"/>
    </xf>
    <xf numFmtId="190" fontId="4" fillId="3" borderId="19" xfId="1" applyNumberFormat="1" applyFont="1" applyFill="1" applyBorder="1" applyAlignment="1" applyProtection="1">
      <alignment horizontal="right" vertical="center"/>
      <protection hidden="1"/>
    </xf>
    <xf numFmtId="0" fontId="4" fillId="4" borderId="0" xfId="0" applyFont="1" applyFill="1" applyAlignment="1" applyProtection="1">
      <alignment horizontal="left" vertical="center" wrapText="1"/>
      <protection locked="0"/>
    </xf>
    <xf numFmtId="49" fontId="8" fillId="2" borderId="0" xfId="0" applyNumberFormat="1" applyFont="1" applyFill="1" applyAlignment="1" applyProtection="1">
      <alignment horizontal="center" vertical="center"/>
      <protection locked="0"/>
    </xf>
    <xf numFmtId="0" fontId="14" fillId="0" borderId="0" xfId="1" applyNumberFormat="1" applyFont="1" applyFill="1" applyBorder="1" applyAlignment="1" applyProtection="1">
      <alignment horizontal="center" vertical="center"/>
    </xf>
    <xf numFmtId="0" fontId="11" fillId="4" borderId="0" xfId="0" applyFont="1" applyFill="1" applyAlignment="1" applyProtection="1">
      <alignment horizontal="left" vertical="center" wrapText="1"/>
      <protection locked="0"/>
    </xf>
    <xf numFmtId="0" fontId="11" fillId="4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49" fontId="12" fillId="2" borderId="0" xfId="0" applyNumberFormat="1" applyFont="1" applyFill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</cellXfs>
  <cellStyles count="8">
    <cellStyle name="Normal 2" xfId="3" xr:uid="{00000000-0005-0000-0000-000002000000}"/>
    <cellStyle name="Normal 2 2" xfId="4" xr:uid="{00000000-0005-0000-0000-000003000000}"/>
    <cellStyle name="Normal 3" xfId="5" xr:uid="{00000000-0005-0000-0000-000004000000}"/>
    <cellStyle name="Normal 3 2" xfId="6" xr:uid="{00000000-0005-0000-0000-000005000000}"/>
    <cellStyle name="Percent 2" xfId="7" xr:uid="{00000000-0005-0000-0000-000007000000}"/>
    <cellStyle name="จุลภาค" xfId="1" builtinId="3"/>
    <cellStyle name="ปกติ" xfId="0" builtinId="0"/>
    <cellStyle name="เปอร์เซ็นต์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771525</xdr:colOff>
      <xdr:row>0</xdr:row>
      <xdr:rowOff>57150</xdr:rowOff>
    </xdr:from>
    <xdr:to>
      <xdr:col>11</xdr:col>
      <xdr:colOff>857250</xdr:colOff>
      <xdr:row>1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4966" y="57150"/>
          <a:ext cx="1385608" cy="47064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32"/>
  <sheetViews>
    <sheetView showGridLines="0" zoomScale="85" zoomScaleNormal="85" workbookViewId="0">
      <selection activeCell="N11" sqref="N11"/>
    </sheetView>
  </sheetViews>
  <sheetFormatPr defaultColWidth="9" defaultRowHeight="21.75" customHeight="1" x14ac:dyDescent="0.3"/>
  <cols>
    <col min="1" max="1" width="2" style="26" customWidth="1"/>
    <col min="2" max="4" width="0" style="26" hidden="1" customWidth="1"/>
    <col min="5" max="5" width="13.83203125" style="26" customWidth="1"/>
    <col min="6" max="6" width="8.58203125" style="26" customWidth="1"/>
    <col min="7" max="7" width="17.08203125" style="26" customWidth="1"/>
    <col min="8" max="8" width="8.58203125" style="26" customWidth="1"/>
    <col min="9" max="9" width="17" style="26" customWidth="1"/>
    <col min="10" max="10" width="8.58203125" style="26" customWidth="1"/>
    <col min="11" max="11" width="17" style="26" customWidth="1"/>
    <col min="12" max="12" width="17.25" style="26" customWidth="1"/>
    <col min="13" max="16384" width="9" style="26"/>
  </cols>
  <sheetData>
    <row r="1" spans="2:13" ht="21.75" customHeight="1" x14ac:dyDescent="0.3">
      <c r="L1" s="27">
        <v>12345</v>
      </c>
    </row>
    <row r="4" spans="2:13" ht="21.75" customHeight="1" x14ac:dyDescent="0.3">
      <c r="E4" s="139" t="s">
        <v>0</v>
      </c>
      <c r="F4" s="139"/>
      <c r="G4" s="139"/>
      <c r="H4" s="139"/>
      <c r="I4" s="139"/>
      <c r="J4" s="139"/>
      <c r="K4" s="139"/>
      <c r="L4" s="139"/>
    </row>
    <row r="5" spans="2:13" ht="21.75" customHeight="1" thickBot="1" x14ac:dyDescent="0.35">
      <c r="E5" s="28"/>
      <c r="F5" s="28"/>
      <c r="G5" s="28"/>
      <c r="H5" s="28"/>
      <c r="I5" s="28"/>
      <c r="J5" s="28"/>
      <c r="K5" s="28"/>
      <c r="L5" s="28"/>
    </row>
    <row r="6" spans="2:13" ht="25.5" customHeight="1" thickBot="1" x14ac:dyDescent="0.35">
      <c r="E6" s="29" t="str">
        <f>'Statement AC1'!A3</f>
        <v>ชื่อ-นามสกุลลูกค้า</v>
      </c>
      <c r="F6" s="30">
        <f>'Statement AC1'!B3</f>
        <v>0</v>
      </c>
      <c r="G6" s="31"/>
      <c r="H6" s="32"/>
      <c r="J6" s="140" t="s">
        <v>35</v>
      </c>
      <c r="K6" s="141"/>
      <c r="L6" s="25"/>
    </row>
    <row r="7" spans="2:13" ht="24" customHeight="1" x14ac:dyDescent="0.3">
      <c r="E7" s="33"/>
      <c r="F7" s="34" t="s">
        <v>1</v>
      </c>
      <c r="G7" s="35">
        <f>'Statement AC1'!B4</f>
        <v>0</v>
      </c>
      <c r="H7" s="34" t="s">
        <v>1</v>
      </c>
      <c r="I7" s="35">
        <f>'Statement AC2'!B4</f>
        <v>0</v>
      </c>
      <c r="J7" s="36" t="s">
        <v>1</v>
      </c>
      <c r="K7" s="37">
        <f>'Statement AC3'!B4</f>
        <v>0</v>
      </c>
      <c r="L7" s="38" t="s">
        <v>2</v>
      </c>
    </row>
    <row r="8" spans="2:13" ht="20.25" customHeight="1" x14ac:dyDescent="0.3">
      <c r="E8" s="38" t="s">
        <v>3</v>
      </c>
      <c r="F8" s="36" t="s">
        <v>4</v>
      </c>
      <c r="G8" s="39">
        <f>'Statement AC1'!E4</f>
        <v>0</v>
      </c>
      <c r="H8" s="36" t="s">
        <v>4</v>
      </c>
      <c r="I8" s="39">
        <f>'Statement AC2'!E4</f>
        <v>0</v>
      </c>
      <c r="J8" s="36" t="s">
        <v>4</v>
      </c>
      <c r="K8" s="39">
        <f>'Statement AC3'!E4</f>
        <v>0</v>
      </c>
      <c r="L8" s="38" t="s">
        <v>5</v>
      </c>
      <c r="M8" s="26" t="s">
        <v>36</v>
      </c>
    </row>
    <row r="9" spans="2:13" ht="21.75" customHeight="1" x14ac:dyDescent="0.3">
      <c r="E9" s="38"/>
      <c r="F9" s="36" t="s">
        <v>6</v>
      </c>
      <c r="G9" s="40">
        <f>'Statement AC1'!H4</f>
        <v>0</v>
      </c>
      <c r="H9" s="36" t="s">
        <v>6</v>
      </c>
      <c r="I9" s="40">
        <f>'Statement AC2'!H4</f>
        <v>0</v>
      </c>
      <c r="J9" s="36" t="s">
        <v>6</v>
      </c>
      <c r="K9" s="40">
        <f>'Statement AC3'!H4</f>
        <v>0</v>
      </c>
      <c r="L9" s="38" t="s">
        <v>7</v>
      </c>
    </row>
    <row r="10" spans="2:13" ht="6" customHeight="1" x14ac:dyDescent="0.3">
      <c r="E10" s="41"/>
      <c r="F10" s="42"/>
      <c r="G10" s="43"/>
      <c r="H10" s="42"/>
      <c r="I10" s="43"/>
      <c r="J10" s="42"/>
      <c r="K10" s="43"/>
      <c r="L10" s="44"/>
    </row>
    <row r="11" spans="2:13" ht="21.75" customHeight="1" x14ac:dyDescent="0.3">
      <c r="B11" s="26" t="str">
        <f t="shared" ref="B11:B22" si="0">IF(G11&gt;=1,1," ")</f>
        <v xml:space="preserve"> </v>
      </c>
      <c r="C11" s="26" t="str">
        <f t="shared" ref="C11:C22" si="1">IF(I11&gt;=1,1," ")</f>
        <v xml:space="preserve"> </v>
      </c>
      <c r="D11" s="26" t="str">
        <f t="shared" ref="D11:D22" si="2">IF(K11&gt;=1,1," ")</f>
        <v xml:space="preserve"> </v>
      </c>
      <c r="E11" s="45">
        <f>'Statement AC1'!A7</f>
        <v>244258</v>
      </c>
      <c r="F11" s="46"/>
      <c r="G11" s="47">
        <f>'Statement AC1'!$B$117</f>
        <v>0</v>
      </c>
      <c r="H11" s="48"/>
      <c r="I11" s="47">
        <f>'Statement AC2'!$B$63</f>
        <v>0</v>
      </c>
      <c r="J11" s="48"/>
      <c r="K11" s="47">
        <f>'Statement AC3'!$B$63</f>
        <v>0</v>
      </c>
      <c r="L11" s="49">
        <f t="shared" ref="L11:L22" si="3">SUM(F11:K11)</f>
        <v>0</v>
      </c>
    </row>
    <row r="12" spans="2:13" ht="21.75" customHeight="1" x14ac:dyDescent="0.3">
      <c r="B12" s="26" t="str">
        <f t="shared" si="0"/>
        <v xml:space="preserve"> </v>
      </c>
      <c r="C12" s="26" t="str">
        <f t="shared" si="1"/>
        <v xml:space="preserve"> </v>
      </c>
      <c r="D12" s="26" t="str">
        <f t="shared" si="2"/>
        <v xml:space="preserve"> </v>
      </c>
      <c r="E12" s="50">
        <f>'Statement AC1'!C7</f>
        <v>244289</v>
      </c>
      <c r="F12" s="51"/>
      <c r="G12" s="52">
        <f>'Statement AC1'!$D$117</f>
        <v>0</v>
      </c>
      <c r="H12" s="53"/>
      <c r="I12" s="52">
        <f>'Statement AC2'!$D$63</f>
        <v>0</v>
      </c>
      <c r="J12" s="53"/>
      <c r="K12" s="52">
        <f>'Statement AC3'!$D$63</f>
        <v>0</v>
      </c>
      <c r="L12" s="54">
        <f t="shared" si="3"/>
        <v>0</v>
      </c>
    </row>
    <row r="13" spans="2:13" ht="21.75" customHeight="1" x14ac:dyDescent="0.3">
      <c r="B13" s="26" t="str">
        <f t="shared" si="0"/>
        <v xml:space="preserve"> </v>
      </c>
      <c r="C13" s="26" t="str">
        <f t="shared" si="1"/>
        <v xml:space="preserve"> </v>
      </c>
      <c r="D13" s="26" t="str">
        <f t="shared" si="2"/>
        <v xml:space="preserve"> </v>
      </c>
      <c r="E13" s="50">
        <f>'Statement AC1'!E7</f>
        <v>244319</v>
      </c>
      <c r="F13" s="51"/>
      <c r="G13" s="52">
        <f>'Statement AC1'!$F$117</f>
        <v>0</v>
      </c>
      <c r="H13" s="53"/>
      <c r="I13" s="52">
        <f>'Statement AC2'!$F$63</f>
        <v>0</v>
      </c>
      <c r="J13" s="53"/>
      <c r="K13" s="52">
        <f>'Statement AC3'!$F$63</f>
        <v>0</v>
      </c>
      <c r="L13" s="54">
        <f t="shared" si="3"/>
        <v>0</v>
      </c>
    </row>
    <row r="14" spans="2:13" ht="21.75" customHeight="1" x14ac:dyDescent="0.3">
      <c r="B14" s="26" t="str">
        <f t="shared" si="0"/>
        <v xml:space="preserve"> </v>
      </c>
      <c r="C14" s="26" t="str">
        <f t="shared" si="1"/>
        <v xml:space="preserve"> </v>
      </c>
      <c r="D14" s="26" t="str">
        <f t="shared" si="2"/>
        <v xml:space="preserve"> </v>
      </c>
      <c r="E14" s="50">
        <f>'Statement AC1'!G7</f>
        <v>244350</v>
      </c>
      <c r="F14" s="51"/>
      <c r="G14" s="52">
        <f>'Statement AC1'!$H$117</f>
        <v>0</v>
      </c>
      <c r="H14" s="53"/>
      <c r="I14" s="52">
        <f>'Statement AC2'!$H$63</f>
        <v>0</v>
      </c>
      <c r="J14" s="53"/>
      <c r="K14" s="52">
        <f>'Statement AC3'!$H$63</f>
        <v>0</v>
      </c>
      <c r="L14" s="54">
        <f t="shared" si="3"/>
        <v>0</v>
      </c>
    </row>
    <row r="15" spans="2:13" ht="21.75" customHeight="1" x14ac:dyDescent="0.3">
      <c r="B15" s="26" t="str">
        <f t="shared" si="0"/>
        <v xml:space="preserve"> </v>
      </c>
      <c r="C15" s="26" t="str">
        <f t="shared" si="1"/>
        <v xml:space="preserve"> </v>
      </c>
      <c r="D15" s="26" t="str">
        <f t="shared" si="2"/>
        <v xml:space="preserve"> </v>
      </c>
      <c r="E15" s="50">
        <f>'Statement AC1'!I7</f>
        <v>244381</v>
      </c>
      <c r="F15" s="51"/>
      <c r="G15" s="52">
        <f>'Statement AC1'!$J$117</f>
        <v>0</v>
      </c>
      <c r="H15" s="53"/>
      <c r="I15" s="52">
        <f>'Statement AC2'!$J$63</f>
        <v>0</v>
      </c>
      <c r="J15" s="53"/>
      <c r="K15" s="52">
        <f>'Statement AC3'!$J$63</f>
        <v>0</v>
      </c>
      <c r="L15" s="54">
        <f t="shared" si="3"/>
        <v>0</v>
      </c>
    </row>
    <row r="16" spans="2:13" ht="21.75" customHeight="1" x14ac:dyDescent="0.3">
      <c r="B16" s="26" t="str">
        <f t="shared" si="0"/>
        <v xml:space="preserve"> </v>
      </c>
      <c r="C16" s="26" t="str">
        <f t="shared" si="1"/>
        <v xml:space="preserve"> </v>
      </c>
      <c r="D16" s="26" t="str">
        <f t="shared" si="2"/>
        <v xml:space="preserve"> </v>
      </c>
      <c r="E16" s="50">
        <f>'Statement AC1'!K7</f>
        <v>244409</v>
      </c>
      <c r="F16" s="51"/>
      <c r="G16" s="52">
        <f>'Statement AC1'!$L$117</f>
        <v>0</v>
      </c>
      <c r="H16" s="53"/>
      <c r="I16" s="52">
        <f>'Statement AC2'!$L$63</f>
        <v>0</v>
      </c>
      <c r="J16" s="53"/>
      <c r="K16" s="52">
        <f>'Statement AC3'!$L$63</f>
        <v>0</v>
      </c>
      <c r="L16" s="54">
        <f t="shared" si="3"/>
        <v>0</v>
      </c>
    </row>
    <row r="17" spans="2:12" ht="21.75" customHeight="1" x14ac:dyDescent="0.3">
      <c r="B17" s="26" t="str">
        <f t="shared" si="0"/>
        <v xml:space="preserve"> </v>
      </c>
      <c r="C17" s="26" t="str">
        <f t="shared" si="1"/>
        <v xml:space="preserve"> </v>
      </c>
      <c r="D17" s="26" t="str">
        <f t="shared" si="2"/>
        <v xml:space="preserve"> </v>
      </c>
      <c r="E17" s="50">
        <f>'Statement AC1'!M7</f>
        <v>242278</v>
      </c>
      <c r="F17" s="51"/>
      <c r="G17" s="52">
        <f>'Statement AC1'!$N$117</f>
        <v>0</v>
      </c>
      <c r="H17" s="53"/>
      <c r="I17" s="52">
        <f>'Statement AC2'!$N$63</f>
        <v>0</v>
      </c>
      <c r="J17" s="53"/>
      <c r="K17" s="52">
        <f>'Statement AC3'!$N$63</f>
        <v>0</v>
      </c>
      <c r="L17" s="54">
        <f t="shared" si="3"/>
        <v>0</v>
      </c>
    </row>
    <row r="18" spans="2:12" ht="21.75" customHeight="1" x14ac:dyDescent="0.3">
      <c r="B18" s="26" t="str">
        <f t="shared" si="0"/>
        <v xml:space="preserve"> </v>
      </c>
      <c r="C18" s="26" t="str">
        <f t="shared" si="1"/>
        <v xml:space="preserve"> </v>
      </c>
      <c r="D18" s="26" t="str">
        <f t="shared" si="2"/>
        <v xml:space="preserve"> </v>
      </c>
      <c r="E18" s="50">
        <f>'Statement AC1'!O7</f>
        <v>242309</v>
      </c>
      <c r="F18" s="51"/>
      <c r="G18" s="52">
        <f>'Statement AC1'!$P$117</f>
        <v>0</v>
      </c>
      <c r="H18" s="53"/>
      <c r="I18" s="52">
        <f>'Statement AC2'!$P$63</f>
        <v>0</v>
      </c>
      <c r="J18" s="53"/>
      <c r="K18" s="52">
        <f>'Statement AC3'!$P$63</f>
        <v>0</v>
      </c>
      <c r="L18" s="54">
        <f t="shared" si="3"/>
        <v>0</v>
      </c>
    </row>
    <row r="19" spans="2:12" ht="21.75" customHeight="1" x14ac:dyDescent="0.3">
      <c r="B19" s="26" t="str">
        <f t="shared" si="0"/>
        <v xml:space="preserve"> </v>
      </c>
      <c r="C19" s="26" t="str">
        <f t="shared" si="1"/>
        <v xml:space="preserve"> </v>
      </c>
      <c r="D19" s="26" t="str">
        <f t="shared" si="2"/>
        <v xml:space="preserve"> </v>
      </c>
      <c r="E19" s="50">
        <f>'Statement AC1'!Q7</f>
        <v>242339</v>
      </c>
      <c r="F19" s="51"/>
      <c r="G19" s="52">
        <f>'Statement AC1'!$R$117</f>
        <v>0</v>
      </c>
      <c r="H19" s="53"/>
      <c r="I19" s="52">
        <f>'Statement AC2'!$R$63</f>
        <v>0</v>
      </c>
      <c r="J19" s="53"/>
      <c r="K19" s="52">
        <f>'Statement AC3'!$R$63</f>
        <v>0</v>
      </c>
      <c r="L19" s="54">
        <f t="shared" si="3"/>
        <v>0</v>
      </c>
    </row>
    <row r="20" spans="2:12" ht="21.75" customHeight="1" x14ac:dyDescent="0.3">
      <c r="B20" s="26" t="str">
        <f t="shared" si="0"/>
        <v xml:space="preserve"> </v>
      </c>
      <c r="C20" s="26" t="str">
        <f t="shared" si="1"/>
        <v xml:space="preserve"> </v>
      </c>
      <c r="D20" s="26" t="str">
        <f t="shared" si="2"/>
        <v xml:space="preserve"> </v>
      </c>
      <c r="E20" s="50">
        <f>'Statement AC1'!S7</f>
        <v>242370</v>
      </c>
      <c r="F20" s="51"/>
      <c r="G20" s="52">
        <f>'Statement AC1'!$T$117</f>
        <v>0</v>
      </c>
      <c r="H20" s="53"/>
      <c r="I20" s="52">
        <f>'Statement AC2'!$T$63</f>
        <v>0</v>
      </c>
      <c r="J20" s="53"/>
      <c r="K20" s="52">
        <f>'Statement AC3'!$T$63</f>
        <v>0</v>
      </c>
      <c r="L20" s="54">
        <f t="shared" si="3"/>
        <v>0</v>
      </c>
    </row>
    <row r="21" spans="2:12" ht="21.75" customHeight="1" x14ac:dyDescent="0.3">
      <c r="B21" s="26" t="str">
        <f t="shared" si="0"/>
        <v xml:space="preserve"> </v>
      </c>
      <c r="C21" s="26" t="str">
        <f t="shared" si="1"/>
        <v xml:space="preserve"> </v>
      </c>
      <c r="D21" s="26" t="str">
        <f t="shared" si="2"/>
        <v xml:space="preserve"> </v>
      </c>
      <c r="E21" s="50">
        <f>'Statement AC1'!U7</f>
        <v>242401</v>
      </c>
      <c r="F21" s="51"/>
      <c r="G21" s="52">
        <f>'Statement AC1'!$V$117</f>
        <v>0</v>
      </c>
      <c r="H21" s="53"/>
      <c r="I21" s="52">
        <f>'Statement AC2'!$V$63</f>
        <v>0</v>
      </c>
      <c r="J21" s="53"/>
      <c r="K21" s="52">
        <f>'Statement AC3'!$V$63</f>
        <v>0</v>
      </c>
      <c r="L21" s="54">
        <f t="shared" si="3"/>
        <v>0</v>
      </c>
    </row>
    <row r="22" spans="2:12" ht="21.75" customHeight="1" x14ac:dyDescent="0.3">
      <c r="B22" s="26" t="str">
        <f t="shared" si="0"/>
        <v xml:space="preserve"> </v>
      </c>
      <c r="C22" s="26" t="str">
        <f t="shared" si="1"/>
        <v xml:space="preserve"> </v>
      </c>
      <c r="D22" s="26" t="str">
        <f t="shared" si="2"/>
        <v xml:space="preserve"> </v>
      </c>
      <c r="E22" s="55">
        <f>'Statement AC1'!W7</f>
        <v>242431</v>
      </c>
      <c r="F22" s="56"/>
      <c r="G22" s="52">
        <f>'Statement AC1'!$X$117</f>
        <v>0</v>
      </c>
      <c r="H22" s="57"/>
      <c r="I22" s="52">
        <f>'Statement AC2'!$X$63</f>
        <v>0</v>
      </c>
      <c r="J22" s="57"/>
      <c r="K22" s="52">
        <f>'Statement AC3'!$X$63</f>
        <v>0</v>
      </c>
      <c r="L22" s="58">
        <f t="shared" si="3"/>
        <v>0</v>
      </c>
    </row>
    <row r="23" spans="2:12" ht="21.75" customHeight="1" x14ac:dyDescent="0.3">
      <c r="B23" s="26">
        <f>SUM(B11:B22)</f>
        <v>0</v>
      </c>
      <c r="C23" s="26">
        <f>SUM(C11:C22)</f>
        <v>0</v>
      </c>
      <c r="D23" s="26">
        <f>SUM(D11:D22)</f>
        <v>0</v>
      </c>
      <c r="E23" s="59" t="s">
        <v>2</v>
      </c>
      <c r="F23" s="60"/>
      <c r="G23" s="61">
        <f>SUM(G11:G22)</f>
        <v>0</v>
      </c>
      <c r="H23" s="62"/>
      <c r="I23" s="61">
        <f>SUM(I11:I22)</f>
        <v>0</v>
      </c>
      <c r="J23" s="62"/>
      <c r="K23" s="61">
        <f>SUM(K11:K22)</f>
        <v>0</v>
      </c>
      <c r="L23" s="63">
        <f>SUM(L11:L22)</f>
        <v>0</v>
      </c>
    </row>
    <row r="24" spans="2:12" ht="21.75" customHeight="1" x14ac:dyDescent="0.3">
      <c r="E24" s="64" t="s">
        <v>8</v>
      </c>
      <c r="F24" s="65"/>
      <c r="G24" s="66">
        <f>IF(B23&lt;=6,G23/6,G23/B23)</f>
        <v>0</v>
      </c>
      <c r="H24" s="67"/>
      <c r="I24" s="66">
        <f>IF(C23&lt;=6,I23/6,I23/C23)</f>
        <v>0</v>
      </c>
      <c r="J24" s="68"/>
      <c r="K24" s="66">
        <f>IF(D23&lt;=6,K23/6,K23/D23)</f>
        <v>0</v>
      </c>
      <c r="L24" s="80">
        <f>G24+I24+K24</f>
        <v>0</v>
      </c>
    </row>
    <row r="25" spans="2:12" ht="21.75" customHeight="1" x14ac:dyDescent="0.3">
      <c r="E25" s="69" t="s">
        <v>9</v>
      </c>
      <c r="F25" s="70"/>
      <c r="G25" s="71">
        <f ca="1">'Statement AC1'!B6</f>
        <v>0.2</v>
      </c>
      <c r="H25" s="72"/>
      <c r="I25" s="71">
        <f ca="1">'Statement AC2'!B6</f>
        <v>0.2</v>
      </c>
      <c r="J25" s="70"/>
      <c r="K25" s="71">
        <f ca="1">'Statement AC3'!B6</f>
        <v>0.2</v>
      </c>
      <c r="L25" s="71"/>
    </row>
    <row r="26" spans="2:12" ht="21.75" customHeight="1" x14ac:dyDescent="0.3">
      <c r="E26" s="69" t="s">
        <v>10</v>
      </c>
      <c r="F26" s="70"/>
      <c r="G26" s="73">
        <f>'Statement AC1'!E3</f>
        <v>1</v>
      </c>
      <c r="H26" s="72"/>
      <c r="I26" s="74">
        <f>'Statement AC2'!E3</f>
        <v>1</v>
      </c>
      <c r="J26" s="70"/>
      <c r="K26" s="73">
        <f>'Statement AC3'!E3</f>
        <v>1</v>
      </c>
      <c r="L26" s="73"/>
    </row>
    <row r="27" spans="2:12" ht="21.75" customHeight="1" x14ac:dyDescent="0.3">
      <c r="E27" s="64" t="s">
        <v>11</v>
      </c>
      <c r="F27" s="142">
        <f ca="1">IF(ISERROR(G24*G25*G26),"",G24*G25*G26)</f>
        <v>0</v>
      </c>
      <c r="G27" s="143"/>
      <c r="H27" s="142">
        <f ca="1">IF(ISERROR(I24*I25*I26),"",I24*I25*I26)</f>
        <v>0</v>
      </c>
      <c r="I27" s="143"/>
      <c r="J27" s="142">
        <f ca="1">IF(ISERROR(K24*K25*K26),"",K24*K25*K26)</f>
        <v>0</v>
      </c>
      <c r="K27" s="143"/>
      <c r="L27" s="81">
        <f ca="1">IF(ISERROR(F27+H27+J27),"",F27+H27+J27)</f>
        <v>0</v>
      </c>
    </row>
    <row r="30" spans="2:12" ht="21.75" customHeight="1" x14ac:dyDescent="0.25">
      <c r="E30" s="75" t="s">
        <v>12</v>
      </c>
      <c r="F30" s="76"/>
      <c r="G30" s="32"/>
    </row>
    <row r="31" spans="2:12" ht="30" customHeight="1" x14ac:dyDescent="0.25">
      <c r="E31" s="75" t="s">
        <v>13</v>
      </c>
      <c r="F31" s="77"/>
    </row>
    <row r="32" spans="2:12" ht="30.75" customHeight="1" x14ac:dyDescent="0.25">
      <c r="E32" s="75" t="s">
        <v>14</v>
      </c>
      <c r="F32" s="78"/>
      <c r="G32" s="79"/>
    </row>
  </sheetData>
  <sheetProtection password="AD90" sheet="1" formatCells="0" formatColumns="0" formatRows="0" insertColumns="0" insertRows="0" insertHyperlinks="0" deleteColumns="0" deleteRows="0" sort="0" autoFilter="0" pivotTables="0"/>
  <mergeCells count="5">
    <mergeCell ref="E4:L4"/>
    <mergeCell ref="J6:K6"/>
    <mergeCell ref="F27:G27"/>
    <mergeCell ref="H27:I27"/>
    <mergeCell ref="J27:K2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8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25"/>
  </sheetPr>
  <dimension ref="A1:X65590"/>
  <sheetViews>
    <sheetView showGridLines="0" tabSelected="1" zoomScale="90" zoomScaleNormal="90" workbookViewId="0">
      <pane ySplit="8" topLeftCell="A9" activePane="bottomLeft" state="frozen"/>
      <selection activeCell="G11" sqref="G11"/>
      <selection pane="bottomLeft" activeCell="B3" sqref="B3:C3"/>
    </sheetView>
  </sheetViews>
  <sheetFormatPr defaultColWidth="9" defaultRowHeight="11.5" x14ac:dyDescent="0.3"/>
  <cols>
    <col min="1" max="1" width="12.5" style="1" customWidth="1"/>
    <col min="2" max="2" width="9.33203125" style="1" customWidth="1"/>
    <col min="3" max="3" width="12.5" style="1" customWidth="1"/>
    <col min="4" max="4" width="9.33203125" style="1" customWidth="1"/>
    <col min="5" max="5" width="12.5" style="1" customWidth="1"/>
    <col min="6" max="6" width="9.33203125" style="1" customWidth="1"/>
    <col min="7" max="7" width="12.5" style="1" customWidth="1"/>
    <col min="8" max="8" width="9.33203125" style="1" customWidth="1"/>
    <col min="9" max="9" width="12.5" style="1" customWidth="1"/>
    <col min="10" max="10" width="9.33203125" style="1" customWidth="1"/>
    <col min="11" max="11" width="12.5" style="1" customWidth="1"/>
    <col min="12" max="12" width="9.33203125" style="1" customWidth="1"/>
    <col min="13" max="13" width="12.5" style="106" customWidth="1"/>
    <col min="14" max="14" width="9.33203125" style="106" customWidth="1"/>
    <col min="15" max="15" width="12.5" style="106" customWidth="1"/>
    <col min="16" max="16" width="9.33203125" style="106" customWidth="1"/>
    <col min="17" max="17" width="12.5" style="106" customWidth="1"/>
    <col min="18" max="18" width="9.33203125" style="106" customWidth="1"/>
    <col min="19" max="19" width="12.5" style="106" customWidth="1"/>
    <col min="20" max="20" width="9.33203125" style="106" customWidth="1"/>
    <col min="21" max="21" width="12.5" style="106" customWidth="1"/>
    <col min="22" max="22" width="9.33203125" style="106" customWidth="1"/>
    <col min="23" max="23" width="12.5" style="106" customWidth="1"/>
    <col min="24" max="24" width="9.33203125" style="106" customWidth="1"/>
    <col min="25" max="48" width="9" style="106" customWidth="1"/>
    <col min="49" max="16384" width="9" style="106"/>
  </cols>
  <sheetData>
    <row r="1" spans="1:24" ht="20.25" customHeight="1" x14ac:dyDescent="0.3">
      <c r="A1" s="131" t="s">
        <v>15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 t="str">
        <f>A1</f>
        <v>รายละเอียดบัญชี</v>
      </c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</row>
    <row r="3" spans="1:24" ht="20.25" customHeight="1" x14ac:dyDescent="0.3">
      <c r="A3" s="2" t="s">
        <v>16</v>
      </c>
      <c r="B3" s="137"/>
      <c r="C3" s="137"/>
      <c r="D3" s="114" t="s">
        <v>10</v>
      </c>
      <c r="E3" s="3">
        <v>1</v>
      </c>
      <c r="G3" s="114"/>
      <c r="K3" s="22">
        <f ca="1">TODAY()-1+(((543*365)+132))</f>
        <v>244439</v>
      </c>
      <c r="L3" s="23">
        <f>ROUND(543/4,0)</f>
        <v>136</v>
      </c>
      <c r="M3" s="107" t="str">
        <f t="shared" ref="M3:N5" si="0">A3</f>
        <v>ชื่อ-นามสกุลลูกค้า</v>
      </c>
      <c r="N3" s="115">
        <f t="shared" si="0"/>
        <v>0</v>
      </c>
      <c r="O3" s="116"/>
      <c r="P3" s="107" t="str">
        <f>D3</f>
        <v>สัดส่วนผู้ถือหุ้น</v>
      </c>
      <c r="Q3" s="117">
        <f>E3</f>
        <v>1</v>
      </c>
    </row>
    <row r="4" spans="1:24" ht="20.25" customHeight="1" x14ac:dyDescent="0.3">
      <c r="A4" s="114" t="s">
        <v>1</v>
      </c>
      <c r="B4" s="137"/>
      <c r="C4" s="137"/>
      <c r="D4" s="118" t="s">
        <v>4</v>
      </c>
      <c r="E4" s="137"/>
      <c r="F4" s="137"/>
      <c r="G4" s="118" t="s">
        <v>6</v>
      </c>
      <c r="H4" s="136"/>
      <c r="I4" s="136"/>
      <c r="J4" s="119"/>
      <c r="K4" s="23">
        <f ca="1">ROUNDUP((K3-Income!$L$6),0)/30</f>
        <v>8147.9666666666662</v>
      </c>
      <c r="L4" s="120"/>
      <c r="M4" s="107" t="str">
        <f t="shared" si="0"/>
        <v>ชื่อธนาคาร</v>
      </c>
      <c r="N4" s="115">
        <f t="shared" si="0"/>
        <v>0</v>
      </c>
      <c r="O4" s="116"/>
      <c r="P4" s="107" t="str">
        <f>D4</f>
        <v>ชื่อบัญชี</v>
      </c>
      <c r="Q4" s="138">
        <f>E4</f>
        <v>0</v>
      </c>
      <c r="R4" s="138"/>
      <c r="S4" s="107" t="str">
        <f>G4</f>
        <v>เลขที่บัญชี</v>
      </c>
      <c r="T4" s="135">
        <f>H4</f>
        <v>0</v>
      </c>
      <c r="U4" s="135"/>
    </row>
    <row r="5" spans="1:24" ht="46.5" customHeight="1" x14ac:dyDescent="0.3">
      <c r="A5" s="121" t="s">
        <v>17</v>
      </c>
      <c r="B5" s="133" t="s">
        <v>46</v>
      </c>
      <c r="C5" s="133"/>
      <c r="D5" s="133"/>
      <c r="E5" s="133"/>
      <c r="F5" s="133"/>
      <c r="G5" s="133"/>
      <c r="H5" s="133"/>
      <c r="I5" s="133"/>
      <c r="J5" s="133"/>
      <c r="K5" s="133"/>
      <c r="L5" s="122" t="str">
        <f>LEFT(B5,2)</f>
        <v>10</v>
      </c>
      <c r="M5" s="114" t="str">
        <f t="shared" si="0"/>
        <v>ประเภทธุรกิจ</v>
      </c>
      <c r="N5" s="134" t="str">
        <f>B5</f>
        <v>10 ค้าปลีกอื่นๆ เช่น ผู้ค้าโทรศัพท์มือถือ, ร้าน 7 Eleven (Type C), ดิสเคาน์สโตร์,
จำหน่ายอุปกรณ์ ชิ้นส่วนยานยนต์, จำหน่ายปุ๋ย และ เคมีภัณฑ์เกษตร, ร้านขายเครื่องใช้ไฟฟ้า และ ร้านขายอุปกรณ์อิเล็กทรอนิกส์ และ ธุรกิจค้าปลีกอื่นๆ</v>
      </c>
      <c r="O5" s="134"/>
      <c r="P5" s="134"/>
      <c r="Q5" s="134"/>
      <c r="R5" s="134"/>
      <c r="S5" s="134"/>
      <c r="T5" s="134"/>
      <c r="U5" s="134"/>
      <c r="V5" s="134"/>
      <c r="W5" s="134"/>
      <c r="X5" s="123"/>
    </row>
    <row r="6" spans="1:24" ht="20.25" customHeight="1" x14ac:dyDescent="0.3">
      <c r="A6" s="107" t="s">
        <v>9</v>
      </c>
      <c r="B6" s="104">
        <f ca="1">IF(ISERROR(IF($K$4&lt;=36,VLOOKUP($L5,IncomeFactor!$A:$D,3,FALSE),VLOOKUP($L5,IncomeFactor!$A:$D,4,FALSE))),"",IF($K$4&lt;=36,VLOOKUP($L5,IncomeFactor!$A:$D,3,FALSE),VLOOKUP($L5,IncomeFactor!$A:$D,4,FALSE)))</f>
        <v>0.2</v>
      </c>
      <c r="D6" s="107"/>
      <c r="E6" s="107"/>
      <c r="F6" s="107"/>
      <c r="G6" s="107"/>
      <c r="H6" s="107"/>
      <c r="I6" s="107"/>
      <c r="J6" s="107"/>
      <c r="K6" s="106"/>
      <c r="L6" s="106"/>
      <c r="M6" s="107" t="str">
        <f>A6</f>
        <v>Income Factor</v>
      </c>
      <c r="N6" s="108">
        <f ca="1">B6</f>
        <v>0.2</v>
      </c>
    </row>
    <row r="7" spans="1:24" s="105" customFormat="1" ht="20.25" customHeight="1" x14ac:dyDescent="0.3">
      <c r="A7" s="130">
        <v>244258</v>
      </c>
      <c r="B7" s="130"/>
      <c r="C7" s="130">
        <v>244289</v>
      </c>
      <c r="D7" s="130"/>
      <c r="E7" s="130">
        <v>244319</v>
      </c>
      <c r="F7" s="130"/>
      <c r="G7" s="130">
        <v>244350</v>
      </c>
      <c r="H7" s="130"/>
      <c r="I7" s="130">
        <v>244381</v>
      </c>
      <c r="J7" s="130"/>
      <c r="K7" s="130">
        <v>244409</v>
      </c>
      <c r="L7" s="130"/>
      <c r="M7" s="130">
        <v>242278</v>
      </c>
      <c r="N7" s="130"/>
      <c r="O7" s="130">
        <v>242309</v>
      </c>
      <c r="P7" s="130"/>
      <c r="Q7" s="130">
        <v>242339</v>
      </c>
      <c r="R7" s="130"/>
      <c r="S7" s="130">
        <v>242370</v>
      </c>
      <c r="T7" s="130"/>
      <c r="U7" s="130">
        <v>242401</v>
      </c>
      <c r="V7" s="130"/>
      <c r="W7" s="130">
        <v>242431</v>
      </c>
      <c r="X7" s="130"/>
    </row>
    <row r="8" spans="1:24" ht="59.25" customHeight="1" x14ac:dyDescent="0.3">
      <c r="A8" s="109" t="s">
        <v>19</v>
      </c>
      <c r="B8" s="110" t="s">
        <v>20</v>
      </c>
      <c r="C8" s="109" t="s">
        <v>19</v>
      </c>
      <c r="D8" s="110" t="s">
        <v>20</v>
      </c>
      <c r="E8" s="109" t="s">
        <v>19</v>
      </c>
      <c r="F8" s="110" t="s">
        <v>20</v>
      </c>
      <c r="G8" s="109" t="s">
        <v>19</v>
      </c>
      <c r="H8" s="110" t="s">
        <v>20</v>
      </c>
      <c r="I8" s="109" t="s">
        <v>19</v>
      </c>
      <c r="J8" s="110" t="s">
        <v>20</v>
      </c>
      <c r="K8" s="109" t="s">
        <v>19</v>
      </c>
      <c r="L8" s="110" t="s">
        <v>20</v>
      </c>
      <c r="M8" s="109" t="s">
        <v>19</v>
      </c>
      <c r="N8" s="110" t="s">
        <v>20</v>
      </c>
      <c r="O8" s="109" t="s">
        <v>19</v>
      </c>
      <c r="P8" s="110" t="s">
        <v>20</v>
      </c>
      <c r="Q8" s="109" t="s">
        <v>19</v>
      </c>
      <c r="R8" s="110" t="s">
        <v>20</v>
      </c>
      <c r="S8" s="109" t="s">
        <v>19</v>
      </c>
      <c r="T8" s="110" t="s">
        <v>20</v>
      </c>
      <c r="U8" s="109" t="s">
        <v>19</v>
      </c>
      <c r="V8" s="110" t="s">
        <v>20</v>
      </c>
      <c r="W8" s="109" t="s">
        <v>19</v>
      </c>
      <c r="X8" s="110" t="s">
        <v>20</v>
      </c>
    </row>
    <row r="9" spans="1:24" s="105" customFormat="1" ht="20.25" customHeight="1" x14ac:dyDescent="0.3">
      <c r="A9" s="15"/>
      <c r="B9" s="16"/>
      <c r="C9" s="16"/>
      <c r="D9" s="16"/>
      <c r="E9" s="16"/>
      <c r="F9" s="15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4" s="105" customFormat="1" ht="20.25" customHeight="1" x14ac:dyDescent="0.3">
      <c r="A10" s="85"/>
      <c r="B10" s="86"/>
      <c r="C10" s="86"/>
      <c r="D10" s="86"/>
      <c r="E10" s="86"/>
      <c r="F10" s="85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</row>
    <row r="11" spans="1:24" s="105" customFormat="1" ht="20.25" customHeight="1" x14ac:dyDescent="0.3">
      <c r="A11" s="85"/>
      <c r="B11" s="86"/>
      <c r="C11" s="86"/>
      <c r="D11" s="86"/>
      <c r="E11" s="86"/>
      <c r="F11" s="85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</row>
    <row r="12" spans="1:24" s="105" customFormat="1" ht="20.25" customHeight="1" x14ac:dyDescent="0.3">
      <c r="A12" s="85"/>
      <c r="B12" s="86"/>
      <c r="C12" s="86"/>
      <c r="D12" s="86"/>
      <c r="E12" s="86"/>
      <c r="F12" s="85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</row>
    <row r="13" spans="1:24" s="105" customFormat="1" ht="20.25" customHeight="1" x14ac:dyDescent="0.3">
      <c r="A13" s="85"/>
      <c r="B13" s="86"/>
      <c r="C13" s="86"/>
      <c r="D13" s="86"/>
      <c r="E13" s="86"/>
      <c r="F13" s="85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</row>
    <row r="14" spans="1:24" s="105" customFormat="1" ht="20.25" customHeight="1" x14ac:dyDescent="0.3">
      <c r="A14" s="85"/>
      <c r="B14" s="86"/>
      <c r="C14" s="86"/>
      <c r="D14" s="86"/>
      <c r="E14" s="86"/>
      <c r="F14" s="85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</row>
    <row r="15" spans="1:24" s="105" customFormat="1" ht="20.25" customHeight="1" x14ac:dyDescent="0.3">
      <c r="A15" s="85"/>
      <c r="B15" s="86"/>
      <c r="C15" s="86"/>
      <c r="D15" s="86"/>
      <c r="E15" s="86"/>
      <c r="F15" s="85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</row>
    <row r="16" spans="1:24" s="105" customFormat="1" ht="20.25" customHeight="1" x14ac:dyDescent="0.3">
      <c r="A16" s="85"/>
      <c r="B16" s="86"/>
      <c r="C16" s="86"/>
      <c r="D16" s="86"/>
      <c r="E16" s="86"/>
      <c r="F16" s="85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</row>
    <row r="17" spans="1:24" s="105" customFormat="1" ht="20.25" customHeight="1" x14ac:dyDescent="0.3">
      <c r="A17" s="85"/>
      <c r="B17" s="86"/>
      <c r="C17" s="86"/>
      <c r="D17" s="86"/>
      <c r="E17" s="86"/>
      <c r="F17" s="85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</row>
    <row r="18" spans="1:24" s="105" customFormat="1" ht="20.25" customHeight="1" x14ac:dyDescent="0.3">
      <c r="A18" s="85"/>
      <c r="B18" s="86"/>
      <c r="C18" s="86"/>
      <c r="D18" s="86"/>
      <c r="E18" s="86"/>
      <c r="F18" s="85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</row>
    <row r="19" spans="1:24" s="105" customFormat="1" ht="20.25" customHeight="1" x14ac:dyDescent="0.3">
      <c r="A19" s="85"/>
      <c r="B19" s="86"/>
      <c r="C19" s="86"/>
      <c r="D19" s="86"/>
      <c r="E19" s="86"/>
      <c r="F19" s="85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</row>
    <row r="20" spans="1:24" s="105" customFormat="1" ht="20.25" customHeight="1" x14ac:dyDescent="0.3">
      <c r="A20" s="85"/>
      <c r="B20" s="86"/>
      <c r="C20" s="86"/>
      <c r="D20" s="86"/>
      <c r="E20" s="86"/>
      <c r="F20" s="85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</row>
    <row r="21" spans="1:24" s="105" customFormat="1" ht="20.25" customHeight="1" x14ac:dyDescent="0.3">
      <c r="A21" s="85"/>
      <c r="B21" s="86"/>
      <c r="C21" s="86"/>
      <c r="D21" s="86"/>
      <c r="E21" s="86"/>
      <c r="F21" s="85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</row>
    <row r="22" spans="1:24" s="105" customFormat="1" ht="20.25" customHeight="1" x14ac:dyDescent="0.3">
      <c r="A22" s="85"/>
      <c r="B22" s="86"/>
      <c r="C22" s="86"/>
      <c r="D22" s="86"/>
      <c r="E22" s="86"/>
      <c r="F22" s="85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</row>
    <row r="23" spans="1:24" s="105" customFormat="1" ht="20.25" customHeight="1" x14ac:dyDescent="0.3">
      <c r="A23" s="85"/>
      <c r="B23" s="86"/>
      <c r="C23" s="86"/>
      <c r="D23" s="86"/>
      <c r="E23" s="86"/>
      <c r="F23" s="85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</row>
    <row r="24" spans="1:24" s="105" customFormat="1" ht="20.25" customHeight="1" x14ac:dyDescent="0.3">
      <c r="A24" s="85"/>
      <c r="B24" s="86"/>
      <c r="C24" s="86"/>
      <c r="D24" s="86"/>
      <c r="E24" s="86"/>
      <c r="F24" s="85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</row>
    <row r="25" spans="1:24" s="105" customFormat="1" ht="20.25" customHeight="1" x14ac:dyDescent="0.3">
      <c r="A25" s="85"/>
      <c r="B25" s="86"/>
      <c r="C25" s="86"/>
      <c r="D25" s="86"/>
      <c r="E25" s="86"/>
      <c r="F25" s="85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</row>
    <row r="26" spans="1:24" s="105" customFormat="1" ht="20.25" customHeight="1" x14ac:dyDescent="0.3">
      <c r="A26" s="85"/>
      <c r="B26" s="86"/>
      <c r="C26" s="86"/>
      <c r="D26" s="86"/>
      <c r="E26" s="86"/>
      <c r="F26" s="85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</row>
    <row r="27" spans="1:24" s="105" customFormat="1" ht="20.25" customHeight="1" x14ac:dyDescent="0.3">
      <c r="A27" s="85"/>
      <c r="B27" s="86"/>
      <c r="C27" s="86"/>
      <c r="D27" s="86"/>
      <c r="E27" s="86"/>
      <c r="F27" s="85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</row>
    <row r="28" spans="1:24" s="105" customFormat="1" ht="20.25" customHeight="1" x14ac:dyDescent="0.3">
      <c r="A28" s="85"/>
      <c r="B28" s="86"/>
      <c r="C28" s="86"/>
      <c r="D28" s="86"/>
      <c r="E28" s="86"/>
      <c r="F28" s="85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</row>
    <row r="29" spans="1:24" s="105" customFormat="1" ht="20.25" customHeight="1" x14ac:dyDescent="0.3">
      <c r="A29" s="85"/>
      <c r="B29" s="86"/>
      <c r="C29" s="86"/>
      <c r="D29" s="86"/>
      <c r="E29" s="86"/>
      <c r="F29" s="85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</row>
    <row r="30" spans="1:24" s="105" customFormat="1" ht="20.25" customHeight="1" x14ac:dyDescent="0.3">
      <c r="A30" s="85"/>
      <c r="B30" s="86"/>
      <c r="C30" s="86"/>
      <c r="D30" s="86"/>
      <c r="E30" s="86"/>
      <c r="F30" s="85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</row>
    <row r="31" spans="1:24" s="105" customFormat="1" ht="20.25" customHeight="1" x14ac:dyDescent="0.3">
      <c r="A31" s="85"/>
      <c r="B31" s="86"/>
      <c r="C31" s="86"/>
      <c r="D31" s="86"/>
      <c r="E31" s="86"/>
      <c r="F31" s="85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</row>
    <row r="32" spans="1:24" s="105" customFormat="1" ht="20.25" customHeight="1" x14ac:dyDescent="0.3">
      <c r="A32" s="85"/>
      <c r="B32" s="86"/>
      <c r="C32" s="86"/>
      <c r="D32" s="86"/>
      <c r="E32" s="86"/>
      <c r="F32" s="85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</row>
    <row r="33" spans="1:24" s="105" customFormat="1" ht="20.25" customHeight="1" x14ac:dyDescent="0.3">
      <c r="A33" s="85"/>
      <c r="B33" s="86"/>
      <c r="C33" s="86"/>
      <c r="D33" s="86"/>
      <c r="E33" s="86"/>
      <c r="F33" s="85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</row>
    <row r="34" spans="1:24" s="105" customFormat="1" ht="20.25" customHeight="1" x14ac:dyDescent="0.3">
      <c r="A34" s="85"/>
      <c r="B34" s="86"/>
      <c r="C34" s="86"/>
      <c r="D34" s="86"/>
      <c r="E34" s="86"/>
      <c r="F34" s="85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</row>
    <row r="35" spans="1:24" s="105" customFormat="1" ht="20.25" customHeight="1" x14ac:dyDescent="0.3">
      <c r="A35" s="85"/>
      <c r="B35" s="86"/>
      <c r="C35" s="86"/>
      <c r="D35" s="86"/>
      <c r="E35" s="86"/>
      <c r="F35" s="85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</row>
    <row r="36" spans="1:24" s="105" customFormat="1" ht="20.25" customHeight="1" x14ac:dyDescent="0.3">
      <c r="A36" s="85"/>
      <c r="B36" s="86"/>
      <c r="C36" s="86"/>
      <c r="D36" s="86"/>
      <c r="E36" s="86"/>
      <c r="F36" s="85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</row>
    <row r="37" spans="1:24" s="105" customFormat="1" ht="20.25" customHeight="1" x14ac:dyDescent="0.3">
      <c r="A37" s="85"/>
      <c r="B37" s="86"/>
      <c r="C37" s="86"/>
      <c r="D37" s="86"/>
      <c r="E37" s="86"/>
      <c r="F37" s="85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</row>
    <row r="38" spans="1:24" s="105" customFormat="1" ht="20.25" customHeight="1" x14ac:dyDescent="0.3">
      <c r="A38" s="85"/>
      <c r="B38" s="86"/>
      <c r="C38" s="86"/>
      <c r="D38" s="86"/>
      <c r="E38" s="86"/>
      <c r="F38" s="85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</row>
    <row r="39" spans="1:24" s="105" customFormat="1" ht="20.25" customHeight="1" x14ac:dyDescent="0.3">
      <c r="A39" s="85"/>
      <c r="B39" s="86"/>
      <c r="C39" s="86"/>
      <c r="D39" s="86"/>
      <c r="E39" s="86"/>
      <c r="F39" s="85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</row>
    <row r="40" spans="1:24" s="105" customFormat="1" ht="20.25" customHeight="1" x14ac:dyDescent="0.3">
      <c r="A40" s="85"/>
      <c r="B40" s="86"/>
      <c r="C40" s="86"/>
      <c r="D40" s="86"/>
      <c r="E40" s="86"/>
      <c r="F40" s="85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</row>
    <row r="41" spans="1:24" s="105" customFormat="1" ht="20.25" customHeight="1" x14ac:dyDescent="0.3">
      <c r="A41" s="85"/>
      <c r="B41" s="86"/>
      <c r="C41" s="86"/>
      <c r="D41" s="86"/>
      <c r="E41" s="86"/>
      <c r="F41" s="85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</row>
    <row r="42" spans="1:24" s="105" customFormat="1" ht="20.25" customHeight="1" x14ac:dyDescent="0.3">
      <c r="A42" s="85"/>
      <c r="B42" s="86"/>
      <c r="C42" s="86"/>
      <c r="D42" s="86"/>
      <c r="E42" s="86"/>
      <c r="F42" s="85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</row>
    <row r="43" spans="1:24" s="105" customFormat="1" ht="20.25" customHeight="1" x14ac:dyDescent="0.3">
      <c r="A43" s="85"/>
      <c r="B43" s="86"/>
      <c r="C43" s="86"/>
      <c r="D43" s="86"/>
      <c r="E43" s="86"/>
      <c r="F43" s="85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</row>
    <row r="44" spans="1:24" s="105" customFormat="1" ht="20.25" customHeight="1" x14ac:dyDescent="0.3">
      <c r="A44" s="85"/>
      <c r="B44" s="86"/>
      <c r="C44" s="86"/>
      <c r="D44" s="86"/>
      <c r="E44" s="86"/>
      <c r="F44" s="85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</row>
    <row r="45" spans="1:24" s="105" customFormat="1" ht="20.25" customHeight="1" x14ac:dyDescent="0.3">
      <c r="A45" s="85"/>
      <c r="B45" s="86"/>
      <c r="C45" s="86"/>
      <c r="D45" s="86"/>
      <c r="E45" s="86"/>
      <c r="F45" s="85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</row>
    <row r="46" spans="1:24" s="105" customFormat="1" ht="20.25" customHeight="1" x14ac:dyDescent="0.3">
      <c r="A46" s="85"/>
      <c r="B46" s="86"/>
      <c r="C46" s="86"/>
      <c r="D46" s="86"/>
      <c r="E46" s="86"/>
      <c r="F46" s="85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</row>
    <row r="47" spans="1:24" s="105" customFormat="1" ht="20.25" customHeight="1" x14ac:dyDescent="0.3">
      <c r="A47" s="85"/>
      <c r="B47" s="86"/>
      <c r="C47" s="86"/>
      <c r="D47" s="86"/>
      <c r="E47" s="86"/>
      <c r="F47" s="85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</row>
    <row r="48" spans="1:24" s="105" customFormat="1" ht="20.25" customHeight="1" x14ac:dyDescent="0.3">
      <c r="A48" s="85"/>
      <c r="B48" s="86"/>
      <c r="C48" s="86"/>
      <c r="D48" s="86"/>
      <c r="E48" s="86"/>
      <c r="F48" s="85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</row>
    <row r="49" spans="1:24" s="105" customFormat="1" ht="20.25" customHeight="1" x14ac:dyDescent="0.3">
      <c r="A49" s="85"/>
      <c r="B49" s="86"/>
      <c r="C49" s="86"/>
      <c r="D49" s="86"/>
      <c r="E49" s="86"/>
      <c r="F49" s="85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</row>
    <row r="50" spans="1:24" s="105" customFormat="1" ht="20.25" customHeight="1" x14ac:dyDescent="0.3">
      <c r="A50" s="85"/>
      <c r="B50" s="86"/>
      <c r="C50" s="86"/>
      <c r="D50" s="86"/>
      <c r="E50" s="86"/>
      <c r="F50" s="85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</row>
    <row r="51" spans="1:24" s="105" customFormat="1" ht="20.25" customHeight="1" x14ac:dyDescent="0.3">
      <c r="A51" s="85"/>
      <c r="B51" s="86"/>
      <c r="C51" s="86"/>
      <c r="D51" s="86"/>
      <c r="E51" s="86"/>
      <c r="F51" s="85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</row>
    <row r="52" spans="1:24" s="105" customFormat="1" ht="20.25" customHeight="1" x14ac:dyDescent="0.3">
      <c r="A52" s="85"/>
      <c r="B52" s="86"/>
      <c r="C52" s="86"/>
      <c r="D52" s="86"/>
      <c r="E52" s="86"/>
      <c r="F52" s="85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</row>
    <row r="53" spans="1:24" s="105" customFormat="1" ht="20.25" customHeight="1" x14ac:dyDescent="0.3">
      <c r="A53" s="85"/>
      <c r="B53" s="86"/>
      <c r="C53" s="86"/>
      <c r="D53" s="86"/>
      <c r="E53" s="86"/>
      <c r="F53" s="85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</row>
    <row r="54" spans="1:24" s="105" customFormat="1" ht="20.25" customHeight="1" x14ac:dyDescent="0.3">
      <c r="A54" s="85"/>
      <c r="B54" s="86"/>
      <c r="C54" s="86"/>
      <c r="D54" s="86"/>
      <c r="E54" s="86"/>
      <c r="F54" s="85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</row>
    <row r="55" spans="1:24" s="105" customFormat="1" ht="20.25" customHeight="1" x14ac:dyDescent="0.3">
      <c r="A55" s="85"/>
      <c r="B55" s="86"/>
      <c r="C55" s="86"/>
      <c r="D55" s="86"/>
      <c r="E55" s="86"/>
      <c r="F55" s="85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</row>
    <row r="56" spans="1:24" s="105" customFormat="1" ht="20.25" customHeight="1" x14ac:dyDescent="0.3">
      <c r="A56" s="85"/>
      <c r="B56" s="86"/>
      <c r="C56" s="86"/>
      <c r="D56" s="86"/>
      <c r="E56" s="86"/>
      <c r="F56" s="85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</row>
    <row r="57" spans="1:24" s="105" customFormat="1" ht="20.25" customHeight="1" x14ac:dyDescent="0.3">
      <c r="A57" s="85"/>
      <c r="B57" s="86"/>
      <c r="C57" s="86"/>
      <c r="D57" s="86"/>
      <c r="E57" s="86"/>
      <c r="F57" s="85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</row>
    <row r="58" spans="1:24" s="105" customFormat="1" ht="20.25" customHeight="1" x14ac:dyDescent="0.3">
      <c r="A58" s="17"/>
      <c r="B58" s="18"/>
      <c r="C58" s="18"/>
      <c r="D58" s="18"/>
      <c r="E58" s="18"/>
      <c r="F58" s="17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1:24" s="105" customFormat="1" ht="20.25" customHeight="1" x14ac:dyDescent="0.3">
      <c r="A59" s="17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1:24" s="105" customFormat="1" ht="20.25" customHeight="1" x14ac:dyDescent="0.3">
      <c r="A60" s="17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spans="1:24" s="105" customFormat="1" ht="20.25" customHeight="1" x14ac:dyDescent="0.3">
      <c r="A61" s="17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spans="1:24" s="105" customFormat="1" ht="20.25" customHeight="1" x14ac:dyDescent="0.3">
      <c r="A62" s="17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spans="1:24" s="105" customFormat="1" ht="20.25" customHeight="1" x14ac:dyDescent="0.3">
      <c r="A63" s="17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4" s="105" customFormat="1" ht="20.25" customHeight="1" x14ac:dyDescent="0.3">
      <c r="A64" s="17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 spans="1:24" s="105" customFormat="1" ht="20.25" customHeight="1" x14ac:dyDescent="0.3">
      <c r="A65" s="17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spans="1:24" s="105" customFormat="1" ht="20.25" customHeight="1" x14ac:dyDescent="0.3">
      <c r="A66" s="17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spans="1:24" s="105" customFormat="1" ht="20.25" customHeight="1" x14ac:dyDescent="0.3">
      <c r="A67" s="17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 spans="1:24" s="105" customFormat="1" ht="20.25" customHeight="1" x14ac:dyDescent="0.3">
      <c r="A68" s="17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spans="1:24" s="105" customFormat="1" ht="20.25" customHeight="1" x14ac:dyDescent="0.3">
      <c r="A69" s="17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spans="1:24" s="105" customFormat="1" ht="20.25" customHeight="1" x14ac:dyDescent="0.3">
      <c r="A70" s="17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spans="1:24" s="105" customFormat="1" ht="20.25" customHeight="1" x14ac:dyDescent="0.3">
      <c r="A71" s="17"/>
      <c r="B71" s="17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 spans="1:24" s="105" customFormat="1" ht="20.25" customHeight="1" x14ac:dyDescent="0.3">
      <c r="A72" s="17"/>
      <c r="B72" s="17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spans="1:24" s="105" customFormat="1" ht="20.25" customHeight="1" x14ac:dyDescent="0.3">
      <c r="A73" s="17"/>
      <c r="B73" s="17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 spans="1:24" s="105" customFormat="1" ht="20.25" customHeight="1" x14ac:dyDescent="0.3">
      <c r="A74" s="17"/>
      <c r="B74" s="17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 spans="1:24" s="105" customFormat="1" ht="20.25" hidden="1" customHeight="1" x14ac:dyDescent="0.3">
      <c r="A75" s="17"/>
      <c r="B75" s="17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spans="1:24" s="105" customFormat="1" ht="20.25" hidden="1" customHeight="1" x14ac:dyDescent="0.3">
      <c r="A76" s="17"/>
      <c r="B76" s="17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spans="1:24" s="105" customFormat="1" ht="20.25" hidden="1" customHeight="1" x14ac:dyDescent="0.3">
      <c r="A77" s="18"/>
      <c r="B77" s="17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 spans="1:24" s="105" customFormat="1" ht="20.25" hidden="1" customHeight="1" x14ac:dyDescent="0.3">
      <c r="A78" s="18"/>
      <c r="B78" s="17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 spans="1:24" s="105" customFormat="1" ht="20.25" hidden="1" customHeight="1" x14ac:dyDescent="0.3">
      <c r="A79" s="18"/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spans="1:24" s="105" customFormat="1" ht="20.25" hidden="1" customHeight="1" x14ac:dyDescent="0.3">
      <c r="A80" s="18"/>
      <c r="B80" s="17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 spans="1:24" s="105" customFormat="1" ht="20.25" hidden="1" customHeight="1" x14ac:dyDescent="0.3">
      <c r="A81" s="18"/>
      <c r="B81" s="17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 spans="1:24" s="105" customFormat="1" ht="20.25" hidden="1" customHeight="1" x14ac:dyDescent="0.3">
      <c r="A82" s="18"/>
      <c r="B82" s="17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 spans="1:24" s="105" customFormat="1" ht="20.25" hidden="1" customHeight="1" x14ac:dyDescent="0.3">
      <c r="A83" s="18"/>
      <c r="B83" s="17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 spans="1:24" s="105" customFormat="1" ht="20.25" hidden="1" customHeight="1" x14ac:dyDescent="0.3">
      <c r="A84" s="18"/>
      <c r="B84" s="17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spans="1:24" s="105" customFormat="1" ht="20.25" hidden="1" customHeight="1" x14ac:dyDescent="0.3">
      <c r="A85" s="18"/>
      <c r="B85" s="17"/>
      <c r="C85" s="18"/>
      <c r="D85" s="18"/>
      <c r="E85" s="18"/>
      <c r="F85" s="18"/>
      <c r="G85" s="18"/>
      <c r="H85" s="19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spans="1:24" s="105" customFormat="1" ht="20.25" hidden="1" customHeight="1" x14ac:dyDescent="0.3">
      <c r="A86" s="18"/>
      <c r="B86" s="17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 spans="1:24" s="105" customFormat="1" ht="20.25" hidden="1" customHeight="1" x14ac:dyDescent="0.3">
      <c r="A87" s="18"/>
      <c r="B87" s="17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 spans="1:24" s="105" customFormat="1" ht="20.25" hidden="1" customHeight="1" x14ac:dyDescent="0.3">
      <c r="A88" s="18"/>
      <c r="B88" s="17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 spans="1:24" s="105" customFormat="1" ht="20.25" hidden="1" customHeight="1" x14ac:dyDescent="0.3">
      <c r="A89" s="18"/>
      <c r="B89" s="17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 spans="1:24" s="105" customFormat="1" ht="20.25" hidden="1" customHeight="1" x14ac:dyDescent="0.3">
      <c r="A90" s="18"/>
      <c r="B90" s="17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 spans="1:24" s="105" customFormat="1" ht="20.25" hidden="1" customHeight="1" x14ac:dyDescent="0.3">
      <c r="A91" s="18"/>
      <c r="B91" s="17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 spans="1:24" s="105" customFormat="1" ht="20.25" hidden="1" customHeight="1" x14ac:dyDescent="0.3">
      <c r="A92" s="18"/>
      <c r="B92" s="17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</row>
    <row r="93" spans="1:24" s="105" customFormat="1" ht="20.25" hidden="1" customHeight="1" x14ac:dyDescent="0.3">
      <c r="A93" s="18"/>
      <c r="B93" s="17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 spans="1:24" s="105" customFormat="1" ht="20.25" hidden="1" customHeight="1" x14ac:dyDescent="0.3">
      <c r="A94" s="18"/>
      <c r="B94" s="17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spans="1:24" s="105" customFormat="1" ht="20.25" hidden="1" customHeight="1" x14ac:dyDescent="0.3">
      <c r="A95" s="18"/>
      <c r="B95" s="17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 spans="1:24" s="105" customFormat="1" ht="20.25" hidden="1" customHeight="1" x14ac:dyDescent="0.3">
      <c r="A96" s="18"/>
      <c r="B96" s="17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spans="1:24" s="105" customFormat="1" ht="20.25" hidden="1" customHeight="1" x14ac:dyDescent="0.3">
      <c r="A97" s="18"/>
      <c r="B97" s="17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 spans="1:24" s="105" customFormat="1" ht="20.25" hidden="1" customHeight="1" x14ac:dyDescent="0.3">
      <c r="A98" s="18"/>
      <c r="B98" s="17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 spans="1:24" s="105" customFormat="1" ht="20.25" hidden="1" customHeight="1" x14ac:dyDescent="0.3">
      <c r="A99" s="18"/>
      <c r="B99" s="17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 spans="1:24" s="105" customFormat="1" ht="20.25" hidden="1" customHeight="1" x14ac:dyDescent="0.3">
      <c r="A100" s="18"/>
      <c r="B100" s="17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 spans="1:24" s="105" customFormat="1" ht="20.25" hidden="1" customHeight="1" x14ac:dyDescent="0.3">
      <c r="A101" s="18"/>
      <c r="B101" s="17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 spans="1:24" s="105" customFormat="1" ht="20.25" hidden="1" customHeight="1" x14ac:dyDescent="0.3">
      <c r="A102" s="18"/>
      <c r="B102" s="17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 spans="1:24" s="105" customFormat="1" ht="20.25" hidden="1" customHeight="1" x14ac:dyDescent="0.3">
      <c r="A103" s="18"/>
      <c r="B103" s="17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 spans="1:24" s="105" customFormat="1" ht="20.25" hidden="1" customHeight="1" x14ac:dyDescent="0.3">
      <c r="A104" s="18"/>
      <c r="B104" s="17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 spans="1:24" s="105" customFormat="1" ht="20.25" hidden="1" customHeight="1" x14ac:dyDescent="0.3">
      <c r="A105" s="18"/>
      <c r="B105" s="17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 spans="1:24" s="105" customFormat="1" ht="20.25" hidden="1" customHeight="1" x14ac:dyDescent="0.3">
      <c r="A106" s="18"/>
      <c r="B106" s="17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 spans="1:24" s="105" customFormat="1" ht="20.25" hidden="1" customHeight="1" x14ac:dyDescent="0.3">
      <c r="A107" s="18"/>
      <c r="B107" s="17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spans="1:24" s="105" customFormat="1" ht="20.25" hidden="1" customHeight="1" x14ac:dyDescent="0.3">
      <c r="A108" s="18"/>
      <c r="B108" s="17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  <row r="109" spans="1:24" s="105" customFormat="1" ht="20.25" hidden="1" customHeight="1" x14ac:dyDescent="0.3">
      <c r="A109" s="18"/>
      <c r="B109" s="17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</row>
    <row r="110" spans="1:24" s="105" customFormat="1" ht="20.25" hidden="1" customHeight="1" x14ac:dyDescent="0.3">
      <c r="A110" s="18"/>
      <c r="B110" s="17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 spans="1:24" s="105" customFormat="1" ht="20.25" hidden="1" customHeight="1" x14ac:dyDescent="0.3">
      <c r="A111" s="18"/>
      <c r="B111" s="17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 spans="1:24" s="105" customFormat="1" ht="20.25" hidden="1" customHeight="1" x14ac:dyDescent="0.3">
      <c r="A112" s="18"/>
      <c r="B112" s="17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</row>
    <row r="113" spans="1:24" s="105" customFormat="1" ht="20.25" hidden="1" customHeight="1" x14ac:dyDescent="0.3">
      <c r="A113" s="18"/>
      <c r="B113" s="17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 spans="1:24" s="105" customFormat="1" ht="20.25" hidden="1" customHeight="1" x14ac:dyDescent="0.3">
      <c r="A114" s="20"/>
      <c r="B114" s="21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</row>
    <row r="115" spans="1:24" s="112" customFormat="1" ht="20.25" customHeight="1" x14ac:dyDescent="0.3">
      <c r="A115" s="111">
        <f t="shared" ref="A115:X115" si="1">SUM(A9:A114)</f>
        <v>0</v>
      </c>
      <c r="B115" s="111">
        <f t="shared" si="1"/>
        <v>0</v>
      </c>
      <c r="C115" s="111">
        <f t="shared" si="1"/>
        <v>0</v>
      </c>
      <c r="D115" s="111">
        <f>SUM(D9:D114)</f>
        <v>0</v>
      </c>
      <c r="E115" s="111">
        <f t="shared" si="1"/>
        <v>0</v>
      </c>
      <c r="F115" s="111">
        <f t="shared" si="1"/>
        <v>0</v>
      </c>
      <c r="G115" s="111">
        <f t="shared" si="1"/>
        <v>0</v>
      </c>
      <c r="H115" s="111">
        <f t="shared" si="1"/>
        <v>0</v>
      </c>
      <c r="I115" s="111">
        <f t="shared" si="1"/>
        <v>0</v>
      </c>
      <c r="J115" s="111">
        <f t="shared" si="1"/>
        <v>0</v>
      </c>
      <c r="K115" s="111">
        <f t="shared" si="1"/>
        <v>0</v>
      </c>
      <c r="L115" s="111">
        <f t="shared" si="1"/>
        <v>0</v>
      </c>
      <c r="M115" s="111">
        <f t="shared" si="1"/>
        <v>0</v>
      </c>
      <c r="N115" s="111">
        <f t="shared" si="1"/>
        <v>0</v>
      </c>
      <c r="O115" s="111">
        <f t="shared" si="1"/>
        <v>0</v>
      </c>
      <c r="P115" s="111">
        <f t="shared" si="1"/>
        <v>0</v>
      </c>
      <c r="Q115" s="111">
        <f t="shared" si="1"/>
        <v>0</v>
      </c>
      <c r="R115" s="111">
        <f t="shared" si="1"/>
        <v>0</v>
      </c>
      <c r="S115" s="111">
        <f t="shared" si="1"/>
        <v>0</v>
      </c>
      <c r="T115" s="111">
        <f t="shared" si="1"/>
        <v>0</v>
      </c>
      <c r="U115" s="111">
        <f t="shared" si="1"/>
        <v>0</v>
      </c>
      <c r="V115" s="111">
        <f t="shared" si="1"/>
        <v>0</v>
      </c>
      <c r="W115" s="111">
        <f t="shared" si="1"/>
        <v>0</v>
      </c>
      <c r="X115" s="111">
        <f t="shared" si="1"/>
        <v>0</v>
      </c>
    </row>
    <row r="116" spans="1:24" ht="20.25" customHeight="1" thickBot="1" x14ac:dyDescent="0.3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124"/>
      <c r="N116" s="124"/>
      <c r="O116" s="124"/>
      <c r="P116" s="124"/>
      <c r="Q116" s="124"/>
      <c r="R116" s="124"/>
      <c r="S116" s="124"/>
      <c r="T116" s="124" t="s">
        <v>36</v>
      </c>
      <c r="U116" s="124"/>
      <c r="V116" s="124"/>
      <c r="W116" s="124"/>
      <c r="X116" s="124"/>
    </row>
    <row r="117" spans="1:24" ht="20.25" customHeight="1" thickBot="1" x14ac:dyDescent="0.35">
      <c r="A117" s="6"/>
      <c r="B117" s="7">
        <f>B115-A115</f>
        <v>0</v>
      </c>
      <c r="C117" s="6"/>
      <c r="D117" s="7">
        <f>D115-C115</f>
        <v>0</v>
      </c>
      <c r="E117" s="6"/>
      <c r="F117" s="7">
        <f>F115-E115</f>
        <v>0</v>
      </c>
      <c r="G117" s="6"/>
      <c r="H117" s="7">
        <f>H115-G115</f>
        <v>0</v>
      </c>
      <c r="I117" s="6"/>
      <c r="J117" s="7">
        <f>J115-I115</f>
        <v>0</v>
      </c>
      <c r="K117" s="6"/>
      <c r="L117" s="7">
        <f>L115-K115</f>
        <v>0</v>
      </c>
      <c r="M117" s="124"/>
      <c r="N117" s="7">
        <f>N115-M115</f>
        <v>0</v>
      </c>
      <c r="O117" s="124"/>
      <c r="P117" s="7">
        <f>P115-O115</f>
        <v>0</v>
      </c>
      <c r="Q117" s="124"/>
      <c r="R117" s="7">
        <f>R115-Q115</f>
        <v>0</v>
      </c>
      <c r="S117" s="124"/>
      <c r="T117" s="7">
        <f>T115-S115</f>
        <v>0</v>
      </c>
      <c r="U117" s="124"/>
      <c r="V117" s="7">
        <f>V115-U115</f>
        <v>0</v>
      </c>
      <c r="W117" s="124"/>
      <c r="X117" s="7">
        <f>X115-W115</f>
        <v>0</v>
      </c>
    </row>
    <row r="65590" ht="20.25" customHeight="1" x14ac:dyDescent="0.3"/>
  </sheetData>
  <sheetProtection password="CA9C" sheet="1" objects="1" scenarios="1" insertRows="0" deleteRows="0"/>
  <mergeCells count="22">
    <mergeCell ref="T4:U4"/>
    <mergeCell ref="H4:I4"/>
    <mergeCell ref="E4:F4"/>
    <mergeCell ref="B4:C4"/>
    <mergeCell ref="B3:C3"/>
    <mergeCell ref="Q4:R4"/>
    <mergeCell ref="W7:X7"/>
    <mergeCell ref="A1:L1"/>
    <mergeCell ref="M1:X1"/>
    <mergeCell ref="B5:K5"/>
    <mergeCell ref="N5:W5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65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IncomeFactor!$B$3:$B$36</xm:f>
          </x14:formula1>
          <xm:sqref>B5:K5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25"/>
  </sheetPr>
  <dimension ref="A1:X65536"/>
  <sheetViews>
    <sheetView showGridLines="0" zoomScale="70" zoomScaleNormal="70" workbookViewId="0">
      <pane ySplit="8" topLeftCell="A9" activePane="bottomLeft" state="frozen"/>
      <selection activeCell="G12" sqref="G12"/>
      <selection pane="bottomLeft" activeCell="A7" sqref="A7:L7"/>
    </sheetView>
  </sheetViews>
  <sheetFormatPr defaultColWidth="9" defaultRowHeight="11.5" x14ac:dyDescent="0.3"/>
  <cols>
    <col min="1" max="1" width="12.5" style="1" customWidth="1"/>
    <col min="2" max="2" width="9.33203125" style="1" customWidth="1"/>
    <col min="3" max="3" width="12.5" style="1" customWidth="1"/>
    <col min="4" max="4" width="9.33203125" style="1" customWidth="1"/>
    <col min="5" max="5" width="12.5" style="1" customWidth="1"/>
    <col min="6" max="6" width="9.33203125" style="1" customWidth="1"/>
    <col min="7" max="7" width="12.5" style="1" customWidth="1"/>
    <col min="8" max="8" width="9.33203125" style="1" customWidth="1"/>
    <col min="9" max="9" width="12.5" style="1" customWidth="1"/>
    <col min="10" max="10" width="9.33203125" style="1" customWidth="1"/>
    <col min="11" max="11" width="12.5" style="1" customWidth="1"/>
    <col min="12" max="12" width="9.33203125" style="1" customWidth="1"/>
    <col min="13" max="13" width="12.5" style="106" customWidth="1"/>
    <col min="14" max="14" width="9.33203125" style="106" customWidth="1"/>
    <col min="15" max="15" width="12.5" style="106" customWidth="1"/>
    <col min="16" max="16" width="9.33203125" style="106" customWidth="1"/>
    <col min="17" max="17" width="12.5" style="106" customWidth="1"/>
    <col min="18" max="18" width="9.33203125" style="106" customWidth="1"/>
    <col min="19" max="19" width="12.5" style="106" customWidth="1"/>
    <col min="20" max="20" width="9.33203125" style="106" customWidth="1"/>
    <col min="21" max="21" width="12.5" style="106" customWidth="1"/>
    <col min="22" max="22" width="9.33203125" style="106" customWidth="1"/>
    <col min="23" max="23" width="12.5" style="106" customWidth="1"/>
    <col min="24" max="24" width="9.33203125" style="106" customWidth="1"/>
    <col min="25" max="48" width="9" style="106" customWidth="1"/>
    <col min="49" max="16384" width="9" style="106"/>
  </cols>
  <sheetData>
    <row r="1" spans="1:24" ht="20.25" customHeight="1" x14ac:dyDescent="0.3">
      <c r="A1" s="131" t="s">
        <v>15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 t="str">
        <f>A1</f>
        <v>รายละเอียดบัญชี</v>
      </c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</row>
    <row r="3" spans="1:24" ht="20.25" customHeight="1" x14ac:dyDescent="0.3">
      <c r="A3" s="2" t="s">
        <v>16</v>
      </c>
      <c r="B3" s="137"/>
      <c r="C3" s="137"/>
      <c r="D3" s="114" t="s">
        <v>10</v>
      </c>
      <c r="E3" s="3">
        <v>1</v>
      </c>
      <c r="G3" s="22">
        <f t="shared" ref="G3:I3" ca="1" si="0">TODAY()-1</f>
        <v>46112</v>
      </c>
      <c r="H3" s="22">
        <f t="shared" ca="1" si="0"/>
        <v>46112</v>
      </c>
      <c r="I3" s="22">
        <f t="shared" ca="1" si="0"/>
        <v>46112</v>
      </c>
      <c r="J3" s="22"/>
      <c r="K3" s="22"/>
      <c r="M3" s="107" t="str">
        <f t="shared" ref="M3:N5" si="1">A3</f>
        <v>ชื่อ-นามสกุลลูกค้า</v>
      </c>
      <c r="N3" s="138">
        <f t="shared" si="1"/>
        <v>0</v>
      </c>
      <c r="O3" s="138"/>
      <c r="P3" s="107" t="str">
        <f>D3</f>
        <v>สัดส่วนผู้ถือหุ้น</v>
      </c>
      <c r="Q3" s="117">
        <f>E3</f>
        <v>1</v>
      </c>
    </row>
    <row r="4" spans="1:24" ht="20.25" customHeight="1" x14ac:dyDescent="0.3">
      <c r="A4" s="114" t="s">
        <v>1</v>
      </c>
      <c r="B4" s="137"/>
      <c r="C4" s="137"/>
      <c r="D4" s="114" t="s">
        <v>4</v>
      </c>
      <c r="E4" s="137"/>
      <c r="F4" s="137"/>
      <c r="G4" s="114" t="s">
        <v>6</v>
      </c>
      <c r="H4" s="145"/>
      <c r="I4" s="145"/>
      <c r="K4" s="23">
        <f ca="1">'Statement AC1'!K4</f>
        <v>8147.9666666666662</v>
      </c>
      <c r="L4" s="106"/>
      <c r="M4" s="107" t="str">
        <f t="shared" si="1"/>
        <v>ชื่อธนาคาร</v>
      </c>
      <c r="N4" s="138">
        <f t="shared" si="1"/>
        <v>0</v>
      </c>
      <c r="O4" s="138"/>
      <c r="P4" s="107" t="str">
        <f>D4</f>
        <v>ชื่อบัญชี</v>
      </c>
      <c r="Q4" s="138">
        <f>E4</f>
        <v>0</v>
      </c>
      <c r="R4" s="138"/>
      <c r="S4" s="107" t="str">
        <f>G4</f>
        <v>เลขที่บัญชี</v>
      </c>
      <c r="T4" s="135">
        <f>H4</f>
        <v>0</v>
      </c>
      <c r="U4" s="135"/>
    </row>
    <row r="5" spans="1:24" ht="46.5" customHeight="1" x14ac:dyDescent="0.3">
      <c r="A5" s="121" t="s">
        <v>17</v>
      </c>
      <c r="B5" s="144" t="s">
        <v>46</v>
      </c>
      <c r="C5" s="144"/>
      <c r="D5" s="144"/>
      <c r="E5" s="144"/>
      <c r="F5" s="144"/>
      <c r="G5" s="144"/>
      <c r="H5" s="144"/>
      <c r="I5" s="144"/>
      <c r="J5" s="144"/>
      <c r="K5" s="144"/>
      <c r="L5" s="24" t="str">
        <f>LEFT(B5,2)</f>
        <v>10</v>
      </c>
      <c r="M5" s="114" t="str">
        <f t="shared" si="1"/>
        <v>ประเภทธุรกิจ</v>
      </c>
      <c r="N5" s="134" t="str">
        <f>B5</f>
        <v>10 ค้าปลีกอื่นๆ เช่น ผู้ค้าโทรศัพท์มือถือ, ร้าน 7 Eleven (Type C), ดิสเคาน์สโตร์,
จำหน่ายอุปกรณ์ ชิ้นส่วนยานยนต์, จำหน่ายปุ๋ย และ เคมีภัณฑ์เกษตร, ร้านขายเครื่องใช้ไฟฟ้า และ ร้านขายอุปกรณ์อิเล็กทรอนิกส์ และ ธุรกิจค้าปลีกอื่นๆ</v>
      </c>
      <c r="O5" s="134"/>
      <c r="P5" s="134"/>
      <c r="Q5" s="134"/>
      <c r="R5" s="134"/>
      <c r="S5" s="134"/>
      <c r="T5" s="134"/>
      <c r="U5" s="134"/>
      <c r="V5" s="134"/>
      <c r="W5" s="134"/>
      <c r="X5" s="125"/>
    </row>
    <row r="6" spans="1:24" ht="20.25" customHeight="1" x14ac:dyDescent="0.3">
      <c r="A6" s="107" t="s">
        <v>9</v>
      </c>
      <c r="B6" s="104">
        <f ca="1">IF(ISERROR(IF($K$4&lt;=36,VLOOKUP($L5,IncomeFactor!$A:$D,3,FALSE),VLOOKUP($L5,IncomeFactor!$A:$D,4,FALSE))),"",IF($K$4&lt;=36,VLOOKUP($L5,IncomeFactor!$A:$D,3,FALSE),VLOOKUP($L5,IncomeFactor!$A:$D,4,FALSE)))</f>
        <v>0.2</v>
      </c>
      <c r="D6" s="107"/>
      <c r="E6" s="107"/>
      <c r="F6" s="107"/>
      <c r="G6" s="107"/>
      <c r="H6" s="107"/>
      <c r="I6" s="107"/>
      <c r="J6" s="107"/>
      <c r="K6" s="106"/>
      <c r="L6" s="106"/>
      <c r="M6" s="107" t="str">
        <f>A6</f>
        <v>Income Factor</v>
      </c>
      <c r="N6" s="108">
        <f ca="1">B6</f>
        <v>0.2</v>
      </c>
    </row>
    <row r="7" spans="1:24" s="105" customFormat="1" ht="20.25" customHeight="1" x14ac:dyDescent="0.3">
      <c r="A7" s="130">
        <v>243650</v>
      </c>
      <c r="B7" s="130"/>
      <c r="C7" s="130">
        <v>243678</v>
      </c>
      <c r="D7" s="130"/>
      <c r="E7" s="130">
        <v>243709</v>
      </c>
      <c r="F7" s="130"/>
      <c r="G7" s="130">
        <v>243739</v>
      </c>
      <c r="H7" s="130"/>
      <c r="I7" s="130">
        <v>243770</v>
      </c>
      <c r="J7" s="130"/>
      <c r="K7" s="130">
        <v>243800</v>
      </c>
      <c r="L7" s="130"/>
      <c r="M7" s="130">
        <v>242278</v>
      </c>
      <c r="N7" s="130"/>
      <c r="O7" s="130">
        <v>242309</v>
      </c>
      <c r="P7" s="130"/>
      <c r="Q7" s="130">
        <v>242339</v>
      </c>
      <c r="R7" s="130"/>
      <c r="S7" s="130">
        <v>242370</v>
      </c>
      <c r="T7" s="130"/>
      <c r="U7" s="130">
        <v>242401</v>
      </c>
      <c r="V7" s="130"/>
      <c r="W7" s="130">
        <v>242431</v>
      </c>
      <c r="X7" s="130"/>
    </row>
    <row r="8" spans="1:24" ht="59.25" customHeight="1" x14ac:dyDescent="0.3">
      <c r="A8" s="109" t="s">
        <v>19</v>
      </c>
      <c r="B8" s="110" t="s">
        <v>20</v>
      </c>
      <c r="C8" s="109" t="s">
        <v>19</v>
      </c>
      <c r="D8" s="110" t="s">
        <v>20</v>
      </c>
      <c r="E8" s="109" t="s">
        <v>19</v>
      </c>
      <c r="F8" s="110" t="s">
        <v>20</v>
      </c>
      <c r="G8" s="109" t="s">
        <v>19</v>
      </c>
      <c r="H8" s="110" t="s">
        <v>20</v>
      </c>
      <c r="I8" s="109" t="s">
        <v>19</v>
      </c>
      <c r="J8" s="110" t="s">
        <v>20</v>
      </c>
      <c r="K8" s="109" t="s">
        <v>19</v>
      </c>
      <c r="L8" s="110" t="s">
        <v>20</v>
      </c>
      <c r="M8" s="109" t="s">
        <v>19</v>
      </c>
      <c r="N8" s="110" t="s">
        <v>20</v>
      </c>
      <c r="O8" s="109" t="s">
        <v>19</v>
      </c>
      <c r="P8" s="110" t="s">
        <v>20</v>
      </c>
      <c r="Q8" s="109" t="s">
        <v>19</v>
      </c>
      <c r="R8" s="110" t="s">
        <v>20</v>
      </c>
      <c r="S8" s="109" t="s">
        <v>19</v>
      </c>
      <c r="T8" s="110" t="s">
        <v>20</v>
      </c>
      <c r="U8" s="109" t="s">
        <v>19</v>
      </c>
      <c r="V8" s="110" t="s">
        <v>20</v>
      </c>
      <c r="W8" s="109" t="s">
        <v>19</v>
      </c>
      <c r="X8" s="110" t="s">
        <v>20</v>
      </c>
    </row>
    <row r="9" spans="1:24" s="105" customFormat="1" ht="20.25" customHeight="1" x14ac:dyDescent="0.3">
      <c r="A9" s="15"/>
      <c r="B9" s="16"/>
      <c r="C9" s="16"/>
      <c r="D9" s="16"/>
      <c r="E9" s="16"/>
      <c r="F9" s="15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4" s="105" customFormat="1" ht="20.25" customHeight="1" x14ac:dyDescent="0.3">
      <c r="A10" s="17"/>
      <c r="B10" s="18"/>
      <c r="C10" s="18"/>
      <c r="D10" s="18"/>
      <c r="E10" s="18"/>
      <c r="F10" s="17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1:24" s="105" customFormat="1" ht="20.25" customHeight="1" x14ac:dyDescent="0.3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spans="1:24" s="105" customFormat="1" ht="20.25" customHeight="1" x14ac:dyDescent="0.3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spans="1:24" s="105" customFormat="1" ht="20.25" customHeight="1" x14ac:dyDescent="0.3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spans="1:24" s="105" customFormat="1" ht="20.25" customHeight="1" x14ac:dyDescent="0.3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spans="1:24" s="105" customFormat="1" ht="20.25" customHeight="1" x14ac:dyDescent="0.3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spans="1:24" s="105" customFormat="1" ht="20.25" customHeight="1" x14ac:dyDescent="0.3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spans="1:24" s="105" customFormat="1" ht="20.25" customHeight="1" x14ac:dyDescent="0.3">
      <c r="A17" s="17"/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1:24" s="105" customFormat="1" ht="20.25" customHeight="1" x14ac:dyDescent="0.3">
      <c r="A18" s="17"/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4" s="105" customFormat="1" ht="20.25" customHeight="1" x14ac:dyDescent="0.3">
      <c r="A19" s="17"/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spans="1:24" s="105" customFormat="1" ht="20.25" customHeight="1" x14ac:dyDescent="0.3">
      <c r="A20" s="17"/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spans="1:24" s="105" customFormat="1" ht="20.25" customHeight="1" x14ac:dyDescent="0.3">
      <c r="A21" s="17"/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spans="1:24" s="105" customFormat="1" ht="20.25" customHeight="1" x14ac:dyDescent="0.3">
      <c r="A22" s="17"/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1:24" s="105" customFormat="1" ht="20.25" customHeight="1" x14ac:dyDescent="0.3">
      <c r="A23" s="18"/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1:24" s="105" customFormat="1" ht="20.25" customHeight="1" x14ac:dyDescent="0.3">
      <c r="A24" s="18"/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1:24" s="105" customFormat="1" ht="20.25" customHeight="1" x14ac:dyDescent="0.3">
      <c r="A25" s="18"/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 spans="1:24" s="105" customFormat="1" ht="20.25" customHeight="1" x14ac:dyDescent="0.3">
      <c r="A26" s="18"/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1:24" s="105" customFormat="1" ht="20.25" customHeight="1" x14ac:dyDescent="0.3">
      <c r="A27" s="18"/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1:24" s="105" customFormat="1" ht="20.25" customHeight="1" x14ac:dyDescent="0.3">
      <c r="A28" s="18"/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1:24" s="105" customFormat="1" ht="20.25" customHeight="1" x14ac:dyDescent="0.3">
      <c r="A29" s="18"/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1:24" s="105" customFormat="1" ht="20.25" customHeight="1" x14ac:dyDescent="0.3">
      <c r="A30" s="18"/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1:24" s="105" customFormat="1" ht="20.25" customHeight="1" x14ac:dyDescent="0.3">
      <c r="A31" s="18"/>
      <c r="B31" s="17"/>
      <c r="C31" s="18"/>
      <c r="D31" s="18"/>
      <c r="E31" s="18"/>
      <c r="F31" s="18"/>
      <c r="G31" s="18"/>
      <c r="H31" s="19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spans="1:24" s="105" customFormat="1" ht="20.25" customHeight="1" x14ac:dyDescent="0.3">
      <c r="A32" s="18"/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1:24" s="105" customFormat="1" ht="20.25" customHeight="1" x14ac:dyDescent="0.3">
      <c r="A33" s="18"/>
      <c r="B33" s="1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1:24" s="105" customFormat="1" ht="20.25" customHeight="1" x14ac:dyDescent="0.3">
      <c r="A34" s="18"/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spans="1:24" s="105" customFormat="1" ht="20.25" customHeight="1" x14ac:dyDescent="0.3">
      <c r="A35" s="18"/>
      <c r="B35" s="17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spans="1:24" s="105" customFormat="1" ht="20.25" customHeight="1" x14ac:dyDescent="0.3">
      <c r="A36" s="18"/>
      <c r="B36" s="17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1:24" s="105" customFormat="1" ht="20.25" customHeight="1" x14ac:dyDescent="0.3">
      <c r="A37" s="18"/>
      <c r="B37" s="17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1:24" s="105" customFormat="1" ht="20.25" customHeight="1" x14ac:dyDescent="0.3">
      <c r="A38" s="18"/>
      <c r="B38" s="17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spans="1:24" s="105" customFormat="1" ht="20.25" customHeight="1" x14ac:dyDescent="0.3">
      <c r="A39" s="18"/>
      <c r="B39" s="17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1:24" s="105" customFormat="1" ht="20.25" customHeight="1" x14ac:dyDescent="0.3">
      <c r="A40" s="18"/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1:24" s="105" customFormat="1" ht="20.25" customHeight="1" x14ac:dyDescent="0.3">
      <c r="A41" s="18"/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1:24" s="105" customFormat="1" ht="20.25" customHeight="1" x14ac:dyDescent="0.3">
      <c r="A42" s="18"/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1:24" s="105" customFormat="1" ht="20.25" customHeight="1" x14ac:dyDescent="0.3">
      <c r="A43" s="18"/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1:24" s="105" customFormat="1" ht="20.25" customHeight="1" x14ac:dyDescent="0.3">
      <c r="A44" s="18"/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4" s="105" customFormat="1" ht="20.25" customHeight="1" x14ac:dyDescent="0.3">
      <c r="A45" s="18"/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4" s="105" customFormat="1" ht="20.25" customHeight="1" x14ac:dyDescent="0.3">
      <c r="A46" s="18"/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1:24" s="105" customFormat="1" ht="20.25" customHeight="1" x14ac:dyDescent="0.3">
      <c r="A47" s="18"/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1:24" s="105" customFormat="1" ht="20.25" customHeight="1" x14ac:dyDescent="0.3">
      <c r="A48" s="18"/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4" s="105" customFormat="1" ht="20.25" customHeight="1" x14ac:dyDescent="0.3">
      <c r="A49" s="18"/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 s="105" customFormat="1" ht="20.25" customHeight="1" x14ac:dyDescent="0.3">
      <c r="A50" s="18"/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1:24" s="105" customFormat="1" ht="20.25" customHeight="1" x14ac:dyDescent="0.3">
      <c r="A51" s="18"/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1:24" s="105" customFormat="1" ht="20.25" customHeight="1" x14ac:dyDescent="0.3">
      <c r="A52" s="18"/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4" s="105" customFormat="1" ht="20.25" customHeight="1" x14ac:dyDescent="0.3">
      <c r="A53" s="18"/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1:24" s="105" customFormat="1" ht="20.25" customHeight="1" x14ac:dyDescent="0.3">
      <c r="A54" s="18"/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4" s="105" customFormat="1" ht="20.25" customHeight="1" x14ac:dyDescent="0.3">
      <c r="A55" s="18"/>
      <c r="B55" s="17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1:24" s="105" customFormat="1" ht="20.25" customHeight="1" x14ac:dyDescent="0.3">
      <c r="A56" s="18"/>
      <c r="B56" s="17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4" s="105" customFormat="1" ht="20.25" customHeight="1" x14ac:dyDescent="0.3">
      <c r="A57" s="18"/>
      <c r="B57" s="17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spans="1:24" s="105" customFormat="1" ht="20.25" customHeight="1" x14ac:dyDescent="0.3">
      <c r="A58" s="18"/>
      <c r="B58" s="17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1:24" s="105" customFormat="1" ht="20.25" customHeight="1" x14ac:dyDescent="0.3">
      <c r="A59" s="18"/>
      <c r="B59" s="17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1:24" s="105" customFormat="1" ht="20.25" customHeight="1" x14ac:dyDescent="0.3">
      <c r="A60" s="20"/>
      <c r="B60" s="21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</row>
    <row r="61" spans="1:24" s="112" customFormat="1" ht="20.25" customHeight="1" x14ac:dyDescent="0.3">
      <c r="A61" s="111">
        <f t="shared" ref="A61:X61" si="2">SUM(A9:A60)</f>
        <v>0</v>
      </c>
      <c r="B61" s="111">
        <f t="shared" si="2"/>
        <v>0</v>
      </c>
      <c r="C61" s="111">
        <f t="shared" si="2"/>
        <v>0</v>
      </c>
      <c r="D61" s="111">
        <f>SUM(D9:D60)</f>
        <v>0</v>
      </c>
      <c r="E61" s="111">
        <f t="shared" si="2"/>
        <v>0</v>
      </c>
      <c r="F61" s="111">
        <f t="shared" si="2"/>
        <v>0</v>
      </c>
      <c r="G61" s="111">
        <f t="shared" si="2"/>
        <v>0</v>
      </c>
      <c r="H61" s="111">
        <f t="shared" si="2"/>
        <v>0</v>
      </c>
      <c r="I61" s="111">
        <f t="shared" si="2"/>
        <v>0</v>
      </c>
      <c r="J61" s="111">
        <f t="shared" si="2"/>
        <v>0</v>
      </c>
      <c r="K61" s="111">
        <f t="shared" si="2"/>
        <v>0</v>
      </c>
      <c r="L61" s="111">
        <f t="shared" si="2"/>
        <v>0</v>
      </c>
      <c r="M61" s="111">
        <f t="shared" si="2"/>
        <v>0</v>
      </c>
      <c r="N61" s="111">
        <f t="shared" si="2"/>
        <v>0</v>
      </c>
      <c r="O61" s="111">
        <f t="shared" si="2"/>
        <v>0</v>
      </c>
      <c r="P61" s="111">
        <f t="shared" si="2"/>
        <v>0</v>
      </c>
      <c r="Q61" s="111">
        <f t="shared" si="2"/>
        <v>0</v>
      </c>
      <c r="R61" s="111">
        <f t="shared" si="2"/>
        <v>0</v>
      </c>
      <c r="S61" s="111">
        <f t="shared" si="2"/>
        <v>0</v>
      </c>
      <c r="T61" s="111">
        <f t="shared" si="2"/>
        <v>0</v>
      </c>
      <c r="U61" s="111">
        <f t="shared" si="2"/>
        <v>0</v>
      </c>
      <c r="V61" s="111">
        <f t="shared" si="2"/>
        <v>0</v>
      </c>
      <c r="W61" s="111">
        <f t="shared" si="2"/>
        <v>0</v>
      </c>
      <c r="X61" s="111">
        <f t="shared" si="2"/>
        <v>0</v>
      </c>
    </row>
    <row r="62" spans="1:24" ht="20.25" customHeight="1" thickBo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124"/>
      <c r="N62" s="124"/>
      <c r="O62" s="124"/>
      <c r="P62" s="124"/>
      <c r="Q62" s="124"/>
      <c r="R62" s="124"/>
      <c r="S62" s="124"/>
      <c r="T62" s="124" t="s">
        <v>36</v>
      </c>
      <c r="U62" s="124"/>
      <c r="V62" s="124"/>
      <c r="W62" s="124"/>
      <c r="X62" s="124"/>
    </row>
    <row r="63" spans="1:24" ht="20.25" customHeight="1" thickBot="1" x14ac:dyDescent="0.35">
      <c r="A63" s="6"/>
      <c r="B63" s="7">
        <f>B61-A61</f>
        <v>0</v>
      </c>
      <c r="C63" s="6"/>
      <c r="D63" s="7">
        <f>D61-C61</f>
        <v>0</v>
      </c>
      <c r="E63" s="6"/>
      <c r="F63" s="7">
        <f>F61-E61</f>
        <v>0</v>
      </c>
      <c r="G63" s="6"/>
      <c r="H63" s="7">
        <f>H61-G61</f>
        <v>0</v>
      </c>
      <c r="I63" s="6"/>
      <c r="J63" s="7">
        <f>J61-I61</f>
        <v>0</v>
      </c>
      <c r="K63" s="6"/>
      <c r="L63" s="7">
        <f>L61-K61</f>
        <v>0</v>
      </c>
      <c r="M63" s="124"/>
      <c r="N63" s="7">
        <f>N61-M61</f>
        <v>0</v>
      </c>
      <c r="O63" s="124"/>
      <c r="P63" s="7">
        <f>P61-O61</f>
        <v>0</v>
      </c>
      <c r="Q63" s="124"/>
      <c r="R63" s="7">
        <f>R61-Q61</f>
        <v>0</v>
      </c>
      <c r="S63" s="124"/>
      <c r="T63" s="7">
        <f>T61-S61</f>
        <v>0</v>
      </c>
      <c r="U63" s="124"/>
      <c r="V63" s="7">
        <f>V61-U61</f>
        <v>0</v>
      </c>
      <c r="W63" s="124"/>
      <c r="X63" s="7">
        <f>X61-W61</f>
        <v>0</v>
      </c>
    </row>
    <row r="65536" ht="20.25" customHeight="1" x14ac:dyDescent="0.3"/>
  </sheetData>
  <sheetProtection password="CA9C" sheet="1" objects="1" scenarios="1" insertRows="0" deleteRows="0"/>
  <mergeCells count="24">
    <mergeCell ref="T4:U4"/>
    <mergeCell ref="Q4:R4"/>
    <mergeCell ref="N3:O3"/>
    <mergeCell ref="N4:O4"/>
    <mergeCell ref="B3:C3"/>
    <mergeCell ref="B4:C4"/>
    <mergeCell ref="E4:F4"/>
    <mergeCell ref="H4:I4"/>
    <mergeCell ref="W7:X7"/>
    <mergeCell ref="A1:L1"/>
    <mergeCell ref="M1:X1"/>
    <mergeCell ref="B5:K5"/>
    <mergeCell ref="N5:W5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65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IncomeFactor!$B$3:$B$36</xm:f>
          </x14:formula1>
          <xm:sqref>B5:K5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25"/>
  </sheetPr>
  <dimension ref="A1:X65536"/>
  <sheetViews>
    <sheetView showGridLines="0" zoomScale="70" zoomScaleNormal="70" workbookViewId="0">
      <pane ySplit="8" topLeftCell="A9" activePane="bottomLeft" state="frozen"/>
      <selection activeCell="G12" sqref="G12"/>
      <selection pane="bottomLeft" activeCell="A7" sqref="A7:L7"/>
    </sheetView>
  </sheetViews>
  <sheetFormatPr defaultColWidth="9" defaultRowHeight="11.5" x14ac:dyDescent="0.3"/>
  <cols>
    <col min="1" max="1" width="12.5" style="1" customWidth="1"/>
    <col min="2" max="2" width="9.33203125" style="1" customWidth="1"/>
    <col min="3" max="3" width="12.5" style="1" customWidth="1"/>
    <col min="4" max="4" width="9.33203125" style="1" customWidth="1"/>
    <col min="5" max="5" width="12.5" style="1" customWidth="1"/>
    <col min="6" max="6" width="9.33203125" style="1" customWidth="1"/>
    <col min="7" max="7" width="12.5" style="1" customWidth="1"/>
    <col min="8" max="8" width="9.33203125" style="1" customWidth="1"/>
    <col min="9" max="9" width="12.5" style="1" customWidth="1"/>
    <col min="10" max="10" width="9.33203125" style="1" customWidth="1"/>
    <col min="11" max="11" width="12.5" style="1" customWidth="1"/>
    <col min="12" max="12" width="9.33203125" style="1" customWidth="1"/>
    <col min="13" max="13" width="12.5" style="1" customWidth="1"/>
    <col min="14" max="14" width="9.33203125" style="1" customWidth="1"/>
    <col min="15" max="15" width="12.5" style="1" customWidth="1"/>
    <col min="16" max="16" width="9.33203125" style="1" customWidth="1"/>
    <col min="17" max="17" width="12.5" style="1" customWidth="1"/>
    <col min="18" max="18" width="9.33203125" style="1" customWidth="1"/>
    <col min="19" max="19" width="12.5" style="1" customWidth="1"/>
    <col min="20" max="20" width="9.33203125" style="1" customWidth="1"/>
    <col min="21" max="21" width="12.5" style="1" customWidth="1"/>
    <col min="22" max="22" width="9.33203125" style="1" customWidth="1"/>
    <col min="23" max="23" width="12.5" style="1" customWidth="1"/>
    <col min="24" max="24" width="9.33203125" style="1" customWidth="1"/>
    <col min="25" max="25" width="2.5" style="106" customWidth="1"/>
    <col min="26" max="48" width="9" style="106" customWidth="1"/>
    <col min="49" max="16384" width="9" style="106"/>
  </cols>
  <sheetData>
    <row r="1" spans="1:24" ht="20.25" customHeight="1" x14ac:dyDescent="0.3">
      <c r="A1" s="146" t="s">
        <v>15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26" t="str">
        <f>A1</f>
        <v>รายละเอียดบัญชี</v>
      </c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</row>
    <row r="3" spans="1:24" ht="20.25" customHeight="1" x14ac:dyDescent="0.3">
      <c r="A3" s="2" t="s">
        <v>70</v>
      </c>
      <c r="B3" s="137"/>
      <c r="C3" s="137"/>
      <c r="D3" s="114" t="s">
        <v>10</v>
      </c>
      <c r="E3" s="82">
        <v>1</v>
      </c>
      <c r="K3" s="22"/>
      <c r="M3" s="2" t="str">
        <f t="shared" ref="M3:N5" si="0">A3</f>
        <v>ชื่อ-นามสกุลลูกค้า</v>
      </c>
      <c r="N3" s="149">
        <f t="shared" si="0"/>
        <v>0</v>
      </c>
      <c r="O3" s="149"/>
      <c r="P3" s="114" t="str">
        <f>D3</f>
        <v>สัดส่วนผู้ถือหุ้น</v>
      </c>
      <c r="Q3" s="127">
        <f>E3</f>
        <v>1</v>
      </c>
      <c r="W3" s="22"/>
      <c r="X3" s="2"/>
    </row>
    <row r="4" spans="1:24" ht="20.25" customHeight="1" x14ac:dyDescent="0.3">
      <c r="A4" s="114" t="s">
        <v>1</v>
      </c>
      <c r="B4" s="137"/>
      <c r="C4" s="137"/>
      <c r="D4" s="114" t="s">
        <v>4</v>
      </c>
      <c r="E4" s="137"/>
      <c r="F4" s="137"/>
      <c r="G4" s="114" t="s">
        <v>6</v>
      </c>
      <c r="H4" s="136"/>
      <c r="I4" s="136"/>
      <c r="K4" s="23">
        <f ca="1">'Statement AC1'!K4</f>
        <v>8147.9666666666662</v>
      </c>
      <c r="L4" s="106"/>
      <c r="M4" s="114" t="str">
        <f t="shared" si="0"/>
        <v>ชื่อธนาคาร</v>
      </c>
      <c r="N4" s="149">
        <f t="shared" si="0"/>
        <v>0</v>
      </c>
      <c r="O4" s="149"/>
      <c r="P4" s="114" t="str">
        <f>D4</f>
        <v>ชื่อบัญชี</v>
      </c>
      <c r="Q4" s="149">
        <f>E4</f>
        <v>0</v>
      </c>
      <c r="R4" s="149"/>
      <c r="S4" s="114" t="str">
        <f>G4</f>
        <v>เลขที่บัญชี</v>
      </c>
      <c r="T4" s="150">
        <f>H4</f>
        <v>0</v>
      </c>
      <c r="U4" s="150"/>
      <c r="W4" s="23"/>
      <c r="X4" s="114"/>
    </row>
    <row r="5" spans="1:24" ht="46.5" customHeight="1" x14ac:dyDescent="0.3">
      <c r="A5" s="121" t="s">
        <v>17</v>
      </c>
      <c r="B5" s="147" t="s">
        <v>46</v>
      </c>
      <c r="C5" s="147"/>
      <c r="D5" s="147"/>
      <c r="E5" s="147"/>
      <c r="F5" s="147"/>
      <c r="G5" s="147"/>
      <c r="H5" s="147"/>
      <c r="I5" s="147"/>
      <c r="J5" s="147"/>
      <c r="K5" s="147"/>
      <c r="L5" s="83" t="str">
        <f>LEFT(B5,2)</f>
        <v>10</v>
      </c>
      <c r="M5" s="121" t="str">
        <f t="shared" si="0"/>
        <v>ประเภทธุรกิจ</v>
      </c>
      <c r="N5" s="148" t="str">
        <f>B5</f>
        <v>10 ค้าปลีกอื่นๆ เช่น ผู้ค้าโทรศัพท์มือถือ, ร้าน 7 Eleven (Type C), ดิสเคาน์สโตร์,
จำหน่ายอุปกรณ์ ชิ้นส่วนยานยนต์, จำหน่ายปุ๋ย และ เคมีภัณฑ์เกษตร, ร้านขายเครื่องใช้ไฟฟ้า และ ร้านขายอุปกรณ์อิเล็กทรอนิกส์ และ ธุรกิจค้าปลีกอื่นๆ</v>
      </c>
      <c r="O5" s="148"/>
      <c r="P5" s="148"/>
      <c r="Q5" s="148"/>
      <c r="R5" s="148"/>
      <c r="S5" s="148"/>
      <c r="T5" s="148"/>
      <c r="U5" s="148"/>
      <c r="V5" s="148"/>
      <c r="W5" s="148"/>
      <c r="X5" s="121"/>
    </row>
    <row r="6" spans="1:24" ht="20.25" customHeight="1" x14ac:dyDescent="0.3">
      <c r="A6" s="114" t="s">
        <v>9</v>
      </c>
      <c r="B6" s="128">
        <f ca="1">IF(ISERROR(IF($K$4&lt;=36,VLOOKUP($L5,IncomeFactor!$A:$D,3,FALSE),VLOOKUP($L5,IncomeFactor!$A:$D,4,FALSE))),"",IF($K$4&lt;=36,VLOOKUP($L5,IncomeFactor!$A:$D,3,FALSE),VLOOKUP($L5,IncomeFactor!$A:$D,4,FALSE)))</f>
        <v>0.2</v>
      </c>
      <c r="D6" s="114"/>
      <c r="E6" s="114"/>
      <c r="F6" s="114"/>
      <c r="G6" s="114"/>
      <c r="H6" s="114"/>
      <c r="I6" s="114"/>
      <c r="J6" s="114"/>
      <c r="K6" s="106"/>
      <c r="L6" s="106"/>
      <c r="M6" s="114" t="str">
        <f>A6</f>
        <v>Income Factor</v>
      </c>
      <c r="N6" s="128">
        <f ca="1">B6</f>
        <v>0.2</v>
      </c>
      <c r="P6" s="114"/>
      <c r="Q6" s="114"/>
      <c r="R6" s="114"/>
      <c r="S6" s="114"/>
      <c r="T6" s="114"/>
      <c r="U6" s="114"/>
      <c r="V6" s="114"/>
      <c r="W6" s="106"/>
      <c r="X6" s="114"/>
    </row>
    <row r="7" spans="1:24" s="105" customFormat="1" ht="20.25" customHeight="1" x14ac:dyDescent="0.3">
      <c r="A7" s="130">
        <v>243435</v>
      </c>
      <c r="B7" s="130"/>
      <c r="C7" s="130">
        <v>243466</v>
      </c>
      <c r="D7" s="130"/>
      <c r="E7" s="130">
        <v>243497</v>
      </c>
      <c r="F7" s="130"/>
      <c r="G7" s="130">
        <v>243527</v>
      </c>
      <c r="H7" s="130"/>
      <c r="I7" s="130">
        <v>243558</v>
      </c>
      <c r="J7" s="130"/>
      <c r="K7" s="130">
        <v>243588</v>
      </c>
      <c r="L7" s="130"/>
      <c r="M7" s="130">
        <v>242278</v>
      </c>
      <c r="N7" s="130"/>
      <c r="O7" s="130">
        <v>242309</v>
      </c>
      <c r="P7" s="130"/>
      <c r="Q7" s="130">
        <v>242339</v>
      </c>
      <c r="R7" s="130"/>
      <c r="S7" s="130">
        <v>242370</v>
      </c>
      <c r="T7" s="130"/>
      <c r="U7" s="130">
        <v>242401</v>
      </c>
      <c r="V7" s="130"/>
      <c r="W7" s="130">
        <v>242431</v>
      </c>
      <c r="X7" s="130"/>
    </row>
    <row r="8" spans="1:24" ht="59.25" customHeight="1" x14ac:dyDescent="0.3">
      <c r="A8" s="109" t="s">
        <v>71</v>
      </c>
      <c r="B8" s="110" t="s">
        <v>20</v>
      </c>
      <c r="C8" s="109" t="s">
        <v>71</v>
      </c>
      <c r="D8" s="110" t="s">
        <v>20</v>
      </c>
      <c r="E8" s="109" t="s">
        <v>71</v>
      </c>
      <c r="F8" s="110" t="s">
        <v>20</v>
      </c>
      <c r="G8" s="109" t="s">
        <v>71</v>
      </c>
      <c r="H8" s="110" t="s">
        <v>20</v>
      </c>
      <c r="I8" s="109" t="s">
        <v>71</v>
      </c>
      <c r="J8" s="110" t="s">
        <v>20</v>
      </c>
      <c r="K8" s="109" t="s">
        <v>71</v>
      </c>
      <c r="L8" s="110" t="s">
        <v>20</v>
      </c>
      <c r="M8" s="109" t="s">
        <v>71</v>
      </c>
      <c r="N8" s="110" t="s">
        <v>20</v>
      </c>
      <c r="O8" s="109" t="s">
        <v>71</v>
      </c>
      <c r="P8" s="110" t="s">
        <v>20</v>
      </c>
      <c r="Q8" s="109" t="s">
        <v>71</v>
      </c>
      <c r="R8" s="110" t="s">
        <v>20</v>
      </c>
      <c r="S8" s="109" t="s">
        <v>71</v>
      </c>
      <c r="T8" s="110" t="s">
        <v>20</v>
      </c>
      <c r="U8" s="109" t="s">
        <v>71</v>
      </c>
      <c r="V8" s="110" t="s">
        <v>20</v>
      </c>
      <c r="W8" s="109" t="s">
        <v>71</v>
      </c>
      <c r="X8" s="109" t="s">
        <v>20</v>
      </c>
    </row>
    <row r="9" spans="1:24" s="105" customFormat="1" ht="20.25" customHeight="1" x14ac:dyDescent="0.3">
      <c r="A9" s="15"/>
      <c r="B9" s="16"/>
      <c r="C9" s="16"/>
      <c r="D9" s="16"/>
      <c r="E9" s="16"/>
      <c r="F9" s="15"/>
      <c r="G9" s="16"/>
      <c r="H9" s="16"/>
      <c r="I9" s="16"/>
      <c r="J9" s="16"/>
      <c r="K9" s="16"/>
      <c r="L9" s="16"/>
      <c r="M9" s="15"/>
      <c r="N9" s="16"/>
      <c r="O9" s="16"/>
      <c r="P9" s="16"/>
      <c r="Q9" s="16"/>
      <c r="R9" s="15"/>
      <c r="S9" s="16"/>
      <c r="T9" s="16"/>
      <c r="U9" s="16"/>
      <c r="V9" s="16"/>
      <c r="W9" s="16"/>
      <c r="X9" s="15"/>
    </row>
    <row r="10" spans="1:24" s="105" customFormat="1" ht="20.25" customHeight="1" x14ac:dyDescent="0.3">
      <c r="A10" s="17"/>
      <c r="B10" s="18"/>
      <c r="C10" s="18"/>
      <c r="D10" s="18"/>
      <c r="E10" s="18"/>
      <c r="F10" s="17"/>
      <c r="G10" s="18"/>
      <c r="H10" s="18"/>
      <c r="I10" s="18"/>
      <c r="J10" s="18"/>
      <c r="K10" s="18"/>
      <c r="L10" s="18"/>
      <c r="M10" s="17"/>
      <c r="N10" s="18"/>
      <c r="O10" s="18"/>
      <c r="P10" s="18"/>
      <c r="Q10" s="18"/>
      <c r="R10" s="17"/>
      <c r="S10" s="18"/>
      <c r="T10" s="18"/>
      <c r="U10" s="18"/>
      <c r="V10" s="18"/>
      <c r="W10" s="18"/>
      <c r="X10" s="17"/>
    </row>
    <row r="11" spans="1:24" s="105" customFormat="1" ht="20.25" customHeight="1" x14ac:dyDescent="0.3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7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7"/>
    </row>
    <row r="12" spans="1:24" s="105" customFormat="1" ht="20.25" customHeight="1" x14ac:dyDescent="0.3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7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7"/>
    </row>
    <row r="13" spans="1:24" s="105" customFormat="1" ht="20.25" customHeight="1" x14ac:dyDescent="0.3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7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7"/>
    </row>
    <row r="14" spans="1:24" s="105" customFormat="1" ht="20.25" customHeight="1" x14ac:dyDescent="0.3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7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7"/>
    </row>
    <row r="15" spans="1:24" s="105" customFormat="1" ht="20.25" customHeight="1" x14ac:dyDescent="0.3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7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7"/>
    </row>
    <row r="16" spans="1:24" s="105" customFormat="1" ht="20.25" customHeight="1" x14ac:dyDescent="0.3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7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7"/>
    </row>
    <row r="17" spans="1:24" s="105" customFormat="1" ht="20.25" customHeight="1" x14ac:dyDescent="0.3">
      <c r="A17" s="17"/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7"/>
      <c r="N17" s="17"/>
      <c r="O17" s="18"/>
      <c r="P17" s="18"/>
      <c r="Q17" s="18"/>
      <c r="R17" s="18"/>
      <c r="S17" s="18"/>
      <c r="T17" s="18"/>
      <c r="U17" s="18"/>
      <c r="V17" s="18"/>
      <c r="W17" s="18"/>
      <c r="X17" s="17"/>
    </row>
    <row r="18" spans="1:24" s="105" customFormat="1" ht="20.25" customHeight="1" x14ac:dyDescent="0.3">
      <c r="A18" s="17"/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7"/>
      <c r="N18" s="17"/>
      <c r="O18" s="18"/>
      <c r="P18" s="18"/>
      <c r="Q18" s="18"/>
      <c r="R18" s="18"/>
      <c r="S18" s="18"/>
      <c r="T18" s="18"/>
      <c r="U18" s="18"/>
      <c r="V18" s="18"/>
      <c r="W18" s="18"/>
      <c r="X18" s="17"/>
    </row>
    <row r="19" spans="1:24" s="105" customFormat="1" ht="20.25" customHeight="1" x14ac:dyDescent="0.3">
      <c r="A19" s="17"/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7"/>
      <c r="N19" s="17"/>
      <c r="O19" s="18"/>
      <c r="P19" s="18"/>
      <c r="Q19" s="18"/>
      <c r="R19" s="18"/>
      <c r="S19" s="18"/>
      <c r="T19" s="18"/>
      <c r="U19" s="18"/>
      <c r="V19" s="18"/>
      <c r="W19" s="18"/>
      <c r="X19" s="17"/>
    </row>
    <row r="20" spans="1:24" s="105" customFormat="1" ht="20.25" customHeight="1" x14ac:dyDescent="0.3">
      <c r="A20" s="17"/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7"/>
      <c r="N20" s="17"/>
      <c r="O20" s="18"/>
      <c r="P20" s="18"/>
      <c r="Q20" s="18"/>
      <c r="R20" s="18"/>
      <c r="S20" s="18"/>
      <c r="T20" s="18"/>
      <c r="U20" s="18"/>
      <c r="V20" s="18"/>
      <c r="W20" s="18"/>
      <c r="X20" s="17"/>
    </row>
    <row r="21" spans="1:24" s="105" customFormat="1" ht="20.25" customHeight="1" x14ac:dyDescent="0.3">
      <c r="A21" s="17"/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7"/>
      <c r="N21" s="17"/>
      <c r="O21" s="18"/>
      <c r="P21" s="18"/>
      <c r="Q21" s="18"/>
      <c r="R21" s="18"/>
      <c r="S21" s="18"/>
      <c r="T21" s="18"/>
      <c r="U21" s="18"/>
      <c r="V21" s="18"/>
      <c r="W21" s="18"/>
      <c r="X21" s="17"/>
    </row>
    <row r="22" spans="1:24" s="105" customFormat="1" ht="20.25" customHeight="1" x14ac:dyDescent="0.3">
      <c r="A22" s="17"/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7"/>
      <c r="N22" s="17"/>
      <c r="O22" s="18"/>
      <c r="P22" s="18"/>
      <c r="Q22" s="18"/>
      <c r="R22" s="18"/>
      <c r="S22" s="18"/>
      <c r="T22" s="18"/>
      <c r="U22" s="18"/>
      <c r="V22" s="18"/>
      <c r="W22" s="18"/>
      <c r="X22" s="17"/>
    </row>
    <row r="23" spans="1:24" s="105" customFormat="1" ht="20.25" customHeight="1" x14ac:dyDescent="0.3">
      <c r="A23" s="18"/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7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1:24" s="105" customFormat="1" ht="20.25" customHeight="1" x14ac:dyDescent="0.3">
      <c r="A24" s="18"/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7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1:24" s="105" customFormat="1" ht="20.25" customHeight="1" x14ac:dyDescent="0.3">
      <c r="A25" s="18"/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7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 spans="1:24" s="105" customFormat="1" ht="20.25" customHeight="1" x14ac:dyDescent="0.3">
      <c r="A26" s="18"/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7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1:24" s="105" customFormat="1" ht="20.25" customHeight="1" x14ac:dyDescent="0.3">
      <c r="A27" s="18"/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7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1:24" s="105" customFormat="1" ht="20.25" customHeight="1" x14ac:dyDescent="0.3">
      <c r="A28" s="18"/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7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1:24" s="105" customFormat="1" ht="20.25" customHeight="1" x14ac:dyDescent="0.3">
      <c r="A29" s="18"/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7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1:24" s="105" customFormat="1" ht="20.25" customHeight="1" x14ac:dyDescent="0.3">
      <c r="A30" s="18"/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7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1:24" s="105" customFormat="1" ht="20.25" customHeight="1" x14ac:dyDescent="0.3">
      <c r="A31" s="18"/>
      <c r="B31" s="17"/>
      <c r="C31" s="18"/>
      <c r="D31" s="18"/>
      <c r="E31" s="18"/>
      <c r="F31" s="18"/>
      <c r="G31" s="18"/>
      <c r="H31" s="19"/>
      <c r="I31" s="18"/>
      <c r="J31" s="18"/>
      <c r="K31" s="18"/>
      <c r="L31" s="18"/>
      <c r="M31" s="18"/>
      <c r="N31" s="17"/>
      <c r="O31" s="18"/>
      <c r="P31" s="18"/>
      <c r="Q31" s="18"/>
      <c r="R31" s="18"/>
      <c r="S31" s="18"/>
      <c r="T31" s="19"/>
      <c r="U31" s="18"/>
      <c r="V31" s="18"/>
      <c r="W31" s="18"/>
      <c r="X31" s="18"/>
    </row>
    <row r="32" spans="1:24" s="105" customFormat="1" ht="20.25" customHeight="1" x14ac:dyDescent="0.3">
      <c r="A32" s="18"/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7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1:24" s="105" customFormat="1" ht="20.25" customHeight="1" x14ac:dyDescent="0.3">
      <c r="A33" s="18"/>
      <c r="B33" s="1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7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1:24" s="105" customFormat="1" ht="20.25" customHeight="1" x14ac:dyDescent="0.3">
      <c r="A34" s="18"/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7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spans="1:24" s="105" customFormat="1" ht="20.25" customHeight="1" x14ac:dyDescent="0.3">
      <c r="A35" s="18"/>
      <c r="B35" s="17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7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spans="1:24" s="105" customFormat="1" ht="20.25" customHeight="1" x14ac:dyDescent="0.3">
      <c r="A36" s="18"/>
      <c r="B36" s="17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7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1:24" s="105" customFormat="1" ht="20.25" customHeight="1" x14ac:dyDescent="0.3">
      <c r="A37" s="18"/>
      <c r="B37" s="17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7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1:24" s="105" customFormat="1" ht="20.25" customHeight="1" x14ac:dyDescent="0.3">
      <c r="A38" s="18"/>
      <c r="B38" s="17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7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spans="1:24" s="105" customFormat="1" ht="20.25" customHeight="1" x14ac:dyDescent="0.3">
      <c r="A39" s="18"/>
      <c r="B39" s="17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7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1:24" s="105" customFormat="1" ht="20.25" customHeight="1" x14ac:dyDescent="0.3">
      <c r="A40" s="18"/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7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1:24" s="105" customFormat="1" ht="20.25" hidden="1" customHeight="1" x14ac:dyDescent="0.3">
      <c r="A41" s="18"/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1:24" s="105" customFormat="1" ht="20.25" hidden="1" customHeight="1" x14ac:dyDescent="0.3">
      <c r="A42" s="18"/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7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1:24" s="105" customFormat="1" ht="20.25" hidden="1" customHeight="1" x14ac:dyDescent="0.3">
      <c r="A43" s="18"/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7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1:24" s="105" customFormat="1" ht="20.25" hidden="1" customHeight="1" x14ac:dyDescent="0.3">
      <c r="A44" s="18"/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7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4" s="105" customFormat="1" ht="20.25" hidden="1" customHeight="1" x14ac:dyDescent="0.3">
      <c r="A45" s="18"/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7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4" s="105" customFormat="1" ht="20.25" hidden="1" customHeight="1" x14ac:dyDescent="0.3">
      <c r="A46" s="18"/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7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1:24" s="105" customFormat="1" ht="20.25" hidden="1" customHeight="1" x14ac:dyDescent="0.3">
      <c r="A47" s="18"/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7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1:24" s="105" customFormat="1" ht="20.25" hidden="1" customHeight="1" x14ac:dyDescent="0.3">
      <c r="A48" s="18"/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7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4" s="105" customFormat="1" ht="20.25" hidden="1" customHeight="1" x14ac:dyDescent="0.3">
      <c r="A49" s="18"/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7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 s="105" customFormat="1" ht="20.25" hidden="1" customHeight="1" x14ac:dyDescent="0.3">
      <c r="A50" s="18"/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7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1:24" s="105" customFormat="1" ht="20.25" hidden="1" customHeight="1" x14ac:dyDescent="0.3">
      <c r="A51" s="18"/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7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1:24" s="105" customFormat="1" ht="20.25" hidden="1" customHeight="1" x14ac:dyDescent="0.3">
      <c r="A52" s="18"/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7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4" s="105" customFormat="1" ht="20.25" hidden="1" customHeight="1" x14ac:dyDescent="0.3">
      <c r="A53" s="18"/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7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1:24" s="105" customFormat="1" ht="20.25" hidden="1" customHeight="1" x14ac:dyDescent="0.3">
      <c r="A54" s="18"/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7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4" s="105" customFormat="1" ht="20.25" hidden="1" customHeight="1" x14ac:dyDescent="0.3">
      <c r="A55" s="18"/>
      <c r="B55" s="17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7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1:24" s="105" customFormat="1" ht="20.25" hidden="1" customHeight="1" x14ac:dyDescent="0.3">
      <c r="A56" s="18"/>
      <c r="B56" s="17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7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4" s="105" customFormat="1" ht="20.25" hidden="1" customHeight="1" x14ac:dyDescent="0.3">
      <c r="A57" s="18"/>
      <c r="B57" s="17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7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spans="1:24" s="105" customFormat="1" ht="20.25" hidden="1" customHeight="1" x14ac:dyDescent="0.3">
      <c r="A58" s="18"/>
      <c r="B58" s="17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7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1:24" s="105" customFormat="1" ht="20.25" hidden="1" customHeight="1" x14ac:dyDescent="0.3">
      <c r="A59" s="18"/>
      <c r="B59" s="17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7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1:24" s="105" customFormat="1" ht="20.25" hidden="1" customHeight="1" x14ac:dyDescent="0.3">
      <c r="A60" s="20"/>
      <c r="B60" s="21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1"/>
      <c r="O60" s="20"/>
      <c r="P60" s="20"/>
      <c r="Q60" s="20"/>
      <c r="R60" s="20"/>
      <c r="S60" s="20"/>
      <c r="T60" s="20"/>
      <c r="U60" s="20"/>
      <c r="V60" s="20"/>
      <c r="W60" s="20"/>
      <c r="X60" s="20"/>
    </row>
    <row r="61" spans="1:24" s="113" customFormat="1" ht="20.25" customHeight="1" thickBot="1" x14ac:dyDescent="0.35">
      <c r="A61" s="129">
        <f t="shared" ref="A61:X61" si="1">SUM(A9:A60)</f>
        <v>0</v>
      </c>
      <c r="B61" s="129">
        <f t="shared" si="1"/>
        <v>0</v>
      </c>
      <c r="C61" s="129">
        <f t="shared" si="1"/>
        <v>0</v>
      </c>
      <c r="D61" s="129">
        <f>SUM(D9:D60)</f>
        <v>0</v>
      </c>
      <c r="E61" s="129">
        <f t="shared" si="1"/>
        <v>0</v>
      </c>
      <c r="F61" s="129">
        <f t="shared" si="1"/>
        <v>0</v>
      </c>
      <c r="G61" s="129">
        <f t="shared" si="1"/>
        <v>0</v>
      </c>
      <c r="H61" s="129">
        <f t="shared" si="1"/>
        <v>0</v>
      </c>
      <c r="I61" s="129">
        <f t="shared" si="1"/>
        <v>0</v>
      </c>
      <c r="J61" s="129">
        <f t="shared" si="1"/>
        <v>0</v>
      </c>
      <c r="K61" s="129">
        <f t="shared" si="1"/>
        <v>0</v>
      </c>
      <c r="L61" s="129">
        <f t="shared" si="1"/>
        <v>0</v>
      </c>
      <c r="M61" s="129">
        <f t="shared" si="1"/>
        <v>0</v>
      </c>
      <c r="N61" s="129">
        <f t="shared" si="1"/>
        <v>0</v>
      </c>
      <c r="O61" s="129">
        <f t="shared" si="1"/>
        <v>0</v>
      </c>
      <c r="P61" s="129">
        <f t="shared" si="1"/>
        <v>0</v>
      </c>
      <c r="Q61" s="129">
        <f t="shared" si="1"/>
        <v>0</v>
      </c>
      <c r="R61" s="129">
        <f t="shared" si="1"/>
        <v>0</v>
      </c>
      <c r="S61" s="129">
        <f t="shared" si="1"/>
        <v>0</v>
      </c>
      <c r="T61" s="129">
        <f t="shared" si="1"/>
        <v>0</v>
      </c>
      <c r="U61" s="129">
        <f t="shared" si="1"/>
        <v>0</v>
      </c>
      <c r="V61" s="129">
        <f t="shared" si="1"/>
        <v>0</v>
      </c>
      <c r="W61" s="129">
        <f t="shared" si="1"/>
        <v>0</v>
      </c>
      <c r="X61" s="129">
        <f t="shared" si="1"/>
        <v>0</v>
      </c>
    </row>
    <row r="62" spans="1:24" ht="20.25" hidden="1" customHeight="1" thickBo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 t="s">
        <v>36</v>
      </c>
      <c r="U62" s="6"/>
      <c r="V62" s="6"/>
      <c r="W62" s="6"/>
      <c r="X62" s="6"/>
    </row>
    <row r="63" spans="1:24" ht="20.25" customHeight="1" thickBot="1" x14ac:dyDescent="0.35">
      <c r="A63" s="6"/>
      <c r="B63" s="84">
        <f>B61-A61</f>
        <v>0</v>
      </c>
      <c r="C63" s="6"/>
      <c r="D63" s="84">
        <f>D61-C61</f>
        <v>0</v>
      </c>
      <c r="E63" s="6"/>
      <c r="F63" s="84">
        <f>F61-E61</f>
        <v>0</v>
      </c>
      <c r="G63" s="6"/>
      <c r="H63" s="84">
        <f>H61-G61</f>
        <v>0</v>
      </c>
      <c r="I63" s="6"/>
      <c r="J63" s="84">
        <f>J61-I61</f>
        <v>0</v>
      </c>
      <c r="K63" s="6"/>
      <c r="L63" s="84">
        <f>L61-K61</f>
        <v>0</v>
      </c>
      <c r="M63" s="6"/>
      <c r="N63" s="84">
        <f>N61-M61</f>
        <v>0</v>
      </c>
      <c r="O63" s="6"/>
      <c r="P63" s="84">
        <f>P61-O61</f>
        <v>0</v>
      </c>
      <c r="Q63" s="6"/>
      <c r="R63" s="84">
        <f>R61-Q61</f>
        <v>0</v>
      </c>
      <c r="S63" s="6"/>
      <c r="T63" s="84">
        <f>T61-S61</f>
        <v>0</v>
      </c>
      <c r="U63" s="6"/>
      <c r="V63" s="84">
        <f>V61-U61</f>
        <v>0</v>
      </c>
      <c r="W63" s="6"/>
      <c r="X63" s="6">
        <f>X61-W61</f>
        <v>0</v>
      </c>
    </row>
    <row r="65536" ht="20.25" customHeight="1" x14ac:dyDescent="0.3"/>
  </sheetData>
  <sheetProtection password="CA9C" sheet="1" objects="1" scenarios="1" insertRows="0" deleteRows="0"/>
  <mergeCells count="23">
    <mergeCell ref="T4:U4"/>
    <mergeCell ref="H4:I4"/>
    <mergeCell ref="E4:F4"/>
    <mergeCell ref="B3:C3"/>
    <mergeCell ref="B4:C4"/>
    <mergeCell ref="N3:O3"/>
    <mergeCell ref="N4:O4"/>
    <mergeCell ref="W7:X7"/>
    <mergeCell ref="A1:L1"/>
    <mergeCell ref="B5:K5"/>
    <mergeCell ref="N5:W5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Q4:R4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65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IncomeFactor!$B$3:$B$36</xm:f>
          </x14:formula1>
          <xm:sqref>B5:K5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7"/>
  <sheetViews>
    <sheetView showGridLines="0" topLeftCell="B10" zoomScale="85" zoomScaleNormal="85" workbookViewId="0">
      <selection activeCell="H32" sqref="H32"/>
    </sheetView>
  </sheetViews>
  <sheetFormatPr defaultColWidth="23.25" defaultRowHeight="14" x14ac:dyDescent="0.3"/>
  <cols>
    <col min="1" max="1" width="10.5" style="8" hidden="1" customWidth="1"/>
    <col min="2" max="2" width="23.25" style="8"/>
    <col min="3" max="4" width="23.25" style="9"/>
    <col min="5" max="5" width="23.25" style="101"/>
    <col min="6" max="16384" width="23.25" style="8"/>
  </cols>
  <sheetData>
    <row r="1" spans="1:5" ht="33" customHeight="1" x14ac:dyDescent="0.3">
      <c r="C1" s="151" t="s">
        <v>34</v>
      </c>
      <c r="D1" s="152"/>
    </row>
    <row r="2" spans="1:5" ht="33.75" customHeight="1" x14ac:dyDescent="0.3">
      <c r="B2" s="4" t="s">
        <v>18</v>
      </c>
      <c r="C2" s="5" t="s">
        <v>32</v>
      </c>
      <c r="D2" s="5" t="s">
        <v>33</v>
      </c>
    </row>
    <row r="3" spans="1:5" ht="56.25" customHeight="1" x14ac:dyDescent="0.3">
      <c r="A3" s="8" t="str">
        <f>LEFT(B3,2)</f>
        <v xml:space="preserve">1 </v>
      </c>
      <c r="B3" s="87" t="s">
        <v>37</v>
      </c>
      <c r="C3" s="88">
        <v>0.2</v>
      </c>
      <c r="D3" s="88">
        <v>0.2</v>
      </c>
      <c r="E3" s="103"/>
    </row>
    <row r="4" spans="1:5" ht="95.25" customHeight="1" x14ac:dyDescent="0.3">
      <c r="A4" s="8" t="str">
        <f t="shared" ref="A4:A35" si="0">LEFT(B4,2)</f>
        <v xml:space="preserve">2 </v>
      </c>
      <c r="B4" s="89" t="s">
        <v>38</v>
      </c>
      <c r="C4" s="90">
        <v>0.2</v>
      </c>
      <c r="D4" s="90">
        <v>0.2</v>
      </c>
      <c r="E4" s="102"/>
    </row>
    <row r="5" spans="1:5" ht="21" customHeight="1" x14ac:dyDescent="0.3">
      <c r="A5" s="8" t="str">
        <f t="shared" si="0"/>
        <v xml:space="preserve">3 </v>
      </c>
      <c r="B5" s="91" t="s">
        <v>39</v>
      </c>
      <c r="C5" s="88">
        <v>0.2</v>
      </c>
      <c r="D5" s="88">
        <v>0.2</v>
      </c>
      <c r="E5" s="102"/>
    </row>
    <row r="6" spans="1:5" ht="21" customHeight="1" x14ac:dyDescent="0.3">
      <c r="A6" s="8" t="str">
        <f t="shared" si="0"/>
        <v xml:space="preserve">4 </v>
      </c>
      <c r="B6" s="91" t="s">
        <v>40</v>
      </c>
      <c r="C6" s="88">
        <v>0.2</v>
      </c>
      <c r="D6" s="88">
        <v>0.2</v>
      </c>
      <c r="E6" s="102"/>
    </row>
    <row r="7" spans="1:5" ht="21" customHeight="1" x14ac:dyDescent="0.3">
      <c r="A7" s="8" t="str">
        <f t="shared" si="0"/>
        <v xml:space="preserve">5 </v>
      </c>
      <c r="B7" s="91" t="s">
        <v>41</v>
      </c>
      <c r="C7" s="88">
        <v>0.2</v>
      </c>
      <c r="D7" s="88">
        <v>0.2</v>
      </c>
      <c r="E7" s="102"/>
    </row>
    <row r="8" spans="1:5" ht="21" customHeight="1" x14ac:dyDescent="0.3">
      <c r="A8" s="8" t="str">
        <f t="shared" si="0"/>
        <v xml:space="preserve">6 </v>
      </c>
      <c r="B8" s="91" t="s">
        <v>42</v>
      </c>
      <c r="C8" s="88">
        <v>0.2</v>
      </c>
      <c r="D8" s="88">
        <v>0.2</v>
      </c>
      <c r="E8" s="102"/>
    </row>
    <row r="9" spans="1:5" ht="21" customHeight="1" x14ac:dyDescent="0.3">
      <c r="A9" s="8" t="str">
        <f t="shared" si="0"/>
        <v xml:space="preserve">7 </v>
      </c>
      <c r="B9" s="91" t="s">
        <v>43</v>
      </c>
      <c r="C9" s="88">
        <v>0.2</v>
      </c>
      <c r="D9" s="88">
        <v>0.2</v>
      </c>
      <c r="E9" s="102"/>
    </row>
    <row r="10" spans="1:5" ht="21" customHeight="1" x14ac:dyDescent="0.3">
      <c r="A10" s="8" t="str">
        <f t="shared" si="0"/>
        <v xml:space="preserve">8 </v>
      </c>
      <c r="B10" s="91" t="s">
        <v>44</v>
      </c>
      <c r="C10" s="88">
        <v>0.2</v>
      </c>
      <c r="D10" s="88">
        <v>0.2</v>
      </c>
      <c r="E10" s="102"/>
    </row>
    <row r="11" spans="1:5" ht="21" customHeight="1" x14ac:dyDescent="0.3">
      <c r="A11" s="8" t="str">
        <f t="shared" si="0"/>
        <v xml:space="preserve">9 </v>
      </c>
      <c r="B11" s="91" t="s">
        <v>45</v>
      </c>
      <c r="C11" s="88">
        <v>0.2</v>
      </c>
      <c r="D11" s="88">
        <v>0.2</v>
      </c>
      <c r="E11" s="102"/>
    </row>
    <row r="12" spans="1:5" ht="33.75" customHeight="1" x14ac:dyDescent="0.3">
      <c r="A12" s="8" t="str">
        <f t="shared" si="0"/>
        <v>10</v>
      </c>
      <c r="B12" s="92" t="s">
        <v>46</v>
      </c>
      <c r="C12" s="90">
        <v>0.2</v>
      </c>
      <c r="D12" s="90">
        <v>0.2</v>
      </c>
      <c r="E12" s="102"/>
    </row>
    <row r="13" spans="1:5" ht="21" customHeight="1" x14ac:dyDescent="0.3">
      <c r="A13" s="8" t="str">
        <f t="shared" si="0"/>
        <v>11</v>
      </c>
      <c r="B13" s="91" t="s">
        <v>47</v>
      </c>
      <c r="C13" s="88">
        <v>0.2</v>
      </c>
      <c r="D13" s="88">
        <v>0.2</v>
      </c>
      <c r="E13" s="102"/>
    </row>
    <row r="14" spans="1:5" ht="21" customHeight="1" x14ac:dyDescent="0.3">
      <c r="A14" s="8" t="str">
        <f t="shared" si="0"/>
        <v>12</v>
      </c>
      <c r="B14" s="91" t="s">
        <v>48</v>
      </c>
      <c r="C14" s="88">
        <v>0.2</v>
      </c>
      <c r="D14" s="88">
        <v>0.2</v>
      </c>
      <c r="E14" s="102"/>
    </row>
    <row r="15" spans="1:5" ht="21" customHeight="1" x14ac:dyDescent="0.3">
      <c r="A15" s="8" t="str">
        <f t="shared" si="0"/>
        <v>13</v>
      </c>
      <c r="B15" s="93" t="s">
        <v>49</v>
      </c>
      <c r="C15" s="94">
        <v>0.3</v>
      </c>
      <c r="D15" s="94">
        <v>0.3</v>
      </c>
      <c r="E15" s="102"/>
    </row>
    <row r="16" spans="1:5" ht="21" customHeight="1" x14ac:dyDescent="0.3">
      <c r="A16" s="8" t="str">
        <f t="shared" si="0"/>
        <v>14</v>
      </c>
      <c r="B16" s="91" t="s">
        <v>50</v>
      </c>
      <c r="C16" s="88">
        <v>0.2</v>
      </c>
      <c r="D16" s="88">
        <v>0.2</v>
      </c>
      <c r="E16" s="102"/>
    </row>
    <row r="17" spans="1:5" ht="21" customHeight="1" x14ac:dyDescent="0.3">
      <c r="A17" s="8" t="str">
        <f t="shared" si="0"/>
        <v>15</v>
      </c>
      <c r="B17" s="91" t="s">
        <v>51</v>
      </c>
      <c r="C17" s="88">
        <v>0.2</v>
      </c>
      <c r="D17" s="88">
        <v>0.2</v>
      </c>
      <c r="E17" s="102"/>
    </row>
    <row r="18" spans="1:5" ht="21" customHeight="1" x14ac:dyDescent="0.3">
      <c r="A18" s="8" t="str">
        <f t="shared" si="0"/>
        <v>16</v>
      </c>
      <c r="B18" s="91" t="s">
        <v>52</v>
      </c>
      <c r="C18" s="88">
        <v>0.2</v>
      </c>
      <c r="D18" s="88">
        <v>0.2</v>
      </c>
      <c r="E18" s="102"/>
    </row>
    <row r="19" spans="1:5" ht="21" customHeight="1" x14ac:dyDescent="0.3">
      <c r="A19" s="8" t="str">
        <f t="shared" si="0"/>
        <v>17</v>
      </c>
      <c r="B19" s="91" t="s">
        <v>53</v>
      </c>
      <c r="C19" s="88">
        <v>0.2</v>
      </c>
      <c r="D19" s="88">
        <v>0.2</v>
      </c>
      <c r="E19" s="102"/>
    </row>
    <row r="20" spans="1:5" ht="21" customHeight="1" x14ac:dyDescent="0.3">
      <c r="A20" s="8" t="str">
        <f t="shared" si="0"/>
        <v>18</v>
      </c>
      <c r="B20" s="91" t="s">
        <v>54</v>
      </c>
      <c r="C20" s="88">
        <v>0.2</v>
      </c>
      <c r="D20" s="88">
        <v>0.2</v>
      </c>
      <c r="E20" s="102"/>
    </row>
    <row r="21" spans="1:5" ht="21" customHeight="1" x14ac:dyDescent="0.3">
      <c r="A21" s="8" t="str">
        <f t="shared" si="0"/>
        <v>19</v>
      </c>
      <c r="B21" s="91" t="s">
        <v>55</v>
      </c>
      <c r="C21" s="88">
        <v>0.2</v>
      </c>
      <c r="D21" s="88">
        <v>0.2</v>
      </c>
      <c r="E21" s="102"/>
    </row>
    <row r="22" spans="1:5" ht="21" customHeight="1" x14ac:dyDescent="0.3">
      <c r="A22" s="8" t="str">
        <f t="shared" si="0"/>
        <v>20</v>
      </c>
      <c r="B22" s="91" t="s">
        <v>56</v>
      </c>
      <c r="C22" s="88">
        <v>0.2</v>
      </c>
      <c r="D22" s="88">
        <v>0.2</v>
      </c>
      <c r="E22" s="102"/>
    </row>
    <row r="23" spans="1:5" ht="21" customHeight="1" x14ac:dyDescent="0.3">
      <c r="A23" s="8" t="str">
        <f t="shared" si="0"/>
        <v>21</v>
      </c>
      <c r="B23" s="91" t="s">
        <v>57</v>
      </c>
      <c r="C23" s="88">
        <v>0.2</v>
      </c>
      <c r="D23" s="88">
        <v>0.2</v>
      </c>
      <c r="E23" s="102"/>
    </row>
    <row r="24" spans="1:5" ht="21" customHeight="1" x14ac:dyDescent="0.3">
      <c r="A24" s="8" t="str">
        <f t="shared" si="0"/>
        <v>22</v>
      </c>
      <c r="B24" s="91" t="s">
        <v>58</v>
      </c>
      <c r="C24" s="88">
        <v>0.2</v>
      </c>
      <c r="D24" s="88">
        <v>0.2</v>
      </c>
      <c r="E24" s="102"/>
    </row>
    <row r="25" spans="1:5" ht="22.5" customHeight="1" x14ac:dyDescent="0.3">
      <c r="A25" s="8" t="str">
        <f t="shared" si="0"/>
        <v>23</v>
      </c>
      <c r="B25" s="92" t="s">
        <v>59</v>
      </c>
      <c r="C25" s="88">
        <v>0.2</v>
      </c>
      <c r="D25" s="90">
        <v>0.2</v>
      </c>
      <c r="E25" s="102"/>
    </row>
    <row r="26" spans="1:5" ht="21" customHeight="1" x14ac:dyDescent="0.3">
      <c r="A26" s="8" t="str">
        <f t="shared" si="0"/>
        <v>24</v>
      </c>
      <c r="B26" s="95" t="s">
        <v>60</v>
      </c>
      <c r="C26" s="96">
        <v>0.15</v>
      </c>
      <c r="D26" s="96">
        <v>0.15</v>
      </c>
      <c r="E26" s="102"/>
    </row>
    <row r="27" spans="1:5" ht="21" customHeight="1" x14ac:dyDescent="0.3">
      <c r="A27" s="8" t="str">
        <f t="shared" si="0"/>
        <v>25</v>
      </c>
      <c r="B27" s="93" t="s">
        <v>61</v>
      </c>
      <c r="C27" s="94">
        <v>0.15</v>
      </c>
      <c r="D27" s="94">
        <v>0.15</v>
      </c>
      <c r="E27" s="102"/>
    </row>
    <row r="28" spans="1:5" ht="21" customHeight="1" x14ac:dyDescent="0.3">
      <c r="A28" s="8" t="str">
        <f t="shared" si="0"/>
        <v>26</v>
      </c>
      <c r="B28" s="93" t="s">
        <v>62</v>
      </c>
      <c r="C28" s="94">
        <v>0.15</v>
      </c>
      <c r="D28" s="94">
        <v>0.15</v>
      </c>
      <c r="E28" s="102"/>
    </row>
    <row r="29" spans="1:5" ht="21" customHeight="1" x14ac:dyDescent="0.3">
      <c r="A29" s="8" t="str">
        <f t="shared" si="0"/>
        <v>27</v>
      </c>
      <c r="B29" s="97" t="s">
        <v>63</v>
      </c>
      <c r="C29" s="94">
        <v>0.15</v>
      </c>
      <c r="D29" s="98">
        <v>0.15</v>
      </c>
      <c r="E29" s="102"/>
    </row>
    <row r="30" spans="1:5" ht="21" customHeight="1" x14ac:dyDescent="0.3">
      <c r="A30" s="8" t="str">
        <f t="shared" si="0"/>
        <v>28</v>
      </c>
      <c r="B30" s="99" t="s">
        <v>64</v>
      </c>
      <c r="C30" s="96">
        <v>0.15</v>
      </c>
      <c r="D30" s="96">
        <v>0.15</v>
      </c>
      <c r="E30" s="102"/>
    </row>
    <row r="31" spans="1:5" ht="21" customHeight="1" x14ac:dyDescent="0.3">
      <c r="A31" s="8" t="str">
        <f t="shared" si="0"/>
        <v>29</v>
      </c>
      <c r="B31" s="95" t="s">
        <v>65</v>
      </c>
      <c r="C31" s="96">
        <v>0.15</v>
      </c>
      <c r="D31" s="96">
        <v>0.15</v>
      </c>
      <c r="E31" s="102"/>
    </row>
    <row r="32" spans="1:5" ht="21" customHeight="1" x14ac:dyDescent="0.3">
      <c r="A32" s="8" t="str">
        <f t="shared" si="0"/>
        <v>30</v>
      </c>
      <c r="B32" s="93" t="s">
        <v>66</v>
      </c>
      <c r="C32" s="94">
        <v>0.35</v>
      </c>
      <c r="D32" s="94">
        <v>0.35</v>
      </c>
      <c r="E32" s="102"/>
    </row>
    <row r="33" spans="1:5" ht="21" customHeight="1" x14ac:dyDescent="0.3">
      <c r="A33" s="8" t="str">
        <f t="shared" si="0"/>
        <v>31</v>
      </c>
      <c r="B33" s="93" t="s">
        <v>67</v>
      </c>
      <c r="C33" s="94">
        <v>0.15</v>
      </c>
      <c r="D33" s="94">
        <v>0.15</v>
      </c>
      <c r="E33" s="102"/>
    </row>
    <row r="34" spans="1:5" ht="21" customHeight="1" x14ac:dyDescent="0.3">
      <c r="A34" s="8" t="str">
        <f t="shared" si="0"/>
        <v>32</v>
      </c>
      <c r="B34" s="93" t="s">
        <v>68</v>
      </c>
      <c r="C34" s="94">
        <v>0.25</v>
      </c>
      <c r="D34" s="94">
        <v>0.25</v>
      </c>
      <c r="E34" s="102"/>
    </row>
    <row r="35" spans="1:5" ht="22.5" customHeight="1" x14ac:dyDescent="0.3">
      <c r="A35" s="8" t="str">
        <f t="shared" si="0"/>
        <v>33</v>
      </c>
      <c r="B35" s="100" t="s">
        <v>69</v>
      </c>
      <c r="C35" s="98">
        <v>0.15</v>
      </c>
      <c r="D35" s="98">
        <v>0.15</v>
      </c>
      <c r="E35" s="102"/>
    </row>
    <row r="36" spans="1:5" ht="11.25" customHeight="1" x14ac:dyDescent="0.3">
      <c r="A36" s="8">
        <v>34</v>
      </c>
      <c r="B36" s="10"/>
      <c r="C36" s="11"/>
      <c r="D36" s="11"/>
    </row>
    <row r="37" spans="1:5" ht="21" customHeight="1" x14ac:dyDescent="0.3">
      <c r="B37" s="12" t="s">
        <v>21</v>
      </c>
    </row>
    <row r="38" spans="1:5" ht="21" customHeight="1" x14ac:dyDescent="0.3">
      <c r="B38" s="13" t="s">
        <v>22</v>
      </c>
    </row>
    <row r="39" spans="1:5" ht="21" customHeight="1" x14ac:dyDescent="0.3">
      <c r="B39" s="8" t="s">
        <v>24</v>
      </c>
    </row>
    <row r="40" spans="1:5" ht="21" customHeight="1" x14ac:dyDescent="0.3">
      <c r="B40" s="14" t="s">
        <v>25</v>
      </c>
    </row>
    <row r="41" spans="1:5" ht="21" customHeight="1" x14ac:dyDescent="0.3">
      <c r="B41" s="14" t="s">
        <v>26</v>
      </c>
    </row>
    <row r="42" spans="1:5" ht="21" customHeight="1" x14ac:dyDescent="0.3">
      <c r="B42" s="14" t="s">
        <v>27</v>
      </c>
    </row>
    <row r="43" spans="1:5" ht="21" customHeight="1" x14ac:dyDescent="0.3">
      <c r="B43" s="14" t="s">
        <v>28</v>
      </c>
    </row>
    <row r="44" spans="1:5" ht="21" customHeight="1" x14ac:dyDescent="0.3">
      <c r="B44" s="13" t="s">
        <v>29</v>
      </c>
    </row>
    <row r="45" spans="1:5" ht="21" customHeight="1" x14ac:dyDescent="0.3">
      <c r="B45" s="8" t="s">
        <v>30</v>
      </c>
    </row>
    <row r="46" spans="1:5" ht="21" customHeight="1" x14ac:dyDescent="0.3">
      <c r="B46" s="13" t="s">
        <v>23</v>
      </c>
    </row>
    <row r="47" spans="1:5" ht="21" customHeight="1" x14ac:dyDescent="0.3">
      <c r="B47" s="13" t="s">
        <v>31</v>
      </c>
    </row>
  </sheetData>
  <sheetProtection password="CA9C" sheet="1" objects="1" scenarios="1"/>
  <mergeCells count="1">
    <mergeCell ref="C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5</vt:i4>
      </vt:variant>
      <vt:variant>
        <vt:lpstr>ช่วงที่มีชื่อ</vt:lpstr>
      </vt:variant>
      <vt:variant>
        <vt:i4>4</vt:i4>
      </vt:variant>
    </vt:vector>
  </HeadingPairs>
  <TitlesOfParts>
    <vt:vector size="9" baseType="lpstr">
      <vt:lpstr>Income</vt:lpstr>
      <vt:lpstr>Statement AC1</vt:lpstr>
      <vt:lpstr>Statement AC2</vt:lpstr>
      <vt:lpstr>Statement AC3</vt:lpstr>
      <vt:lpstr>IncomeFactor</vt:lpstr>
      <vt:lpstr>'Statement AC3'!Print_Area</vt:lpstr>
      <vt:lpstr>'Statement AC1'!Print_Titles</vt:lpstr>
      <vt:lpstr>'Statement AC2'!Print_Titles</vt:lpstr>
      <vt:lpstr>'Statement AC3'!Print_Titles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Phromdhep Hoosakul</dc:creator>
  <cp:lastModifiedBy>เอกรัฐ ประสานสุข</cp:lastModifiedBy>
  <cp:lastPrinted>2023-05-29T17:54:15Z</cp:lastPrinted>
  <dcterms:created xsi:type="dcterms:W3CDTF">2017-07-25T08:44:43Z</dcterms:created>
  <dcterms:modified xsi:type="dcterms:W3CDTF">2026-04-01T07:37:54Z</dcterms:modified>
</cp:coreProperties>
</file>