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AWEI\Desktop\CIMB\"/>
    </mc:Choice>
  </mc:AlternateContent>
  <xr:revisionPtr revIDLastSave="0" documentId="8_{4F8F86D6-A225-4F7F-BE7B-C4392F6EB16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ประกันอัคคีภัย(มีเล่ม)" sheetId="1" r:id="rId1"/>
    <sheet name="ประกันอัคคีภัย(ไม่มีเล่ม)" sheetId="14" r:id="rId2"/>
    <sheet name="Rate" sheetId="3" state="hidden" r:id="rId3"/>
  </sheets>
  <externalReferences>
    <externalReference r:id="rId4"/>
  </externalReferences>
  <definedNames>
    <definedName name="AMP_LIST" localSheetId="1">#REF!</definedName>
    <definedName name="AMP_LIST">#REF!</definedName>
    <definedName name="AMP_NAME" localSheetId="1">#REF!</definedName>
    <definedName name="AMP_NAME">#REF!</definedName>
    <definedName name="home">Rate!$P$4:$P$9</definedName>
    <definedName name="Loan_type" localSheetId="1">Rate!#REF!</definedName>
    <definedName name="Loan_type">Rate!#REF!</definedName>
    <definedName name="loan_type_no" localSheetId="1">Rate!#REF!</definedName>
    <definedName name="loan_type_no">Rate!#REF!</definedName>
    <definedName name="loay_type_no" localSheetId="1">Rate!#REF!</definedName>
    <definedName name="loay_type_no">Rate!#REF!</definedName>
    <definedName name="nonhome">Rate!$Q$4:$Q$6</definedName>
    <definedName name="PRV_LIST" localSheetId="1">#REF!</definedName>
    <definedName name="PRV_LIST">#REF!</definedName>
    <definedName name="PRV_NAME" localSheetId="1">#REF!</definedName>
    <definedName name="PRV_NAME">#REF!</definedName>
    <definedName name="TableProvinces">[1]Province!$A$2:$A$78</definedName>
    <definedName name="TUM_NAME" localSheetId="1">#REF!</definedName>
    <definedName name="TUM_NAME">#REF!</definedName>
    <definedName name="บ้านที่อยู่อาศัย" localSheetId="1">Rate!#REF!</definedName>
    <definedName name="บ้านที่อยู่อาศัย">Rate!#REF!</definedName>
    <definedName name="ไม่ใช่ที่อยู่อาศัย" localSheetId="1">Rate!#REF!</definedName>
    <definedName name="ไม่ใช่ที่อยู่อาศัย">Rate!#REF!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7" i="3" l="1"/>
  <c r="L17" i="3"/>
  <c r="G17" i="3"/>
  <c r="N17" i="3" s="1"/>
  <c r="L7" i="14" l="1"/>
  <c r="M16" i="3" l="1"/>
  <c r="M15" i="3"/>
  <c r="M14" i="3"/>
  <c r="M13" i="3"/>
  <c r="M12" i="3"/>
  <c r="M11" i="3"/>
  <c r="M10" i="3"/>
  <c r="M9" i="3"/>
  <c r="M8" i="3"/>
  <c r="M7" i="3"/>
  <c r="C14" i="14" s="1"/>
  <c r="M6" i="3"/>
  <c r="G16" i="3"/>
  <c r="N16" i="3" s="1"/>
  <c r="G14" i="3"/>
  <c r="N14" i="3" s="1"/>
  <c r="G15" i="3"/>
  <c r="N15" i="3" s="1"/>
  <c r="G13" i="3"/>
  <c r="N13" i="3" s="1"/>
  <c r="G12" i="3"/>
  <c r="N12" i="3" s="1"/>
  <c r="G11" i="3"/>
  <c r="N11" i="3" s="1"/>
  <c r="G10" i="3"/>
  <c r="N10" i="3" s="1"/>
  <c r="G9" i="3"/>
  <c r="N9" i="3" s="1"/>
  <c r="G8" i="3"/>
  <c r="N8" i="3" s="1"/>
  <c r="G7" i="3"/>
  <c r="N7" i="3" s="1"/>
  <c r="L16" i="3"/>
  <c r="L15" i="3"/>
  <c r="L14" i="3"/>
  <c r="L13" i="3"/>
  <c r="L12" i="3"/>
  <c r="L11" i="3"/>
  <c r="L10" i="3"/>
  <c r="L9" i="3"/>
  <c r="L8" i="3"/>
  <c r="L7" i="3"/>
  <c r="N19" i="3" l="1"/>
  <c r="N6" i="3" l="1"/>
  <c r="N20" i="3"/>
  <c r="N21" i="3"/>
  <c r="K18" i="3"/>
  <c r="N18" i="3" s="1"/>
  <c r="K5" i="3"/>
  <c r="N5" i="3" s="1"/>
  <c r="K4" i="3"/>
  <c r="N4" i="3" s="1"/>
  <c r="K3" i="3"/>
  <c r="N3" i="3" s="1"/>
  <c r="L4" i="3"/>
  <c r="L5" i="3"/>
  <c r="L6" i="3"/>
  <c r="L18" i="3"/>
  <c r="L19" i="3"/>
  <c r="L20" i="3"/>
  <c r="L21" i="3"/>
  <c r="L3" i="3"/>
  <c r="E23" i="14" l="1"/>
  <c r="D23" i="14"/>
  <c r="D24" i="14" s="1"/>
  <c r="D25" i="14" s="1"/>
  <c r="D26" i="14" s="1"/>
  <c r="K23" i="14"/>
  <c r="J23" i="14"/>
  <c r="G23" i="14"/>
  <c r="I23" i="14"/>
  <c r="H23" i="14"/>
  <c r="F23" i="14"/>
  <c r="L23" i="14"/>
  <c r="L24" i="14" s="1"/>
  <c r="L25" i="14" s="1"/>
  <c r="L26" i="14" s="1"/>
  <c r="F23" i="1"/>
  <c r="D23" i="1"/>
  <c r="L23" i="1"/>
  <c r="E23" i="1"/>
  <c r="K23" i="1"/>
  <c r="J23" i="1"/>
  <c r="I23" i="1"/>
  <c r="H23" i="1"/>
  <c r="G23" i="1"/>
  <c r="D24" i="1" l="1"/>
  <c r="I24" i="14"/>
  <c r="I25" i="14" s="1"/>
  <c r="I26" i="14" s="1"/>
  <c r="J24" i="14"/>
  <c r="J25" i="14" s="1"/>
  <c r="J26" i="14" s="1"/>
  <c r="K24" i="14"/>
  <c r="K25" i="14" s="1"/>
  <c r="H24" i="14"/>
  <c r="H25" i="14" s="1"/>
  <c r="H26" i="14" s="1"/>
  <c r="G24" i="14"/>
  <c r="G25" i="14" s="1"/>
  <c r="G26" i="14" s="1"/>
  <c r="E24" i="14"/>
  <c r="E25" i="14" s="1"/>
  <c r="E26" i="14" s="1"/>
  <c r="F24" i="14"/>
  <c r="F25" i="14" s="1"/>
  <c r="F26" i="14" s="1"/>
  <c r="D25" i="1" l="1"/>
  <c r="D26" i="1" s="1"/>
  <c r="K26" i="14"/>
  <c r="E24" i="1"/>
  <c r="F24" i="1" l="1"/>
  <c r="L7" i="1" l="1"/>
  <c r="L24" i="1"/>
  <c r="K24" i="1"/>
  <c r="H24" i="1"/>
  <c r="F25" i="1"/>
  <c r="F26" i="1" s="1"/>
  <c r="E25" i="1" l="1"/>
  <c r="E26" i="1" s="1"/>
  <c r="L25" i="1"/>
  <c r="L26" i="1" s="1"/>
  <c r="K25" i="1"/>
  <c r="K26" i="1" s="1"/>
  <c r="J24" i="1"/>
  <c r="I24" i="1"/>
  <c r="H25" i="1"/>
  <c r="H26" i="1" s="1"/>
  <c r="G24" i="1"/>
  <c r="J25" i="1" l="1"/>
  <c r="J26" i="1" s="1"/>
  <c r="I25" i="1"/>
  <c r="I26" i="1" s="1"/>
  <c r="G25" i="1"/>
  <c r="G26" i="1" s="1"/>
</calcChain>
</file>

<file path=xl/sharedStrings.xml><?xml version="1.0" encoding="utf-8"?>
<sst xmlns="http://schemas.openxmlformats.org/spreadsheetml/2006/main" count="122" uniqueCount="84">
  <si>
    <t>วันที่</t>
  </si>
  <si>
    <t>ชื่อ-นามสกุล ผู้กู้</t>
  </si>
  <si>
    <t>บ้านเดี่ยว (คอนกรีต)</t>
  </si>
  <si>
    <t>บ้านแฝด/ทาวเฮาส์/ทาวน์โฮม</t>
  </si>
  <si>
    <t>บ้านเดี่ยว (ครึ่งตึกครึ่งไม้)</t>
  </si>
  <si>
    <t>**กรณีประเภทสิ่งปลูกสร้าง นอกเหนือจากที่ระบุ กรุณาติดต่อเจ้าหน้าที่</t>
  </si>
  <si>
    <t>อาคารสำนักงาน</t>
  </si>
  <si>
    <t>ทุนประกันภัย</t>
  </si>
  <si>
    <t>บาท</t>
  </si>
  <si>
    <t>3 ปี</t>
  </si>
  <si>
    <t>ภาษี</t>
  </si>
  <si>
    <t>1 ปี</t>
  </si>
  <si>
    <t>2 ปี</t>
  </si>
  <si>
    <t>4 ปี</t>
  </si>
  <si>
    <t>5 ปี</t>
  </si>
  <si>
    <t>6 ปี</t>
  </si>
  <si>
    <t>7 ปี</t>
  </si>
  <si>
    <t>8 ปี</t>
  </si>
  <si>
    <t>9 ปี</t>
  </si>
  <si>
    <t>รหัสภัย</t>
  </si>
  <si>
    <t>ลักษณะของภัย</t>
  </si>
  <si>
    <t>Rate สูงสุด</t>
  </si>
  <si>
    <t>Surcharge</t>
  </si>
  <si>
    <t>Rate CIMB</t>
  </si>
  <si>
    <t>Construction class</t>
  </si>
  <si>
    <t>Type</t>
  </si>
  <si>
    <t>Non-home</t>
  </si>
  <si>
    <t>Home</t>
  </si>
  <si>
    <t>อพาร์ทเม้นท์/แฟลต/หอพัก (คอนกรีต)</t>
  </si>
  <si>
    <t>Surcharge (storey)</t>
  </si>
  <si>
    <t>ภัยจากน้ำท่วม</t>
  </si>
  <si>
    <t>ภัยจากลมพายุ</t>
  </si>
  <si>
    <t>ภัยเพิ่มเติม (Rate)%</t>
  </si>
  <si>
    <t>คำนวณอัตราเบี้ยประกันอัคคีภัย
สำหรับสินเชื่อรายย่อย ธนาคาร ซีไอเอ็มบี ไทย จํากัด (มหาชน)</t>
  </si>
  <si>
    <t xml:space="preserve">    ก่อนหักค่าเสื่อมราคา หรือมูลค่าประกันภัย</t>
  </si>
  <si>
    <t>** ระบุราคาประเมินสิ่งปลูกสร้าง ก่อนหักค่าเสื่อมราคา ตามเล่มประเมินของธนาคาร</t>
  </si>
  <si>
    <t xml:space="preserve">** กรณีอาคารชุดพักอาศัย/คอนโดมิเนียม ให้ใช้ราคาประเมินสิ่งปลูกสร้าง </t>
  </si>
  <si>
    <t>เบี้ยประภันภัยสุทธิ</t>
  </si>
  <si>
    <t>อากรแสตมป์</t>
  </si>
  <si>
    <t>อัตราเบี้ยประกันภัย (รวมภาษีอากร)</t>
  </si>
  <si>
    <t>Percentage (%)</t>
  </si>
  <si>
    <t>เบียประกันภัย (ตามปี)</t>
  </si>
  <si>
    <t>Storey</t>
  </si>
  <si>
    <t>+ % Rate</t>
  </si>
  <si>
    <t>1032, 1074</t>
  </si>
  <si>
    <t>ภัยจากแผ่นดินไหว</t>
  </si>
  <si>
    <t xml:space="preserve">ราคาประเมินค่าก่อสร้างอาคาร (บาท/ตารางเมตร) </t>
  </si>
  <si>
    <t>ตร.ม.</t>
  </si>
  <si>
    <t>กลุ่มภัยธรรมชาติ + additional premium</t>
  </si>
  <si>
    <t>นางสาวทดสอบ</t>
  </si>
  <si>
    <t>** กรณีทุนประกันภัยตั้งแต่ 60 ล้านบาทเป็นต้นไป กรุณาติดต่อเจ้าหน้าที่</t>
  </si>
  <si>
    <t>พื้นที่ใช้สอย</t>
  </si>
  <si>
    <t>ราคาประเมินค่าก่อสร้างอาคาร (บาท/ตารางเมตร) อาคารชุด</t>
  </si>
  <si>
    <t>ราคาประเมินค่าก่อสร้างอาคาร (บาท/ตารางเมตร)โรงแรม</t>
  </si>
  <si>
    <t>Rate กลุ่มภัยธรรมชาติ</t>
  </si>
  <si>
    <t>17 ชั้นขึ้นไป</t>
  </si>
  <si>
    <t>1-7</t>
  </si>
  <si>
    <t>ประเภทสิ่งปลูกสร้าง</t>
  </si>
  <si>
    <t>อาคารพาณิชย์/ร้านค้า</t>
  </si>
  <si>
    <t>Year</t>
  </si>
  <si>
    <r>
      <t xml:space="preserve">อาคารชุดพักอาศัย/คอนโดมิเนียม </t>
    </r>
    <r>
      <rPr>
        <sz val="14"/>
        <color rgb="FF000000"/>
        <rFont val="Calibri"/>
        <family val="2"/>
      </rPr>
      <t>ชั้น 11</t>
    </r>
  </si>
  <si>
    <r>
      <t>อาคารชุดพักอาศัย/คอนโดมิเนียม</t>
    </r>
    <r>
      <rPr>
        <sz val="14"/>
        <color rgb="FF000000"/>
        <rFont val="Calibri"/>
        <family val="2"/>
      </rPr>
      <t xml:space="preserve"> ชั้น 12</t>
    </r>
  </si>
  <si>
    <r>
      <t>อาคารชุดพักอาศัย/คอนโดมิเนียม</t>
    </r>
    <r>
      <rPr>
        <sz val="14"/>
        <color rgb="FF000000"/>
        <rFont val="Calibri"/>
        <family val="2"/>
      </rPr>
      <t xml:space="preserve"> ชั้น 13</t>
    </r>
  </si>
  <si>
    <r>
      <t>อาคารชุดพักอาศัย/คอนโดมิเนียม</t>
    </r>
    <r>
      <rPr>
        <sz val="14"/>
        <color rgb="FF000000"/>
        <rFont val="Calibri"/>
        <family val="2"/>
      </rPr>
      <t xml:space="preserve"> ชั้น 14</t>
    </r>
  </si>
  <si>
    <r>
      <t>อาคารชุดพักอาศัย/คอนโดมิเนียม</t>
    </r>
    <r>
      <rPr>
        <sz val="14"/>
        <color rgb="FF000000"/>
        <rFont val="Calibri"/>
        <family val="2"/>
      </rPr>
      <t xml:space="preserve"> ชั้น 15</t>
    </r>
  </si>
  <si>
    <r>
      <t>อาคารชุดพักอาศัย/คอนโดมิเนียม</t>
    </r>
    <r>
      <rPr>
        <sz val="14"/>
        <color rgb="FF000000"/>
        <rFont val="Calibri"/>
        <family val="2"/>
      </rPr>
      <t xml:space="preserve"> ชั้น 16</t>
    </r>
  </si>
  <si>
    <t>อาคารชุดพักอาศัย/คอนโดมิเนียม ชั้น 11</t>
  </si>
  <si>
    <t>อาคารชุดพักอาศัย/คอนโดมิเนียม ชั้น 12</t>
  </si>
  <si>
    <t>อาคารชุดพักอาศัย/คอนโดมิเนียม ชั้น 13</t>
  </si>
  <si>
    <t>อาคารชุดพักอาศัย/คอนโดมิเนียม ชั้น 14</t>
  </si>
  <si>
    <t>อาคารชุดพักอาศัย/คอนโดมิเนียม ชั้น 15</t>
  </si>
  <si>
    <t>อาคารชุดพักอาศัย/คอนโดมิเนียม ชั้น 16</t>
  </si>
  <si>
    <t>อาคารชุดพักอาศัย/คอนโดมิเนียม ชั้นที่ 30 ขึ้นไป</t>
  </si>
  <si>
    <t>กลุ่มภัยธรรมชาติ</t>
  </si>
  <si>
    <t>อาคารชุดพักอาศัย/คอนโดมิเนียม ชั้น 17 ขึ้นไป</t>
  </si>
  <si>
    <t>อาคารพาณิชย์/ตึกแถว</t>
  </si>
  <si>
    <r>
      <t>อาคารชุดพักอาศัย/คอนโดมิเนียม</t>
    </r>
    <r>
      <rPr>
        <sz val="14"/>
        <color rgb="FF000000"/>
        <rFont val="Calibri"/>
        <family val="2"/>
      </rPr>
      <t xml:space="preserve"> ชั้น 1-7</t>
    </r>
  </si>
  <si>
    <r>
      <t>อาคารชุดพักอาศัย/คอนโดมิเนียม</t>
    </r>
    <r>
      <rPr>
        <sz val="14"/>
        <color rgb="FF000000"/>
        <rFont val="Calibri"/>
        <family val="2"/>
      </rPr>
      <t xml:space="preserve"> ชั้น 8</t>
    </r>
  </si>
  <si>
    <r>
      <t>อาคารชุดพักอาศัย/คอนโดมิเนียม</t>
    </r>
    <r>
      <rPr>
        <sz val="14"/>
        <color rgb="FF000000"/>
        <rFont val="Calibri"/>
        <family val="2"/>
      </rPr>
      <t xml:space="preserve"> ชั้น 9</t>
    </r>
  </si>
  <si>
    <r>
      <t>อาคารชุดพักอาศัย/คอนโดมิเนียม</t>
    </r>
    <r>
      <rPr>
        <sz val="14"/>
        <color rgb="FF000000"/>
        <rFont val="Calibri"/>
        <family val="2"/>
      </rPr>
      <t xml:space="preserve"> ชั้น 10</t>
    </r>
  </si>
  <si>
    <t>อาคารชุดพักอาศัย/คอนโดมิเนียม ชั้น 1-7</t>
  </si>
  <si>
    <t>อาคารชุดพักอาศัย/คอนโดมิเนียม ชั้น 8</t>
  </si>
  <si>
    <t>อาคารชุดพักอาศัย/คอนโดมิเนียม ชั้น 9</t>
  </si>
  <si>
    <t>อาคารชุดพักอาศัย/คอนโดมิเนียม ชั้น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</si>
</sst>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-* #,##0.00_-;\-* #,##0.00_-;_-* &quot;-&quot;???_-;_-@_-"/>
    <numFmt numFmtId="166" formatCode="_-* #,##0.0000_-;\-* #,##0.0000_-;_-* &quot;-&quot;??_-;_-@_-"/>
    <numFmt numFmtId="167" formatCode="_-* #,##0_-;\-* #,##0_-;_-* &quot;-&quot;??_-;_-@_-"/>
  </numFmts>
  <fonts count="30">
    <font>
      <sz val="11"/>
      <color rgb="FF000000"/>
      <name val="Tahoma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FFFFFF"/>
      <name val="Tahoma"/>
      <family val="2"/>
    </font>
    <font>
      <sz val="10"/>
      <name val="Tahoma"/>
      <family val="2"/>
    </font>
    <font>
      <b/>
      <sz val="10"/>
      <color rgb="FFFFFFFF"/>
      <name val="Tahoma"/>
      <family val="2"/>
    </font>
    <font>
      <sz val="11"/>
      <color rgb="FF00000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1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Calibri"/>
      <family val="2"/>
      <scheme val="minor"/>
    </font>
    <font>
      <b/>
      <sz val="12"/>
      <color theme="0"/>
      <name val="Tahoma"/>
      <family val="2"/>
    </font>
    <font>
      <sz val="10"/>
      <color rgb="FF000000"/>
      <name val="Tahoma"/>
      <family val="2"/>
    </font>
    <font>
      <sz val="10"/>
      <color theme="0" tint="-0.499984740745262"/>
      <name val="Tahoma"/>
      <family val="2"/>
    </font>
    <font>
      <sz val="9"/>
      <color rgb="FF000000"/>
      <name val="Tahoma"/>
      <family val="2"/>
    </font>
    <font>
      <b/>
      <sz val="10"/>
      <color theme="0"/>
      <name val="Tahoma"/>
      <family val="2"/>
    </font>
    <font>
      <b/>
      <sz val="10"/>
      <color theme="0"/>
      <name val="Cambria"/>
      <family val="2"/>
      <scheme val="major"/>
    </font>
    <font>
      <sz val="10"/>
      <color rgb="FF002060"/>
      <name val="Tahoma"/>
      <family val="2"/>
    </font>
    <font>
      <sz val="9"/>
      <color theme="0" tint="-0.499984740745262"/>
      <name val="Tahoma"/>
      <family val="2"/>
    </font>
    <font>
      <sz val="11"/>
      <color theme="1"/>
      <name val="Segoe UI"/>
      <family val="2"/>
    </font>
    <font>
      <sz val="9"/>
      <color rgb="FFC00000"/>
      <name val="Tahoma"/>
      <family val="2"/>
    </font>
    <font>
      <b/>
      <sz val="9"/>
      <color rgb="FFC00000"/>
      <name val="Tahoma"/>
      <family val="2"/>
    </font>
    <font>
      <b/>
      <sz val="11"/>
      <color rgb="FF000000"/>
      <name val="Tahoma"/>
      <family val="2"/>
    </font>
    <font>
      <sz val="11"/>
      <name val="Tahoma"/>
      <family val="2"/>
    </font>
    <font>
      <sz val="11"/>
      <color theme="1"/>
      <name val="Leelawadee"/>
      <family val="2"/>
    </font>
    <font>
      <sz val="14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9" tint="0.59999389629810485"/>
        <bgColor rgb="FFD6E3BC"/>
      </patternFill>
    </fill>
    <fill>
      <patternFill patternType="solid">
        <fgColor theme="5" tint="0.79998168889431442"/>
        <bgColor rgb="FF808080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0">
    <xf numFmtId="0" fontId="0" fillId="0" borderId="0"/>
    <xf numFmtId="43" fontId="9" fillId="0" borderId="0" applyFont="0" applyFill="0" applyBorder="0" applyAlignment="0" applyProtection="0"/>
    <xf numFmtId="0" fontId="3" fillId="0" borderId="3"/>
    <xf numFmtId="43" fontId="3" fillId="0" borderId="3" applyFont="0" applyFill="0" applyBorder="0" applyAlignment="0" applyProtection="0"/>
    <xf numFmtId="0" fontId="28" fillId="0" borderId="3"/>
    <xf numFmtId="0" fontId="2" fillId="0" borderId="3"/>
    <xf numFmtId="43" fontId="2" fillId="0" borderId="3" applyFont="0" applyFill="0" applyBorder="0" applyAlignment="0" applyProtection="0"/>
    <xf numFmtId="0" fontId="1" fillId="0" borderId="3"/>
    <xf numFmtId="43" fontId="1" fillId="0" borderId="3" applyFont="0" applyFill="0" applyBorder="0" applyAlignment="0" applyProtection="0"/>
    <xf numFmtId="9" fontId="1" fillId="0" borderId="3" applyFont="0" applyFill="0" applyBorder="0" applyAlignment="0" applyProtection="0"/>
  </cellStyleXfs>
  <cellXfs count="99">
    <xf numFmtId="0" fontId="0" fillId="0" borderId="0" xfId="0" applyFont="1" applyAlignment="1"/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0" fillId="0" borderId="3" xfId="0" applyFont="1" applyBorder="1" applyAlignment="1"/>
    <xf numFmtId="0" fontId="13" fillId="0" borderId="3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5" fillId="7" borderId="2" xfId="0" applyFont="1" applyFill="1" applyBorder="1" applyAlignment="1">
      <alignment vertical="center" wrapText="1"/>
    </xf>
    <xf numFmtId="0" fontId="6" fillId="10" borderId="3" xfId="0" applyFont="1" applyFill="1" applyBorder="1" applyAlignment="1">
      <alignment vertical="center"/>
    </xf>
    <xf numFmtId="0" fontId="11" fillId="10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right" vertical="center"/>
    </xf>
    <xf numFmtId="0" fontId="5" fillId="6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0" fontId="7" fillId="5" borderId="4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/>
    <xf numFmtId="0" fontId="7" fillId="4" borderId="4" xfId="0" applyFont="1" applyFill="1" applyBorder="1" applyAlignment="1">
      <alignment horizontal="center" vertical="center"/>
    </xf>
    <xf numFmtId="164" fontId="21" fillId="5" borderId="4" xfId="0" applyNumberFormat="1" applyFont="1" applyFill="1" applyBorder="1" applyAlignment="1">
      <alignment vertical="center"/>
    </xf>
    <xf numFmtId="0" fontId="21" fillId="5" borderId="4" xfId="0" applyFont="1" applyFill="1" applyBorder="1" applyAlignment="1">
      <alignment horizontal="center" vertical="center"/>
    </xf>
    <xf numFmtId="2" fontId="21" fillId="5" borderId="4" xfId="0" applyNumberFormat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vertical="center"/>
    </xf>
    <xf numFmtId="9" fontId="14" fillId="13" borderId="4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vertical="center"/>
    </xf>
    <xf numFmtId="0" fontId="18" fillId="2" borderId="3" xfId="0" applyFont="1" applyFill="1" applyBorder="1" applyAlignment="1">
      <alignment vertical="center"/>
    </xf>
    <xf numFmtId="0" fontId="14" fillId="13" borderId="0" xfId="0" applyFont="1" applyFill="1" applyAlignment="1">
      <alignment horizontal="center" vertical="center"/>
    </xf>
    <xf numFmtId="0" fontId="24" fillId="2" borderId="1" xfId="0" applyFont="1" applyFill="1" applyBorder="1" applyAlignment="1">
      <alignment vertical="center"/>
    </xf>
    <xf numFmtId="0" fontId="24" fillId="0" borderId="3" xfId="0" quotePrefix="1" applyFont="1" applyFill="1" applyBorder="1" applyAlignment="1">
      <alignment vertical="center"/>
    </xf>
    <xf numFmtId="0" fontId="25" fillId="2" borderId="3" xfId="0" applyFont="1" applyFill="1" applyBorder="1" applyAlignment="1">
      <alignment horizontal="left" vertical="center"/>
    </xf>
    <xf numFmtId="0" fontId="26" fillId="0" borderId="0" xfId="0" applyFont="1" applyAlignment="1"/>
    <xf numFmtId="0" fontId="11" fillId="2" borderId="1" xfId="0" applyFont="1" applyFill="1" applyBorder="1" applyAlignment="1">
      <alignment vertical="center"/>
    </xf>
    <xf numFmtId="0" fontId="27" fillId="0" borderId="3" xfId="0" applyFont="1" applyBorder="1" applyAlignment="1"/>
    <xf numFmtId="0" fontId="7" fillId="2" borderId="1" xfId="0" applyFont="1" applyFill="1" applyBorder="1" applyAlignment="1">
      <alignment vertical="center" wrapText="1"/>
    </xf>
    <xf numFmtId="0" fontId="27" fillId="0" borderId="0" xfId="0" applyFont="1" applyAlignment="1"/>
    <xf numFmtId="0" fontId="7" fillId="0" borderId="3" xfId="0" applyFont="1" applyFill="1" applyBorder="1" applyAlignment="1">
      <alignment vertical="center"/>
    </xf>
    <xf numFmtId="0" fontId="9" fillId="0" borderId="0" xfId="0" applyFont="1" applyAlignment="1"/>
    <xf numFmtId="164" fontId="21" fillId="12" borderId="4" xfId="0" applyNumberFormat="1" applyFont="1" applyFill="1" applyBorder="1" applyAlignment="1">
      <alignment vertical="center"/>
    </xf>
    <xf numFmtId="0" fontId="21" fillId="12" borderId="4" xfId="0" applyFont="1" applyFill="1" applyBorder="1" applyAlignment="1">
      <alignment horizontal="center" vertical="center"/>
    </xf>
    <xf numFmtId="2" fontId="21" fillId="12" borderId="4" xfId="0" applyNumberFormat="1" applyFont="1" applyFill="1" applyBorder="1" applyAlignment="1">
      <alignment horizontal="center" vertical="center"/>
    </xf>
    <xf numFmtId="0" fontId="23" fillId="13" borderId="0" xfId="0" applyNumberFormat="1" applyFont="1" applyFill="1" applyAlignment="1">
      <alignment horizontal="center" vertical="center" wrapText="1"/>
    </xf>
    <xf numFmtId="164" fontId="23" fillId="13" borderId="0" xfId="0" applyNumberFormat="1" applyFont="1" applyFill="1" applyAlignment="1">
      <alignment horizontal="center" vertical="center" wrapText="1"/>
    </xf>
    <xf numFmtId="0" fontId="12" fillId="12" borderId="8" xfId="0" applyFont="1" applyFill="1" applyBorder="1" applyAlignment="1">
      <alignment vertical="top"/>
    </xf>
    <xf numFmtId="0" fontId="9" fillId="12" borderId="8" xfId="0" applyFont="1" applyFill="1" applyBorder="1" applyAlignment="1">
      <alignment vertical="top"/>
    </xf>
    <xf numFmtId="43" fontId="7" fillId="2" borderId="3" xfId="0" applyNumberFormat="1" applyFont="1" applyFill="1" applyBorder="1" applyAlignment="1">
      <alignment vertical="center"/>
    </xf>
    <xf numFmtId="164" fontId="0" fillId="14" borderId="0" xfId="0" applyNumberFormat="1" applyFont="1" applyFill="1" applyAlignment="1"/>
    <xf numFmtId="0" fontId="7" fillId="5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43" fontId="0" fillId="14" borderId="0" xfId="1" applyFont="1" applyFill="1" applyAlignment="1"/>
    <xf numFmtId="165" fontId="10" fillId="2" borderId="3" xfId="0" applyNumberFormat="1" applyFont="1" applyFill="1" applyBorder="1" applyAlignment="1" applyProtection="1">
      <alignment horizontal="right" vertical="center"/>
      <protection hidden="1"/>
    </xf>
    <xf numFmtId="165" fontId="20" fillId="8" borderId="5" xfId="1" applyNumberFormat="1" applyFont="1" applyFill="1" applyBorder="1" applyAlignment="1" applyProtection="1">
      <alignment horizontal="right"/>
      <protection hidden="1"/>
    </xf>
    <xf numFmtId="0" fontId="5" fillId="2" borderId="3" xfId="0" applyFont="1" applyFill="1" applyBorder="1" applyAlignment="1" applyProtection="1">
      <alignment vertical="center"/>
      <protection hidden="1"/>
    </xf>
    <xf numFmtId="0" fontId="4" fillId="2" borderId="3" xfId="0" applyFont="1" applyFill="1" applyBorder="1" applyAlignment="1" applyProtection="1">
      <alignment vertical="center"/>
      <protection hidden="1"/>
    </xf>
    <xf numFmtId="0" fontId="6" fillId="2" borderId="1" xfId="0" applyFont="1" applyFill="1" applyBorder="1" applyAlignment="1" applyProtection="1">
      <alignment vertical="center"/>
      <protection hidden="1"/>
    </xf>
    <xf numFmtId="0" fontId="7" fillId="2" borderId="1" xfId="0" applyFont="1" applyFill="1" applyBorder="1" applyAlignment="1" applyProtection="1">
      <alignment vertical="center"/>
      <protection hidden="1"/>
    </xf>
    <xf numFmtId="0" fontId="5" fillId="0" borderId="3" xfId="0" applyFont="1" applyFill="1" applyBorder="1" applyAlignment="1" applyProtection="1">
      <alignment vertical="center"/>
      <protection hidden="1"/>
    </xf>
    <xf numFmtId="0" fontId="11" fillId="2" borderId="3" xfId="0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vertical="center"/>
      <protection hidden="1"/>
    </xf>
    <xf numFmtId="0" fontId="24" fillId="0" borderId="1" xfId="0" quotePrefix="1" applyFont="1" applyFill="1" applyBorder="1" applyAlignment="1" applyProtection="1">
      <alignment vertical="center"/>
      <protection hidden="1"/>
    </xf>
    <xf numFmtId="0" fontId="11" fillId="2" borderId="1" xfId="0" applyFont="1" applyFill="1" applyBorder="1" applyAlignment="1" applyProtection="1">
      <alignment vertical="center"/>
      <protection hidden="1"/>
    </xf>
    <xf numFmtId="0" fontId="13" fillId="2" borderId="1" xfId="0" applyFont="1" applyFill="1" applyBorder="1" applyAlignment="1" applyProtection="1">
      <alignment horizontal="left" vertical="center"/>
      <protection hidden="1"/>
    </xf>
    <xf numFmtId="0" fontId="11" fillId="2" borderId="3" xfId="0" applyFont="1" applyFill="1" applyBorder="1" applyAlignment="1" applyProtection="1">
      <alignment horizontal="left" vertical="center"/>
      <protection hidden="1"/>
    </xf>
    <xf numFmtId="0" fontId="7" fillId="2" borderId="3" xfId="0" applyFont="1" applyFill="1" applyBorder="1" applyAlignment="1" applyProtection="1">
      <alignment vertical="center"/>
      <protection hidden="1"/>
    </xf>
    <xf numFmtId="0" fontId="21" fillId="16" borderId="4" xfId="0" applyFont="1" applyFill="1" applyBorder="1" applyAlignment="1">
      <alignment horizontal="center" vertical="center"/>
    </xf>
    <xf numFmtId="164" fontId="0" fillId="18" borderId="0" xfId="0" applyNumberFormat="1" applyFont="1" applyFill="1" applyAlignment="1"/>
    <xf numFmtId="2" fontId="21" fillId="16" borderId="4" xfId="0" applyNumberFormat="1" applyFont="1" applyFill="1" applyBorder="1" applyAlignment="1">
      <alignment horizontal="center" vertical="center"/>
    </xf>
    <xf numFmtId="43" fontId="9" fillId="14" borderId="0" xfId="1" applyFont="1" applyFill="1" applyAlignment="1"/>
    <xf numFmtId="43" fontId="4" fillId="2" borderId="3" xfId="0" applyNumberFormat="1" applyFont="1" applyFill="1" applyBorder="1" applyAlignment="1">
      <alignment vertical="center"/>
    </xf>
    <xf numFmtId="16" fontId="14" fillId="13" borderId="0" xfId="0" quotePrefix="1" applyNumberFormat="1" applyFont="1" applyFill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164" fontId="21" fillId="5" borderId="4" xfId="0" applyNumberFormat="1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 wrapText="1"/>
    </xf>
    <xf numFmtId="167" fontId="16" fillId="9" borderId="3" xfId="1" applyNumberFormat="1" applyFont="1" applyFill="1" applyBorder="1" applyAlignment="1" applyProtection="1">
      <alignment horizontal="left" vertical="center"/>
      <protection locked="0" hidden="1"/>
    </xf>
    <xf numFmtId="0" fontId="15" fillId="7" borderId="2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4" fillId="9" borderId="1" xfId="0" applyFont="1" applyFill="1" applyBorder="1" applyAlignment="1" applyProtection="1">
      <alignment horizontal="left" vertical="center"/>
      <protection locked="0" hidden="1"/>
    </xf>
    <xf numFmtId="0" fontId="4" fillId="9" borderId="3" xfId="0" applyFont="1" applyFill="1" applyBorder="1" applyAlignment="1" applyProtection="1">
      <alignment horizontal="left" vertical="center"/>
      <protection locked="0" hidden="1"/>
    </xf>
    <xf numFmtId="0" fontId="16" fillId="9" borderId="3" xfId="0" applyFont="1" applyFill="1" applyBorder="1" applyAlignment="1" applyProtection="1">
      <alignment horizontal="left" vertical="center"/>
      <protection locked="0" hidden="1"/>
    </xf>
    <xf numFmtId="167" fontId="16" fillId="15" borderId="3" xfId="1" applyNumberFormat="1" applyFont="1" applyFill="1" applyBorder="1" applyAlignment="1" applyProtection="1">
      <alignment horizontal="center" vertical="center"/>
      <protection hidden="1"/>
    </xf>
    <xf numFmtId="166" fontId="4" fillId="9" borderId="3" xfId="1" applyNumberFormat="1" applyFont="1" applyFill="1" applyBorder="1" applyAlignment="1" applyProtection="1">
      <alignment horizontal="center" vertical="center"/>
      <protection locked="0" hidden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left" vertical="top"/>
    </xf>
    <xf numFmtId="0" fontId="12" fillId="11" borderId="3" xfId="0" applyFont="1" applyFill="1" applyBorder="1" applyAlignment="1">
      <alignment horizontal="left" vertical="top"/>
    </xf>
    <xf numFmtId="0" fontId="12" fillId="11" borderId="13" xfId="0" applyFont="1" applyFill="1" applyBorder="1" applyAlignment="1">
      <alignment horizontal="left" vertical="top"/>
    </xf>
    <xf numFmtId="0" fontId="7" fillId="5" borderId="14" xfId="0" applyFont="1" applyFill="1" applyBorder="1" applyAlignment="1">
      <alignment horizontal="center" vertical="center" wrapText="1"/>
    </xf>
    <xf numFmtId="0" fontId="11" fillId="17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</cellXfs>
  <cellStyles count="10">
    <cellStyle name="Comma" xfId="1" builtinId="3"/>
    <cellStyle name="Comma 2" xfId="3" xr:uid="{5DC1FD98-6F64-4251-9578-5A6763BD54D2}"/>
    <cellStyle name="Comma 3" xfId="6" xr:uid="{78046995-4C1A-4FC1-B115-C186E05DA45D}"/>
    <cellStyle name="Comma 4" xfId="8" xr:uid="{37A92285-2422-42BE-94B4-A6A2979781DF}"/>
    <cellStyle name="Normal" xfId="0" builtinId="0"/>
    <cellStyle name="Normal 2" xfId="2" xr:uid="{B7EEB054-1313-4808-A45D-FF1C05D38D7F}"/>
    <cellStyle name="Normal 3" xfId="4" xr:uid="{72FD5120-B1B6-481B-96A9-44338E46422C}"/>
    <cellStyle name="Normal 4" xfId="5" xr:uid="{17A97591-795A-4132-BB1E-1E183CB61153}"/>
    <cellStyle name="Normal 5" xfId="7" xr:uid="{4A0495C1-4584-4CE8-A0F5-2A5A6F9A813D}"/>
    <cellStyle name="Percent 2" xfId="9" xr:uid="{6CB749B2-322E-404C-8127-B072CF4153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0</xdr:rowOff>
    </xdr:from>
    <xdr:to>
      <xdr:col>2</xdr:col>
      <xdr:colOff>278765</xdr:colOff>
      <xdr:row>5</xdr:row>
      <xdr:rowOff>75760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0"/>
          <a:ext cx="2293620" cy="875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0</xdr:rowOff>
    </xdr:from>
    <xdr:to>
      <xdr:col>2</xdr:col>
      <xdr:colOff>278765</xdr:colOff>
      <xdr:row>5</xdr:row>
      <xdr:rowOff>75760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DA76E2-D07D-4F1C-8BA2-C902E4BB3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0"/>
          <a:ext cx="2290445" cy="8758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haWi01/Desktop/CIMB/Fire/Quotation_202004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ใบเสนอราคาที่อยู่อาศัย"/>
      <sheetName val="คำนวณ ที่อยู่อาศัย"/>
      <sheetName val="ใบเสนอราคามาตราฐาน"/>
      <sheetName val="คำนวณมาตรฐาน"/>
      <sheetName val="คำนวณหาทุนสิ่งปลูกสร้าง"/>
      <sheetName val="ราคากลางใน คปภ. ปี 61"/>
      <sheetName val="Lookup"/>
      <sheetName val="Provi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กรุงเทพมหานคร</v>
          </cell>
        </row>
        <row r="3">
          <cell r="A3" t="str">
            <v>สมุทรปราการ</v>
          </cell>
        </row>
        <row r="4">
          <cell r="A4" t="str">
            <v>นนทบุรี</v>
          </cell>
        </row>
        <row r="5">
          <cell r="A5" t="str">
            <v>ปทุมธานี</v>
          </cell>
        </row>
        <row r="6">
          <cell r="A6" t="str">
            <v>พระนครศรีอยุธยา</v>
          </cell>
        </row>
        <row r="7">
          <cell r="A7" t="str">
            <v>อ่างทอง</v>
          </cell>
        </row>
        <row r="8">
          <cell r="A8" t="str">
            <v>ลพบุรี</v>
          </cell>
        </row>
        <row r="9">
          <cell r="A9" t="str">
            <v>สิงห์บุรี</v>
          </cell>
        </row>
        <row r="10">
          <cell r="A10" t="str">
            <v>ชัยนาท</v>
          </cell>
        </row>
        <row r="11">
          <cell r="A11" t="str">
            <v>สระบุรี</v>
          </cell>
        </row>
        <row r="12">
          <cell r="A12" t="str">
            <v>ชลบุรี</v>
          </cell>
        </row>
        <row r="13">
          <cell r="A13" t="str">
            <v>ระยอง</v>
          </cell>
        </row>
        <row r="14">
          <cell r="A14" t="str">
            <v>จันทบุรี</v>
          </cell>
        </row>
        <row r="15">
          <cell r="A15" t="str">
            <v>ตราด</v>
          </cell>
        </row>
        <row r="16">
          <cell r="A16" t="str">
            <v>ฉะเชิงเทรา</v>
          </cell>
        </row>
        <row r="17">
          <cell r="A17" t="str">
            <v>ปราจีนบุรี</v>
          </cell>
        </row>
        <row r="18">
          <cell r="A18" t="str">
            <v>นครนายก</v>
          </cell>
        </row>
        <row r="19">
          <cell r="A19" t="str">
            <v>สระแก้ว</v>
          </cell>
        </row>
        <row r="20">
          <cell r="A20" t="str">
            <v>นครราชสีมา</v>
          </cell>
        </row>
        <row r="21">
          <cell r="A21" t="str">
            <v>บุรีรัมย์</v>
          </cell>
        </row>
        <row r="22">
          <cell r="A22" t="str">
            <v>สุรินทร์</v>
          </cell>
        </row>
        <row r="23">
          <cell r="A23" t="str">
            <v>ศรีสะเกษ</v>
          </cell>
        </row>
        <row r="24">
          <cell r="A24" t="str">
            <v>อุบลราชธานี</v>
          </cell>
        </row>
        <row r="25">
          <cell r="A25" t="str">
            <v>ยโสธร</v>
          </cell>
        </row>
        <row r="26">
          <cell r="A26" t="str">
            <v>ชัยภูมิ</v>
          </cell>
        </row>
        <row r="27">
          <cell r="A27" t="str">
            <v>อำนาจเจริญ</v>
          </cell>
        </row>
        <row r="28">
          <cell r="A28" t="str">
            <v>บึงกาฬ</v>
          </cell>
        </row>
        <row r="29">
          <cell r="A29" t="str">
            <v>หนองบัวลำภู</v>
          </cell>
        </row>
        <row r="30">
          <cell r="A30" t="str">
            <v>ขอนแก่น</v>
          </cell>
        </row>
        <row r="31">
          <cell r="A31" t="str">
            <v>อุดรธานี</v>
          </cell>
        </row>
        <row r="32">
          <cell r="A32" t="str">
            <v>เลย</v>
          </cell>
        </row>
        <row r="33">
          <cell r="A33" t="str">
            <v>หนองคาย</v>
          </cell>
        </row>
        <row r="34">
          <cell r="A34" t="str">
            <v>มหาสารคาม</v>
          </cell>
        </row>
        <row r="35">
          <cell r="A35" t="str">
            <v>ร้อยเอ็ด</v>
          </cell>
        </row>
        <row r="36">
          <cell r="A36" t="str">
            <v>กาฬสินธุ์</v>
          </cell>
        </row>
        <row r="37">
          <cell r="A37" t="str">
            <v>สกลนคร</v>
          </cell>
        </row>
        <row r="38">
          <cell r="A38" t="str">
            <v>นครพนม</v>
          </cell>
        </row>
        <row r="39">
          <cell r="A39" t="str">
            <v>มุกดาหาร</v>
          </cell>
        </row>
        <row r="40">
          <cell r="A40" t="str">
            <v>เชียงใหม่</v>
          </cell>
        </row>
        <row r="41">
          <cell r="A41" t="str">
            <v>ลำพูน</v>
          </cell>
        </row>
        <row r="42">
          <cell r="A42" t="str">
            <v>ลำปาง</v>
          </cell>
        </row>
        <row r="43">
          <cell r="A43" t="str">
            <v>อุตรดิตถ์</v>
          </cell>
        </row>
        <row r="44">
          <cell r="A44" t="str">
            <v>แพร่</v>
          </cell>
        </row>
        <row r="45">
          <cell r="A45" t="str">
            <v>น่าน</v>
          </cell>
        </row>
        <row r="46">
          <cell r="A46" t="str">
            <v>พะเยา</v>
          </cell>
        </row>
        <row r="47">
          <cell r="A47" t="str">
            <v>เชียงราย</v>
          </cell>
        </row>
        <row r="48">
          <cell r="A48" t="str">
            <v>แม่ฮ่องสอน</v>
          </cell>
        </row>
        <row r="49">
          <cell r="A49" t="str">
            <v>นครสวรรค์</v>
          </cell>
        </row>
        <row r="50">
          <cell r="A50" t="str">
            <v>อุทัยธานี</v>
          </cell>
        </row>
        <row r="51">
          <cell r="A51" t="str">
            <v>กำแพงเพชร</v>
          </cell>
        </row>
        <row r="52">
          <cell r="A52" t="str">
            <v>ตาก</v>
          </cell>
        </row>
        <row r="53">
          <cell r="A53" t="str">
            <v>สุโขทัย</v>
          </cell>
        </row>
        <row r="54">
          <cell r="A54" t="str">
            <v>พิษณุโลก</v>
          </cell>
        </row>
        <row r="55">
          <cell r="A55" t="str">
            <v>พิจิตร</v>
          </cell>
        </row>
        <row r="56">
          <cell r="A56" t="str">
            <v>เพชรบูรณ์</v>
          </cell>
        </row>
        <row r="57">
          <cell r="A57" t="str">
            <v>ราชบุรี</v>
          </cell>
        </row>
        <row r="58">
          <cell r="A58" t="str">
            <v>กาญจนบุรี</v>
          </cell>
        </row>
        <row r="59">
          <cell r="A59" t="str">
            <v>สุพรรณบุรี</v>
          </cell>
        </row>
        <row r="60">
          <cell r="A60" t="str">
            <v>นครปฐม</v>
          </cell>
        </row>
        <row r="61">
          <cell r="A61" t="str">
            <v>สมุทรสาคร</v>
          </cell>
        </row>
        <row r="62">
          <cell r="A62" t="str">
            <v>สมุทรสงคราม</v>
          </cell>
        </row>
        <row r="63">
          <cell r="A63" t="str">
            <v>เพชรบุรี</v>
          </cell>
        </row>
        <row r="64">
          <cell r="A64" t="str">
            <v>ประจวบคีรีขันธ์</v>
          </cell>
        </row>
        <row r="65">
          <cell r="A65" t="str">
            <v>นครศรีธรรมราช</v>
          </cell>
        </row>
        <row r="66">
          <cell r="A66" t="str">
            <v>กระบี่</v>
          </cell>
        </row>
        <row r="67">
          <cell r="A67" t="str">
            <v>พังงา</v>
          </cell>
        </row>
        <row r="68">
          <cell r="A68" t="str">
            <v>ภูเก็ต</v>
          </cell>
        </row>
        <row r="69">
          <cell r="A69" t="str">
            <v>สุราษฎร์ธานี</v>
          </cell>
        </row>
        <row r="70">
          <cell r="A70" t="str">
            <v>ระนอง</v>
          </cell>
        </row>
        <row r="71">
          <cell r="A71" t="str">
            <v>ชุมพร</v>
          </cell>
        </row>
        <row r="72">
          <cell r="A72" t="str">
            <v>สงขลา</v>
          </cell>
        </row>
        <row r="73">
          <cell r="A73" t="str">
            <v>สตูล</v>
          </cell>
        </row>
        <row r="74">
          <cell r="A74" t="str">
            <v>ตรัง</v>
          </cell>
        </row>
        <row r="75">
          <cell r="A75" t="str">
            <v>พัทลุง</v>
          </cell>
        </row>
        <row r="76">
          <cell r="A76" t="str">
            <v>ปัตตานี</v>
          </cell>
        </row>
        <row r="77">
          <cell r="A77" t="str">
            <v>ยะลา</v>
          </cell>
        </row>
        <row r="78">
          <cell r="A78" t="str">
            <v>นราธิวาส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AK95"/>
  <sheetViews>
    <sheetView tabSelected="1" topLeftCell="B1" zoomScale="110" zoomScaleNormal="110" workbookViewId="0">
      <selection activeCell="E11" sqref="E11:F11"/>
    </sheetView>
  </sheetViews>
  <sheetFormatPr defaultColWidth="14.4140625" defaultRowHeight="15" customHeight="1"/>
  <cols>
    <col min="1" max="1" width="4.6640625" customWidth="1"/>
    <col min="2" max="2" width="21.9140625" customWidth="1"/>
    <col min="3" max="3" width="18.6640625" customWidth="1"/>
    <col min="4" max="4" width="15.6640625" customWidth="1"/>
    <col min="5" max="12" width="12.08203125" bestFit="1" customWidth="1"/>
    <col min="13" max="13" width="15.6640625" style="40" customWidth="1"/>
    <col min="14" max="14" width="9" style="40" customWidth="1"/>
    <col min="15" max="15" width="3.9140625" style="40" customWidth="1"/>
    <col min="16" max="16" width="8.9140625" customWidth="1"/>
    <col min="17" max="17" width="5.4140625" customWidth="1"/>
    <col min="18" max="18" width="11.08203125" customWidth="1"/>
    <col min="19" max="19" width="9.33203125" customWidth="1"/>
    <col min="20" max="20" width="11.4140625" customWidth="1"/>
    <col min="21" max="21" width="14" customWidth="1"/>
    <col min="22" max="22" width="3.4140625" customWidth="1"/>
    <col min="23" max="24" width="13" customWidth="1"/>
    <col min="25" max="25" width="14" customWidth="1"/>
    <col min="26" max="37" width="9" customWidth="1"/>
  </cols>
  <sheetData>
    <row r="1" spans="1:37" ht="12.75" customHeight="1">
      <c r="A1" s="1"/>
      <c r="B1" s="1"/>
      <c r="C1" s="2"/>
      <c r="D1" s="1"/>
      <c r="E1" s="1"/>
      <c r="F1" s="1"/>
      <c r="G1" s="1"/>
      <c r="H1" s="1"/>
      <c r="I1" s="1"/>
      <c r="J1" s="2"/>
      <c r="K1" s="1"/>
      <c r="L1" s="1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1"/>
      <c r="Y1" s="1"/>
      <c r="Z1" s="1"/>
      <c r="AA1" s="4"/>
      <c r="AB1" s="4"/>
      <c r="AC1" s="4"/>
      <c r="AD1" s="1"/>
      <c r="AE1" s="1"/>
      <c r="AF1" s="1"/>
      <c r="AG1" s="1"/>
      <c r="AH1" s="1"/>
      <c r="AI1" s="1"/>
      <c r="AJ1" s="1"/>
      <c r="AK1" s="1"/>
    </row>
    <row r="2" spans="1:37" ht="12.75" customHeight="1">
      <c r="A2" s="1"/>
      <c r="B2" s="14"/>
      <c r="C2" s="79" t="s">
        <v>33</v>
      </c>
      <c r="D2" s="79"/>
      <c r="E2" s="79"/>
      <c r="F2" s="79"/>
      <c r="G2" s="79"/>
      <c r="H2" s="79"/>
      <c r="I2" s="79"/>
      <c r="J2" s="79"/>
      <c r="K2" s="79"/>
      <c r="L2" s="79"/>
      <c r="M2" s="4"/>
      <c r="N2" s="4"/>
      <c r="O2" s="4"/>
      <c r="P2" s="3"/>
      <c r="Q2" s="3"/>
      <c r="R2" s="3"/>
      <c r="S2" s="3"/>
      <c r="T2" s="3"/>
      <c r="U2" s="3"/>
      <c r="V2" s="3"/>
      <c r="W2" s="3"/>
      <c r="X2" s="1"/>
      <c r="Y2" s="1"/>
      <c r="Z2" s="1"/>
      <c r="AA2" s="4"/>
      <c r="AB2" s="4"/>
      <c r="AC2" s="4"/>
      <c r="AD2" s="3"/>
      <c r="AE2" s="3"/>
      <c r="AF2" s="3"/>
      <c r="AG2" s="3"/>
      <c r="AH2" s="1"/>
      <c r="AI2" s="1"/>
      <c r="AJ2" s="1"/>
      <c r="AK2" s="1"/>
    </row>
    <row r="3" spans="1:37" ht="12.75" customHeight="1">
      <c r="A3" s="1"/>
      <c r="B3" s="14"/>
      <c r="C3" s="79"/>
      <c r="D3" s="79"/>
      <c r="E3" s="79"/>
      <c r="F3" s="79"/>
      <c r="G3" s="79"/>
      <c r="H3" s="79"/>
      <c r="I3" s="79"/>
      <c r="J3" s="79"/>
      <c r="K3" s="79"/>
      <c r="L3" s="79"/>
      <c r="M3" s="39"/>
      <c r="N3" s="4"/>
      <c r="O3" s="4"/>
      <c r="P3" s="3"/>
      <c r="Q3" s="3"/>
      <c r="R3" s="3"/>
      <c r="S3" s="3"/>
      <c r="T3" s="3"/>
      <c r="U3" s="3"/>
      <c r="V3" s="3"/>
      <c r="W3" s="3"/>
      <c r="X3" s="1"/>
      <c r="Y3" s="1"/>
      <c r="Z3" s="1"/>
      <c r="AA3" s="4"/>
      <c r="AB3" s="4"/>
      <c r="AC3" s="4"/>
      <c r="AD3" s="3"/>
      <c r="AE3" s="3"/>
      <c r="AF3" s="3"/>
      <c r="AG3" s="3"/>
      <c r="AH3" s="1"/>
      <c r="AI3" s="1"/>
      <c r="AJ3" s="1"/>
      <c r="AK3" s="1"/>
    </row>
    <row r="4" spans="1:37" ht="12.75" customHeight="1">
      <c r="A4" s="1"/>
      <c r="B4" s="14"/>
      <c r="C4" s="79"/>
      <c r="D4" s="79"/>
      <c r="E4" s="79"/>
      <c r="F4" s="79"/>
      <c r="G4" s="79"/>
      <c r="H4" s="79"/>
      <c r="I4" s="79"/>
      <c r="J4" s="79"/>
      <c r="K4" s="79"/>
      <c r="L4" s="79"/>
      <c r="M4" s="4"/>
      <c r="N4" s="4"/>
      <c r="O4" s="4"/>
      <c r="P4" s="3"/>
      <c r="Q4" s="3"/>
      <c r="R4" s="3"/>
      <c r="S4" s="3"/>
      <c r="T4" s="3"/>
      <c r="U4" s="3"/>
      <c r="V4" s="3"/>
      <c r="W4" s="3"/>
      <c r="X4" s="1"/>
      <c r="Y4" s="1"/>
      <c r="Z4" s="1"/>
      <c r="AA4" s="4"/>
      <c r="AB4" s="4"/>
      <c r="AC4" s="4"/>
      <c r="AD4" s="3"/>
      <c r="AE4" s="3"/>
      <c r="AF4" s="3"/>
      <c r="AG4" s="3"/>
      <c r="AH4" s="1"/>
      <c r="AI4" s="1"/>
      <c r="AJ4" s="1"/>
      <c r="AK4" s="1"/>
    </row>
    <row r="5" spans="1:37" ht="12.75" customHeight="1">
      <c r="A5" s="1"/>
      <c r="B5" s="14"/>
      <c r="C5" s="79"/>
      <c r="D5" s="79"/>
      <c r="E5" s="79"/>
      <c r="F5" s="79"/>
      <c r="G5" s="79"/>
      <c r="H5" s="79"/>
      <c r="I5" s="79"/>
      <c r="J5" s="79"/>
      <c r="K5" s="79"/>
      <c r="L5" s="79"/>
      <c r="M5" s="4"/>
      <c r="N5" s="4"/>
      <c r="O5" s="4"/>
      <c r="P5" s="3"/>
      <c r="Q5" s="3"/>
      <c r="R5" s="3"/>
      <c r="S5" s="3"/>
      <c r="T5" s="3"/>
      <c r="U5" s="3"/>
      <c r="V5" s="3"/>
      <c r="W5" s="3"/>
      <c r="X5" s="1"/>
      <c r="Y5" s="1"/>
      <c r="Z5" s="1"/>
      <c r="AA5" s="4"/>
      <c r="AB5" s="4"/>
      <c r="AC5" s="4"/>
      <c r="AD5" s="3"/>
      <c r="AE5" s="3"/>
      <c r="AF5" s="3"/>
      <c r="AG5" s="3"/>
      <c r="AH5" s="1"/>
      <c r="AI5" s="1"/>
      <c r="AJ5" s="1"/>
      <c r="AK5" s="1"/>
    </row>
    <row r="6" spans="1:37" ht="7.75" customHeight="1">
      <c r="A6" s="1"/>
      <c r="B6" s="1"/>
      <c r="C6" s="2"/>
      <c r="D6" s="1"/>
      <c r="E6" s="1"/>
      <c r="F6" s="1"/>
      <c r="G6" s="1"/>
      <c r="H6" s="1"/>
      <c r="I6" s="6"/>
      <c r="J6" s="1"/>
      <c r="K6" s="1"/>
      <c r="L6" s="1"/>
      <c r="M6" s="4"/>
      <c r="N6" s="4"/>
      <c r="O6" s="4"/>
      <c r="P6" s="3"/>
      <c r="Q6" s="3"/>
      <c r="R6" s="3"/>
      <c r="S6" s="3"/>
      <c r="T6" s="3"/>
      <c r="U6" s="3"/>
      <c r="V6" s="3"/>
      <c r="W6" s="3"/>
      <c r="X6" s="1"/>
      <c r="Y6" s="1"/>
      <c r="Z6" s="1"/>
      <c r="AA6" s="4"/>
      <c r="AB6" s="4"/>
      <c r="AC6" s="4"/>
      <c r="AD6" s="3"/>
      <c r="AE6" s="3"/>
      <c r="AF6" s="3"/>
      <c r="AG6" s="3"/>
      <c r="AH6" s="1"/>
      <c r="AI6" s="1"/>
      <c r="AJ6" s="1"/>
      <c r="AK6" s="1"/>
    </row>
    <row r="7" spans="1:37" ht="12.75" customHeight="1">
      <c r="A7" s="6"/>
      <c r="B7" s="6"/>
      <c r="C7" s="9"/>
      <c r="D7" s="6"/>
      <c r="E7" s="6"/>
      <c r="F7" s="6"/>
      <c r="G7" s="6"/>
      <c r="H7" s="6"/>
      <c r="I7" s="9"/>
      <c r="J7" s="9"/>
      <c r="K7" s="5" t="s">
        <v>0</v>
      </c>
      <c r="L7" s="28">
        <f ca="1">NOW()</f>
        <v>44844.491908680553</v>
      </c>
      <c r="M7" s="8"/>
      <c r="N7" s="8"/>
      <c r="O7" s="8"/>
      <c r="P7" s="7"/>
      <c r="Q7" s="7"/>
      <c r="R7" s="7"/>
      <c r="S7" s="7"/>
      <c r="T7" s="7"/>
      <c r="U7" s="7"/>
      <c r="V7" s="7"/>
      <c r="W7" s="7"/>
      <c r="X7" s="6"/>
      <c r="Y7" s="6"/>
      <c r="Z7" s="6"/>
      <c r="AA7" s="8"/>
      <c r="AB7" s="8"/>
      <c r="AC7" s="8"/>
      <c r="AD7" s="7"/>
      <c r="AE7" s="7"/>
      <c r="AF7" s="7"/>
      <c r="AG7" s="7"/>
      <c r="AH7" s="6"/>
      <c r="AI7" s="6"/>
      <c r="AJ7" s="6"/>
      <c r="AK7" s="6"/>
    </row>
    <row r="8" spans="1:37" ht="4.75" customHeight="1">
      <c r="A8" s="1"/>
      <c r="B8" s="1"/>
      <c r="C8" s="2"/>
      <c r="D8" s="1"/>
      <c r="E8" s="1"/>
      <c r="F8" s="1"/>
      <c r="G8" s="1"/>
      <c r="H8" s="1"/>
      <c r="I8" s="1"/>
      <c r="J8" s="2"/>
      <c r="K8" s="1"/>
      <c r="L8" s="1"/>
      <c r="M8" s="4"/>
      <c r="N8" s="4"/>
      <c r="O8" s="4"/>
      <c r="P8" s="3"/>
      <c r="Q8" s="3"/>
      <c r="R8" s="3"/>
      <c r="S8" s="3"/>
      <c r="T8" s="3"/>
      <c r="U8" s="3"/>
      <c r="V8" s="3"/>
      <c r="W8" s="3"/>
      <c r="X8" s="1"/>
      <c r="Y8" s="1"/>
      <c r="Z8" s="1"/>
      <c r="AA8" s="4"/>
      <c r="AB8" s="4"/>
      <c r="AC8" s="4"/>
      <c r="AD8" s="3"/>
      <c r="AE8" s="3"/>
      <c r="AF8" s="3"/>
      <c r="AG8" s="3"/>
      <c r="AH8" s="1"/>
      <c r="AI8" s="1"/>
      <c r="AJ8" s="1"/>
      <c r="AK8" s="1"/>
    </row>
    <row r="9" spans="1:37" s="11" customFormat="1" ht="22.25" customHeight="1">
      <c r="A9" s="6"/>
      <c r="B9" s="10" t="s">
        <v>1</v>
      </c>
      <c r="C9" s="83" t="s">
        <v>49</v>
      </c>
      <c r="D9" s="84"/>
      <c r="E9" s="84"/>
      <c r="F9" s="84"/>
      <c r="G9" s="84"/>
      <c r="H9" s="84"/>
      <c r="I9" s="84"/>
      <c r="J9" s="57"/>
      <c r="K9" s="58"/>
      <c r="L9" s="58"/>
      <c r="M9" s="8"/>
      <c r="N9" s="8"/>
      <c r="O9" s="8"/>
      <c r="P9" s="7"/>
      <c r="Q9" s="7"/>
      <c r="R9" s="7"/>
      <c r="S9" s="7"/>
      <c r="T9" s="7"/>
      <c r="U9" s="7"/>
      <c r="V9" s="7"/>
      <c r="W9" s="7"/>
      <c r="X9" s="6"/>
      <c r="Y9" s="6"/>
      <c r="Z9" s="6"/>
      <c r="AA9" s="8"/>
      <c r="AB9" s="8"/>
      <c r="AC9" s="8"/>
      <c r="AD9" s="7"/>
      <c r="AE9" s="7"/>
      <c r="AF9" s="7"/>
      <c r="AG9" s="7"/>
      <c r="AH9" s="6"/>
      <c r="AI9" s="6"/>
      <c r="AJ9" s="6"/>
      <c r="AK9" s="6"/>
    </row>
    <row r="10" spans="1:37" s="11" customFormat="1" ht="7.25" customHeight="1">
      <c r="A10" s="6"/>
      <c r="B10" s="3"/>
      <c r="C10" s="59"/>
      <c r="D10" s="59"/>
      <c r="E10" s="59"/>
      <c r="F10" s="59"/>
      <c r="G10" s="59"/>
      <c r="H10" s="60"/>
      <c r="I10" s="60"/>
      <c r="J10" s="60"/>
      <c r="K10" s="60"/>
      <c r="L10" s="68"/>
      <c r="M10" s="8"/>
      <c r="N10" s="8"/>
      <c r="O10" s="8"/>
      <c r="P10" s="7"/>
      <c r="Q10" s="7"/>
      <c r="R10" s="7"/>
      <c r="S10" s="7"/>
      <c r="T10" s="7"/>
      <c r="U10" s="7"/>
      <c r="V10" s="7"/>
      <c r="W10" s="7"/>
      <c r="X10" s="6"/>
      <c r="Y10" s="6"/>
      <c r="Z10" s="6"/>
      <c r="AA10" s="8"/>
      <c r="AB10" s="8"/>
      <c r="AC10" s="8"/>
      <c r="AD10" s="7"/>
      <c r="AE10" s="7"/>
      <c r="AF10" s="7"/>
      <c r="AG10" s="7"/>
      <c r="AH10" s="6"/>
      <c r="AI10" s="6"/>
      <c r="AJ10" s="6"/>
      <c r="AK10" s="6"/>
    </row>
    <row r="11" spans="1:37" ht="24" customHeight="1">
      <c r="A11" s="6"/>
      <c r="B11" s="10" t="s">
        <v>57</v>
      </c>
      <c r="C11" s="82" t="s">
        <v>82</v>
      </c>
      <c r="D11" s="82"/>
      <c r="E11" s="81"/>
      <c r="F11" s="81"/>
      <c r="G11" s="68"/>
      <c r="H11" s="68"/>
      <c r="I11" s="68"/>
      <c r="J11" s="62"/>
      <c r="K11" s="68"/>
      <c r="L11" s="68"/>
      <c r="M11" s="8"/>
      <c r="N11" s="8"/>
      <c r="O11" s="8"/>
      <c r="P11" s="7"/>
      <c r="Q11" s="7"/>
      <c r="R11" s="7"/>
      <c r="S11" s="7"/>
      <c r="T11" s="7"/>
      <c r="U11" s="7"/>
      <c r="V11" s="7"/>
      <c r="W11" s="7"/>
      <c r="X11" s="6"/>
      <c r="Y11" s="6"/>
      <c r="Z11" s="6"/>
      <c r="AA11" s="8"/>
      <c r="AB11" s="8"/>
      <c r="AC11" s="8"/>
      <c r="AD11" s="7"/>
      <c r="AE11" s="7"/>
      <c r="AF11" s="7"/>
      <c r="AG11" s="7"/>
      <c r="AH11" s="6"/>
      <c r="AI11" s="6"/>
      <c r="AJ11" s="6"/>
      <c r="AK11" s="6"/>
    </row>
    <row r="12" spans="1:37" ht="12" customHeight="1">
      <c r="A12" s="1"/>
      <c r="B12" s="1"/>
      <c r="C12" s="64" t="s">
        <v>5</v>
      </c>
      <c r="D12" s="63"/>
      <c r="E12" s="63"/>
      <c r="F12" s="63"/>
      <c r="G12" s="68"/>
      <c r="H12" s="68"/>
      <c r="I12" s="68"/>
      <c r="J12" s="65"/>
      <c r="K12" s="60"/>
      <c r="L12" s="60"/>
      <c r="M12" s="37"/>
      <c r="N12" s="4"/>
      <c r="O12" s="4"/>
      <c r="P12" s="3"/>
      <c r="Q12" s="3"/>
      <c r="R12" s="3"/>
      <c r="S12" s="3"/>
      <c r="T12" s="3"/>
      <c r="U12" s="3"/>
      <c r="V12" s="3"/>
      <c r="W12" s="3"/>
      <c r="X12" s="1"/>
      <c r="Y12" s="1"/>
      <c r="Z12" s="1"/>
      <c r="AA12" s="4"/>
      <c r="AB12" s="4"/>
      <c r="AC12" s="4"/>
      <c r="AD12" s="3"/>
      <c r="AE12" s="3"/>
      <c r="AF12" s="3"/>
      <c r="AG12" s="3"/>
      <c r="AH12" s="1"/>
      <c r="AI12" s="1"/>
      <c r="AJ12" s="1"/>
      <c r="AK12" s="1"/>
    </row>
    <row r="13" spans="1:37" s="11" customFormat="1" ht="7.25" customHeight="1">
      <c r="A13" s="6"/>
      <c r="B13" s="3"/>
      <c r="C13" s="63"/>
      <c r="D13" s="63"/>
      <c r="E13" s="63"/>
      <c r="F13" s="63"/>
      <c r="G13" s="68"/>
      <c r="H13" s="68"/>
      <c r="I13" s="68"/>
      <c r="J13" s="60"/>
      <c r="K13" s="60"/>
      <c r="L13" s="68"/>
      <c r="M13" s="8"/>
      <c r="N13" s="8"/>
      <c r="O13" s="8"/>
      <c r="P13" s="7"/>
      <c r="Q13" s="7"/>
      <c r="R13" s="7"/>
      <c r="S13" s="7"/>
      <c r="T13" s="7"/>
      <c r="U13" s="7"/>
      <c r="V13" s="7"/>
      <c r="W13" s="7"/>
      <c r="X13" s="6"/>
      <c r="Y13" s="6"/>
      <c r="Z13" s="6"/>
      <c r="AA13" s="8"/>
      <c r="AB13" s="8"/>
      <c r="AC13" s="8"/>
      <c r="AD13" s="7"/>
      <c r="AE13" s="7"/>
      <c r="AF13" s="7"/>
      <c r="AG13" s="7"/>
      <c r="AH13" s="6"/>
      <c r="AI13" s="6"/>
      <c r="AJ13" s="6"/>
      <c r="AK13" s="6"/>
    </row>
    <row r="14" spans="1:37" s="11" customFormat="1" ht="21" customHeight="1">
      <c r="A14" s="6"/>
      <c r="B14" s="12" t="s">
        <v>7</v>
      </c>
      <c r="C14" s="78">
        <v>1960000</v>
      </c>
      <c r="D14" s="78"/>
      <c r="E14" s="78"/>
      <c r="F14" s="66" t="s">
        <v>8</v>
      </c>
      <c r="G14" s="68"/>
      <c r="H14" s="68"/>
      <c r="I14" s="68"/>
      <c r="J14" s="58"/>
      <c r="K14" s="68"/>
      <c r="L14" s="68"/>
      <c r="M14" s="8"/>
      <c r="N14" s="8"/>
      <c r="O14" s="8"/>
      <c r="P14" s="7"/>
      <c r="Q14" s="7"/>
      <c r="R14" s="7"/>
      <c r="S14" s="7"/>
      <c r="T14" s="7"/>
      <c r="U14" s="7"/>
      <c r="V14" s="7"/>
      <c r="W14" s="7"/>
      <c r="X14" s="6"/>
      <c r="Y14" s="6"/>
      <c r="Z14" s="6"/>
      <c r="AA14" s="8"/>
      <c r="AB14" s="8"/>
      <c r="AC14" s="8"/>
      <c r="AD14" s="7"/>
      <c r="AE14" s="7"/>
      <c r="AF14" s="7"/>
      <c r="AG14" s="7"/>
      <c r="AH14" s="6"/>
      <c r="AI14" s="6"/>
      <c r="AJ14" s="6"/>
      <c r="AK14" s="6"/>
    </row>
    <row r="15" spans="1:37" s="11" customFormat="1" ht="7.25" customHeight="1">
      <c r="A15" s="6"/>
      <c r="B15" s="3"/>
      <c r="C15" s="3"/>
      <c r="D15" s="3"/>
      <c r="E15" s="3"/>
      <c r="F15" s="3"/>
      <c r="G15" s="3"/>
      <c r="H15" s="4"/>
      <c r="I15" s="4"/>
      <c r="J15" s="4"/>
      <c r="K15" s="4"/>
      <c r="L15" s="8"/>
      <c r="M15" s="8"/>
      <c r="N15" s="8"/>
      <c r="O15" s="8"/>
      <c r="P15" s="7"/>
      <c r="Q15" s="7"/>
      <c r="R15" s="7"/>
      <c r="S15" s="7"/>
      <c r="T15" s="7"/>
      <c r="U15" s="7"/>
      <c r="V15" s="7"/>
      <c r="W15" s="7"/>
      <c r="X15" s="6"/>
      <c r="Y15" s="6"/>
      <c r="Z15" s="6"/>
      <c r="AA15" s="8"/>
      <c r="AB15" s="8"/>
      <c r="AC15" s="8"/>
      <c r="AD15" s="7"/>
      <c r="AE15" s="7"/>
      <c r="AF15" s="7"/>
      <c r="AG15" s="7"/>
      <c r="AH15" s="6"/>
      <c r="AI15" s="6"/>
      <c r="AJ15" s="6"/>
      <c r="AK15" s="6"/>
    </row>
    <row r="16" spans="1:37" s="11" customFormat="1" ht="13.75" customHeight="1">
      <c r="A16" s="6"/>
      <c r="B16" s="6"/>
      <c r="C16" s="33" t="s">
        <v>50</v>
      </c>
      <c r="D16" s="33"/>
      <c r="E16" s="30"/>
      <c r="F16" s="13"/>
      <c r="G16" s="13"/>
      <c r="H16" s="8"/>
      <c r="I16" s="50"/>
      <c r="J16" s="8"/>
      <c r="K16" s="8"/>
      <c r="L16" s="8"/>
      <c r="M16" s="8"/>
      <c r="N16" s="8"/>
      <c r="O16" s="8"/>
      <c r="P16" s="7"/>
      <c r="Q16" s="7"/>
      <c r="R16" s="7"/>
      <c r="S16" s="7"/>
      <c r="T16" s="7"/>
      <c r="U16" s="7"/>
      <c r="V16" s="7"/>
      <c r="W16" s="7"/>
      <c r="X16" s="6"/>
      <c r="Y16" s="6"/>
      <c r="Z16" s="6"/>
      <c r="AA16" s="8"/>
      <c r="AB16" s="8"/>
      <c r="AC16" s="8"/>
      <c r="AD16" s="7"/>
      <c r="AE16" s="7"/>
      <c r="AF16" s="7"/>
      <c r="AG16" s="7"/>
      <c r="AH16" s="6"/>
      <c r="AI16" s="6"/>
      <c r="AJ16" s="6"/>
      <c r="AK16" s="6"/>
    </row>
    <row r="17" spans="1:37" s="11" customFormat="1" ht="13.75" customHeight="1">
      <c r="A17" s="6"/>
      <c r="B17" s="6"/>
      <c r="C17" s="33" t="s">
        <v>35</v>
      </c>
      <c r="D17" s="33"/>
      <c r="E17" s="30"/>
      <c r="F17" s="13"/>
      <c r="G17" s="13"/>
      <c r="H17" s="38"/>
      <c r="I17" s="8"/>
      <c r="J17" s="8"/>
      <c r="K17" s="8"/>
      <c r="L17" s="8"/>
      <c r="M17" s="8"/>
      <c r="N17" s="41"/>
      <c r="O17" s="8"/>
      <c r="P17" s="7"/>
      <c r="Q17" s="7"/>
      <c r="R17" s="7"/>
      <c r="S17" s="7"/>
      <c r="T17" s="7"/>
      <c r="U17" s="7"/>
      <c r="V17" s="7"/>
      <c r="W17" s="7"/>
      <c r="X17" s="6"/>
      <c r="Y17" s="6"/>
      <c r="Z17" s="6"/>
      <c r="AA17" s="8"/>
      <c r="AB17" s="8"/>
      <c r="AC17" s="8"/>
      <c r="AD17" s="7"/>
      <c r="AE17" s="7"/>
      <c r="AF17" s="7"/>
      <c r="AG17" s="7"/>
      <c r="AH17" s="6"/>
      <c r="AI17" s="6"/>
      <c r="AJ17" s="6"/>
      <c r="AK17" s="6"/>
    </row>
    <row r="18" spans="1:37" s="11" customFormat="1" ht="13.75" customHeight="1">
      <c r="A18" s="6"/>
      <c r="B18" s="6"/>
      <c r="C18" s="33" t="s">
        <v>36</v>
      </c>
      <c r="D18" s="33"/>
      <c r="E18" s="30"/>
      <c r="F18" s="13"/>
      <c r="G18" s="13"/>
      <c r="H18" s="6"/>
      <c r="I18" s="73"/>
      <c r="J18" s="6"/>
      <c r="K18" s="6"/>
      <c r="L18" s="6"/>
      <c r="M18" s="8"/>
      <c r="N18" s="8"/>
      <c r="O18" s="8"/>
      <c r="P18" s="7"/>
      <c r="Q18" s="7"/>
      <c r="R18" s="7"/>
      <c r="S18" s="7"/>
      <c r="T18" s="7"/>
      <c r="U18" s="7"/>
      <c r="V18" s="7"/>
      <c r="W18" s="7"/>
      <c r="X18" s="6"/>
      <c r="Y18" s="6"/>
      <c r="Z18" s="6"/>
      <c r="AA18" s="8"/>
      <c r="AB18" s="8"/>
      <c r="AC18" s="8"/>
      <c r="AD18" s="7"/>
      <c r="AE18" s="7"/>
      <c r="AF18" s="7"/>
      <c r="AG18" s="7"/>
      <c r="AH18" s="6"/>
      <c r="AI18" s="6"/>
      <c r="AJ18" s="6"/>
      <c r="AK18" s="6"/>
    </row>
    <row r="19" spans="1:37" s="11" customFormat="1" ht="13.75" customHeight="1">
      <c r="A19" s="6"/>
      <c r="B19" s="6"/>
      <c r="C19" s="34" t="s">
        <v>34</v>
      </c>
      <c r="D19" s="35"/>
      <c r="E19" s="31"/>
      <c r="F19" s="6"/>
      <c r="G19" s="6"/>
      <c r="H19" s="6"/>
      <c r="I19" s="6"/>
      <c r="J19" s="6"/>
      <c r="K19" s="6"/>
      <c r="L19" s="6"/>
      <c r="M19" s="8"/>
      <c r="N19" s="8"/>
      <c r="O19" s="8"/>
      <c r="P19" s="7"/>
      <c r="Q19" s="7"/>
      <c r="R19" s="7"/>
      <c r="S19" s="7"/>
      <c r="T19" s="7"/>
      <c r="U19" s="7"/>
      <c r="V19" s="7"/>
      <c r="W19" s="7"/>
      <c r="X19" s="6"/>
      <c r="Y19" s="6"/>
      <c r="Z19" s="6"/>
      <c r="AA19" s="8"/>
      <c r="AB19" s="8"/>
      <c r="AC19" s="8"/>
      <c r="AD19" s="7"/>
      <c r="AE19" s="7"/>
      <c r="AF19" s="7"/>
      <c r="AG19" s="7"/>
      <c r="AH19" s="6"/>
      <c r="AI19" s="6"/>
      <c r="AJ19" s="6"/>
      <c r="AK19" s="6"/>
    </row>
    <row r="20" spans="1:37" s="11" customFormat="1" ht="7.25" customHeight="1">
      <c r="A20" s="6"/>
      <c r="B20" s="3"/>
      <c r="C20" s="3"/>
      <c r="D20" s="3"/>
      <c r="E20" s="3"/>
      <c r="F20" s="3"/>
      <c r="G20" s="3"/>
      <c r="H20" s="3"/>
      <c r="I20" s="3"/>
      <c r="J20" s="3"/>
      <c r="K20" s="3"/>
      <c r="L20" s="6"/>
      <c r="M20" s="8"/>
      <c r="N20" s="8"/>
      <c r="O20" s="8"/>
      <c r="P20" s="7"/>
      <c r="Q20" s="7"/>
      <c r="R20" s="7"/>
      <c r="S20" s="7"/>
      <c r="T20" s="7"/>
      <c r="U20" s="7"/>
      <c r="V20" s="7"/>
      <c r="W20" s="7"/>
      <c r="X20" s="6"/>
      <c r="Y20" s="6"/>
      <c r="Z20" s="6"/>
      <c r="AA20" s="8"/>
      <c r="AB20" s="8"/>
      <c r="AC20" s="8"/>
      <c r="AD20" s="7"/>
      <c r="AE20" s="7"/>
      <c r="AF20" s="7"/>
      <c r="AG20" s="7"/>
      <c r="AH20" s="6"/>
      <c r="AI20" s="6"/>
      <c r="AJ20" s="6"/>
      <c r="AK20" s="6"/>
    </row>
    <row r="21" spans="1:37" s="11" customFormat="1" ht="13.75" customHeight="1">
      <c r="A21" s="6"/>
      <c r="B21" s="80" t="s">
        <v>41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"/>
      <c r="N21" s="8"/>
      <c r="O21" s="8"/>
      <c r="P21" s="7"/>
      <c r="Q21" s="7"/>
      <c r="R21" s="7"/>
      <c r="S21" s="7"/>
      <c r="T21" s="7"/>
      <c r="U21" s="7"/>
      <c r="V21" s="7"/>
      <c r="W21" s="7"/>
      <c r="X21" s="6"/>
      <c r="Y21" s="6"/>
      <c r="Z21" s="6"/>
      <c r="AA21" s="8"/>
      <c r="AB21" s="8"/>
      <c r="AC21" s="8"/>
      <c r="AD21" s="7"/>
      <c r="AE21" s="7"/>
      <c r="AF21" s="7"/>
      <c r="AG21" s="7"/>
      <c r="AH21" s="6"/>
      <c r="AI21" s="6"/>
      <c r="AJ21" s="6"/>
      <c r="AK21" s="6"/>
    </row>
    <row r="22" spans="1:37" s="11" customFormat="1" ht="13.75" customHeight="1">
      <c r="A22" s="6"/>
      <c r="B22" s="15"/>
      <c r="C22" s="15"/>
      <c r="D22" s="17" t="s">
        <v>11</v>
      </c>
      <c r="E22" s="17" t="s">
        <v>12</v>
      </c>
      <c r="F22" s="17" t="s">
        <v>9</v>
      </c>
      <c r="G22" s="17" t="s">
        <v>13</v>
      </c>
      <c r="H22" s="17" t="s">
        <v>14</v>
      </c>
      <c r="I22" s="17" t="s">
        <v>15</v>
      </c>
      <c r="J22" s="17" t="s">
        <v>16</v>
      </c>
      <c r="K22" s="17" t="s">
        <v>17</v>
      </c>
      <c r="L22" s="17" t="s">
        <v>18</v>
      </c>
      <c r="M22" s="8"/>
      <c r="N22" s="8"/>
      <c r="O22" s="8"/>
      <c r="P22" s="7"/>
      <c r="Q22" s="7"/>
      <c r="R22" s="7"/>
      <c r="S22" s="7"/>
      <c r="T22" s="7"/>
      <c r="U22" s="7"/>
      <c r="V22" s="7"/>
      <c r="W22" s="7"/>
      <c r="X22" s="6"/>
      <c r="Y22" s="6"/>
      <c r="Z22" s="6"/>
      <c r="AA22" s="8"/>
      <c r="AB22" s="8"/>
      <c r="AC22" s="8"/>
      <c r="AD22" s="7"/>
      <c r="AE22" s="7"/>
      <c r="AF22" s="7"/>
      <c r="AG22" s="7"/>
      <c r="AH22" s="6"/>
      <c r="AI22" s="6"/>
      <c r="AJ22" s="6"/>
      <c r="AK22" s="6"/>
    </row>
    <row r="23" spans="1:37" s="11" customFormat="1" ht="13.75" customHeight="1">
      <c r="A23" s="6"/>
      <c r="B23" s="16" t="s">
        <v>37</v>
      </c>
      <c r="C23" s="15"/>
      <c r="D23" s="55">
        <f>ROUND(($C$14*VLOOKUP($C$11,Rate!$D$3:$N$22,11,FALSE))/100+VLOOKUP($C$11,Rate!$D$3:$M$21,9,FALSE)+VLOOKUP($C$11,Rate!$D$3:$O$21,12,FALSE),0)</f>
        <v>2201</v>
      </c>
      <c r="E23" s="55">
        <f>ROUND((($C$14*VLOOKUP($C$11,Rate!$D$3:$N$22,11,FALSE))/100+VLOOKUP($C$11,Rate!$D$3:$M$21,9,FALSE)+VLOOKUP($C$11,Rate!$D$3:$O$21,12,FALSE))*VLOOKUP(2,Rate!$C$28:$D$36,2,FALSE),0)</f>
        <v>3852</v>
      </c>
      <c r="F23" s="55">
        <f>ROUND((($C$14*VLOOKUP($C$11,Rate!$D$3:$N$22,11,FALSE))/100+VLOOKUP($C$11,Rate!$D$3:$M$21,9,FALSE)+VLOOKUP($C$11,Rate!$D$3:$O$21,12,FALSE))*VLOOKUP(3,Rate!$C$28:$D$36,2,FALSE),0)</f>
        <v>5503</v>
      </c>
      <c r="G23" s="55">
        <f>ROUND((($C$14*VLOOKUP($C$11,Rate!$D$3:$N$22,11,FALSE))/100+VLOOKUP($C$11,Rate!$D$3:$M$21,9,FALSE)+VLOOKUP($C$11,Rate!$D$3:$O$21,12,FALSE))*VLOOKUP(4,Rate!$C$28:$D$36,2,FALSE),0)</f>
        <v>6317</v>
      </c>
      <c r="H23" s="55">
        <f>ROUND((($C$14*VLOOKUP($C$11,Rate!$D$3:$N$22,11,FALSE))/100+VLOOKUP($C$11,Rate!$D$3:$M$21,9,FALSE)+VLOOKUP($C$11,Rate!$D$3:$O$21,12,FALSE))*VLOOKUP(5,Rate!$C$28:$D$36,2,FALSE),0)</f>
        <v>7682</v>
      </c>
      <c r="I23" s="55">
        <f>IF(OR($C$11="อาคารพาณิชย์/ร้านค้า",$C$11="อาคารสำนักงาน",$C$11="อพาร์ทเม้นท์/แฟลต/หอพัก (คอนกรีต)"),0,ROUND((($C$14*VLOOKUP($C$11,Rate!$D$3:$N$22,11,FALSE))/100+VLOOKUP($C$11,Rate!$D$3:$M$21,9,FALSE)+VLOOKUP($C$11,Rate!$D$3:$O$21,12,FALSE))*VLOOKUP(6,Rate!$C$28:$D$36,2,FALSE),0))</f>
        <v>8893</v>
      </c>
      <c r="J23" s="55">
        <f>IF(OR($C$11="อาคารพาณิชย์/ร้านค้า",$C$11="อาคารสำนักงาน",$C$11="อพาร์ทเม้นท์/แฟลต/หอพัก (คอนกรีต)"),0,ROUND((($C$14*VLOOKUP($C$11,Rate!$D$3:$N$22,11,FALSE))/100+VLOOKUP($C$11,Rate!$D$3:$M$21,9,FALSE)+VLOOKUP($C$11,Rate!$D$3:$O$21,12,FALSE))*VLOOKUP(7,Rate!$C$28:$D$36,2,FALSE),0))</f>
        <v>10104</v>
      </c>
      <c r="K23" s="55">
        <f>IF(OR($C$11="อาคารพาณิชย์/ร้านค้า",$C$11="อาคารสำนักงาน",$C$11="อพาร์ทเม้นท์/แฟลต/หอพัก (คอนกรีต)"),0,ROUND((($C$14*VLOOKUP($C$11,Rate!$D$3:$N$22,11,FALSE))/100+VLOOKUP($C$11,Rate!$D$3:$M$21,9,FALSE)+VLOOKUP($C$11,Rate!$D$3:$O$21,12,FALSE))*VLOOKUP(8,Rate!$C$28:$D$36,2,FALSE),0))</f>
        <v>11226</v>
      </c>
      <c r="L23" s="55">
        <f>IF(OR($C$11="อาคารพาณิชย์/ร้านค้า",$C$11="อาคารสำนักงาน",$C$11="อพาร์ทเม้นท์/แฟลต/หอพัก (คอนกรีต)"),0,ROUND((($C$14*VLOOKUP($C$11,Rate!$D$3:$N$22,11,FALSE))/100+VLOOKUP($C$11,Rate!$D$3:$M$21,9,FALSE)+VLOOKUP($C$11,Rate!$D$3:$O$21,12,FALSE))*VLOOKUP(9,Rate!$C$28:$D$36,2,FALSE),0))</f>
        <v>12305</v>
      </c>
      <c r="M23" s="8"/>
      <c r="N23" s="8"/>
      <c r="O23" s="8"/>
      <c r="P23" s="7"/>
      <c r="Q23" s="7"/>
      <c r="R23" s="7"/>
      <c r="S23" s="7"/>
      <c r="T23" s="7"/>
      <c r="U23" s="7"/>
      <c r="V23" s="7"/>
      <c r="W23" s="7"/>
      <c r="X23" s="6"/>
      <c r="Y23" s="6"/>
      <c r="Z23" s="6"/>
      <c r="AA23" s="8"/>
      <c r="AB23" s="8"/>
      <c r="AC23" s="8"/>
      <c r="AD23" s="7"/>
      <c r="AE23" s="7"/>
      <c r="AF23" s="7"/>
      <c r="AG23" s="7"/>
      <c r="AH23" s="6"/>
      <c r="AI23" s="6"/>
      <c r="AJ23" s="6"/>
      <c r="AK23" s="6"/>
    </row>
    <row r="24" spans="1:37" s="11" customFormat="1" ht="13.75" customHeight="1">
      <c r="A24" s="6"/>
      <c r="B24" s="16" t="s">
        <v>38</v>
      </c>
      <c r="C24" s="15"/>
      <c r="D24" s="55">
        <f t="shared" ref="D24:I24" si="0">ROUNDUP(D23*0.4%,0)</f>
        <v>9</v>
      </c>
      <c r="E24" s="55">
        <f>ROUNDUP(E23*0.4%,0)</f>
        <v>16</v>
      </c>
      <c r="F24" s="55">
        <f>ROUNDUP(F23*0.4%,0)</f>
        <v>23</v>
      </c>
      <c r="G24" s="55">
        <f t="shared" si="0"/>
        <v>26</v>
      </c>
      <c r="H24" s="55">
        <f t="shared" si="0"/>
        <v>31</v>
      </c>
      <c r="I24" s="55">
        <f t="shared" si="0"/>
        <v>36</v>
      </c>
      <c r="J24" s="55">
        <f t="shared" ref="J24:L24" si="1">ROUNDUP(J23*0.4%,0)</f>
        <v>41</v>
      </c>
      <c r="K24" s="55">
        <f t="shared" si="1"/>
        <v>45</v>
      </c>
      <c r="L24" s="55">
        <f t="shared" si="1"/>
        <v>50</v>
      </c>
      <c r="M24" s="8"/>
      <c r="N24" s="8"/>
      <c r="O24" s="8"/>
      <c r="P24" s="7"/>
      <c r="Q24" s="7"/>
      <c r="R24" s="7"/>
      <c r="S24" s="7"/>
      <c r="T24" s="7"/>
      <c r="U24" s="7"/>
      <c r="V24" s="7"/>
      <c r="W24" s="7"/>
      <c r="X24" s="6"/>
      <c r="Y24" s="6"/>
      <c r="Z24" s="6"/>
      <c r="AA24" s="8"/>
      <c r="AB24" s="8"/>
      <c r="AC24" s="8"/>
      <c r="AD24" s="7"/>
      <c r="AE24" s="7"/>
      <c r="AF24" s="7"/>
      <c r="AG24" s="7"/>
      <c r="AH24" s="6"/>
      <c r="AI24" s="6"/>
      <c r="AJ24" s="6"/>
      <c r="AK24" s="6"/>
    </row>
    <row r="25" spans="1:37" s="11" customFormat="1" ht="13.75" customHeight="1">
      <c r="A25" s="6"/>
      <c r="B25" s="16" t="s">
        <v>10</v>
      </c>
      <c r="C25" s="15"/>
      <c r="D25" s="55">
        <f>ROUND((D23+D24)*7%,2)</f>
        <v>154.69999999999999</v>
      </c>
      <c r="E25" s="55">
        <f t="shared" ref="E25:L25" si="2">ROUND((E23+E24)*7%,2)</f>
        <v>270.76</v>
      </c>
      <c r="F25" s="55">
        <f t="shared" si="2"/>
        <v>386.82</v>
      </c>
      <c r="G25" s="55">
        <f t="shared" si="2"/>
        <v>444.01</v>
      </c>
      <c r="H25" s="55">
        <f t="shared" si="2"/>
        <v>539.91</v>
      </c>
      <c r="I25" s="55">
        <f t="shared" si="2"/>
        <v>625.03</v>
      </c>
      <c r="J25" s="55">
        <f t="shared" si="2"/>
        <v>710.15</v>
      </c>
      <c r="K25" s="55">
        <f t="shared" si="2"/>
        <v>788.97</v>
      </c>
      <c r="L25" s="55">
        <f t="shared" si="2"/>
        <v>864.85</v>
      </c>
      <c r="M25" s="8"/>
      <c r="N25" s="8"/>
      <c r="O25" s="8"/>
      <c r="P25" s="7"/>
      <c r="Q25" s="7"/>
      <c r="R25" s="7"/>
      <c r="S25" s="7"/>
      <c r="T25" s="7"/>
      <c r="U25" s="7"/>
      <c r="V25" s="7"/>
      <c r="W25" s="7"/>
      <c r="X25" s="6"/>
      <c r="Y25" s="6"/>
      <c r="Z25" s="6"/>
      <c r="AA25" s="8"/>
      <c r="AB25" s="8"/>
      <c r="AC25" s="8"/>
      <c r="AD25" s="7"/>
      <c r="AE25" s="7"/>
      <c r="AF25" s="7"/>
      <c r="AG25" s="7"/>
      <c r="AH25" s="6"/>
      <c r="AI25" s="6"/>
      <c r="AJ25" s="6"/>
      <c r="AK25" s="6"/>
    </row>
    <row r="26" spans="1:37" s="11" customFormat="1" ht="13.75" customHeight="1" thickBot="1">
      <c r="A26" s="6"/>
      <c r="B26" s="16" t="s">
        <v>39</v>
      </c>
      <c r="C26" s="15"/>
      <c r="D26" s="56">
        <f>ROUND(SUM(D23:D25),0)</f>
        <v>2365</v>
      </c>
      <c r="E26" s="56">
        <f t="shared" ref="E26:L26" si="3">ROUND(SUM(E23:E25),0)</f>
        <v>4139</v>
      </c>
      <c r="F26" s="56">
        <f t="shared" si="3"/>
        <v>5913</v>
      </c>
      <c r="G26" s="56">
        <f t="shared" si="3"/>
        <v>6787</v>
      </c>
      <c r="H26" s="56">
        <f t="shared" si="3"/>
        <v>8253</v>
      </c>
      <c r="I26" s="56">
        <f t="shared" si="3"/>
        <v>9554</v>
      </c>
      <c r="J26" s="56">
        <f t="shared" si="3"/>
        <v>10855</v>
      </c>
      <c r="K26" s="56">
        <f t="shared" si="3"/>
        <v>12060</v>
      </c>
      <c r="L26" s="56">
        <f t="shared" si="3"/>
        <v>13220</v>
      </c>
      <c r="M26" s="8"/>
      <c r="N26" s="8"/>
      <c r="O26" s="8"/>
      <c r="P26" s="7"/>
      <c r="Q26" s="7"/>
      <c r="R26" s="7"/>
      <c r="S26" s="7"/>
      <c r="T26" s="7"/>
      <c r="U26" s="7"/>
      <c r="V26" s="7"/>
      <c r="W26" s="7"/>
      <c r="X26" s="6"/>
      <c r="Y26" s="6"/>
      <c r="Z26" s="6"/>
      <c r="AA26" s="8"/>
      <c r="AB26" s="8"/>
      <c r="AC26" s="8"/>
      <c r="AD26" s="7"/>
      <c r="AE26" s="7"/>
      <c r="AF26" s="7"/>
      <c r="AG26" s="7"/>
      <c r="AH26" s="6"/>
      <c r="AI26" s="6"/>
      <c r="AJ26" s="6"/>
      <c r="AK26" s="6"/>
    </row>
    <row r="27" spans="1:37" s="8" customFormat="1" ht="15" customHeight="1" thickTop="1"/>
    <row r="28" spans="1:37" s="8" customFormat="1" ht="15" customHeight="1"/>
    <row r="29" spans="1:37" s="8" customFormat="1" ht="15" customHeight="1"/>
    <row r="30" spans="1:37" s="8" customFormat="1" ht="15" customHeight="1"/>
    <row r="31" spans="1:37" s="8" customFormat="1" ht="15" customHeight="1"/>
    <row r="32" spans="1:37" s="8" customFormat="1" ht="15" customHeight="1"/>
    <row r="33" s="8" customFormat="1" ht="15" customHeight="1"/>
    <row r="34" s="8" customFormat="1" ht="15" customHeight="1"/>
    <row r="35" s="8" customFormat="1" ht="15" customHeight="1"/>
    <row r="36" s="8" customFormat="1" ht="15" customHeight="1"/>
    <row r="37" s="8" customFormat="1" ht="15" customHeight="1"/>
    <row r="38" s="8" customFormat="1" ht="15" customHeight="1"/>
    <row r="39" s="8" customFormat="1" ht="15" customHeight="1"/>
    <row r="40" s="8" customFormat="1" ht="15" customHeight="1"/>
    <row r="41" s="8" customFormat="1" ht="15" customHeight="1"/>
    <row r="42" s="8" customFormat="1" ht="15" customHeight="1"/>
    <row r="43" s="8" customFormat="1" ht="15" customHeight="1"/>
    <row r="44" s="8" customFormat="1" ht="15" customHeight="1"/>
    <row r="45" s="8" customFormat="1" ht="15" customHeight="1"/>
    <row r="46" s="8" customFormat="1" ht="15" customHeight="1"/>
    <row r="47" s="8" customFormat="1" ht="15" customHeight="1"/>
    <row r="48" s="8" customFormat="1" ht="15" customHeight="1"/>
    <row r="49" s="8" customFormat="1" ht="15" customHeight="1"/>
    <row r="50" s="8" customFormat="1" ht="15" customHeight="1"/>
    <row r="51" s="8" customFormat="1" ht="15" customHeight="1"/>
    <row r="52" s="8" customFormat="1" ht="15" customHeight="1"/>
    <row r="53" s="8" customFormat="1" ht="15" customHeight="1"/>
    <row r="54" s="8" customFormat="1" ht="15" customHeight="1"/>
    <row r="55" s="8" customFormat="1" ht="15" customHeight="1"/>
    <row r="56" s="8" customFormat="1" ht="15" customHeight="1"/>
    <row r="57" s="8" customFormat="1" ht="15" customHeight="1"/>
    <row r="58" s="8" customFormat="1" ht="15" customHeight="1"/>
    <row r="59" s="8" customFormat="1" ht="15" customHeight="1"/>
    <row r="60" s="8" customFormat="1" ht="15" customHeight="1"/>
    <row r="61" s="8" customFormat="1" ht="15" customHeight="1"/>
    <row r="62" s="8" customFormat="1" ht="15" customHeight="1"/>
    <row r="63" s="8" customFormat="1" ht="15" customHeight="1"/>
    <row r="64" s="8" customFormat="1" ht="15" customHeight="1"/>
    <row r="65" s="8" customFormat="1" ht="15" customHeight="1"/>
    <row r="66" s="8" customFormat="1" ht="15" customHeight="1"/>
    <row r="67" s="8" customFormat="1" ht="15" customHeight="1"/>
    <row r="68" s="8" customFormat="1" ht="15" customHeight="1"/>
    <row r="69" s="8" customFormat="1" ht="15" customHeight="1"/>
    <row r="70" s="8" customFormat="1" ht="15" customHeight="1"/>
    <row r="71" s="8" customFormat="1" ht="15" customHeight="1"/>
    <row r="72" s="8" customFormat="1" ht="15" customHeight="1"/>
    <row r="73" s="8" customFormat="1" ht="15" customHeight="1"/>
    <row r="74" s="8" customFormat="1" ht="15" customHeight="1"/>
    <row r="75" s="8" customFormat="1" ht="15" customHeight="1"/>
    <row r="76" s="8" customFormat="1" ht="15" customHeight="1"/>
    <row r="77" s="8" customFormat="1" ht="15" customHeight="1"/>
    <row r="78" s="8" customFormat="1" ht="15" customHeight="1"/>
    <row r="79" s="8" customFormat="1" ht="15" customHeight="1"/>
    <row r="80" s="8" customFormat="1" ht="15" customHeight="1"/>
    <row r="81" s="8" customFormat="1" ht="15" customHeight="1"/>
    <row r="82" s="8" customFormat="1" ht="15" customHeight="1"/>
    <row r="83" s="8" customFormat="1" ht="15" customHeight="1"/>
    <row r="84" s="8" customFormat="1" ht="15" customHeight="1"/>
    <row r="85" s="8" customFormat="1" ht="15" customHeight="1"/>
    <row r="86" s="8" customFormat="1" ht="15" customHeight="1"/>
    <row r="87" s="8" customFormat="1" ht="15" customHeight="1"/>
    <row r="88" s="8" customFormat="1" ht="15" customHeight="1"/>
    <row r="89" s="8" customFormat="1" ht="15" customHeight="1"/>
    <row r="90" s="8" customFormat="1" ht="15" customHeight="1"/>
    <row r="91" s="8" customFormat="1" ht="15" customHeight="1"/>
    <row r="92" s="8" customFormat="1" ht="15" customHeight="1"/>
    <row r="93" s="8" customFormat="1" ht="15" customHeight="1"/>
    <row r="94" s="8" customFormat="1" ht="15" customHeight="1"/>
    <row r="95" s="8" customFormat="1" ht="15" customHeight="1"/>
  </sheetData>
  <sheetProtection algorithmName="SHA-512" hashValue="gwBaBcOm7jLBe6nQwPhB0/iVJ3Xg6KpQcLsA1ZM2HyC1LimMcVe1ti3egOthl43/BLAK+D6DR0kdsfzq5I4YsQ==" saltValue="Ieh4aISFJHUMgMFK15fStA==" spinCount="100000" sheet="1" objects="1" scenarios="1"/>
  <mergeCells count="6">
    <mergeCell ref="C14:E14"/>
    <mergeCell ref="C2:L5"/>
    <mergeCell ref="B21:L21"/>
    <mergeCell ref="E11:F11"/>
    <mergeCell ref="C11:D11"/>
    <mergeCell ref="C9:I9"/>
  </mergeCells>
  <dataValidations count="1">
    <dataValidation type="whole" allowBlank="1" showInputMessage="1" showErrorMessage="1" errorTitle="ทุนประภันภัยไม่ถูกต้อง" error="ทุนประกันภัยอยู่ระหว่าง 20,000 ถึง 60,000,000 บาท" sqref="C14:E14" xr:uid="{50F6740D-E32B-4AA5-B207-8A9E893427A6}">
      <formula1>20000</formula1>
      <formula2>59999999</formula2>
    </dataValidation>
  </dataValidations>
  <printOptions horizontalCentered="1"/>
  <pageMargins left="0.70866141732283472" right="0.70866141732283472" top="0.55118110236220474" bottom="0.35433070866141736" header="0" footer="0"/>
  <pageSetup paperSize="9" orientation="portrait" r:id="rId1"/>
  <ignoredErrors>
    <ignoredError sqref="F25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FBA9B0-BCB2-44C4-8173-40C3109F73EB}">
          <x14:formula1>
            <xm:f>Rate!$D$42:$D$59</xm:f>
          </x14:formula1>
          <xm:sqref>C11:D11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A2AC-2A74-4B9B-9D11-98895C3B7417}">
  <sheetPr>
    <tabColor rgb="FF00B0F0"/>
    <pageSetUpPr fitToPage="1"/>
  </sheetPr>
  <dimension ref="A1:AK95"/>
  <sheetViews>
    <sheetView zoomScale="110" zoomScaleNormal="110" workbookViewId="0">
      <selection activeCell="C11" sqref="C11:D11"/>
    </sheetView>
  </sheetViews>
  <sheetFormatPr defaultColWidth="14.4140625" defaultRowHeight="15" customHeight="1"/>
  <cols>
    <col min="1" max="1" width="4.6640625" customWidth="1"/>
    <col min="2" max="2" width="21.9140625" customWidth="1"/>
    <col min="3" max="3" width="18.6640625" customWidth="1"/>
    <col min="4" max="4" width="18.75" customWidth="1"/>
    <col min="5" max="6" width="12.08203125" bestFit="1" customWidth="1"/>
    <col min="7" max="7" width="11" bestFit="1" customWidth="1"/>
    <col min="8" max="12" width="12.08203125" bestFit="1" customWidth="1"/>
    <col min="13" max="13" width="15.6640625" style="40" customWidth="1"/>
    <col min="14" max="14" width="9" style="40" customWidth="1"/>
    <col min="15" max="15" width="3.9140625" style="40" customWidth="1"/>
    <col min="16" max="16" width="8.9140625" customWidth="1"/>
    <col min="17" max="17" width="5.4140625" customWidth="1"/>
    <col min="18" max="18" width="11.08203125" customWidth="1"/>
    <col min="19" max="19" width="9.33203125" customWidth="1"/>
    <col min="20" max="20" width="11.4140625" customWidth="1"/>
    <col min="21" max="21" width="14" customWidth="1"/>
    <col min="22" max="22" width="3.4140625" customWidth="1"/>
    <col min="23" max="24" width="13" customWidth="1"/>
    <col min="25" max="25" width="14" customWidth="1"/>
    <col min="26" max="37" width="9" customWidth="1"/>
  </cols>
  <sheetData>
    <row r="1" spans="1:37" ht="12.75" customHeight="1">
      <c r="A1" s="1"/>
      <c r="B1" s="1"/>
      <c r="C1" s="2"/>
      <c r="D1" s="1"/>
      <c r="E1" s="1"/>
      <c r="F1" s="1"/>
      <c r="G1" s="1"/>
      <c r="H1" s="1"/>
      <c r="I1" s="1"/>
      <c r="J1" s="2"/>
      <c r="K1" s="1"/>
      <c r="L1" s="1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1"/>
      <c r="Y1" s="1"/>
      <c r="Z1" s="1"/>
      <c r="AA1" s="4"/>
      <c r="AB1" s="4"/>
      <c r="AC1" s="4"/>
      <c r="AD1" s="1"/>
      <c r="AE1" s="1"/>
      <c r="AF1" s="1"/>
      <c r="AG1" s="1"/>
      <c r="AH1" s="1"/>
      <c r="AI1" s="1"/>
      <c r="AJ1" s="1"/>
      <c r="AK1" s="1"/>
    </row>
    <row r="2" spans="1:37" ht="12.75" customHeight="1">
      <c r="A2" s="1"/>
      <c r="B2" s="14"/>
      <c r="C2" s="79" t="s">
        <v>33</v>
      </c>
      <c r="D2" s="79"/>
      <c r="E2" s="79"/>
      <c r="F2" s="79"/>
      <c r="G2" s="79"/>
      <c r="H2" s="79"/>
      <c r="I2" s="79"/>
      <c r="J2" s="79"/>
      <c r="K2" s="79"/>
      <c r="L2" s="79"/>
      <c r="M2" s="4"/>
      <c r="N2" s="4"/>
      <c r="O2" s="4"/>
      <c r="P2" s="3"/>
      <c r="Q2" s="3"/>
      <c r="R2" s="3"/>
      <c r="S2" s="3"/>
      <c r="T2" s="3"/>
      <c r="U2" s="3"/>
      <c r="V2" s="3"/>
      <c r="W2" s="3"/>
      <c r="X2" s="1"/>
      <c r="Y2" s="1"/>
      <c r="Z2" s="1"/>
      <c r="AA2" s="4"/>
      <c r="AB2" s="4"/>
      <c r="AC2" s="4"/>
      <c r="AD2" s="3"/>
      <c r="AE2" s="3"/>
      <c r="AF2" s="3"/>
      <c r="AG2" s="3"/>
      <c r="AH2" s="1"/>
      <c r="AI2" s="1"/>
      <c r="AJ2" s="1"/>
      <c r="AK2" s="1"/>
    </row>
    <row r="3" spans="1:37" ht="12.75" customHeight="1">
      <c r="A3" s="1"/>
      <c r="B3" s="14"/>
      <c r="C3" s="79"/>
      <c r="D3" s="79"/>
      <c r="E3" s="79"/>
      <c r="F3" s="79"/>
      <c r="G3" s="79"/>
      <c r="H3" s="79"/>
      <c r="I3" s="79"/>
      <c r="J3" s="79"/>
      <c r="K3" s="79"/>
      <c r="L3" s="79"/>
      <c r="M3" s="39"/>
      <c r="N3" s="4"/>
      <c r="O3" s="4"/>
      <c r="P3" s="3"/>
      <c r="Q3" s="3"/>
      <c r="R3" s="3"/>
      <c r="S3" s="3"/>
      <c r="T3" s="3"/>
      <c r="U3" s="3"/>
      <c r="V3" s="3"/>
      <c r="W3" s="3"/>
      <c r="X3" s="1"/>
      <c r="Y3" s="1"/>
      <c r="Z3" s="1"/>
      <c r="AA3" s="4"/>
      <c r="AB3" s="4"/>
      <c r="AC3" s="4"/>
      <c r="AD3" s="3"/>
      <c r="AE3" s="3"/>
      <c r="AF3" s="3"/>
      <c r="AG3" s="3"/>
      <c r="AH3" s="1"/>
      <c r="AI3" s="1"/>
      <c r="AJ3" s="1"/>
      <c r="AK3" s="1"/>
    </row>
    <row r="4" spans="1:37" ht="12.75" customHeight="1">
      <c r="A4" s="1"/>
      <c r="B4" s="14"/>
      <c r="C4" s="79"/>
      <c r="D4" s="79"/>
      <c r="E4" s="79"/>
      <c r="F4" s="79"/>
      <c r="G4" s="79"/>
      <c r="H4" s="79"/>
      <c r="I4" s="79"/>
      <c r="J4" s="79"/>
      <c r="K4" s="79"/>
      <c r="L4" s="79"/>
      <c r="M4" s="4"/>
      <c r="N4" s="4"/>
      <c r="O4" s="4"/>
      <c r="P4" s="3"/>
      <c r="Q4" s="3"/>
      <c r="R4" s="3"/>
      <c r="S4" s="3"/>
      <c r="T4" s="3"/>
      <c r="U4" s="3"/>
      <c r="V4" s="3"/>
      <c r="W4" s="3"/>
      <c r="X4" s="1"/>
      <c r="Y4" s="1"/>
      <c r="Z4" s="1"/>
      <c r="AA4" s="4"/>
      <c r="AB4" s="4"/>
      <c r="AC4" s="4"/>
      <c r="AD4" s="3"/>
      <c r="AE4" s="3"/>
      <c r="AF4" s="3"/>
      <c r="AG4" s="3"/>
      <c r="AH4" s="1"/>
      <c r="AI4" s="1"/>
      <c r="AJ4" s="1"/>
      <c r="AK4" s="1"/>
    </row>
    <row r="5" spans="1:37" ht="12.75" customHeight="1">
      <c r="A5" s="1"/>
      <c r="B5" s="14"/>
      <c r="C5" s="79"/>
      <c r="D5" s="79"/>
      <c r="E5" s="79"/>
      <c r="F5" s="79"/>
      <c r="G5" s="79"/>
      <c r="H5" s="79"/>
      <c r="I5" s="79"/>
      <c r="J5" s="79"/>
      <c r="K5" s="79"/>
      <c r="L5" s="79"/>
      <c r="M5" s="4"/>
      <c r="N5" s="4"/>
      <c r="O5" s="4"/>
      <c r="P5" s="3"/>
      <c r="Q5" s="3"/>
      <c r="R5" s="3"/>
      <c r="S5" s="3"/>
      <c r="T5" s="3"/>
      <c r="U5" s="3"/>
      <c r="V5" s="3"/>
      <c r="W5" s="3"/>
      <c r="X5" s="1"/>
      <c r="Y5" s="1"/>
      <c r="Z5" s="1"/>
      <c r="AA5" s="4"/>
      <c r="AB5" s="4"/>
      <c r="AC5" s="4"/>
      <c r="AD5" s="3"/>
      <c r="AE5" s="3"/>
      <c r="AF5" s="3"/>
      <c r="AG5" s="3"/>
      <c r="AH5" s="1"/>
      <c r="AI5" s="1"/>
      <c r="AJ5" s="1"/>
      <c r="AK5" s="1"/>
    </row>
    <row r="6" spans="1:37" ht="7.75" customHeight="1">
      <c r="A6" s="1"/>
      <c r="B6" s="1"/>
      <c r="C6" s="2"/>
      <c r="D6" s="1"/>
      <c r="E6" s="1"/>
      <c r="F6" s="1"/>
      <c r="G6" s="1"/>
      <c r="H6" s="1"/>
      <c r="I6" s="6"/>
      <c r="J6" s="1"/>
      <c r="K6" s="1"/>
      <c r="L6" s="1"/>
      <c r="M6" s="4"/>
      <c r="N6" s="4"/>
      <c r="O6" s="4"/>
      <c r="P6" s="3"/>
      <c r="Q6" s="3"/>
      <c r="R6" s="3"/>
      <c r="S6" s="3"/>
      <c r="T6" s="3"/>
      <c r="U6" s="3"/>
      <c r="V6" s="3"/>
      <c r="W6" s="3"/>
      <c r="X6" s="1"/>
      <c r="Y6" s="1"/>
      <c r="Z6" s="1"/>
      <c r="AA6" s="4"/>
      <c r="AB6" s="4"/>
      <c r="AC6" s="4"/>
      <c r="AD6" s="3"/>
      <c r="AE6" s="3"/>
      <c r="AF6" s="3"/>
      <c r="AG6" s="3"/>
      <c r="AH6" s="1"/>
      <c r="AI6" s="1"/>
      <c r="AJ6" s="1"/>
      <c r="AK6" s="1"/>
    </row>
    <row r="7" spans="1:37" ht="12.75" customHeight="1">
      <c r="A7" s="6"/>
      <c r="B7" s="6"/>
      <c r="C7" s="9"/>
      <c r="D7" s="6"/>
      <c r="E7" s="6"/>
      <c r="F7" s="6"/>
      <c r="G7" s="6"/>
      <c r="H7" s="6"/>
      <c r="I7" s="9"/>
      <c r="J7" s="9"/>
      <c r="K7" s="5" t="s">
        <v>0</v>
      </c>
      <c r="L7" s="28">
        <f ca="1">NOW()</f>
        <v>44844.491908680553</v>
      </c>
      <c r="M7" s="8"/>
      <c r="N7" s="8"/>
      <c r="O7" s="8"/>
      <c r="P7" s="7"/>
      <c r="Q7" s="7"/>
      <c r="R7" s="7"/>
      <c r="S7" s="7"/>
      <c r="T7" s="7"/>
      <c r="U7" s="7"/>
      <c r="V7" s="7"/>
      <c r="W7" s="7"/>
      <c r="X7" s="6"/>
      <c r="Y7" s="6"/>
      <c r="Z7" s="6"/>
      <c r="AA7" s="8"/>
      <c r="AB7" s="8"/>
      <c r="AC7" s="8"/>
      <c r="AD7" s="7"/>
      <c r="AE7" s="7"/>
      <c r="AF7" s="7"/>
      <c r="AG7" s="7"/>
      <c r="AH7" s="6"/>
      <c r="AI7" s="6"/>
      <c r="AJ7" s="6"/>
      <c r="AK7" s="6"/>
    </row>
    <row r="8" spans="1:37" ht="4.75" customHeight="1">
      <c r="A8" s="1"/>
      <c r="B8" s="1"/>
      <c r="C8" s="2"/>
      <c r="D8" s="1"/>
      <c r="E8" s="1"/>
      <c r="F8" s="1"/>
      <c r="G8" s="1"/>
      <c r="H8" s="1"/>
      <c r="I8" s="1"/>
      <c r="J8" s="2"/>
      <c r="K8" s="1"/>
      <c r="L8" s="1"/>
      <c r="M8" s="4"/>
      <c r="N8" s="4"/>
      <c r="O8" s="4"/>
      <c r="P8" s="3"/>
      <c r="Q8" s="3"/>
      <c r="R8" s="3"/>
      <c r="S8" s="3"/>
      <c r="T8" s="3"/>
      <c r="U8" s="3"/>
      <c r="V8" s="3"/>
      <c r="W8" s="3"/>
      <c r="X8" s="1"/>
      <c r="Y8" s="1"/>
      <c r="Z8" s="1"/>
      <c r="AA8" s="4"/>
      <c r="AB8" s="4"/>
      <c r="AC8" s="4"/>
      <c r="AD8" s="3"/>
      <c r="AE8" s="3"/>
      <c r="AF8" s="3"/>
      <c r="AG8" s="3"/>
      <c r="AH8" s="1"/>
      <c r="AI8" s="1"/>
      <c r="AJ8" s="1"/>
      <c r="AK8" s="1"/>
    </row>
    <row r="9" spans="1:37" s="11" customFormat="1" ht="22.25" customHeight="1">
      <c r="A9" s="6"/>
      <c r="B9" s="10" t="s">
        <v>1</v>
      </c>
      <c r="C9" s="83" t="s">
        <v>49</v>
      </c>
      <c r="D9" s="84"/>
      <c r="E9" s="84"/>
      <c r="F9" s="84"/>
      <c r="G9" s="84"/>
      <c r="H9" s="84"/>
      <c r="I9" s="84"/>
      <c r="J9" s="57"/>
      <c r="K9" s="58"/>
      <c r="L9" s="58"/>
      <c r="M9" s="8"/>
      <c r="N9" s="8"/>
      <c r="O9" s="8"/>
      <c r="P9" s="7"/>
      <c r="Q9" s="7"/>
      <c r="R9" s="7"/>
      <c r="S9" s="7"/>
      <c r="T9" s="7"/>
      <c r="U9" s="7"/>
      <c r="V9" s="7"/>
      <c r="W9" s="7"/>
      <c r="X9" s="6"/>
      <c r="Y9" s="6"/>
      <c r="Z9" s="6"/>
      <c r="AA9" s="8"/>
      <c r="AB9" s="8"/>
      <c r="AC9" s="8"/>
      <c r="AD9" s="7"/>
      <c r="AE9" s="7"/>
      <c r="AF9" s="7"/>
      <c r="AG9" s="7"/>
      <c r="AH9" s="6"/>
      <c r="AI9" s="6"/>
      <c r="AJ9" s="6"/>
      <c r="AK9" s="6"/>
    </row>
    <row r="10" spans="1:37" s="11" customFormat="1" ht="7.25" customHeight="1">
      <c r="A10" s="6"/>
      <c r="B10" s="3"/>
      <c r="C10" s="59"/>
      <c r="D10" s="59"/>
      <c r="E10" s="59"/>
      <c r="F10" s="59"/>
      <c r="G10" s="59"/>
      <c r="H10" s="60"/>
      <c r="I10" s="60"/>
      <c r="J10" s="60"/>
      <c r="K10" s="60"/>
      <c r="L10" s="68"/>
      <c r="M10" s="8"/>
      <c r="N10" s="8"/>
      <c r="O10" s="8"/>
      <c r="P10" s="7"/>
      <c r="Q10" s="7"/>
      <c r="R10" s="7"/>
      <c r="S10" s="7"/>
      <c r="T10" s="7"/>
      <c r="U10" s="7"/>
      <c r="V10" s="7"/>
      <c r="W10" s="7"/>
      <c r="X10" s="6"/>
      <c r="Y10" s="6"/>
      <c r="Z10" s="6"/>
      <c r="AA10" s="8"/>
      <c r="AB10" s="8"/>
      <c r="AC10" s="8"/>
      <c r="AD10" s="7"/>
      <c r="AE10" s="7"/>
      <c r="AF10" s="7"/>
      <c r="AG10" s="7"/>
      <c r="AH10" s="6"/>
      <c r="AI10" s="6"/>
      <c r="AJ10" s="6"/>
      <c r="AK10" s="6"/>
    </row>
    <row r="11" spans="1:37" ht="24" customHeight="1">
      <c r="A11" s="6"/>
      <c r="B11" s="10" t="s">
        <v>57</v>
      </c>
      <c r="C11" s="82" t="s">
        <v>81</v>
      </c>
      <c r="D11" s="82"/>
      <c r="E11" s="81"/>
      <c r="F11" s="81"/>
      <c r="G11" s="68"/>
      <c r="H11" s="68"/>
      <c r="I11" s="68"/>
      <c r="J11" s="62"/>
      <c r="K11" s="68"/>
      <c r="L11" s="68"/>
      <c r="M11" s="8"/>
      <c r="N11" s="8"/>
      <c r="O11" s="8"/>
      <c r="P11" s="7"/>
      <c r="Q11" s="7"/>
      <c r="R11" s="7"/>
      <c r="S11" s="7"/>
      <c r="T11" s="7"/>
      <c r="U11" s="7"/>
      <c r="V11" s="7"/>
      <c r="W11" s="7"/>
      <c r="X11" s="6"/>
      <c r="Y11" s="6"/>
      <c r="Z11" s="6"/>
      <c r="AA11" s="8"/>
      <c r="AB11" s="8"/>
      <c r="AC11" s="8"/>
      <c r="AD11" s="7"/>
      <c r="AE11" s="7"/>
      <c r="AF11" s="7"/>
      <c r="AG11" s="7"/>
      <c r="AH11" s="6"/>
      <c r="AI11" s="6"/>
      <c r="AJ11" s="6"/>
      <c r="AK11" s="6"/>
    </row>
    <row r="12" spans="1:37" ht="12" customHeight="1">
      <c r="A12" s="1"/>
      <c r="B12" s="1"/>
      <c r="C12" s="64" t="s">
        <v>5</v>
      </c>
      <c r="D12" s="63"/>
      <c r="E12" s="63"/>
      <c r="F12" s="63"/>
      <c r="G12" s="68"/>
      <c r="H12" s="68"/>
      <c r="I12" s="68"/>
      <c r="J12" s="65"/>
      <c r="K12" s="60"/>
      <c r="L12" s="60"/>
      <c r="M12" s="37"/>
      <c r="N12" s="4"/>
      <c r="O12" s="4"/>
      <c r="P12" s="3"/>
      <c r="Q12" s="3"/>
      <c r="R12" s="3"/>
      <c r="S12" s="3"/>
      <c r="T12" s="3"/>
      <c r="U12" s="3"/>
      <c r="V12" s="3"/>
      <c r="W12" s="3"/>
      <c r="X12" s="1"/>
      <c r="Y12" s="1"/>
      <c r="Z12" s="1"/>
      <c r="AA12" s="4"/>
      <c r="AB12" s="4"/>
      <c r="AC12" s="4"/>
      <c r="AD12" s="3"/>
      <c r="AE12" s="3"/>
      <c r="AF12" s="3"/>
      <c r="AG12" s="3"/>
      <c r="AH12" s="1"/>
      <c r="AI12" s="1"/>
      <c r="AJ12" s="1"/>
      <c r="AK12" s="1"/>
    </row>
    <row r="13" spans="1:37" s="11" customFormat="1" ht="7.25" customHeight="1">
      <c r="A13" s="6"/>
      <c r="B13" s="3"/>
      <c r="C13" s="63"/>
      <c r="D13" s="63"/>
      <c r="E13" s="63"/>
      <c r="F13" s="63"/>
      <c r="G13" s="68"/>
      <c r="H13" s="68"/>
      <c r="I13" s="68"/>
      <c r="J13" s="60"/>
      <c r="K13" s="60"/>
      <c r="L13" s="68"/>
      <c r="M13" s="8"/>
      <c r="N13" s="8"/>
      <c r="O13" s="8"/>
      <c r="P13" s="7"/>
      <c r="Q13" s="7"/>
      <c r="R13" s="7"/>
      <c r="S13" s="7"/>
      <c r="T13" s="7"/>
      <c r="U13" s="7"/>
      <c r="V13" s="7"/>
      <c r="W13" s="7"/>
      <c r="X13" s="6"/>
      <c r="Y13" s="6"/>
      <c r="Z13" s="6"/>
      <c r="AA13" s="8"/>
      <c r="AB13" s="8"/>
      <c r="AC13" s="8"/>
      <c r="AD13" s="7"/>
      <c r="AE13" s="7"/>
      <c r="AF13" s="7"/>
      <c r="AG13" s="7"/>
      <c r="AH13" s="6"/>
      <c r="AI13" s="6"/>
      <c r="AJ13" s="6"/>
      <c r="AK13" s="6"/>
    </row>
    <row r="14" spans="1:37" s="11" customFormat="1" ht="21" customHeight="1">
      <c r="A14" s="6"/>
      <c r="B14" s="12" t="s">
        <v>7</v>
      </c>
      <c r="C14" s="85">
        <f>ROUNDUP(VLOOKUP(C11,Rate!$D$3:$M$21,10,FALSE)*$G$14,0)</f>
        <v>1136166</v>
      </c>
      <c r="D14" s="85"/>
      <c r="E14" s="66" t="s">
        <v>8</v>
      </c>
      <c r="F14" s="61" t="s">
        <v>51</v>
      </c>
      <c r="G14" s="86">
        <v>44.555500000000002</v>
      </c>
      <c r="H14" s="86"/>
      <c r="I14" s="67" t="s">
        <v>47</v>
      </c>
      <c r="J14" s="58"/>
      <c r="K14" s="68"/>
      <c r="L14" s="68"/>
      <c r="M14" s="8"/>
      <c r="N14" s="8"/>
      <c r="O14" s="8"/>
      <c r="P14" s="7"/>
      <c r="Q14" s="7"/>
      <c r="R14" s="7"/>
      <c r="S14" s="7"/>
      <c r="T14" s="7"/>
      <c r="U14" s="7"/>
      <c r="V14" s="7"/>
      <c r="W14" s="7"/>
      <c r="X14" s="6"/>
      <c r="Y14" s="6"/>
      <c r="Z14" s="6"/>
      <c r="AA14" s="8"/>
      <c r="AB14" s="8"/>
      <c r="AC14" s="8"/>
      <c r="AD14" s="7"/>
      <c r="AE14" s="7"/>
      <c r="AF14" s="7"/>
      <c r="AG14" s="7"/>
      <c r="AH14" s="6"/>
      <c r="AI14" s="6"/>
      <c r="AJ14" s="6"/>
      <c r="AK14" s="6"/>
    </row>
    <row r="15" spans="1:37" s="11" customFormat="1" ht="7.25" customHeight="1">
      <c r="A15" s="6"/>
      <c r="B15" s="3"/>
      <c r="C15" s="3"/>
      <c r="D15" s="3"/>
      <c r="E15" s="3"/>
      <c r="F15" s="3"/>
      <c r="G15" s="3"/>
      <c r="H15" s="4"/>
      <c r="I15" s="4"/>
      <c r="J15" s="4"/>
      <c r="K15" s="4"/>
      <c r="L15" s="8"/>
      <c r="M15" s="8"/>
      <c r="N15" s="8"/>
      <c r="O15" s="8"/>
      <c r="P15" s="7"/>
      <c r="Q15" s="7"/>
      <c r="R15" s="7"/>
      <c r="S15" s="7"/>
      <c r="T15" s="7"/>
      <c r="U15" s="7"/>
      <c r="V15" s="7"/>
      <c r="W15" s="7"/>
      <c r="X15" s="6"/>
      <c r="Y15" s="6"/>
      <c r="Z15" s="6"/>
      <c r="AA15" s="8"/>
      <c r="AB15" s="8"/>
      <c r="AC15" s="8"/>
      <c r="AD15" s="7"/>
      <c r="AE15" s="7"/>
      <c r="AF15" s="7"/>
      <c r="AG15" s="7"/>
      <c r="AH15" s="6"/>
      <c r="AI15" s="6"/>
      <c r="AJ15" s="6"/>
      <c r="AK15" s="6"/>
    </row>
    <row r="16" spans="1:37" s="11" customFormat="1" ht="13.75" customHeight="1">
      <c r="A16" s="6"/>
      <c r="B16" s="6"/>
      <c r="C16" s="33" t="s">
        <v>50</v>
      </c>
      <c r="D16" s="33"/>
      <c r="E16" s="30"/>
      <c r="F16" s="13"/>
      <c r="G16" s="13"/>
      <c r="H16" s="8"/>
      <c r="I16" s="50"/>
      <c r="J16" s="8"/>
      <c r="K16" s="8"/>
      <c r="L16" s="8"/>
      <c r="M16" s="8"/>
      <c r="N16" s="8"/>
      <c r="O16" s="8"/>
      <c r="P16" s="7"/>
      <c r="Q16" s="7"/>
      <c r="R16" s="7"/>
      <c r="S16" s="7"/>
      <c r="T16" s="7"/>
      <c r="U16" s="7"/>
      <c r="V16" s="7"/>
      <c r="W16" s="7"/>
      <c r="X16" s="6"/>
      <c r="Y16" s="6"/>
      <c r="Z16" s="6"/>
      <c r="AA16" s="8"/>
      <c r="AB16" s="8"/>
      <c r="AC16" s="8"/>
      <c r="AD16" s="7"/>
      <c r="AE16" s="7"/>
      <c r="AF16" s="7"/>
      <c r="AG16" s="7"/>
      <c r="AH16" s="6"/>
      <c r="AI16" s="6"/>
      <c r="AJ16" s="6"/>
      <c r="AK16" s="6"/>
    </row>
    <row r="17" spans="1:37" s="11" customFormat="1" ht="13.75" customHeight="1">
      <c r="A17" s="6"/>
      <c r="B17" s="6"/>
      <c r="C17" s="33" t="s">
        <v>35</v>
      </c>
      <c r="D17" s="33"/>
      <c r="E17" s="30"/>
      <c r="F17" s="13"/>
      <c r="G17" s="13"/>
      <c r="H17" s="38"/>
      <c r="I17" s="8"/>
      <c r="J17" s="8"/>
      <c r="K17" s="8"/>
      <c r="L17" s="8"/>
      <c r="M17" s="8"/>
      <c r="N17" s="41"/>
      <c r="O17" s="8"/>
      <c r="P17" s="7"/>
      <c r="Q17" s="7"/>
      <c r="R17" s="7"/>
      <c r="S17" s="7"/>
      <c r="T17" s="7"/>
      <c r="U17" s="7"/>
      <c r="V17" s="7"/>
      <c r="W17" s="7"/>
      <c r="X17" s="6"/>
      <c r="Y17" s="6"/>
      <c r="Z17" s="6"/>
      <c r="AA17" s="8"/>
      <c r="AB17" s="8"/>
      <c r="AC17" s="8"/>
      <c r="AD17" s="7"/>
      <c r="AE17" s="7"/>
      <c r="AF17" s="7"/>
      <c r="AG17" s="7"/>
      <c r="AH17" s="6"/>
      <c r="AI17" s="6"/>
      <c r="AJ17" s="6"/>
      <c r="AK17" s="6"/>
    </row>
    <row r="18" spans="1:37" s="11" customFormat="1" ht="13.75" customHeight="1">
      <c r="A18" s="6"/>
      <c r="B18" s="6"/>
      <c r="C18" s="33" t="s">
        <v>36</v>
      </c>
      <c r="D18" s="33"/>
      <c r="E18" s="30"/>
      <c r="F18" s="13"/>
      <c r="G18" s="13"/>
      <c r="H18" s="6"/>
      <c r="I18" s="73"/>
      <c r="J18" s="6"/>
      <c r="K18" s="6"/>
      <c r="L18" s="6"/>
      <c r="M18" s="8"/>
      <c r="N18" s="8"/>
      <c r="O18" s="8"/>
      <c r="P18" s="7"/>
      <c r="Q18" s="7"/>
      <c r="R18" s="7"/>
      <c r="S18" s="7"/>
      <c r="T18" s="7"/>
      <c r="U18" s="7"/>
      <c r="V18" s="7"/>
      <c r="W18" s="7"/>
      <c r="X18" s="6"/>
      <c r="Y18" s="6"/>
      <c r="Z18" s="6"/>
      <c r="AA18" s="8"/>
      <c r="AB18" s="8"/>
      <c r="AC18" s="8"/>
      <c r="AD18" s="7"/>
      <c r="AE18" s="7"/>
      <c r="AF18" s="7"/>
      <c r="AG18" s="7"/>
      <c r="AH18" s="6"/>
      <c r="AI18" s="6"/>
      <c r="AJ18" s="6"/>
      <c r="AK18" s="6"/>
    </row>
    <row r="19" spans="1:37" s="11" customFormat="1" ht="13.75" customHeight="1">
      <c r="A19" s="6"/>
      <c r="B19" s="6"/>
      <c r="C19" s="34" t="s">
        <v>34</v>
      </c>
      <c r="D19" s="35"/>
      <c r="E19" s="31"/>
      <c r="F19" s="6"/>
      <c r="G19" s="6"/>
      <c r="H19" s="6"/>
      <c r="I19" s="6"/>
      <c r="J19" s="6"/>
      <c r="K19" s="6"/>
      <c r="L19" s="6"/>
      <c r="M19" s="8"/>
      <c r="N19" s="8"/>
      <c r="O19" s="8"/>
      <c r="P19" s="7"/>
      <c r="Q19" s="7"/>
      <c r="R19" s="7"/>
      <c r="S19" s="7"/>
      <c r="T19" s="7"/>
      <c r="U19" s="7"/>
      <c r="V19" s="7"/>
      <c r="W19" s="7"/>
      <c r="X19" s="6"/>
      <c r="Y19" s="6"/>
      <c r="Z19" s="6"/>
      <c r="AA19" s="8"/>
      <c r="AB19" s="8"/>
      <c r="AC19" s="8"/>
      <c r="AD19" s="7"/>
      <c r="AE19" s="7"/>
      <c r="AF19" s="7"/>
      <c r="AG19" s="7"/>
      <c r="AH19" s="6"/>
      <c r="AI19" s="6"/>
      <c r="AJ19" s="6"/>
      <c r="AK19" s="6"/>
    </row>
    <row r="20" spans="1:37" s="11" customFormat="1" ht="7.25" customHeight="1">
      <c r="A20" s="6"/>
      <c r="B20" s="3"/>
      <c r="C20" s="3"/>
      <c r="D20" s="3"/>
      <c r="E20" s="3"/>
      <c r="F20" s="3"/>
      <c r="G20" s="3"/>
      <c r="H20" s="3"/>
      <c r="I20" s="3"/>
      <c r="J20" s="3"/>
      <c r="K20" s="3"/>
      <c r="L20" s="6"/>
      <c r="M20" s="8"/>
      <c r="N20" s="8"/>
      <c r="O20" s="8"/>
      <c r="P20" s="7"/>
      <c r="Q20" s="7"/>
      <c r="R20" s="7"/>
      <c r="S20" s="7"/>
      <c r="T20" s="7"/>
      <c r="U20" s="7"/>
      <c r="V20" s="7"/>
      <c r="W20" s="7"/>
      <c r="X20" s="6"/>
      <c r="Y20" s="6"/>
      <c r="Z20" s="6"/>
      <c r="AA20" s="8"/>
      <c r="AB20" s="8"/>
      <c r="AC20" s="8"/>
      <c r="AD20" s="7"/>
      <c r="AE20" s="7"/>
      <c r="AF20" s="7"/>
      <c r="AG20" s="7"/>
      <c r="AH20" s="6"/>
      <c r="AI20" s="6"/>
      <c r="AJ20" s="6"/>
      <c r="AK20" s="6"/>
    </row>
    <row r="21" spans="1:37" s="11" customFormat="1" ht="13.75" customHeight="1">
      <c r="A21" s="6"/>
      <c r="B21" s="80" t="s">
        <v>41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"/>
      <c r="N21" s="8"/>
      <c r="O21" s="8"/>
      <c r="P21" s="7"/>
      <c r="Q21" s="7"/>
      <c r="R21" s="7"/>
      <c r="S21" s="7"/>
      <c r="T21" s="7"/>
      <c r="U21" s="7"/>
      <c r="V21" s="7"/>
      <c r="W21" s="7"/>
      <c r="X21" s="6"/>
      <c r="Y21" s="6"/>
      <c r="Z21" s="6"/>
      <c r="AA21" s="8"/>
      <c r="AB21" s="8"/>
      <c r="AC21" s="8"/>
      <c r="AD21" s="7"/>
      <c r="AE21" s="7"/>
      <c r="AF21" s="7"/>
      <c r="AG21" s="7"/>
      <c r="AH21" s="6"/>
      <c r="AI21" s="6"/>
      <c r="AJ21" s="6"/>
      <c r="AK21" s="6"/>
    </row>
    <row r="22" spans="1:37" s="11" customFormat="1" ht="13.75" customHeight="1">
      <c r="A22" s="6"/>
      <c r="B22" s="15"/>
      <c r="C22" s="15"/>
      <c r="D22" s="17" t="s">
        <v>11</v>
      </c>
      <c r="E22" s="17" t="s">
        <v>12</v>
      </c>
      <c r="F22" s="17" t="s">
        <v>9</v>
      </c>
      <c r="G22" s="17" t="s">
        <v>13</v>
      </c>
      <c r="H22" s="17" t="s">
        <v>14</v>
      </c>
      <c r="I22" s="17" t="s">
        <v>15</v>
      </c>
      <c r="J22" s="17" t="s">
        <v>16</v>
      </c>
      <c r="K22" s="17" t="s">
        <v>17</v>
      </c>
      <c r="L22" s="17" t="s">
        <v>18</v>
      </c>
      <c r="M22" s="8"/>
      <c r="N22" s="8"/>
      <c r="O22" s="8"/>
      <c r="P22" s="7"/>
      <c r="Q22" s="7"/>
      <c r="R22" s="7"/>
      <c r="S22" s="7"/>
      <c r="T22" s="7"/>
      <c r="U22" s="7"/>
      <c r="V22" s="7"/>
      <c r="W22" s="7"/>
      <c r="X22" s="6"/>
      <c r="Y22" s="6"/>
      <c r="Z22" s="6"/>
      <c r="AA22" s="8"/>
      <c r="AB22" s="8"/>
      <c r="AC22" s="8"/>
      <c r="AD22" s="7"/>
      <c r="AE22" s="7"/>
      <c r="AF22" s="7"/>
      <c r="AG22" s="7"/>
      <c r="AH22" s="6"/>
      <c r="AI22" s="6"/>
      <c r="AJ22" s="6"/>
      <c r="AK22" s="6"/>
    </row>
    <row r="23" spans="1:37" s="11" customFormat="1" ht="13.75" customHeight="1">
      <c r="A23" s="6"/>
      <c r="B23" s="16" t="s">
        <v>37</v>
      </c>
      <c r="C23" s="15"/>
      <c r="D23" s="55">
        <f>ROUND(($C$14*VLOOKUP($C$11,Rate!$D$3:$N$22,11,FALSE))/100+VLOOKUP($C$11,Rate!$D$3:$M$21,9,FALSE)+VLOOKUP($C$11,Rate!$D$3:$O$21,12,FALSE),0)</f>
        <v>1357</v>
      </c>
      <c r="E23" s="55">
        <f>ROUND((($C$14*VLOOKUP($C$11,Rate!$D$3:$N$22,11,FALSE))/100+VLOOKUP($C$11,Rate!$D$3:$M$21,9,FALSE)+VLOOKUP($C$11,Rate!$D$3:$O$21,12,FALSE))*VLOOKUP(2,Rate!$C$28:$D$36,2,FALSE),0)</f>
        <v>2374</v>
      </c>
      <c r="F23" s="55">
        <f>ROUND((($C$14*VLOOKUP($C$11,Rate!$D$3:$N$22,11,FALSE))/100+VLOOKUP($C$11,Rate!$D$3:$M$21,9,FALSE)+VLOOKUP($C$11,Rate!$D$3:$O$21,12,FALSE))*VLOOKUP(3,Rate!$C$28:$D$36,2,FALSE),0)</f>
        <v>3392</v>
      </c>
      <c r="G23" s="55">
        <f>ROUND((($C$14*VLOOKUP($C$11,Rate!$D$3:$N$22,11,FALSE))/100+VLOOKUP($C$11,Rate!$D$3:$M$21,9,FALSE)+VLOOKUP($C$11,Rate!$D$3:$O$21,12,FALSE))*VLOOKUP(4,Rate!$C$28:$D$36,2,FALSE),0)</f>
        <v>3894</v>
      </c>
      <c r="H23" s="55">
        <f>ROUND((($C$14*VLOOKUP($C$11,Rate!$D$3:$N$22,11,FALSE))/100+VLOOKUP($C$11,Rate!$D$3:$M$21,9,FALSE)+VLOOKUP($C$11,Rate!$D$3:$O$21,12,FALSE))*VLOOKUP(5,Rate!$C$28:$D$36,2,FALSE),0)</f>
        <v>4735</v>
      </c>
      <c r="I23" s="55">
        <f>IF(OR($C$11="อาคารพาณิชย์/ร้านค้า",$C$11="อาคารสำนักงาน",$C$11="อพาร์ทเม้นท์/แฟลต/หอพัก (คอนกรีต)"),0,ROUND((($C$14*VLOOKUP($C$11,Rate!$D$3:$N$22,11,FALSE))/100+VLOOKUP($C$11,Rate!$D$3:$M$21,9,FALSE)+VLOOKUP($C$11,Rate!$D$3:$O$21,12,FALSE))*VLOOKUP(6,Rate!$C$28:$D$36,2,FALSE),0))</f>
        <v>5481</v>
      </c>
      <c r="J23" s="55">
        <f>IF(OR($C$11="อาคารพาณิชย์/ร้านค้า",$C$11="อาคารสำนักงาน",$C$11="อพาร์ทเม้นท์/แฟลต/หอพัก (คอนกรีต)"),0,ROUND((($C$14*VLOOKUP($C$11,Rate!$D$3:$N$22,11,FALSE))/100+VLOOKUP($C$11,Rate!$D$3:$M$21,9,FALSE)+VLOOKUP($C$11,Rate!$D$3:$O$21,12,FALSE))*VLOOKUP(7,Rate!$C$28:$D$36,2,FALSE),0))</f>
        <v>6227</v>
      </c>
      <c r="K23" s="55">
        <f>IF(OR($C$11="อาคารพาณิชย์/ร้านค้า",$C$11="อาคารสำนักงาน",$C$11="อพาร์ทเม้นท์/แฟลต/หอพัก (คอนกรีต)"),0,ROUND((($C$14*VLOOKUP($C$11,Rate!$D$3:$N$22,11,FALSE))/100+VLOOKUP($C$11,Rate!$D$3:$M$21,9,FALSE)+VLOOKUP($C$11,Rate!$D$3:$O$21,12,FALSE))*VLOOKUP(8,Rate!$C$28:$D$36,2,FALSE),0))</f>
        <v>6919</v>
      </c>
      <c r="L23" s="55">
        <f>IF(OR($C$11="อาคารพาณิชย์/ร้านค้า",$C$11="อาคารสำนักงาน",$C$11="อพาร์ทเม้นท์/แฟลต/หอพัก (คอนกรีต)"),0,ROUND((($C$14*VLOOKUP($C$11,Rate!$D$3:$N$22,11,FALSE))/100+VLOOKUP($C$11,Rate!$D$3:$M$21,9,FALSE)+VLOOKUP($C$11,Rate!$D$3:$O$21,12,FALSE))*VLOOKUP(9,Rate!$C$28:$D$36,2,FALSE),0))</f>
        <v>7584</v>
      </c>
      <c r="M23" s="8"/>
      <c r="N23" s="8"/>
      <c r="O23" s="8"/>
      <c r="P23" s="7"/>
      <c r="Q23" s="7"/>
      <c r="R23" s="7"/>
      <c r="S23" s="7"/>
      <c r="T23" s="7"/>
      <c r="U23" s="7"/>
      <c r="V23" s="7"/>
      <c r="W23" s="7"/>
      <c r="X23" s="6"/>
      <c r="Y23" s="6"/>
      <c r="Z23" s="6"/>
      <c r="AA23" s="8"/>
      <c r="AB23" s="8"/>
      <c r="AC23" s="8"/>
      <c r="AD23" s="7"/>
      <c r="AE23" s="7"/>
      <c r="AF23" s="7"/>
      <c r="AG23" s="7"/>
      <c r="AH23" s="6"/>
      <c r="AI23" s="6"/>
      <c r="AJ23" s="6"/>
      <c r="AK23" s="6"/>
    </row>
    <row r="24" spans="1:37" s="11" customFormat="1" ht="13.75" customHeight="1">
      <c r="A24" s="6"/>
      <c r="B24" s="16" t="s">
        <v>38</v>
      </c>
      <c r="C24" s="15"/>
      <c r="D24" s="55">
        <f t="shared" ref="D24:L24" si="0">ROUNDUP(D23*0.4%,0)</f>
        <v>6</v>
      </c>
      <c r="E24" s="55">
        <f>ROUNDUP(E23*0.4%,0)</f>
        <v>10</v>
      </c>
      <c r="F24" s="55">
        <f>ROUNDUP(F23*0.4%,0)</f>
        <v>14</v>
      </c>
      <c r="G24" s="55">
        <f t="shared" si="0"/>
        <v>16</v>
      </c>
      <c r="H24" s="55">
        <f t="shared" si="0"/>
        <v>19</v>
      </c>
      <c r="I24" s="55">
        <f t="shared" si="0"/>
        <v>22</v>
      </c>
      <c r="J24" s="55">
        <f t="shared" si="0"/>
        <v>25</v>
      </c>
      <c r="K24" s="55">
        <f t="shared" si="0"/>
        <v>28</v>
      </c>
      <c r="L24" s="55">
        <f t="shared" si="0"/>
        <v>31</v>
      </c>
      <c r="M24" s="8"/>
      <c r="N24" s="8"/>
      <c r="O24" s="8"/>
      <c r="P24" s="7"/>
      <c r="Q24" s="7"/>
      <c r="R24" s="7"/>
      <c r="S24" s="7"/>
      <c r="T24" s="7"/>
      <c r="U24" s="7"/>
      <c r="V24" s="7"/>
      <c r="W24" s="7"/>
      <c r="X24" s="6"/>
      <c r="Y24" s="6"/>
      <c r="Z24" s="6"/>
      <c r="AA24" s="8"/>
      <c r="AB24" s="8"/>
      <c r="AC24" s="8"/>
      <c r="AD24" s="7"/>
      <c r="AE24" s="7"/>
      <c r="AF24" s="7"/>
      <c r="AG24" s="7"/>
      <c r="AH24" s="6"/>
      <c r="AI24" s="6"/>
      <c r="AJ24" s="6"/>
      <c r="AK24" s="6"/>
    </row>
    <row r="25" spans="1:37" s="11" customFormat="1" ht="13.75" customHeight="1">
      <c r="A25" s="6"/>
      <c r="B25" s="16" t="s">
        <v>10</v>
      </c>
      <c r="C25" s="15"/>
      <c r="D25" s="55">
        <f>ROUND((D23+D24)*7%,2)</f>
        <v>95.41</v>
      </c>
      <c r="E25" s="55">
        <f t="shared" ref="E25:L25" si="1">ROUND((E23+E24)*7%,2)</f>
        <v>166.88</v>
      </c>
      <c r="F25" s="55">
        <f t="shared" si="1"/>
        <v>238.42</v>
      </c>
      <c r="G25" s="55">
        <f t="shared" si="1"/>
        <v>273.7</v>
      </c>
      <c r="H25" s="55">
        <f t="shared" si="1"/>
        <v>332.78</v>
      </c>
      <c r="I25" s="55">
        <f t="shared" si="1"/>
        <v>385.21</v>
      </c>
      <c r="J25" s="55">
        <f t="shared" si="1"/>
        <v>437.64</v>
      </c>
      <c r="K25" s="55">
        <f t="shared" si="1"/>
        <v>486.29</v>
      </c>
      <c r="L25" s="55">
        <f t="shared" si="1"/>
        <v>533.04999999999995</v>
      </c>
      <c r="M25" s="8"/>
      <c r="N25" s="8"/>
      <c r="O25" s="8"/>
      <c r="P25" s="7"/>
      <c r="Q25" s="7"/>
      <c r="R25" s="7"/>
      <c r="S25" s="7"/>
      <c r="T25" s="7"/>
      <c r="U25" s="7"/>
      <c r="V25" s="7"/>
      <c r="W25" s="7"/>
      <c r="X25" s="6"/>
      <c r="Y25" s="6"/>
      <c r="Z25" s="6"/>
      <c r="AA25" s="8"/>
      <c r="AB25" s="8"/>
      <c r="AC25" s="8"/>
      <c r="AD25" s="7"/>
      <c r="AE25" s="7"/>
      <c r="AF25" s="7"/>
      <c r="AG25" s="7"/>
      <c r="AH25" s="6"/>
      <c r="AI25" s="6"/>
      <c r="AJ25" s="6"/>
      <c r="AK25" s="6"/>
    </row>
    <row r="26" spans="1:37" s="11" customFormat="1" ht="13.75" customHeight="1" thickBot="1">
      <c r="A26" s="6"/>
      <c r="B26" s="16" t="s">
        <v>39</v>
      </c>
      <c r="C26" s="15"/>
      <c r="D26" s="56">
        <f>ROUND(SUM(D23:D25),0)</f>
        <v>1458</v>
      </c>
      <c r="E26" s="56">
        <f t="shared" ref="E26:L26" si="2">ROUND(SUM(E23:E25),0)</f>
        <v>2551</v>
      </c>
      <c r="F26" s="56">
        <f t="shared" si="2"/>
        <v>3644</v>
      </c>
      <c r="G26" s="56">
        <f t="shared" si="2"/>
        <v>4184</v>
      </c>
      <c r="H26" s="56">
        <f t="shared" si="2"/>
        <v>5087</v>
      </c>
      <c r="I26" s="56">
        <f t="shared" si="2"/>
        <v>5888</v>
      </c>
      <c r="J26" s="56">
        <f t="shared" si="2"/>
        <v>6690</v>
      </c>
      <c r="K26" s="56">
        <f t="shared" si="2"/>
        <v>7433</v>
      </c>
      <c r="L26" s="56">
        <f t="shared" si="2"/>
        <v>8148</v>
      </c>
      <c r="M26" s="8"/>
      <c r="N26" s="8"/>
      <c r="O26" s="8"/>
      <c r="P26" s="7"/>
      <c r="Q26" s="7"/>
      <c r="R26" s="7"/>
      <c r="S26" s="7"/>
      <c r="T26" s="7"/>
      <c r="U26" s="7"/>
      <c r="V26" s="7"/>
      <c r="W26" s="7"/>
      <c r="X26" s="6"/>
      <c r="Y26" s="6"/>
      <c r="Z26" s="6"/>
      <c r="AA26" s="8"/>
      <c r="AB26" s="8"/>
      <c r="AC26" s="8"/>
      <c r="AD26" s="7"/>
      <c r="AE26" s="7"/>
      <c r="AF26" s="7"/>
      <c r="AG26" s="7"/>
      <c r="AH26" s="6"/>
      <c r="AI26" s="6"/>
      <c r="AJ26" s="6"/>
      <c r="AK26" s="6"/>
    </row>
    <row r="27" spans="1:37" s="8" customFormat="1" ht="15" customHeight="1" thickTop="1"/>
    <row r="28" spans="1:37" s="8" customFormat="1" ht="15" customHeight="1"/>
    <row r="29" spans="1:37" s="8" customFormat="1" ht="15" customHeight="1"/>
    <row r="30" spans="1:37" s="8" customFormat="1" ht="15" customHeight="1"/>
    <row r="31" spans="1:37" s="8" customFormat="1" ht="15" customHeight="1"/>
    <row r="32" spans="1:37" s="8" customFormat="1" ht="15" customHeight="1"/>
    <row r="33" s="8" customFormat="1" ht="15" customHeight="1"/>
    <row r="34" s="8" customFormat="1" ht="15" customHeight="1"/>
    <row r="35" s="8" customFormat="1" ht="15" customHeight="1"/>
    <row r="36" s="8" customFormat="1" ht="15" customHeight="1"/>
    <row r="37" s="8" customFormat="1" ht="15" customHeight="1"/>
    <row r="38" s="8" customFormat="1" ht="15" customHeight="1"/>
    <row r="39" s="8" customFormat="1" ht="15" customHeight="1"/>
    <row r="40" s="8" customFormat="1" ht="15" customHeight="1"/>
    <row r="41" s="8" customFormat="1" ht="15" customHeight="1"/>
    <row r="42" s="8" customFormat="1" ht="15" customHeight="1"/>
    <row r="43" s="8" customFormat="1" ht="15" customHeight="1"/>
    <row r="44" s="8" customFormat="1" ht="15" customHeight="1"/>
    <row r="45" s="8" customFormat="1" ht="15" customHeight="1"/>
    <row r="46" s="8" customFormat="1" ht="15" customHeight="1"/>
    <row r="47" s="8" customFormat="1" ht="15" customHeight="1"/>
    <row r="48" s="8" customFormat="1" ht="15" customHeight="1"/>
    <row r="49" s="8" customFormat="1" ht="15" customHeight="1"/>
    <row r="50" s="8" customFormat="1" ht="15" customHeight="1"/>
    <row r="51" s="8" customFormat="1" ht="15" customHeight="1"/>
    <row r="52" s="8" customFormat="1" ht="15" customHeight="1"/>
    <row r="53" s="8" customFormat="1" ht="15" customHeight="1"/>
    <row r="54" s="8" customFormat="1" ht="15" customHeight="1"/>
    <row r="55" s="8" customFormat="1" ht="15" customHeight="1"/>
    <row r="56" s="8" customFormat="1" ht="15" customHeight="1"/>
    <row r="57" s="8" customFormat="1" ht="15" customHeight="1"/>
    <row r="58" s="8" customFormat="1" ht="15" customHeight="1"/>
    <row r="59" s="8" customFormat="1" ht="15" customHeight="1"/>
    <row r="60" s="8" customFormat="1" ht="15" customHeight="1"/>
    <row r="61" s="8" customFormat="1" ht="15" customHeight="1"/>
    <row r="62" s="8" customFormat="1" ht="15" customHeight="1"/>
    <row r="63" s="8" customFormat="1" ht="15" customHeight="1"/>
    <row r="64" s="8" customFormat="1" ht="15" customHeight="1"/>
    <row r="65" s="8" customFormat="1" ht="15" customHeight="1"/>
    <row r="66" s="8" customFormat="1" ht="15" customHeight="1"/>
    <row r="67" s="8" customFormat="1" ht="15" customHeight="1"/>
    <row r="68" s="8" customFormat="1" ht="15" customHeight="1"/>
    <row r="69" s="8" customFormat="1" ht="15" customHeight="1"/>
    <row r="70" s="8" customFormat="1" ht="15" customHeight="1"/>
    <row r="71" s="8" customFormat="1" ht="15" customHeight="1"/>
    <row r="72" s="8" customFormat="1" ht="15" customHeight="1"/>
    <row r="73" s="8" customFormat="1" ht="15" customHeight="1"/>
    <row r="74" s="8" customFormat="1" ht="15" customHeight="1"/>
    <row r="75" s="8" customFormat="1" ht="15" customHeight="1"/>
    <row r="76" s="8" customFormat="1" ht="15" customHeight="1"/>
    <row r="77" s="8" customFormat="1" ht="15" customHeight="1"/>
    <row r="78" s="8" customFormat="1" ht="15" customHeight="1"/>
    <row r="79" s="8" customFormat="1" ht="15" customHeight="1"/>
    <row r="80" s="8" customFormat="1" ht="15" customHeight="1"/>
    <row r="81" s="8" customFormat="1" ht="15" customHeight="1"/>
    <row r="82" s="8" customFormat="1" ht="15" customHeight="1"/>
    <row r="83" s="8" customFormat="1" ht="15" customHeight="1"/>
    <row r="84" s="8" customFormat="1" ht="15" customHeight="1"/>
    <row r="85" s="8" customFormat="1" ht="15" customHeight="1"/>
    <row r="86" s="8" customFormat="1" ht="15" customHeight="1"/>
    <row r="87" s="8" customFormat="1" ht="15" customHeight="1"/>
    <row r="88" s="8" customFormat="1" ht="15" customHeight="1"/>
    <row r="89" s="8" customFormat="1" ht="15" customHeight="1"/>
    <row r="90" s="8" customFormat="1" ht="15" customHeight="1"/>
    <row r="91" s="8" customFormat="1" ht="15" customHeight="1"/>
    <row r="92" s="8" customFormat="1" ht="15" customHeight="1"/>
    <row r="93" s="8" customFormat="1" ht="15" customHeight="1"/>
    <row r="94" s="8" customFormat="1" ht="15" customHeight="1"/>
    <row r="95" s="8" customFormat="1" ht="15" customHeight="1"/>
  </sheetData>
  <sheetProtection algorithmName="SHA-512" hashValue="Lt74GB+2lof9PXwQ4IOnASRIvB1JKOCY7ch/wHrwmzCDT2Lp2xpN64PemLmdDF75il7fBmctFkC3Oyh3myfbiw==" saltValue="iVubY5u0DncaQdcSg96dmw==" spinCount="100000" sheet="1" objects="1" scenarios="1"/>
  <mergeCells count="7">
    <mergeCell ref="C2:L5"/>
    <mergeCell ref="C9:I9"/>
    <mergeCell ref="C11:D11"/>
    <mergeCell ref="E11:F11"/>
    <mergeCell ref="B21:L21"/>
    <mergeCell ref="C14:D14"/>
    <mergeCell ref="G14:H14"/>
  </mergeCells>
  <dataValidations count="3">
    <dataValidation type="whole" allowBlank="1" showInputMessage="1" showErrorMessage="1" errorTitle="ทุนประภันภัยไม่ถูกต้อง" error="ทุนประกันภัยอยู่ระหว่าง 20,000 ถึง 60,000,000 บาท" sqref="E14" xr:uid="{CA4C7B22-FF79-43F8-81EB-8D3CC4D6F4A3}">
      <formula1>20000</formula1>
      <formula2>59999999</formula2>
    </dataValidation>
    <dataValidation type="decimal" allowBlank="1" showInputMessage="1" showErrorMessage="1" sqref="G14:H14" xr:uid="{7A8E97C2-4FC7-4CD5-B6CB-DAEB257C914C}">
      <formula1>0</formula1>
      <formula2>100000</formula2>
    </dataValidation>
    <dataValidation allowBlank="1" showInputMessage="1" showErrorMessage="1" errorTitle="ทุนประภันภัยไม่ถูกต้อง" error="ทุนประกันภัยอยู่ระหว่าง 20,000 ถึง 60,000,000 บาท" sqref="C14:D14" xr:uid="{E75E18B8-D29B-47D8-8413-4F89AC16DB0C}"/>
  </dataValidations>
  <printOptions horizontalCentered="1"/>
  <pageMargins left="0.70866141732283472" right="0.70866141732283472" top="0.55118110236220474" bottom="0.35433070866141736" header="0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E75D42-5E1E-42CD-A944-A0D1B33ECF51}">
          <x14:formula1>
            <xm:f>Rate!$D$42:$D$59</xm:f>
          </x14:formula1>
          <xm:sqref>C11:D11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F6DE-AC15-4235-89AA-0A0F7211EE44}">
  <sheetPr codeName="Sheet2"/>
  <dimension ref="A1:O59"/>
  <sheetViews>
    <sheetView topLeftCell="C1" zoomScale="55" zoomScaleNormal="55" workbookViewId="0">
      <selection activeCell="M58" sqref="M58"/>
    </sheetView>
  </sheetViews>
  <sheetFormatPr defaultRowHeight="14"/>
  <cols>
    <col min="1" max="1" width="9.9140625" bestFit="1" customWidth="1"/>
    <col min="2" max="2" width="6.4140625" bestFit="1" customWidth="1"/>
    <col min="3" max="3" width="12.4140625" bestFit="1" customWidth="1"/>
    <col min="4" max="4" width="42.5" customWidth="1"/>
    <col min="5" max="5" width="9.58203125" bestFit="1" customWidth="1"/>
    <col min="6" max="7" width="12" customWidth="1"/>
    <col min="8" max="8" width="41.58203125" bestFit="1" customWidth="1"/>
    <col min="9" max="9" width="39.58203125" bestFit="1" customWidth="1"/>
    <col min="10" max="10" width="21.1640625" customWidth="1"/>
    <col min="11" max="11" width="19.33203125" customWidth="1"/>
    <col min="12" max="12" width="20.33203125" customWidth="1"/>
    <col min="13" max="13" width="21.58203125" customWidth="1"/>
    <col min="14" max="14" width="16.1640625" bestFit="1" customWidth="1"/>
    <col min="15" max="15" width="18.6640625" customWidth="1"/>
    <col min="16" max="16" width="41.4140625" customWidth="1"/>
    <col min="17" max="17" width="30.83203125" bestFit="1" customWidth="1"/>
    <col min="21" max="21" width="52.4140625" customWidth="1"/>
  </cols>
  <sheetData>
    <row r="1" spans="1:15" ht="22.75" customHeight="1">
      <c r="A1" s="94" t="s">
        <v>25</v>
      </c>
      <c r="B1" s="95" t="s">
        <v>19</v>
      </c>
      <c r="C1" s="95" t="s">
        <v>24</v>
      </c>
      <c r="D1" s="95" t="s">
        <v>20</v>
      </c>
      <c r="E1" s="95" t="s">
        <v>21</v>
      </c>
      <c r="F1" s="95" t="s">
        <v>22</v>
      </c>
      <c r="G1" s="95" t="s">
        <v>29</v>
      </c>
      <c r="H1" s="96" t="s">
        <v>32</v>
      </c>
      <c r="I1" s="97"/>
      <c r="J1" s="98"/>
      <c r="K1" s="95" t="s">
        <v>54</v>
      </c>
      <c r="L1" s="87" t="s">
        <v>48</v>
      </c>
      <c r="M1" s="87" t="s">
        <v>46</v>
      </c>
      <c r="N1" s="93" t="s">
        <v>23</v>
      </c>
      <c r="O1" s="87" t="s">
        <v>73</v>
      </c>
    </row>
    <row r="2" spans="1:15" ht="31.25" customHeight="1">
      <c r="A2" s="94"/>
      <c r="B2" s="87"/>
      <c r="C2" s="95"/>
      <c r="D2" s="95"/>
      <c r="E2" s="95"/>
      <c r="F2" s="95"/>
      <c r="G2" s="95"/>
      <c r="H2" s="18" t="s">
        <v>30</v>
      </c>
      <c r="I2" s="18" t="s">
        <v>31</v>
      </c>
      <c r="J2" s="18" t="s">
        <v>45</v>
      </c>
      <c r="K2" s="95"/>
      <c r="L2" s="88"/>
      <c r="M2" s="88"/>
      <c r="N2" s="93"/>
      <c r="O2" s="88"/>
    </row>
    <row r="3" spans="1:15" ht="13.75" customHeight="1">
      <c r="A3" s="89" t="s">
        <v>27</v>
      </c>
      <c r="B3" s="92" t="s">
        <v>44</v>
      </c>
      <c r="C3" s="77">
        <v>1</v>
      </c>
      <c r="D3" s="20" t="s">
        <v>2</v>
      </c>
      <c r="E3" s="25">
        <v>6.9000000000000006E-2</v>
      </c>
      <c r="F3" s="26">
        <v>0.02</v>
      </c>
      <c r="G3" s="26">
        <v>0</v>
      </c>
      <c r="H3" s="27">
        <v>0.5</v>
      </c>
      <c r="I3" s="27">
        <v>0</v>
      </c>
      <c r="J3" s="27">
        <v>0</v>
      </c>
      <c r="K3" s="25">
        <f>0.045</f>
        <v>4.4999999999999998E-2</v>
      </c>
      <c r="L3" s="26">
        <f>IFERROR((H3*50000)/100,0)+IFERROR((I3*100000)/100,0)+IFERROR((J3*100000)/100,0)</f>
        <v>250</v>
      </c>
      <c r="M3" s="54">
        <v>13000</v>
      </c>
      <c r="N3" s="70">
        <f>E3+F3+G3+K3</f>
        <v>0.13400000000000001</v>
      </c>
      <c r="O3" s="26">
        <v>0</v>
      </c>
    </row>
    <row r="4" spans="1:15">
      <c r="A4" s="90"/>
      <c r="B4" s="92"/>
      <c r="C4" s="77">
        <v>2</v>
      </c>
      <c r="D4" s="20" t="s">
        <v>4</v>
      </c>
      <c r="E4" s="25">
        <v>0.157</v>
      </c>
      <c r="F4" s="26">
        <v>5.5E-2</v>
      </c>
      <c r="G4" s="26">
        <v>0</v>
      </c>
      <c r="H4" s="27">
        <v>0.5</v>
      </c>
      <c r="I4" s="27">
        <v>0</v>
      </c>
      <c r="J4" s="27">
        <v>0</v>
      </c>
      <c r="K4" s="25">
        <f t="shared" ref="K4:K5" si="0">0.045</f>
        <v>4.4999999999999998E-2</v>
      </c>
      <c r="L4" s="26">
        <f t="shared" ref="L4:L21" si="1">IFERROR((H4*50000)/100,0)+IFERROR((I4*100000)/100,0)+IFERROR((J4*100000)/100,0)</f>
        <v>250</v>
      </c>
      <c r="M4" s="54">
        <v>10000</v>
      </c>
      <c r="N4" s="70">
        <f t="shared" ref="N4:N21" si="2">E4+F4+G4+K4</f>
        <v>0.25700000000000001</v>
      </c>
      <c r="O4" s="26">
        <v>0</v>
      </c>
    </row>
    <row r="5" spans="1:15">
      <c r="A5" s="90"/>
      <c r="B5" s="92"/>
      <c r="C5" s="77">
        <v>1</v>
      </c>
      <c r="D5" s="20" t="s">
        <v>3</v>
      </c>
      <c r="E5" s="25">
        <v>6.9000000000000006E-2</v>
      </c>
      <c r="F5" s="26">
        <v>0.02</v>
      </c>
      <c r="G5" s="26">
        <v>0</v>
      </c>
      <c r="H5" s="27">
        <v>0.5</v>
      </c>
      <c r="I5" s="27">
        <v>0</v>
      </c>
      <c r="J5" s="27">
        <v>0</v>
      </c>
      <c r="K5" s="25">
        <f t="shared" si="0"/>
        <v>4.4999999999999998E-2</v>
      </c>
      <c r="L5" s="26">
        <f t="shared" si="1"/>
        <v>250</v>
      </c>
      <c r="M5" s="54">
        <v>11000</v>
      </c>
      <c r="N5" s="70">
        <f t="shared" si="2"/>
        <v>0.13400000000000001</v>
      </c>
      <c r="O5" s="26">
        <v>0</v>
      </c>
    </row>
    <row r="6" spans="1:15" ht="18.5">
      <c r="A6" s="90"/>
      <c r="B6" s="92"/>
      <c r="C6" s="77">
        <v>1</v>
      </c>
      <c r="D6" s="21" t="s">
        <v>76</v>
      </c>
      <c r="E6" s="25">
        <v>6.9000000000000006E-2</v>
      </c>
      <c r="F6" s="26">
        <v>0.02</v>
      </c>
      <c r="G6" s="26">
        <v>0</v>
      </c>
      <c r="H6" s="27">
        <v>0</v>
      </c>
      <c r="I6" s="27">
        <v>0.1</v>
      </c>
      <c r="J6" s="27">
        <v>0.1</v>
      </c>
      <c r="K6" s="25">
        <v>0</v>
      </c>
      <c r="L6" s="26">
        <f t="shared" si="1"/>
        <v>200</v>
      </c>
      <c r="M6" s="72">
        <f t="shared" ref="M6:M16" si="3">H28</f>
        <v>25500</v>
      </c>
      <c r="N6" s="70">
        <f>E6+F6+G6+K6</f>
        <v>8.900000000000001E-2</v>
      </c>
      <c r="O6" s="26">
        <v>100</v>
      </c>
    </row>
    <row r="7" spans="1:15" ht="18.5">
      <c r="A7" s="90"/>
      <c r="B7" s="92"/>
      <c r="C7" s="77">
        <v>1</v>
      </c>
      <c r="D7" s="21" t="s">
        <v>77</v>
      </c>
      <c r="E7" s="25">
        <v>6.9000000000000006E-2</v>
      </c>
      <c r="F7" s="26">
        <v>0.02</v>
      </c>
      <c r="G7" s="26">
        <f t="shared" ref="G7:G17" si="4">G29</f>
        <v>4.0000000000000001E-3</v>
      </c>
      <c r="H7" s="27">
        <v>0</v>
      </c>
      <c r="I7" s="27">
        <v>0.1</v>
      </c>
      <c r="J7" s="27">
        <v>0.1</v>
      </c>
      <c r="K7" s="25">
        <v>0</v>
      </c>
      <c r="L7" s="26">
        <f t="shared" ref="L7:L16" si="5">IFERROR((H7*50000)/100,0)+IFERROR((I7*100000)/100,0)+IFERROR((J7*100000)/100,0)</f>
        <v>200</v>
      </c>
      <c r="M7" s="72">
        <f t="shared" si="3"/>
        <v>25500</v>
      </c>
      <c r="N7" s="70">
        <f t="shared" ref="N7:N16" si="6">E7+F7+G7+K7</f>
        <v>9.3000000000000013E-2</v>
      </c>
      <c r="O7" s="26">
        <v>100</v>
      </c>
    </row>
    <row r="8" spans="1:15" ht="19.75" customHeight="1">
      <c r="A8" s="90"/>
      <c r="B8" s="92"/>
      <c r="C8" s="77">
        <v>1</v>
      </c>
      <c r="D8" s="21" t="s">
        <v>78</v>
      </c>
      <c r="E8" s="25">
        <v>6.9000000000000006E-2</v>
      </c>
      <c r="F8" s="26">
        <v>0.02</v>
      </c>
      <c r="G8" s="76">
        <f t="shared" si="4"/>
        <v>8.0000000000000002E-3</v>
      </c>
      <c r="H8" s="27">
        <v>0</v>
      </c>
      <c r="I8" s="27">
        <v>0.1</v>
      </c>
      <c r="J8" s="27">
        <v>0.1</v>
      </c>
      <c r="K8" s="25">
        <v>0</v>
      </c>
      <c r="L8" s="26">
        <f t="shared" si="5"/>
        <v>200</v>
      </c>
      <c r="M8" s="72">
        <f t="shared" si="3"/>
        <v>25500</v>
      </c>
      <c r="N8" s="70">
        <f t="shared" si="6"/>
        <v>9.7000000000000003E-2</v>
      </c>
      <c r="O8" s="26">
        <v>100</v>
      </c>
    </row>
    <row r="9" spans="1:15" ht="18.5">
      <c r="A9" s="90"/>
      <c r="B9" s="92"/>
      <c r="C9" s="77">
        <v>1</v>
      </c>
      <c r="D9" s="21" t="s">
        <v>79</v>
      </c>
      <c r="E9" s="25">
        <v>6.9000000000000006E-2</v>
      </c>
      <c r="F9" s="26">
        <v>0.02</v>
      </c>
      <c r="G9" s="26">
        <f t="shared" si="4"/>
        <v>1.2E-2</v>
      </c>
      <c r="H9" s="27">
        <v>0</v>
      </c>
      <c r="I9" s="27">
        <v>0.1</v>
      </c>
      <c r="J9" s="27">
        <v>0.1</v>
      </c>
      <c r="K9" s="25">
        <v>0</v>
      </c>
      <c r="L9" s="26">
        <f t="shared" si="5"/>
        <v>200</v>
      </c>
      <c r="M9" s="72">
        <f t="shared" si="3"/>
        <v>25500</v>
      </c>
      <c r="N9" s="70">
        <f t="shared" si="6"/>
        <v>0.10100000000000001</v>
      </c>
      <c r="O9" s="26">
        <v>100</v>
      </c>
    </row>
    <row r="10" spans="1:15" ht="18.5">
      <c r="A10" s="90"/>
      <c r="B10" s="92"/>
      <c r="C10" s="77">
        <v>1</v>
      </c>
      <c r="D10" s="21" t="s">
        <v>60</v>
      </c>
      <c r="E10" s="25">
        <v>6.9000000000000006E-2</v>
      </c>
      <c r="F10" s="26">
        <v>0.02</v>
      </c>
      <c r="G10" s="26">
        <f t="shared" si="4"/>
        <v>1.6E-2</v>
      </c>
      <c r="H10" s="27">
        <v>0</v>
      </c>
      <c r="I10" s="27">
        <v>0.1</v>
      </c>
      <c r="J10" s="27">
        <v>0.1</v>
      </c>
      <c r="K10" s="25">
        <v>0</v>
      </c>
      <c r="L10" s="26">
        <f t="shared" si="5"/>
        <v>200</v>
      </c>
      <c r="M10" s="72">
        <f t="shared" si="3"/>
        <v>25500</v>
      </c>
      <c r="N10" s="70">
        <f t="shared" si="6"/>
        <v>0.10500000000000001</v>
      </c>
      <c r="O10" s="26">
        <v>100</v>
      </c>
    </row>
    <row r="11" spans="1:15" ht="18.5">
      <c r="A11" s="90"/>
      <c r="B11" s="92"/>
      <c r="C11" s="77">
        <v>1</v>
      </c>
      <c r="D11" s="21" t="s">
        <v>61</v>
      </c>
      <c r="E11" s="25">
        <v>6.9000000000000006E-2</v>
      </c>
      <c r="F11" s="26">
        <v>0.02</v>
      </c>
      <c r="G11" s="26">
        <f t="shared" si="4"/>
        <v>0.02</v>
      </c>
      <c r="H11" s="27">
        <v>0</v>
      </c>
      <c r="I11" s="27">
        <v>0.1</v>
      </c>
      <c r="J11" s="27">
        <v>0.1</v>
      </c>
      <c r="K11" s="25">
        <v>0</v>
      </c>
      <c r="L11" s="26">
        <f t="shared" si="5"/>
        <v>200</v>
      </c>
      <c r="M11" s="72">
        <f t="shared" si="3"/>
        <v>25500</v>
      </c>
      <c r="N11" s="70">
        <f t="shared" si="6"/>
        <v>0.10900000000000001</v>
      </c>
      <c r="O11" s="26">
        <v>100</v>
      </c>
    </row>
    <row r="12" spans="1:15" ht="18.5">
      <c r="A12" s="90"/>
      <c r="B12" s="92"/>
      <c r="C12" s="77">
        <v>1</v>
      </c>
      <c r="D12" s="21" t="s">
        <v>62</v>
      </c>
      <c r="E12" s="25">
        <v>6.9000000000000006E-2</v>
      </c>
      <c r="F12" s="26">
        <v>0.02</v>
      </c>
      <c r="G12" s="26">
        <f t="shared" si="4"/>
        <v>2.4E-2</v>
      </c>
      <c r="H12" s="27">
        <v>0</v>
      </c>
      <c r="I12" s="27">
        <v>0.1</v>
      </c>
      <c r="J12" s="27">
        <v>0.1</v>
      </c>
      <c r="K12" s="25">
        <v>0</v>
      </c>
      <c r="L12" s="26">
        <f t="shared" si="5"/>
        <v>200</v>
      </c>
      <c r="M12" s="72">
        <f t="shared" si="3"/>
        <v>25500</v>
      </c>
      <c r="N12" s="70">
        <f t="shared" si="6"/>
        <v>0.11300000000000002</v>
      </c>
      <c r="O12" s="26">
        <v>100</v>
      </c>
    </row>
    <row r="13" spans="1:15" ht="19.75" customHeight="1">
      <c r="A13" s="90"/>
      <c r="B13" s="92"/>
      <c r="C13" s="77">
        <v>1</v>
      </c>
      <c r="D13" s="21" t="s">
        <v>63</v>
      </c>
      <c r="E13" s="25">
        <v>6.9000000000000006E-2</v>
      </c>
      <c r="F13" s="26">
        <v>0.02</v>
      </c>
      <c r="G13" s="26">
        <f t="shared" si="4"/>
        <v>2.8000000000000001E-2</v>
      </c>
      <c r="H13" s="27">
        <v>0</v>
      </c>
      <c r="I13" s="27">
        <v>0.1</v>
      </c>
      <c r="J13" s="27">
        <v>0.1</v>
      </c>
      <c r="K13" s="25">
        <v>0</v>
      </c>
      <c r="L13" s="26">
        <f t="shared" si="5"/>
        <v>200</v>
      </c>
      <c r="M13" s="72">
        <f t="shared" si="3"/>
        <v>25500</v>
      </c>
      <c r="N13" s="70">
        <f t="shared" si="6"/>
        <v>0.11700000000000001</v>
      </c>
      <c r="O13" s="26">
        <v>100</v>
      </c>
    </row>
    <row r="14" spans="1:15" ht="18.5">
      <c r="A14" s="90"/>
      <c r="B14" s="92"/>
      <c r="C14" s="77">
        <v>1</v>
      </c>
      <c r="D14" s="21" t="s">
        <v>64</v>
      </c>
      <c r="E14" s="25">
        <v>6.9000000000000006E-2</v>
      </c>
      <c r="F14" s="26">
        <v>0.02</v>
      </c>
      <c r="G14" s="26">
        <f t="shared" si="4"/>
        <v>3.2000000000000001E-2</v>
      </c>
      <c r="H14" s="27">
        <v>0</v>
      </c>
      <c r="I14" s="27">
        <v>0.1</v>
      </c>
      <c r="J14" s="27">
        <v>0.1</v>
      </c>
      <c r="K14" s="25">
        <v>0</v>
      </c>
      <c r="L14" s="26">
        <f t="shared" si="5"/>
        <v>200</v>
      </c>
      <c r="M14" s="72">
        <f t="shared" si="3"/>
        <v>25500</v>
      </c>
      <c r="N14" s="70">
        <f t="shared" si="6"/>
        <v>0.12100000000000001</v>
      </c>
      <c r="O14" s="26">
        <v>100</v>
      </c>
    </row>
    <row r="15" spans="1:15" ht="18.5">
      <c r="A15" s="90"/>
      <c r="B15" s="92"/>
      <c r="C15" s="77">
        <v>1</v>
      </c>
      <c r="D15" s="21" t="s">
        <v>65</v>
      </c>
      <c r="E15" s="25">
        <v>6.9000000000000006E-2</v>
      </c>
      <c r="F15" s="26">
        <v>0.02</v>
      </c>
      <c r="G15" s="26">
        <f t="shared" si="4"/>
        <v>3.5999999999999997E-2</v>
      </c>
      <c r="H15" s="27">
        <v>0</v>
      </c>
      <c r="I15" s="27">
        <v>0.1</v>
      </c>
      <c r="J15" s="27">
        <v>0.1</v>
      </c>
      <c r="K15" s="25">
        <v>0</v>
      </c>
      <c r="L15" s="26">
        <f t="shared" si="5"/>
        <v>200</v>
      </c>
      <c r="M15" s="72">
        <f t="shared" si="3"/>
        <v>33500</v>
      </c>
      <c r="N15" s="70">
        <f t="shared" si="6"/>
        <v>0.125</v>
      </c>
      <c r="O15" s="26">
        <v>100</v>
      </c>
    </row>
    <row r="16" spans="1:15">
      <c r="A16" s="90"/>
      <c r="B16" s="92"/>
      <c r="C16" s="77">
        <v>1</v>
      </c>
      <c r="D16" s="21" t="s">
        <v>74</v>
      </c>
      <c r="E16" s="25">
        <v>6.9000000000000006E-2</v>
      </c>
      <c r="F16" s="26">
        <v>0.02</v>
      </c>
      <c r="G16" s="76">
        <f t="shared" si="4"/>
        <v>0.04</v>
      </c>
      <c r="H16" s="27">
        <v>0</v>
      </c>
      <c r="I16" s="27">
        <v>0.1</v>
      </c>
      <c r="J16" s="27">
        <v>0.1</v>
      </c>
      <c r="K16" s="25">
        <v>0</v>
      </c>
      <c r="L16" s="26">
        <f t="shared" si="5"/>
        <v>200</v>
      </c>
      <c r="M16" s="72">
        <f t="shared" si="3"/>
        <v>33500</v>
      </c>
      <c r="N16" s="70">
        <f t="shared" si="6"/>
        <v>0.129</v>
      </c>
      <c r="O16" s="26">
        <v>100</v>
      </c>
    </row>
    <row r="17" spans="1:15">
      <c r="A17" s="90"/>
      <c r="B17" s="92"/>
      <c r="C17" s="77">
        <v>1</v>
      </c>
      <c r="D17" s="21" t="s">
        <v>72</v>
      </c>
      <c r="E17" s="25">
        <v>6.9000000000000006E-2</v>
      </c>
      <c r="F17" s="26">
        <v>0.02</v>
      </c>
      <c r="G17" s="76">
        <f t="shared" si="4"/>
        <v>0.04</v>
      </c>
      <c r="H17" s="27">
        <v>0</v>
      </c>
      <c r="I17" s="27">
        <v>0.1</v>
      </c>
      <c r="J17" s="27">
        <v>0.1</v>
      </c>
      <c r="K17" s="25">
        <v>0</v>
      </c>
      <c r="L17" s="26">
        <f t="shared" ref="L17" si="7">IFERROR((H17*50000)/100,0)+IFERROR((I17*100000)/100,0)+IFERROR((J17*100000)/100,0)</f>
        <v>200</v>
      </c>
      <c r="M17" s="72">
        <f>H39</f>
        <v>33500</v>
      </c>
      <c r="N17" s="70">
        <f t="shared" ref="N17" si="8">E17+F17+G17+K17</f>
        <v>0.129</v>
      </c>
      <c r="O17" s="26">
        <v>100</v>
      </c>
    </row>
    <row r="18" spans="1:15">
      <c r="A18" s="91"/>
      <c r="B18" s="92"/>
      <c r="C18" s="77">
        <v>1</v>
      </c>
      <c r="D18" s="21" t="s">
        <v>75</v>
      </c>
      <c r="E18" s="25">
        <v>6.9000000000000006E-2</v>
      </c>
      <c r="F18" s="26">
        <v>0.02</v>
      </c>
      <c r="G18" s="26">
        <v>0</v>
      </c>
      <c r="H18" s="27">
        <v>0.5</v>
      </c>
      <c r="I18" s="27">
        <v>0</v>
      </c>
      <c r="J18" s="27">
        <v>0</v>
      </c>
      <c r="K18" s="25">
        <f>0.045</f>
        <v>4.4999999999999998E-2</v>
      </c>
      <c r="L18" s="26">
        <f t="shared" si="1"/>
        <v>250</v>
      </c>
      <c r="M18" s="54">
        <v>8500</v>
      </c>
      <c r="N18" s="70">
        <f t="shared" si="2"/>
        <v>0.13400000000000001</v>
      </c>
      <c r="O18" s="26">
        <v>0</v>
      </c>
    </row>
    <row r="19" spans="1:15" ht="13.75" customHeight="1">
      <c r="A19" s="49" t="s">
        <v>26</v>
      </c>
      <c r="B19" s="22">
        <v>1015</v>
      </c>
      <c r="C19" s="22">
        <v>1</v>
      </c>
      <c r="D19" s="23" t="s">
        <v>58</v>
      </c>
      <c r="E19" s="43">
        <v>0.184</v>
      </c>
      <c r="F19" s="44">
        <v>0.02</v>
      </c>
      <c r="G19" s="69">
        <v>0</v>
      </c>
      <c r="H19" s="71">
        <v>0.5</v>
      </c>
      <c r="I19" s="45">
        <v>0</v>
      </c>
      <c r="J19" s="45">
        <v>0</v>
      </c>
      <c r="K19" s="43">
        <v>5.8000000000000003E-2</v>
      </c>
      <c r="L19" s="69">
        <f>IFERROR((H19*50000)/100,0)+IFERROR((I19*100000)/100,0)+IFERROR((J19*100000)/100,0)</f>
        <v>250</v>
      </c>
      <c r="M19" s="54">
        <v>8500</v>
      </c>
      <c r="N19" s="70">
        <f>E19+F19+G19+K19</f>
        <v>0.26200000000000001</v>
      </c>
      <c r="O19" s="69">
        <v>0</v>
      </c>
    </row>
    <row r="20" spans="1:15">
      <c r="A20" s="48"/>
      <c r="B20" s="24">
        <v>1062</v>
      </c>
      <c r="C20" s="22">
        <v>1</v>
      </c>
      <c r="D20" s="23" t="s">
        <v>6</v>
      </c>
      <c r="E20" s="43">
        <v>8.5999999999999993E-2</v>
      </c>
      <c r="F20" s="44">
        <v>0.02</v>
      </c>
      <c r="G20" s="69">
        <v>0</v>
      </c>
      <c r="H20" s="71">
        <v>0.5</v>
      </c>
      <c r="I20" s="45">
        <v>0</v>
      </c>
      <c r="J20" s="45">
        <v>0</v>
      </c>
      <c r="K20" s="43">
        <v>5.8000000000000003E-2</v>
      </c>
      <c r="L20" s="69">
        <f t="shared" si="1"/>
        <v>250</v>
      </c>
      <c r="M20" s="54">
        <v>9000</v>
      </c>
      <c r="N20" s="70">
        <f t="shared" si="2"/>
        <v>0.16400000000000001</v>
      </c>
      <c r="O20" s="69">
        <v>0</v>
      </c>
    </row>
    <row r="21" spans="1:15">
      <c r="A21" s="48"/>
      <c r="B21" s="75">
        <v>1040</v>
      </c>
      <c r="C21" s="22">
        <v>1</v>
      </c>
      <c r="D21" s="23" t="s">
        <v>28</v>
      </c>
      <c r="E21" s="43">
        <v>8.5999999999999993E-2</v>
      </c>
      <c r="F21" s="44">
        <v>0.02</v>
      </c>
      <c r="G21" s="69">
        <v>0</v>
      </c>
      <c r="H21" s="71">
        <v>0.5</v>
      </c>
      <c r="I21" s="45">
        <v>0</v>
      </c>
      <c r="J21" s="45">
        <v>0</v>
      </c>
      <c r="K21" s="43">
        <v>5.8000000000000003E-2</v>
      </c>
      <c r="L21" s="69">
        <f t="shared" si="1"/>
        <v>250</v>
      </c>
      <c r="M21" s="54">
        <v>12000</v>
      </c>
      <c r="N21" s="70">
        <f t="shared" si="2"/>
        <v>0.16400000000000001</v>
      </c>
      <c r="O21" s="69">
        <v>0</v>
      </c>
    </row>
    <row r="26" spans="1:15">
      <c r="F26" s="36" t="s">
        <v>42</v>
      </c>
    </row>
    <row r="27" spans="1:15">
      <c r="C27" s="19" t="s">
        <v>59</v>
      </c>
      <c r="D27" s="19" t="s">
        <v>40</v>
      </c>
      <c r="F27" s="19" t="s">
        <v>42</v>
      </c>
      <c r="G27" s="19" t="s">
        <v>43</v>
      </c>
      <c r="H27" s="53" t="s">
        <v>52</v>
      </c>
      <c r="I27" s="53" t="s">
        <v>53</v>
      </c>
      <c r="J27" s="52"/>
      <c r="K27" s="42"/>
    </row>
    <row r="28" spans="1:15" ht="16.5">
      <c r="C28" s="32">
        <v>1</v>
      </c>
      <c r="D28" s="29">
        <v>1</v>
      </c>
      <c r="F28" s="74" t="s">
        <v>56</v>
      </c>
      <c r="G28" s="46">
        <v>0</v>
      </c>
      <c r="H28" s="54">
        <v>25500</v>
      </c>
      <c r="I28" s="54">
        <v>19700</v>
      </c>
      <c r="J28" s="51"/>
      <c r="K28" s="42"/>
    </row>
    <row r="29" spans="1:15" ht="16.5">
      <c r="C29" s="32">
        <v>2</v>
      </c>
      <c r="D29" s="29">
        <v>1.75</v>
      </c>
      <c r="F29" s="32">
        <v>8</v>
      </c>
      <c r="G29" s="46">
        <v>4.0000000000000001E-3</v>
      </c>
      <c r="H29" s="54">
        <v>25500</v>
      </c>
      <c r="I29" s="54">
        <v>19700</v>
      </c>
      <c r="J29" s="51"/>
      <c r="K29" s="42"/>
    </row>
    <row r="30" spans="1:15" ht="16.5">
      <c r="C30" s="32">
        <v>3</v>
      </c>
      <c r="D30" s="29">
        <v>2.5</v>
      </c>
      <c r="F30" s="32">
        <v>9</v>
      </c>
      <c r="G30" s="47">
        <v>8.0000000000000002E-3</v>
      </c>
      <c r="H30" s="54">
        <v>25500</v>
      </c>
      <c r="I30" s="54">
        <v>19700</v>
      </c>
      <c r="J30" s="51"/>
    </row>
    <row r="31" spans="1:15" ht="16.5">
      <c r="C31" s="32">
        <v>4</v>
      </c>
      <c r="D31" s="29">
        <v>2.87</v>
      </c>
      <c r="F31" s="32">
        <v>10</v>
      </c>
      <c r="G31" s="46">
        <v>1.2E-2</v>
      </c>
      <c r="H31" s="54">
        <v>25500</v>
      </c>
      <c r="I31" s="54">
        <v>19700</v>
      </c>
      <c r="J31" s="51"/>
    </row>
    <row r="32" spans="1:15" ht="16.5">
      <c r="C32" s="32">
        <v>5</v>
      </c>
      <c r="D32" s="29">
        <v>3.49</v>
      </c>
      <c r="F32" s="32">
        <v>11</v>
      </c>
      <c r="G32" s="46">
        <v>1.6E-2</v>
      </c>
      <c r="H32" s="54">
        <v>25500</v>
      </c>
      <c r="I32" s="54">
        <v>19700</v>
      </c>
      <c r="J32" s="51"/>
      <c r="K32" s="42"/>
    </row>
    <row r="33" spans="3:11" ht="16.5">
      <c r="C33" s="32">
        <v>6</v>
      </c>
      <c r="D33" s="29">
        <v>4.04</v>
      </c>
      <c r="F33" s="32">
        <v>12</v>
      </c>
      <c r="G33" s="46">
        <v>0.02</v>
      </c>
      <c r="H33" s="54">
        <v>25500</v>
      </c>
      <c r="I33" s="54">
        <v>19700</v>
      </c>
      <c r="J33" s="51"/>
      <c r="K33" s="42"/>
    </row>
    <row r="34" spans="3:11" ht="16.5">
      <c r="C34" s="32">
        <v>7</v>
      </c>
      <c r="D34" s="29">
        <v>4.59</v>
      </c>
      <c r="F34" s="32">
        <v>13</v>
      </c>
      <c r="G34" s="46">
        <v>2.4E-2</v>
      </c>
      <c r="H34" s="54">
        <v>25500</v>
      </c>
      <c r="I34" s="54">
        <v>19700</v>
      </c>
      <c r="J34" s="51"/>
    </row>
    <row r="35" spans="3:11" ht="16.5">
      <c r="C35" s="32">
        <v>8</v>
      </c>
      <c r="D35" s="29">
        <v>5.0999999999999996</v>
      </c>
      <c r="F35" s="32">
        <v>14</v>
      </c>
      <c r="G35" s="46">
        <v>2.8000000000000001E-2</v>
      </c>
      <c r="H35" s="54">
        <v>25500</v>
      </c>
      <c r="I35" s="54">
        <v>19700</v>
      </c>
      <c r="J35" s="51"/>
    </row>
    <row r="36" spans="3:11" ht="16.5">
      <c r="C36" s="32">
        <v>9</v>
      </c>
      <c r="D36" s="29">
        <v>5.59</v>
      </c>
      <c r="F36" s="32">
        <v>15</v>
      </c>
      <c r="G36" s="46">
        <v>3.2000000000000001E-2</v>
      </c>
      <c r="H36" s="54">
        <v>25500</v>
      </c>
      <c r="I36" s="54">
        <v>19700</v>
      </c>
      <c r="J36" s="51"/>
    </row>
    <row r="37" spans="3:11" ht="16.5">
      <c r="F37" s="32">
        <v>16</v>
      </c>
      <c r="G37" s="46">
        <v>3.5999999999999997E-2</v>
      </c>
      <c r="H37" s="54">
        <v>33500</v>
      </c>
      <c r="I37" s="54">
        <v>19700</v>
      </c>
      <c r="J37" s="51"/>
    </row>
    <row r="38" spans="3:11" ht="16.5">
      <c r="F38" s="32" t="s">
        <v>55</v>
      </c>
      <c r="G38" s="47">
        <v>0.04</v>
      </c>
      <c r="H38" s="54">
        <v>33500</v>
      </c>
      <c r="I38" s="54">
        <v>19700</v>
      </c>
      <c r="J38" s="51"/>
    </row>
    <row r="39" spans="3:11" ht="16.5">
      <c r="F39" s="32" t="s">
        <v>55</v>
      </c>
      <c r="G39" s="47">
        <v>0.04</v>
      </c>
      <c r="H39" s="54">
        <v>33500</v>
      </c>
      <c r="I39" s="54">
        <v>19700</v>
      </c>
      <c r="J39" s="51"/>
    </row>
    <row r="42" spans="3:11">
      <c r="D42" t="s">
        <v>2</v>
      </c>
    </row>
    <row r="43" spans="3:11">
      <c r="D43" t="s">
        <v>4</v>
      </c>
    </row>
    <row r="44" spans="3:11">
      <c r="D44" t="s">
        <v>3</v>
      </c>
    </row>
    <row r="45" spans="3:11">
      <c r="D45" t="s">
        <v>75</v>
      </c>
    </row>
    <row r="46" spans="3:11">
      <c r="D46" t="s">
        <v>58</v>
      </c>
    </row>
    <row r="47" spans="3:11">
      <c r="D47" t="s">
        <v>80</v>
      </c>
    </row>
    <row r="48" spans="3:11">
      <c r="D48" t="s">
        <v>81</v>
      </c>
    </row>
    <row r="49" spans="4:4">
      <c r="D49" t="s">
        <v>82</v>
      </c>
    </row>
    <row r="50" spans="4:4">
      <c r="D50" t="s">
        <v>83</v>
      </c>
    </row>
    <row r="51" spans="4:4">
      <c r="D51" t="s">
        <v>66</v>
      </c>
    </row>
    <row r="52" spans="4:4">
      <c r="D52" t="s">
        <v>67</v>
      </c>
    </row>
    <row r="53" spans="4:4">
      <c r="D53" t="s">
        <v>68</v>
      </c>
    </row>
    <row r="54" spans="4:4">
      <c r="D54" t="s">
        <v>69</v>
      </c>
    </row>
    <row r="55" spans="4:4">
      <c r="D55" t="s">
        <v>70</v>
      </c>
    </row>
    <row r="56" spans="4:4">
      <c r="D56" t="s">
        <v>71</v>
      </c>
    </row>
    <row r="57" spans="4:4">
      <c r="D57" s="42" t="s">
        <v>74</v>
      </c>
    </row>
    <row r="58" spans="4:4">
      <c r="D58" t="s">
        <v>6</v>
      </c>
    </row>
    <row r="59" spans="4:4">
      <c r="D59" t="s">
        <v>28</v>
      </c>
    </row>
  </sheetData>
  <sheetProtection algorithmName="SHA-512" hashValue="GjuFI+PqPBujN00LFJ/LQPnNBpLcNq3xSFIFZN64Cf4bE5WbJl8x+7D0EeWh+0LPTJBeMEw0vTosylANFPEWxA==" saltValue="z6EBUIa6IyX4ZPq4bJFjpg==" spinCount="100000" sheet="1" objects="1" scenarios="1"/>
  <mergeCells count="15">
    <mergeCell ref="O1:O2"/>
    <mergeCell ref="A3:A18"/>
    <mergeCell ref="B3:B18"/>
    <mergeCell ref="N1:N2"/>
    <mergeCell ref="A1:A2"/>
    <mergeCell ref="K1:K2"/>
    <mergeCell ref="L1:L2"/>
    <mergeCell ref="H1:J1"/>
    <mergeCell ref="D1:D2"/>
    <mergeCell ref="C1:C2"/>
    <mergeCell ref="E1:E2"/>
    <mergeCell ref="M1:M2"/>
    <mergeCell ref="F1:F2"/>
    <mergeCell ref="G1:G2"/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ประกันอัคคีภัย(มีเล่ม)</vt:lpstr>
      <vt:lpstr>ประกันอัคคีภัย(ไม่มีเล่ม)</vt:lpstr>
      <vt:lpstr>Rate</vt:lpstr>
      <vt:lpstr>home</vt:lpstr>
      <vt:lpstr>nonhome</vt:lpstr>
    </vt:vector>
  </TitlesOfParts>
  <Company>SAGI.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Panu Supapornhemin</dc:creator>
  <cp:lastModifiedBy>HUAWEI</cp:lastModifiedBy>
  <cp:lastPrinted>2020-06-05T06:31:03Z</cp:lastPrinted>
  <dcterms:created xsi:type="dcterms:W3CDTF">2018-10-10T09:22:14Z</dcterms:created>
  <dcterms:modified xsi:type="dcterms:W3CDTF">2022-10-10T04:48:57Z</dcterms:modified>
</cp:coreProperties>
</file>