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17137\Downloads\"/>
    </mc:Choice>
  </mc:AlternateContent>
  <bookViews>
    <workbookView xWindow="0" yWindow="0" windowWidth="19200" windowHeight="6930" tabRatio="454"/>
  </bookViews>
  <sheets>
    <sheet name="Detail_Simulation" sheetId="2" r:id="rId1"/>
    <sheet name="Summary_Commission_Simulation" sheetId="10" r:id="rId2"/>
    <sheet name="Secured_Commission" sheetId="7" state="hidden" r:id="rId3"/>
    <sheet name="Unsecured_Commission" sheetId="8" state="hidden" r:id="rId4"/>
    <sheet name="Sales_Agent_info" sheetId="13" state="hidden" r:id="rId5"/>
    <sheet name="Dropdown_DS_Zone" sheetId="11" state="hidden" r:id="rId6"/>
    <sheet name="Dropdown_DS_Staff" sheetId="12" state="hidden" r:id="rId7"/>
    <sheet name="Dropdown_Product" sheetId="1" state="hidden" r:id="rId8"/>
    <sheet name="Dropdown_HomeLoan" sheetId="4" state="hidden" r:id="rId9"/>
    <sheet name="Dropdown_Deviate" sheetId="5" state="hidden" r:id="rId10"/>
    <sheet name="Deviate_Table" sheetId="6" state="hidden" r:id="rId11"/>
  </sheets>
  <definedNames>
    <definedName name="Banca">Product[Banca]</definedName>
    <definedName name="BT_with_5_year_lock_in_period">Dropdown_Deviate[BT_with_5_year_lock_in_period]</definedName>
    <definedName name="Direct_Sales_1">_xlfn.ANCHORARRAY(Dropdown_DS_Zone!$A$2)</definedName>
    <definedName name="Direct_Sales_2">_xlfn.ANCHORARRAY(Dropdown_DS_Zone!$B$2)</definedName>
    <definedName name="DS1_1_1">Dropdown_DS_Staff!$A$2:$A$100</definedName>
    <definedName name="DS1_1_2">Dropdown_DS_Staff!$B$2:$B$100</definedName>
    <definedName name="DS1_1_3">Dropdown_DS_Staff!$C$2:$C$100</definedName>
    <definedName name="DS1_1_4">Dropdown_DS_Staff!$D$2:$D$100</definedName>
    <definedName name="DS1_2_1">Dropdown_DS_Staff!$E$2:$E$100</definedName>
    <definedName name="DS1_2_2">Dropdown_DS_Staff!$F$2:$F$100</definedName>
    <definedName name="DS1_2_3">Dropdown_DS_Staff!$G$2:$G$100</definedName>
    <definedName name="DS1_2_4">Dropdown_DS_Staff!$H$2:$H$100</definedName>
    <definedName name="DS1_3_1">Dropdown_DS_Staff!$I$2:$I$100</definedName>
    <definedName name="DS1_3_2">Dropdown_DS_Staff!$J$2:$J$100</definedName>
    <definedName name="DS1_3_3">Dropdown_DS_Staff!$K$2:$K$100</definedName>
    <definedName name="DS1_3_4">Dropdown_DS_Staff!$L$2:$L$100</definedName>
    <definedName name="DS1_4_1">Dropdown_DS_Staff!$M$2:$M$100</definedName>
    <definedName name="DS1_4_2">Dropdown_DS_Staff!$N$2:$N$100</definedName>
    <definedName name="DS1_4_3">Dropdown_DS_Staff!$O$2:$O$100</definedName>
    <definedName name="DS1_4_4">Dropdown_DS_Staff!$P$2:$P$100</definedName>
    <definedName name="DS1_5_1">Dropdown_DS_Staff!$Q$2:$Q$100</definedName>
    <definedName name="DS1_5_2">Dropdown_DS_Staff!$R$2:$R$100</definedName>
    <definedName name="DS1_5_3">Dropdown_DS_Staff!$S$2:$S$100</definedName>
    <definedName name="DS1_5_4">Dropdown_DS_Staff!$T$2:$T$100</definedName>
    <definedName name="DS1_6_1">Dropdown_DS_Staff!$U$2:$U$100</definedName>
    <definedName name="DS1_6_2">Dropdown_DS_Staff!$V$2:$V$100</definedName>
    <definedName name="DS1_6_3">Dropdown_DS_Staff!$W$2:$W$100</definedName>
    <definedName name="DS1_6_4">Dropdown_DS_Staff!$X$2:$X$100</definedName>
    <definedName name="DS2_1_1">Dropdown_DS_Staff!$Y$2:$Y$100</definedName>
    <definedName name="DS2_1_2">Dropdown_DS_Staff!$Z$2:$Z$100</definedName>
    <definedName name="DS2_1_3">Dropdown_DS_Staff!$AA$2:$AA$100</definedName>
    <definedName name="DS2_1_4">Dropdown_DS_Staff!$AB$2:$AB$100</definedName>
    <definedName name="DS2_1_5">Dropdown_DS_Staff!$AC$2:$AC$100</definedName>
    <definedName name="DS2_2_1">Dropdown_DS_Staff!$AD$2:$AD$100</definedName>
    <definedName name="DS2_2_2">Dropdown_DS_Staff!$AE$2:$AE$100</definedName>
    <definedName name="DS2_2_3">Dropdown_DS_Staff!$AF$2:$AF$100</definedName>
    <definedName name="DS2_2_4">Dropdown_DS_Staff!$AG$2:$AG$100</definedName>
    <definedName name="DS2_2_5">Dropdown_DS_Staff!$AH$2:$AH$100</definedName>
    <definedName name="DS2_3_1">Dropdown_DS_Staff!$AI$2:$AI$100</definedName>
    <definedName name="DS2_3_2">Dropdown_DS_Staff!$AJ$2:$AJ$100</definedName>
    <definedName name="DS2_3_3">Dropdown_DS_Staff!$AK$2:$AK$100</definedName>
    <definedName name="DS2_3_4">Dropdown_DS_Staff!$AL$2:$AL$100</definedName>
    <definedName name="DS2_3_5">Dropdown_DS_Staff!$AM$2:$AM$100</definedName>
    <definedName name="DS2_4_1">Dropdown_DS_Staff!$AN$2:$AN$100</definedName>
    <definedName name="DS2_4_2">Dropdown_DS_Staff!$AO$2:$AO$100</definedName>
    <definedName name="DS2_4_3">Dropdown_DS_Staff!$AP$2:$AP$100</definedName>
    <definedName name="DS2_4_4">Dropdown_DS_Staff!$AQ$2:$AQ$100</definedName>
    <definedName name="DS2_4_5">Dropdown_DS_Staff!$AR$2:$AR$100</definedName>
    <definedName name="DS2_5_1">Dropdown_DS_Staff!$AS$2:$AS$100</definedName>
    <definedName name="DS2_5_2">Dropdown_DS_Staff!$AT$2:$AT$100</definedName>
    <definedName name="DS2_5_3">Dropdown_DS_Staff!$AU$2:$AU$100</definedName>
    <definedName name="DS2_5_4">Dropdown_DS_Staff!$AV$2:$AV$100</definedName>
    <definedName name="DS2_5_5">Dropdown_DS_Staff!$AW$2:$AW$100</definedName>
    <definedName name="ExternalData_1" localSheetId="4" hidden="1">Sales_Agent_info!$A$1:$AA$272</definedName>
    <definedName name="Extra_Cash">HLBT_Year[Extra_Cash]</definedName>
    <definedName name="HomeLoan_BT_less_than_2_Percent">HLBT_Year[HomeLoan_BT_less_than_2_Percent]</definedName>
    <definedName name="HomeLoan_BT_more_than_2_Percent">HLBT_Year[HomeLoan_BT_more_than_2_Percent]</definedName>
    <definedName name="HomeLoan_Non_BT">HLBT_Year[HomeLoan_Non_BT]</definedName>
    <definedName name="Mortgage_Power_Term">HLBT_Year[Mortgage_Power_Term]</definedName>
    <definedName name="MRTA_3_Percent">HLBT_Year[MRTA_3_Percent]</definedName>
    <definedName name="MRTA_6_Percent">HLBT_Year[MRTA_6_Percent]</definedName>
    <definedName name="others">Dropdown_Deviate[others]</definedName>
    <definedName name="Personal_Cash">#REF!</definedName>
    <definedName name="Secured">Product[Secured]</definedName>
    <definedName name="SOMPO">HLBT_Year[SOMPO]</definedName>
    <definedName name="Unsecured">Product[Unsecured]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0" l="1"/>
  <c r="F14" i="10"/>
  <c r="G14" i="10"/>
  <c r="H14" i="10"/>
  <c r="I14" i="10"/>
  <c r="J14" i="10"/>
  <c r="K14" i="10"/>
  <c r="E15" i="10"/>
  <c r="F15" i="10"/>
  <c r="G15" i="10"/>
  <c r="H15" i="10"/>
  <c r="I15" i="10"/>
  <c r="J15" i="10"/>
  <c r="K15" i="10"/>
  <c r="E16" i="10"/>
  <c r="F16" i="10"/>
  <c r="G16" i="10"/>
  <c r="H16" i="10"/>
  <c r="I16" i="10"/>
  <c r="J16" i="10"/>
  <c r="K16" i="10"/>
  <c r="E17" i="10"/>
  <c r="F17" i="10"/>
  <c r="G17" i="10"/>
  <c r="H17" i="10"/>
  <c r="I17" i="10"/>
  <c r="J17" i="10"/>
  <c r="K17" i="10"/>
  <c r="E18" i="10"/>
  <c r="F18" i="10"/>
  <c r="G18" i="10"/>
  <c r="H18" i="10"/>
  <c r="I18" i="10"/>
  <c r="J18" i="10"/>
  <c r="K18" i="10"/>
  <c r="E19" i="10"/>
  <c r="F19" i="10"/>
  <c r="G19" i="10"/>
  <c r="H19" i="10"/>
  <c r="I19" i="10"/>
  <c r="J19" i="10"/>
  <c r="K19" i="10"/>
  <c r="E20" i="10"/>
  <c r="F20" i="10"/>
  <c r="G20" i="10"/>
  <c r="H20" i="10"/>
  <c r="I20" i="10"/>
  <c r="J20" i="10"/>
  <c r="K20" i="10"/>
  <c r="E21" i="10"/>
  <c r="F21" i="10"/>
  <c r="G21" i="10"/>
  <c r="H21" i="10"/>
  <c r="I21" i="10"/>
  <c r="J21" i="10"/>
  <c r="K21" i="10"/>
  <c r="E22" i="10"/>
  <c r="F22" i="10"/>
  <c r="G22" i="10"/>
  <c r="H22" i="10"/>
  <c r="I22" i="10"/>
  <c r="J22" i="10"/>
  <c r="K22" i="10"/>
  <c r="E23" i="10"/>
  <c r="F23" i="10"/>
  <c r="G23" i="10"/>
  <c r="H23" i="10"/>
  <c r="I23" i="10"/>
  <c r="J23" i="10"/>
  <c r="K23" i="10"/>
  <c r="E24" i="10"/>
  <c r="F24" i="10"/>
  <c r="G24" i="10"/>
  <c r="H24" i="10"/>
  <c r="I24" i="10"/>
  <c r="J24" i="10"/>
  <c r="K24" i="10"/>
  <c r="E25" i="10"/>
  <c r="F25" i="10"/>
  <c r="G25" i="10"/>
  <c r="H25" i="10"/>
  <c r="I25" i="10"/>
  <c r="J25" i="10"/>
  <c r="K25" i="10"/>
  <c r="E26" i="10"/>
  <c r="F26" i="10"/>
  <c r="G26" i="10"/>
  <c r="H26" i="10"/>
  <c r="I26" i="10"/>
  <c r="J26" i="10"/>
  <c r="K26" i="10"/>
  <c r="E27" i="10"/>
  <c r="F27" i="10"/>
  <c r="G27" i="10"/>
  <c r="H27" i="10"/>
  <c r="I27" i="10"/>
  <c r="J27" i="10"/>
  <c r="K27" i="10"/>
  <c r="E28" i="10"/>
  <c r="F28" i="10"/>
  <c r="G28" i="10"/>
  <c r="H28" i="10"/>
  <c r="I28" i="10"/>
  <c r="J28" i="10"/>
  <c r="K28" i="10"/>
  <c r="E29" i="10"/>
  <c r="F29" i="10"/>
  <c r="G29" i="10"/>
  <c r="H29" i="10"/>
  <c r="I29" i="10"/>
  <c r="J29" i="10"/>
  <c r="K29" i="10"/>
  <c r="E30" i="10"/>
  <c r="F30" i="10"/>
  <c r="G30" i="10"/>
  <c r="H30" i="10"/>
  <c r="I30" i="10"/>
  <c r="J30" i="10"/>
  <c r="K30" i="10"/>
  <c r="E31" i="10"/>
  <c r="F31" i="10"/>
  <c r="G31" i="10"/>
  <c r="H31" i="10"/>
  <c r="I31" i="10"/>
  <c r="J31" i="10"/>
  <c r="K31" i="10"/>
  <c r="E32" i="10"/>
  <c r="F32" i="10"/>
  <c r="G32" i="10"/>
  <c r="H32" i="10"/>
  <c r="I32" i="10"/>
  <c r="J32" i="10"/>
  <c r="K32" i="10"/>
  <c r="E33" i="10"/>
  <c r="F33" i="10"/>
  <c r="G33" i="10"/>
  <c r="H33" i="10"/>
  <c r="I33" i="10"/>
  <c r="J33" i="10"/>
  <c r="K33" i="10"/>
  <c r="E34" i="10"/>
  <c r="F34" i="10"/>
  <c r="G34" i="10"/>
  <c r="H34" i="10"/>
  <c r="I34" i="10"/>
  <c r="J34" i="10"/>
  <c r="K34" i="10"/>
  <c r="E35" i="10"/>
  <c r="F35" i="10"/>
  <c r="G35" i="10"/>
  <c r="H35" i="10"/>
  <c r="I35" i="10"/>
  <c r="J35" i="10"/>
  <c r="K35" i="10"/>
  <c r="E36" i="10"/>
  <c r="F36" i="10"/>
  <c r="G36" i="10"/>
  <c r="H36" i="10"/>
  <c r="I36" i="10"/>
  <c r="J36" i="10"/>
  <c r="K36" i="10"/>
  <c r="E37" i="10"/>
  <c r="F37" i="10"/>
  <c r="G37" i="10"/>
  <c r="H37" i="10"/>
  <c r="I37" i="10"/>
  <c r="J37" i="10"/>
  <c r="K37" i="10"/>
  <c r="E38" i="10"/>
  <c r="F38" i="10"/>
  <c r="G38" i="10"/>
  <c r="H38" i="10"/>
  <c r="I38" i="10"/>
  <c r="J38" i="10"/>
  <c r="K38" i="10"/>
  <c r="E39" i="10"/>
  <c r="F39" i="10"/>
  <c r="G39" i="10"/>
  <c r="H39" i="10"/>
  <c r="I39" i="10"/>
  <c r="J39" i="10"/>
  <c r="K39" i="10"/>
  <c r="E40" i="10"/>
  <c r="F40" i="10"/>
  <c r="G40" i="10"/>
  <c r="H40" i="10"/>
  <c r="I40" i="10"/>
  <c r="J40" i="10"/>
  <c r="K40" i="10"/>
  <c r="E41" i="10"/>
  <c r="F41" i="10"/>
  <c r="G41" i="10"/>
  <c r="H41" i="10"/>
  <c r="I41" i="10"/>
  <c r="J41" i="10"/>
  <c r="K41" i="10"/>
  <c r="K9" i="2"/>
  <c r="K10" i="2"/>
  <c r="K11" i="2"/>
  <c r="K13" i="2"/>
  <c r="I14" i="2" a="1"/>
  <c r="K14" i="2"/>
  <c r="I15" i="2" a="1"/>
  <c r="K15" i="2"/>
  <c r="I16" i="2" a="1"/>
  <c r="K16" i="2"/>
  <c r="I17" i="2" a="1"/>
  <c r="K17" i="2"/>
  <c r="I18" i="2" a="1"/>
  <c r="K18" i="2"/>
  <c r="I19" i="2" a="1"/>
  <c r="K19" i="2"/>
  <c r="I20" i="2" a="1"/>
  <c r="K20" i="2"/>
  <c r="I21" i="2" a="1"/>
  <c r="K21" i="2"/>
  <c r="I22" i="2" a="1"/>
  <c r="K22" i="2"/>
  <c r="I23" i="2" a="1"/>
  <c r="K23" i="2"/>
  <c r="I24" i="2" a="1"/>
  <c r="K24" i="2"/>
  <c r="I25" i="2" a="1"/>
  <c r="K25" i="2"/>
  <c r="I26" i="2" a="1"/>
  <c r="K26" i="2"/>
  <c r="I27" i="2" a="1"/>
  <c r="K27" i="2"/>
  <c r="I28" i="2" a="1"/>
  <c r="K28" i="2"/>
  <c r="I29" i="2" a="1"/>
  <c r="K29" i="2"/>
  <c r="I30" i="2" a="1"/>
  <c r="K30" i="2"/>
  <c r="I31" i="2" a="1"/>
  <c r="K31" i="2"/>
  <c r="I32" i="2" a="1"/>
  <c r="K32" i="2"/>
  <c r="I33" i="2" a="1"/>
  <c r="K33" i="2"/>
  <c r="I34" i="2" a="1"/>
  <c r="K34" i="2"/>
  <c r="I35" i="2" a="1"/>
  <c r="K35" i="2"/>
  <c r="I36" i="2" a="1"/>
  <c r="K36" i="2"/>
  <c r="I37" i="2" a="1"/>
  <c r="K37" i="2"/>
  <c r="I38" i="2" a="1"/>
  <c r="K38" i="2"/>
  <c r="I39" i="2" a="1"/>
  <c r="K39" i="2"/>
  <c r="I40" i="2" a="1"/>
  <c r="K40" i="2"/>
  <c r="I41" i="2" a="1"/>
  <c r="K41" i="2"/>
  <c r="I42" i="2" a="1"/>
  <c r="K42" i="2"/>
  <c r="I43" i="2" a="1"/>
  <c r="K43" i="2"/>
  <c r="I44" i="2" a="1"/>
  <c r="K44" i="2"/>
  <c r="I45" i="2" a="1"/>
  <c r="K45" i="2"/>
  <c r="I46" i="2" a="1"/>
  <c r="K46" i="2"/>
  <c r="I47" i="2" a="1"/>
  <c r="K47" i="2"/>
  <c r="I48" i="2" a="1"/>
  <c r="K48" i="2"/>
  <c r="I49" i="2" a="1"/>
  <c r="K49" i="2"/>
  <c r="I50" i="2" a="1"/>
  <c r="K50" i="2"/>
  <c r="I51" i="2" a="1"/>
  <c r="K51" i="2"/>
  <c r="I52" i="2" a="1"/>
  <c r="K52" i="2"/>
  <c r="I53" i="2" a="1"/>
  <c r="K53" i="2"/>
  <c r="I54" i="2" a="1"/>
  <c r="K54" i="2"/>
  <c r="I55" i="2" a="1"/>
  <c r="K55" i="2"/>
  <c r="I56" i="2" a="1"/>
  <c r="K56" i="2"/>
  <c r="I57" i="2" a="1"/>
  <c r="K57" i="2"/>
  <c r="I58" i="2" a="1"/>
  <c r="K58" i="2"/>
  <c r="I59" i="2" a="1"/>
  <c r="K59" i="2"/>
  <c r="I60" i="2" a="1"/>
  <c r="K60" i="2"/>
  <c r="I61" i="2" a="1"/>
  <c r="K61" i="2"/>
  <c r="I62" i="2" a="1"/>
  <c r="K62" i="2"/>
  <c r="I63" i="2" a="1"/>
  <c r="K63" i="2"/>
  <c r="I64" i="2" a="1"/>
  <c r="K64" i="2"/>
  <c r="I65" i="2" a="1"/>
  <c r="K65" i="2"/>
  <c r="I66" i="2" a="1"/>
  <c r="K66" i="2"/>
  <c r="I67" i="2" a="1"/>
  <c r="K67" i="2"/>
  <c r="I68" i="2" a="1"/>
  <c r="K68" i="2"/>
  <c r="I69" i="2" a="1"/>
  <c r="K69" i="2"/>
  <c r="I70" i="2" a="1"/>
  <c r="K70" i="2"/>
  <c r="I71" i="2" a="1"/>
  <c r="K71" i="2"/>
  <c r="I72" i="2" a="1"/>
  <c r="K72" i="2"/>
  <c r="I73" i="2" a="1"/>
  <c r="K73" i="2"/>
  <c r="I74" i="2" a="1"/>
  <c r="K74" i="2"/>
  <c r="I75" i="2" a="1"/>
  <c r="K75" i="2"/>
  <c r="I76" i="2" a="1"/>
  <c r="K76" i="2"/>
  <c r="I77" i="2" a="1"/>
  <c r="K77" i="2"/>
  <c r="I78" i="2" a="1"/>
  <c r="K78" i="2"/>
  <c r="I79" i="2" a="1"/>
  <c r="K79" i="2"/>
  <c r="I80" i="2" a="1"/>
  <c r="K80" i="2"/>
  <c r="I81" i="2" a="1"/>
  <c r="K81" i="2"/>
  <c r="I82" i="2" a="1"/>
  <c r="K82" i="2"/>
  <c r="I83" i="2" a="1"/>
  <c r="K83" i="2"/>
  <c r="I84" i="2" a="1"/>
  <c r="K84" i="2"/>
  <c r="I85" i="2" a="1"/>
  <c r="K85" i="2"/>
  <c r="I86" i="2" a="1"/>
  <c r="K86" i="2"/>
  <c r="I87" i="2" a="1"/>
  <c r="K87" i="2"/>
  <c r="I88" i="2" a="1"/>
  <c r="K88" i="2"/>
  <c r="I89" i="2" a="1"/>
  <c r="K89" i="2"/>
  <c r="I90" i="2" a="1"/>
  <c r="K90" i="2"/>
  <c r="I91" i="2" a="1"/>
  <c r="K91" i="2"/>
  <c r="I92" i="2" a="1"/>
  <c r="K92" i="2"/>
  <c r="I93" i="2" a="1"/>
  <c r="K93" i="2"/>
  <c r="I94" i="2" a="1"/>
  <c r="K94" i="2"/>
  <c r="I95" i="2" a="1"/>
  <c r="K95" i="2"/>
  <c r="I96" i="2" a="1"/>
  <c r="K96" i="2"/>
  <c r="I97" i="2" a="1"/>
  <c r="K97" i="2"/>
  <c r="I98" i="2" a="1"/>
  <c r="K98" i="2"/>
  <c r="I99" i="2" a="1"/>
  <c r="K99" i="2"/>
  <c r="I100" i="2" a="1"/>
  <c r="K100" i="2"/>
  <c r="I101" i="2" a="1"/>
  <c r="K101" i="2"/>
  <c r="I102" i="2" a="1"/>
  <c r="K102" i="2"/>
  <c r="I103" i="2" a="1"/>
  <c r="K103" i="2"/>
  <c r="I104" i="2" a="1"/>
  <c r="K104" i="2"/>
  <c r="I105" i="2" a="1"/>
  <c r="K105" i="2"/>
  <c r="I106" i="2" a="1"/>
  <c r="K106" i="2"/>
  <c r="I107" i="2" a="1"/>
  <c r="K107" i="2"/>
  <c r="I108" i="2" a="1"/>
  <c r="K108" i="2"/>
  <c r="I109" i="2" a="1"/>
  <c r="K109" i="2"/>
  <c r="I110" i="2" a="1"/>
  <c r="K110" i="2"/>
  <c r="I111" i="2" a="1"/>
  <c r="K111" i="2"/>
  <c r="I112" i="2" a="1"/>
  <c r="K112" i="2"/>
  <c r="I113" i="2" a="1"/>
  <c r="K113" i="2"/>
  <c r="I114" i="2" a="1"/>
  <c r="K114" i="2"/>
  <c r="I115" i="2" a="1"/>
  <c r="K115" i="2"/>
  <c r="I116" i="2" a="1"/>
  <c r="K116" i="2"/>
  <c r="I117" i="2" a="1"/>
  <c r="K117" i="2"/>
  <c r="I118" i="2" a="1"/>
  <c r="K118" i="2"/>
  <c r="I119" i="2" a="1"/>
  <c r="K119" i="2"/>
  <c r="I120" i="2" a="1"/>
  <c r="K120" i="2"/>
  <c r="I121" i="2" a="1"/>
  <c r="K121" i="2"/>
  <c r="I122" i="2" a="1"/>
  <c r="K122" i="2"/>
  <c r="I123" i="2" a="1"/>
  <c r="K123" i="2"/>
  <c r="I124" i="2" a="1"/>
  <c r="K124" i="2"/>
  <c r="I125" i="2" a="1"/>
  <c r="K125" i="2"/>
  <c r="I126" i="2" a="1"/>
  <c r="K126" i="2"/>
  <c r="I127" i="2" a="1"/>
  <c r="K127" i="2"/>
  <c r="I128" i="2" a="1"/>
  <c r="K128" i="2"/>
  <c r="I129" i="2" a="1"/>
  <c r="K129" i="2"/>
  <c r="I130" i="2" a="1"/>
  <c r="K130" i="2"/>
  <c r="I131" i="2" a="1"/>
  <c r="K131" i="2"/>
  <c r="I132" i="2" a="1"/>
  <c r="K132" i="2"/>
  <c r="I133" i="2" a="1"/>
  <c r="K133" i="2"/>
  <c r="I134" i="2" a="1"/>
  <c r="K134" i="2"/>
  <c r="I135" i="2" a="1"/>
  <c r="K135" i="2"/>
  <c r="I136" i="2" a="1"/>
  <c r="K136" i="2"/>
  <c r="I137" i="2" a="1"/>
  <c r="K137" i="2"/>
  <c r="I138" i="2" a="1"/>
  <c r="K138" i="2"/>
  <c r="I139" i="2" a="1"/>
  <c r="K139" i="2"/>
  <c r="I140" i="2" a="1"/>
  <c r="K140" i="2"/>
  <c r="I141" i="2" a="1"/>
  <c r="K141" i="2"/>
  <c r="I142" i="2" a="1"/>
  <c r="K142" i="2"/>
  <c r="I143" i="2" a="1"/>
  <c r="K143" i="2"/>
  <c r="I144" i="2" a="1"/>
  <c r="K144" i="2"/>
  <c r="I145" i="2" a="1"/>
  <c r="K145" i="2"/>
  <c r="I146" i="2" a="1"/>
  <c r="K146" i="2"/>
  <c r="I147" i="2" a="1"/>
  <c r="K147" i="2"/>
  <c r="I148" i="2" a="1"/>
  <c r="K148" i="2"/>
  <c r="I149" i="2" a="1"/>
  <c r="K149" i="2"/>
  <c r="I150" i="2" a="1"/>
  <c r="K150" i="2"/>
  <c r="I151" i="2" a="1"/>
  <c r="K151" i="2"/>
  <c r="I152" i="2" a="1"/>
  <c r="K152" i="2"/>
  <c r="I153" i="2" a="1"/>
  <c r="K153" i="2"/>
  <c r="I154" i="2" a="1"/>
  <c r="K154" i="2"/>
  <c r="I155" i="2" a="1"/>
  <c r="K155" i="2"/>
  <c r="I156" i="2" a="1"/>
  <c r="K156" i="2"/>
  <c r="I157" i="2" a="1"/>
  <c r="K157" i="2"/>
  <c r="I158" i="2" a="1"/>
  <c r="K158" i="2"/>
  <c r="I159" i="2" a="1"/>
  <c r="K159" i="2"/>
  <c r="I160" i="2" a="1"/>
  <c r="K160" i="2"/>
  <c r="I161" i="2" a="1"/>
  <c r="K161" i="2"/>
  <c r="I162" i="2" a="1"/>
  <c r="K162" i="2"/>
  <c r="I163" i="2" a="1"/>
  <c r="K163" i="2"/>
  <c r="I164" i="2" a="1"/>
  <c r="K164" i="2"/>
  <c r="I165" i="2" a="1"/>
  <c r="K165" i="2"/>
  <c r="I166" i="2" a="1"/>
  <c r="K166" i="2"/>
  <c r="I167" i="2" a="1"/>
  <c r="K167" i="2"/>
  <c r="I168" i="2" a="1"/>
  <c r="K168" i="2"/>
  <c r="I169" i="2" a="1"/>
  <c r="K169" i="2"/>
  <c r="I170" i="2" a="1"/>
  <c r="K170" i="2"/>
  <c r="I171" i="2" a="1"/>
  <c r="K171" i="2"/>
  <c r="I172" i="2" a="1"/>
  <c r="K172" i="2"/>
  <c r="I173" i="2" a="1"/>
  <c r="K173" i="2"/>
  <c r="I174" i="2" a="1"/>
  <c r="K174" i="2"/>
  <c r="I175" i="2" a="1"/>
  <c r="K175" i="2"/>
  <c r="I176" i="2" a="1"/>
  <c r="K176" i="2"/>
  <c r="I177" i="2" a="1"/>
  <c r="K177" i="2"/>
  <c r="I178" i="2" a="1"/>
  <c r="K178" i="2"/>
  <c r="I179" i="2" a="1"/>
  <c r="K179" i="2"/>
  <c r="I180" i="2" a="1"/>
  <c r="K180" i="2"/>
  <c r="I181" i="2" a="1"/>
  <c r="K181" i="2"/>
  <c r="I182" i="2" a="1"/>
  <c r="K182" i="2"/>
  <c r="I183" i="2" a="1"/>
  <c r="K183" i="2"/>
  <c r="I184" i="2" a="1"/>
  <c r="K184" i="2"/>
  <c r="I185" i="2" a="1"/>
  <c r="K185" i="2"/>
  <c r="I186" i="2" a="1"/>
  <c r="K186" i="2"/>
  <c r="I187" i="2" a="1"/>
  <c r="K187" i="2"/>
  <c r="I188" i="2" a="1"/>
  <c r="K188" i="2"/>
  <c r="I189" i="2" a="1"/>
  <c r="K189" i="2"/>
  <c r="I190" i="2" a="1"/>
  <c r="K190" i="2"/>
  <c r="I191" i="2" a="1"/>
  <c r="K191" i="2"/>
  <c r="I192" i="2" a="1"/>
  <c r="K192" i="2"/>
  <c r="I193" i="2" a="1"/>
  <c r="K193" i="2"/>
  <c r="I194" i="2" a="1"/>
  <c r="K194" i="2"/>
  <c r="I195" i="2" a="1"/>
  <c r="K195" i="2"/>
  <c r="I196" i="2" a="1"/>
  <c r="K196" i="2"/>
  <c r="I197" i="2" a="1"/>
  <c r="K197" i="2"/>
  <c r="I198" i="2" a="1"/>
  <c r="K198" i="2"/>
  <c r="I199" i="2" a="1"/>
  <c r="K199" i="2"/>
  <c r="I200" i="2" a="1"/>
  <c r="K200" i="2"/>
  <c r="I201" i="2" a="1"/>
  <c r="K201" i="2"/>
  <c r="G14" i="2" a="1"/>
  <c r="G15" i="2" a="1"/>
  <c r="G16" i="2" a="1"/>
  <c r="G17" i="2" a="1"/>
  <c r="G18" i="2" a="1"/>
  <c r="G19" i="2" a="1"/>
  <c r="G20" i="2" a="1"/>
  <c r="G21" i="2" a="1"/>
  <c r="G22" i="2" a="1"/>
  <c r="G23" i="2" a="1"/>
  <c r="G24" i="2" a="1"/>
  <c r="G25" i="2" a="1"/>
  <c r="G26" i="2" a="1"/>
  <c r="G27" i="2" a="1"/>
  <c r="G28" i="2" a="1"/>
  <c r="G29" i="2" a="1"/>
  <c r="G30" i="2" a="1"/>
  <c r="G31" i="2" a="1"/>
  <c r="G32" i="2" a="1"/>
  <c r="G33" i="2" a="1"/>
  <c r="G34" i="2" a="1"/>
  <c r="G35" i="2" a="1"/>
  <c r="G36" i="2" a="1"/>
  <c r="G37" i="2" a="1"/>
  <c r="G38" i="2" a="1"/>
  <c r="G39" i="2" a="1"/>
  <c r="G40" i="2" a="1"/>
  <c r="G41" i="2" a="1"/>
  <c r="G42" i="2" a="1"/>
  <c r="G43" i="2" a="1"/>
  <c r="G44" i="2" a="1"/>
  <c r="G45" i="2" a="1"/>
  <c r="G46" i="2" a="1"/>
  <c r="G47" i="2" a="1"/>
  <c r="G48" i="2" a="1"/>
  <c r="G49" i="2" a="1"/>
  <c r="G50" i="2" a="1"/>
  <c r="G51" i="2" a="1"/>
  <c r="G52" i="2" a="1"/>
  <c r="G53" i="2" a="1"/>
  <c r="G54" i="2" a="1"/>
  <c r="G55" i="2" a="1"/>
  <c r="G56" i="2" a="1"/>
  <c r="G57" i="2" a="1"/>
  <c r="G58" i="2" a="1"/>
  <c r="G59" i="2" a="1"/>
  <c r="G60" i="2" a="1"/>
  <c r="G61" i="2" a="1"/>
  <c r="G62" i="2" a="1"/>
  <c r="G63" i="2" a="1"/>
  <c r="G64" i="2" a="1"/>
  <c r="G65" i="2" a="1"/>
  <c r="G66" i="2" a="1"/>
  <c r="G67" i="2" a="1"/>
  <c r="G68" i="2" a="1"/>
  <c r="G69" i="2" a="1"/>
  <c r="G70" i="2" a="1"/>
  <c r="G71" i="2" a="1"/>
  <c r="G72" i="2" a="1"/>
  <c r="G73" i="2" a="1"/>
  <c r="G74" i="2" a="1"/>
  <c r="G75" i="2" a="1"/>
  <c r="G76" i="2" a="1"/>
  <c r="G77" i="2" a="1"/>
  <c r="G78" i="2" a="1"/>
  <c r="G79" i="2" a="1"/>
  <c r="G80" i="2" a="1"/>
  <c r="G81" i="2" a="1"/>
  <c r="G82" i="2" a="1"/>
  <c r="G83" i="2" a="1"/>
  <c r="G84" i="2" a="1"/>
  <c r="G85" i="2" a="1"/>
  <c r="G86" i="2" a="1"/>
  <c r="G87" i="2" a="1"/>
  <c r="G88" i="2" a="1"/>
  <c r="G89" i="2" a="1"/>
  <c r="G90" i="2" a="1"/>
  <c r="G91" i="2" a="1"/>
  <c r="G92" i="2" a="1"/>
  <c r="G93" i="2" a="1"/>
  <c r="G94" i="2" a="1"/>
  <c r="G95" i="2" a="1"/>
  <c r="G96" i="2" a="1"/>
  <c r="G97" i="2" a="1"/>
  <c r="G98" i="2" a="1"/>
  <c r="G99" i="2" a="1"/>
  <c r="G100" i="2" a="1"/>
  <c r="G101" i="2" a="1"/>
  <c r="G102" i="2" a="1"/>
  <c r="G103" i="2" a="1"/>
  <c r="G104" i="2" a="1"/>
  <c r="G105" i="2" a="1"/>
  <c r="G106" i="2" a="1"/>
  <c r="G107" i="2" a="1"/>
  <c r="G108" i="2" a="1"/>
  <c r="G109" i="2" a="1"/>
  <c r="G110" i="2" a="1"/>
  <c r="G111" i="2" a="1"/>
  <c r="G112" i="2" a="1"/>
  <c r="G113" i="2" a="1"/>
  <c r="G114" i="2" a="1"/>
  <c r="G115" i="2" a="1"/>
  <c r="G116" i="2" a="1"/>
  <c r="G117" i="2" a="1"/>
  <c r="G118" i="2" a="1"/>
  <c r="G119" i="2" a="1"/>
  <c r="G120" i="2" a="1"/>
  <c r="G121" i="2" a="1"/>
  <c r="G122" i="2" a="1"/>
  <c r="G123" i="2" a="1"/>
  <c r="G124" i="2" a="1"/>
  <c r="G125" i="2" a="1"/>
  <c r="G126" i="2" a="1"/>
  <c r="G127" i="2" a="1"/>
  <c r="G128" i="2" a="1"/>
  <c r="G129" i="2" a="1"/>
  <c r="G130" i="2" a="1"/>
  <c r="G131" i="2" a="1"/>
  <c r="G132" i="2" a="1"/>
  <c r="G133" i="2" a="1"/>
  <c r="G134" i="2" a="1"/>
  <c r="G135" i="2" a="1"/>
  <c r="G136" i="2" a="1"/>
  <c r="G137" i="2" a="1"/>
  <c r="G138" i="2" a="1"/>
  <c r="G139" i="2" a="1"/>
  <c r="G140" i="2" a="1"/>
  <c r="G141" i="2" a="1"/>
  <c r="G142" i="2" a="1"/>
  <c r="G143" i="2" a="1"/>
  <c r="G144" i="2" a="1"/>
  <c r="G145" i="2" a="1"/>
  <c r="G146" i="2" a="1"/>
  <c r="G147" i="2" a="1"/>
  <c r="G148" i="2" a="1"/>
  <c r="G149" i="2" a="1"/>
  <c r="G150" i="2" a="1"/>
  <c r="G151" i="2" a="1"/>
  <c r="G152" i="2" a="1"/>
  <c r="G153" i="2" a="1"/>
  <c r="G154" i="2" a="1"/>
  <c r="G155" i="2" a="1"/>
  <c r="G156" i="2" a="1"/>
  <c r="G157" i="2" a="1"/>
  <c r="G158" i="2" a="1"/>
  <c r="G159" i="2" a="1"/>
  <c r="G160" i="2" a="1"/>
  <c r="G161" i="2" a="1"/>
  <c r="G162" i="2" a="1"/>
  <c r="G163" i="2" a="1"/>
  <c r="G164" i="2" a="1"/>
  <c r="G165" i="2" a="1"/>
  <c r="G166" i="2" a="1"/>
  <c r="G167" i="2" a="1"/>
  <c r="G168" i="2" a="1"/>
  <c r="G169" i="2" a="1"/>
  <c r="G170" i="2" a="1"/>
  <c r="G171" i="2" a="1"/>
  <c r="G172" i="2" a="1"/>
  <c r="G173" i="2" a="1"/>
  <c r="G174" i="2" a="1"/>
  <c r="G175" i="2" a="1"/>
  <c r="G176" i="2" a="1"/>
  <c r="G177" i="2" a="1"/>
  <c r="G178" i="2" a="1"/>
  <c r="G179" i="2" a="1"/>
  <c r="G180" i="2" a="1"/>
  <c r="G181" i="2" a="1"/>
  <c r="G182" i="2" a="1"/>
  <c r="G183" i="2" a="1"/>
  <c r="G184" i="2" a="1"/>
  <c r="G185" i="2" a="1"/>
  <c r="G186" i="2" a="1"/>
  <c r="G187" i="2" a="1"/>
  <c r="G188" i="2" a="1"/>
  <c r="G189" i="2" a="1"/>
  <c r="G190" i="2" a="1"/>
  <c r="G191" i="2" a="1"/>
  <c r="G192" i="2" a="1"/>
  <c r="G193" i="2" a="1"/>
  <c r="G194" i="2" a="1"/>
  <c r="G195" i="2" a="1"/>
  <c r="G196" i="2" a="1"/>
  <c r="G197" i="2" a="1"/>
  <c r="G198" i="2" a="1"/>
  <c r="G199" i="2" a="1"/>
  <c r="G200" i="2" a="1"/>
  <c r="G201" i="2" a="1"/>
  <c r="F4" i="2"/>
  <c r="C8" i="10" a="1"/>
  <c r="E13" i="10" s="1"/>
  <c r="B2" i="12" a="1"/>
  <c r="C2" i="12" a="1"/>
  <c r="D2" i="12" a="1"/>
  <c r="E2" i="12" a="1"/>
  <c r="F2" i="12" a="1"/>
  <c r="G2" i="12" a="1"/>
  <c r="H2" i="12" a="1"/>
  <c r="I2" i="12" a="1"/>
  <c r="J2" i="12" a="1"/>
  <c r="K2" i="12" a="1"/>
  <c r="L2" i="12" a="1"/>
  <c r="M2" i="12" a="1"/>
  <c r="N2" i="12" a="1"/>
  <c r="O2" i="12" a="1"/>
  <c r="P2" i="12" a="1"/>
  <c r="Q2" i="12" a="1"/>
  <c r="R2" i="12" a="1"/>
  <c r="S2" i="12" a="1"/>
  <c r="T2" i="12" a="1"/>
  <c r="U2" i="12" a="1"/>
  <c r="V2" i="12" a="1"/>
  <c r="W2" i="12" a="1"/>
  <c r="X2" i="12" a="1"/>
  <c r="Y2" i="12" a="1"/>
  <c r="Z2" i="12" a="1"/>
  <c r="AA2" i="12" a="1"/>
  <c r="AB2" i="12" a="1"/>
  <c r="AC2" i="12" a="1"/>
  <c r="AD2" i="12" a="1"/>
  <c r="AE2" i="12" a="1"/>
  <c r="AF2" i="12" a="1"/>
  <c r="AG2" i="12" a="1"/>
  <c r="AH2" i="12" a="1"/>
  <c r="AI2" i="12" a="1"/>
  <c r="AJ2" i="12" a="1"/>
  <c r="AK2" i="12" a="1"/>
  <c r="AL2" i="12" a="1"/>
  <c r="AM2" i="12" a="1"/>
  <c r="AN2" i="12" a="1"/>
  <c r="AO2" i="12" a="1"/>
  <c r="AP2" i="12" a="1"/>
  <c r="AQ2" i="12" a="1"/>
  <c r="AR2" i="12" a="1"/>
  <c r="AS2" i="12" a="1"/>
  <c r="AT2" i="12" a="1"/>
  <c r="AU2" i="12" a="1"/>
  <c r="AV2" i="12" a="1"/>
  <c r="AW2" i="12" a="1"/>
  <c r="A2" i="12" a="1"/>
  <c r="B2" i="11" a="1"/>
  <c r="A2" i="11" a="1"/>
  <c r="C3" i="10"/>
  <c r="C2" i="10"/>
  <c r="G13" i="2" a="1"/>
  <c r="I13" i="2" a="1"/>
  <c r="G12" i="2" a="1"/>
  <c r="I12" i="2" a="1"/>
  <c r="G11" i="2" a="1"/>
  <c r="I11" i="2" a="1"/>
  <c r="I10" i="2" a="1"/>
  <c r="G10" i="2" a="1"/>
  <c r="I9" i="2" a="1"/>
  <c r="G9" i="2" a="1"/>
  <c r="I8" i="2" a="1"/>
  <c r="G8" i="2" a="1"/>
  <c r="I6" i="2" a="1"/>
  <c r="G6" i="2" a="1"/>
  <c r="L17" i="2" a="1"/>
  <c r="L22" i="2" a="1"/>
  <c r="L41" i="2" a="1"/>
  <c r="L46" i="2" a="1"/>
  <c r="L161" i="2" a="1"/>
  <c r="L169" i="2" a="1"/>
  <c r="L177" i="2" a="1"/>
  <c r="L185" i="2" a="1"/>
  <c r="L197" i="2" a="1"/>
  <c r="L89" i="2" a="1"/>
  <c r="L101" i="2" a="1"/>
  <c r="L117" i="2" a="1"/>
  <c r="L129" i="2" a="1"/>
  <c r="L141" i="2" a="1"/>
  <c r="L153" i="2" a="1"/>
  <c r="L102" i="2" a="1"/>
  <c r="L138" i="2" a="1"/>
  <c r="L27" i="2" a="1"/>
  <c r="L32" i="2" a="1"/>
  <c r="L51" i="2" a="1"/>
  <c r="L56" i="2" a="1"/>
  <c r="L165" i="2" a="1"/>
  <c r="L173" i="2" a="1"/>
  <c r="L181" i="2" a="1"/>
  <c r="L189" i="2" a="1"/>
  <c r="L193" i="2" a="1"/>
  <c r="L201" i="2" a="1"/>
  <c r="L93" i="2" a="1"/>
  <c r="L105" i="2" a="1"/>
  <c r="L113" i="2" a="1"/>
  <c r="L125" i="2" a="1"/>
  <c r="L133" i="2" a="1"/>
  <c r="L145" i="2" a="1"/>
  <c r="L157" i="2" a="1"/>
  <c r="L98" i="2" a="1"/>
  <c r="L122" i="2" a="1"/>
  <c r="L150" i="2" a="1"/>
  <c r="L18" i="2" a="1"/>
  <c r="L37" i="2" a="1"/>
  <c r="L42" i="2" a="1"/>
  <c r="L61" i="2" a="1"/>
  <c r="L65" i="2" a="1"/>
  <c r="L69" i="2" a="1"/>
  <c r="L73" i="2" a="1"/>
  <c r="L77" i="2" a="1"/>
  <c r="L81" i="2" a="1"/>
  <c r="L85" i="2" a="1"/>
  <c r="L97" i="2" a="1"/>
  <c r="L109" i="2" a="1"/>
  <c r="L121" i="2" a="1"/>
  <c r="L137" i="2" a="1"/>
  <c r="L149" i="2" a="1"/>
  <c r="G7" i="2" a="1"/>
  <c r="L94" i="2" a="1"/>
  <c r="L126" i="2" a="1"/>
  <c r="L23" i="2" a="1"/>
  <c r="L28" i="2" a="1"/>
  <c r="L47" i="2" a="1"/>
  <c r="L52" i="2" a="1"/>
  <c r="L166" i="2" a="1"/>
  <c r="I7" i="2" a="1"/>
  <c r="L14" i="2" a="1"/>
  <c r="L33" i="2" a="1"/>
  <c r="L38" i="2" a="1"/>
  <c r="L57" i="2" a="1"/>
  <c r="L158" i="2" a="1"/>
  <c r="L162" i="2" a="1"/>
  <c r="L170" i="2" a="1"/>
  <c r="L174" i="2" a="1"/>
  <c r="L178" i="2" a="1"/>
  <c r="L182" i="2" a="1"/>
  <c r="L186" i="2" a="1"/>
  <c r="L190" i="2" a="1"/>
  <c r="L194" i="2" a="1"/>
  <c r="L198" i="2" a="1"/>
  <c r="L90" i="2" a="1"/>
  <c r="L118" i="2" a="1"/>
  <c r="L19" i="2" a="1"/>
  <c r="L24" i="2" a="1"/>
  <c r="L43" i="2" a="1"/>
  <c r="L48" i="2" a="1"/>
  <c r="L62" i="2" a="1"/>
  <c r="L66" i="2" a="1"/>
  <c r="L70" i="2" a="1"/>
  <c r="L74" i="2" a="1"/>
  <c r="L78" i="2" a="1"/>
  <c r="L82" i="2" a="1"/>
  <c r="L86" i="2" a="1"/>
  <c r="L110" i="2" a="1"/>
  <c r="L154" i="2" a="1"/>
  <c r="L29" i="2" a="1"/>
  <c r="L34" i="2" a="1"/>
  <c r="L53" i="2" a="1"/>
  <c r="L58" i="2" a="1"/>
  <c r="L159" i="2" a="1"/>
  <c r="L167" i="2" a="1"/>
  <c r="L175" i="2" a="1"/>
  <c r="L183" i="2" a="1"/>
  <c r="L191" i="2" a="1"/>
  <c r="L199" i="2" a="1"/>
  <c r="L95" i="2" a="1"/>
  <c r="L107" i="2" a="1"/>
  <c r="L119" i="2" a="1"/>
  <c r="L131" i="2" a="1"/>
  <c r="L143" i="2" a="1"/>
  <c r="L155" i="2" a="1"/>
  <c r="L15" i="2" a="1"/>
  <c r="L20" i="2" a="1"/>
  <c r="L39" i="2" a="1"/>
  <c r="L44" i="2" a="1"/>
  <c r="L163" i="2" a="1"/>
  <c r="L171" i="2" a="1"/>
  <c r="L179" i="2" a="1"/>
  <c r="L187" i="2" a="1"/>
  <c r="L195" i="2" a="1"/>
  <c r="L91" i="2" a="1"/>
  <c r="L103" i="2" a="1"/>
  <c r="L115" i="2" a="1"/>
  <c r="L127" i="2" a="1"/>
  <c r="L139" i="2" a="1"/>
  <c r="L151" i="2" a="1"/>
  <c r="L146" i="2" a="1"/>
  <c r="L25" i="2" a="1"/>
  <c r="L30" i="2" a="1"/>
  <c r="L49" i="2" a="1"/>
  <c r="L54" i="2" a="1"/>
  <c r="L63" i="2" a="1"/>
  <c r="L67" i="2" a="1"/>
  <c r="L71" i="2" a="1"/>
  <c r="L75" i="2" a="1"/>
  <c r="L79" i="2" a="1"/>
  <c r="L83" i="2" a="1"/>
  <c r="L87" i="2" a="1"/>
  <c r="L99" i="2" a="1"/>
  <c r="L111" i="2" a="1"/>
  <c r="L123" i="2" a="1"/>
  <c r="L135" i="2" a="1"/>
  <c r="L147" i="2" a="1"/>
  <c r="L130" i="2" a="1"/>
  <c r="L16" i="2" a="1"/>
  <c r="L35" i="2" a="1"/>
  <c r="L40" i="2" a="1"/>
  <c r="L59" i="2" a="1"/>
  <c r="L164" i="2" a="1"/>
  <c r="L172" i="2" a="1"/>
  <c r="L180" i="2" a="1"/>
  <c r="L188" i="2" a="1"/>
  <c r="L196" i="2" a="1"/>
  <c r="L88" i="2" a="1"/>
  <c r="L100" i="2" a="1"/>
  <c r="L112" i="2" a="1"/>
  <c r="L124" i="2" a="1"/>
  <c r="L136" i="2" a="1"/>
  <c r="L148" i="2" a="1"/>
  <c r="L106" i="2" a="1"/>
  <c r="L142" i="2" a="1"/>
  <c r="L21" i="2" a="1"/>
  <c r="L26" i="2" a="1"/>
  <c r="L45" i="2" a="1"/>
  <c r="L50" i="2" a="1"/>
  <c r="L160" i="2" a="1"/>
  <c r="L168" i="2" a="1"/>
  <c r="L176" i="2" a="1"/>
  <c r="L184" i="2" a="1"/>
  <c r="L192" i="2" a="1"/>
  <c r="L200" i="2" a="1"/>
  <c r="L96" i="2" a="1"/>
  <c r="L108" i="2" a="1"/>
  <c r="L120" i="2" a="1"/>
  <c r="L132" i="2" a="1"/>
  <c r="L144" i="2" a="1"/>
  <c r="L156" i="2" a="1"/>
  <c r="L134" i="2" a="1"/>
  <c r="L31" i="2" a="1"/>
  <c r="L36" i="2" a="1"/>
  <c r="L55" i="2" a="1"/>
  <c r="L60" i="2" a="1"/>
  <c r="L64" i="2" a="1"/>
  <c r="L68" i="2" a="1"/>
  <c r="L72" i="2" a="1"/>
  <c r="L76" i="2" a="1"/>
  <c r="L80" i="2" a="1"/>
  <c r="L84" i="2" a="1"/>
  <c r="L92" i="2" a="1"/>
  <c r="L104" i="2" a="1"/>
  <c r="L116" i="2" a="1"/>
  <c r="L128" i="2" a="1"/>
  <c r="L140" i="2" a="1"/>
  <c r="L152" i="2" a="1"/>
  <c r="L114" i="2" a="1"/>
  <c r="J13" i="10" l="1"/>
  <c r="I13" i="10"/>
  <c r="H13" i="10"/>
  <c r="G13" i="10"/>
  <c r="F13" i="10"/>
  <c r="F12" i="10"/>
  <c r="G12" i="10"/>
  <c r="H12" i="10"/>
  <c r="J12" i="10"/>
  <c r="I12" i="10"/>
  <c r="F11" i="10"/>
  <c r="G11" i="10"/>
  <c r="H11" i="10"/>
  <c r="D35" i="10"/>
  <c r="D27" i="10"/>
  <c r="D19" i="10"/>
  <c r="D28" i="10"/>
  <c r="D20" i="10"/>
  <c r="D37" i="10"/>
  <c r="D29" i="10"/>
  <c r="D21" i="10"/>
  <c r="D36" i="10"/>
  <c r="D38" i="10"/>
  <c r="D30" i="10"/>
  <c r="D22" i="10"/>
  <c r="D14" i="10"/>
  <c r="D39" i="10"/>
  <c r="D31" i="10"/>
  <c r="D15" i="10"/>
  <c r="D40" i="10"/>
  <c r="D32" i="10"/>
  <c r="D24" i="10"/>
  <c r="D16" i="10"/>
  <c r="G10" i="10"/>
  <c r="F9" i="10"/>
  <c r="D23" i="10"/>
  <c r="D41" i="10"/>
  <c r="D33" i="10"/>
  <c r="D25" i="10"/>
  <c r="D17" i="10"/>
  <c r="F10" i="10"/>
  <c r="D34" i="10"/>
  <c r="D26" i="10"/>
  <c r="D18" i="10"/>
  <c r="AW2" i="12" l="1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B2" i="11"/>
  <c r="A2" i="11"/>
  <c r="C8" i="10"/>
  <c r="L201" i="2"/>
  <c r="J201" i="2"/>
  <c r="I201" i="2"/>
  <c r="G201" i="2"/>
  <c r="J201" i="2" s="1" a="1"/>
  <c r="L200" i="2"/>
  <c r="I200" i="2"/>
  <c r="G200" i="2"/>
  <c r="J200" i="2" s="1" a="1"/>
  <c r="J200" i="2" s="1"/>
  <c r="L199" i="2"/>
  <c r="J199" i="2"/>
  <c r="I199" i="2"/>
  <c r="G199" i="2"/>
  <c r="J199" i="2" s="1" a="1"/>
  <c r="L198" i="2"/>
  <c r="I198" i="2"/>
  <c r="G198" i="2"/>
  <c r="J198" i="2" s="1" a="1"/>
  <c r="J198" i="2" s="1"/>
  <c r="L197" i="2"/>
  <c r="I197" i="2"/>
  <c r="G197" i="2"/>
  <c r="J197" i="2" s="1" a="1"/>
  <c r="J197" i="2" s="1"/>
  <c r="L196" i="2"/>
  <c r="I196" i="2"/>
  <c r="G196" i="2"/>
  <c r="J196" i="2" s="1" a="1"/>
  <c r="J196" i="2" s="1"/>
  <c r="L195" i="2"/>
  <c r="I195" i="2"/>
  <c r="G195" i="2"/>
  <c r="J195" i="2" s="1" a="1"/>
  <c r="J195" i="2" s="1"/>
  <c r="L194" i="2"/>
  <c r="I194" i="2"/>
  <c r="G194" i="2"/>
  <c r="J194" i="2" s="1" a="1"/>
  <c r="J194" i="2" s="1"/>
  <c r="L193" i="2"/>
  <c r="J193" i="2"/>
  <c r="I193" i="2"/>
  <c r="G193" i="2"/>
  <c r="J193" i="2" s="1" a="1"/>
  <c r="L192" i="2"/>
  <c r="I192" i="2"/>
  <c r="G192" i="2"/>
  <c r="J192" i="2" s="1" a="1"/>
  <c r="J192" i="2" s="1"/>
  <c r="L191" i="2"/>
  <c r="I191" i="2"/>
  <c r="G191" i="2"/>
  <c r="J191" i="2" s="1" a="1"/>
  <c r="J191" i="2" s="1"/>
  <c r="L190" i="2"/>
  <c r="I190" i="2"/>
  <c r="G190" i="2"/>
  <c r="J190" i="2" s="1" a="1"/>
  <c r="J190" i="2" s="1"/>
  <c r="L189" i="2"/>
  <c r="I189" i="2"/>
  <c r="G189" i="2"/>
  <c r="J189" i="2" s="1" a="1"/>
  <c r="J189" i="2" s="1"/>
  <c r="L188" i="2"/>
  <c r="I188" i="2"/>
  <c r="G188" i="2"/>
  <c r="J188" i="2" s="1" a="1"/>
  <c r="J188" i="2" s="1"/>
  <c r="L187" i="2"/>
  <c r="J187" i="2"/>
  <c r="I187" i="2"/>
  <c r="G187" i="2"/>
  <c r="J187" i="2" s="1" a="1"/>
  <c r="L186" i="2"/>
  <c r="I186" i="2"/>
  <c r="G186" i="2"/>
  <c r="J186" i="2" s="1" a="1"/>
  <c r="J186" i="2" s="1"/>
  <c r="L185" i="2"/>
  <c r="J185" i="2"/>
  <c r="I185" i="2"/>
  <c r="G185" i="2"/>
  <c r="J185" i="2" s="1" a="1"/>
  <c r="L184" i="2"/>
  <c r="I184" i="2"/>
  <c r="G184" i="2"/>
  <c r="J184" i="2" s="1" a="1"/>
  <c r="J184" i="2" s="1"/>
  <c r="L183" i="2"/>
  <c r="J183" i="2"/>
  <c r="I183" i="2"/>
  <c r="G183" i="2"/>
  <c r="J183" i="2" s="1" a="1"/>
  <c r="L182" i="2"/>
  <c r="I182" i="2"/>
  <c r="G182" i="2"/>
  <c r="J182" i="2" s="1" a="1"/>
  <c r="J182" i="2" s="1"/>
  <c r="L181" i="2"/>
  <c r="I181" i="2"/>
  <c r="G181" i="2"/>
  <c r="J181" i="2" s="1" a="1"/>
  <c r="J181" i="2" s="1"/>
  <c r="L180" i="2"/>
  <c r="I180" i="2"/>
  <c r="G180" i="2"/>
  <c r="J180" i="2" s="1" a="1"/>
  <c r="J180" i="2" s="1"/>
  <c r="L179" i="2"/>
  <c r="I179" i="2"/>
  <c r="G179" i="2"/>
  <c r="J179" i="2" s="1" a="1"/>
  <c r="J179" i="2" s="1"/>
  <c r="L178" i="2"/>
  <c r="I178" i="2"/>
  <c r="G178" i="2"/>
  <c r="J178" i="2" s="1" a="1"/>
  <c r="J178" i="2" s="1"/>
  <c r="L177" i="2"/>
  <c r="J177" i="2"/>
  <c r="I177" i="2"/>
  <c r="G177" i="2"/>
  <c r="J177" i="2" s="1" a="1"/>
  <c r="L176" i="2"/>
  <c r="I176" i="2"/>
  <c r="G176" i="2"/>
  <c r="J176" i="2" s="1" a="1"/>
  <c r="J176" i="2" s="1"/>
  <c r="L175" i="2"/>
  <c r="I175" i="2"/>
  <c r="G175" i="2"/>
  <c r="J175" i="2" s="1" a="1"/>
  <c r="J175" i="2" s="1"/>
  <c r="L174" i="2"/>
  <c r="I174" i="2"/>
  <c r="G174" i="2"/>
  <c r="J174" i="2" s="1" a="1"/>
  <c r="J174" i="2" s="1"/>
  <c r="L173" i="2"/>
  <c r="I173" i="2"/>
  <c r="G173" i="2"/>
  <c r="J173" i="2" s="1" a="1"/>
  <c r="J173" i="2" s="1"/>
  <c r="L172" i="2"/>
  <c r="I172" i="2"/>
  <c r="G172" i="2"/>
  <c r="J172" i="2" s="1" a="1"/>
  <c r="J172" i="2" s="1"/>
  <c r="L171" i="2"/>
  <c r="J171" i="2"/>
  <c r="I171" i="2"/>
  <c r="G171" i="2"/>
  <c r="J171" i="2" s="1" a="1"/>
  <c r="L170" i="2"/>
  <c r="I170" i="2"/>
  <c r="G170" i="2"/>
  <c r="J170" i="2" s="1" a="1"/>
  <c r="J170" i="2" s="1"/>
  <c r="L169" i="2"/>
  <c r="J169" i="2"/>
  <c r="I169" i="2"/>
  <c r="G169" i="2"/>
  <c r="J169" i="2" s="1" a="1"/>
  <c r="L168" i="2"/>
  <c r="I168" i="2"/>
  <c r="G168" i="2"/>
  <c r="J168" i="2" s="1" a="1"/>
  <c r="J168" i="2" s="1"/>
  <c r="L167" i="2"/>
  <c r="J167" i="2"/>
  <c r="I167" i="2"/>
  <c r="G167" i="2"/>
  <c r="J167" i="2" s="1" a="1"/>
  <c r="L166" i="2"/>
  <c r="I166" i="2"/>
  <c r="G166" i="2"/>
  <c r="J166" i="2" s="1" a="1"/>
  <c r="J166" i="2" s="1"/>
  <c r="L165" i="2"/>
  <c r="I165" i="2"/>
  <c r="G165" i="2"/>
  <c r="J165" i="2" s="1" a="1"/>
  <c r="J165" i="2" s="1"/>
  <c r="L164" i="2"/>
  <c r="I164" i="2"/>
  <c r="G164" i="2"/>
  <c r="J164" i="2" s="1" a="1"/>
  <c r="J164" i="2" s="1"/>
  <c r="L163" i="2"/>
  <c r="I163" i="2"/>
  <c r="G163" i="2"/>
  <c r="J163" i="2" s="1" a="1"/>
  <c r="J163" i="2" s="1"/>
  <c r="L162" i="2"/>
  <c r="I162" i="2"/>
  <c r="G162" i="2"/>
  <c r="J162" i="2" s="1" a="1"/>
  <c r="J162" i="2" s="1"/>
  <c r="L161" i="2"/>
  <c r="J161" i="2"/>
  <c r="I161" i="2"/>
  <c r="G161" i="2"/>
  <c r="J161" i="2" s="1" a="1"/>
  <c r="L160" i="2"/>
  <c r="I160" i="2"/>
  <c r="G160" i="2"/>
  <c r="J160" i="2" s="1" a="1"/>
  <c r="J160" i="2" s="1"/>
  <c r="L159" i="2"/>
  <c r="I159" i="2"/>
  <c r="G159" i="2"/>
  <c r="J159" i="2" s="1" a="1"/>
  <c r="J159" i="2" s="1"/>
  <c r="L158" i="2"/>
  <c r="I158" i="2"/>
  <c r="G158" i="2"/>
  <c r="J158" i="2" s="1" a="1"/>
  <c r="J158" i="2" s="1"/>
  <c r="L157" i="2"/>
  <c r="I157" i="2"/>
  <c r="G157" i="2"/>
  <c r="J157" i="2" s="1" a="1"/>
  <c r="J157" i="2" s="1"/>
  <c r="L156" i="2"/>
  <c r="I156" i="2"/>
  <c r="G156" i="2"/>
  <c r="J156" i="2" s="1" a="1"/>
  <c r="J156" i="2" s="1"/>
  <c r="L155" i="2"/>
  <c r="I155" i="2"/>
  <c r="G155" i="2"/>
  <c r="J155" i="2" s="1" a="1"/>
  <c r="J155" i="2" s="1"/>
  <c r="L154" i="2"/>
  <c r="I154" i="2"/>
  <c r="G154" i="2"/>
  <c r="J154" i="2" s="1" a="1"/>
  <c r="J154" i="2" s="1"/>
  <c r="L153" i="2"/>
  <c r="J153" i="2"/>
  <c r="I153" i="2"/>
  <c r="G153" i="2"/>
  <c r="J153" i="2" s="1" a="1"/>
  <c r="L152" i="2"/>
  <c r="I152" i="2"/>
  <c r="G152" i="2"/>
  <c r="J152" i="2" s="1" a="1"/>
  <c r="J152" i="2" s="1"/>
  <c r="L151" i="2"/>
  <c r="J151" i="2"/>
  <c r="I151" i="2"/>
  <c r="G151" i="2"/>
  <c r="J151" i="2" s="1" a="1"/>
  <c r="L150" i="2"/>
  <c r="I150" i="2"/>
  <c r="G150" i="2"/>
  <c r="J150" i="2" s="1" a="1"/>
  <c r="J150" i="2" s="1"/>
  <c r="L149" i="2"/>
  <c r="I149" i="2"/>
  <c r="G149" i="2"/>
  <c r="J149" i="2" s="1" a="1"/>
  <c r="J149" i="2" s="1"/>
  <c r="L148" i="2"/>
  <c r="I148" i="2"/>
  <c r="G148" i="2"/>
  <c r="J148" i="2" s="1" a="1"/>
  <c r="J148" i="2" s="1"/>
  <c r="L147" i="2"/>
  <c r="I147" i="2"/>
  <c r="G147" i="2"/>
  <c r="J147" i="2" s="1" a="1"/>
  <c r="J147" i="2" s="1"/>
  <c r="L146" i="2"/>
  <c r="I146" i="2"/>
  <c r="G146" i="2"/>
  <c r="J146" i="2" s="1" a="1"/>
  <c r="J146" i="2" s="1"/>
  <c r="L145" i="2"/>
  <c r="J145" i="2"/>
  <c r="I145" i="2"/>
  <c r="G145" i="2"/>
  <c r="J145" i="2" s="1" a="1"/>
  <c r="L144" i="2"/>
  <c r="I144" i="2"/>
  <c r="G144" i="2"/>
  <c r="J144" i="2" s="1" a="1"/>
  <c r="J144" i="2" s="1"/>
  <c r="L143" i="2"/>
  <c r="J143" i="2"/>
  <c r="I143" i="2"/>
  <c r="G143" i="2"/>
  <c r="J143" i="2" s="1" a="1"/>
  <c r="L142" i="2"/>
  <c r="I142" i="2"/>
  <c r="G142" i="2"/>
  <c r="J142" i="2" s="1" a="1"/>
  <c r="J142" i="2" s="1"/>
  <c r="L141" i="2"/>
  <c r="I141" i="2"/>
  <c r="G141" i="2"/>
  <c r="J141" i="2" s="1" a="1"/>
  <c r="J141" i="2" s="1"/>
  <c r="L140" i="2"/>
  <c r="I140" i="2"/>
  <c r="G140" i="2"/>
  <c r="J140" i="2" s="1" a="1"/>
  <c r="J140" i="2" s="1"/>
  <c r="L139" i="2"/>
  <c r="I139" i="2"/>
  <c r="G139" i="2"/>
  <c r="J139" i="2" s="1" a="1"/>
  <c r="J139" i="2" s="1"/>
  <c r="L138" i="2"/>
  <c r="I138" i="2"/>
  <c r="G138" i="2"/>
  <c r="J138" i="2" s="1" a="1"/>
  <c r="J138" i="2" s="1"/>
  <c r="L137" i="2"/>
  <c r="J137" i="2"/>
  <c r="I137" i="2"/>
  <c r="G137" i="2"/>
  <c r="J137" i="2" s="1" a="1"/>
  <c r="L136" i="2"/>
  <c r="I136" i="2"/>
  <c r="G136" i="2"/>
  <c r="J136" i="2" s="1" a="1"/>
  <c r="J136" i="2" s="1"/>
  <c r="L135" i="2"/>
  <c r="J135" i="2"/>
  <c r="I135" i="2"/>
  <c r="G135" i="2"/>
  <c r="J135" i="2" s="1" a="1"/>
  <c r="L134" i="2"/>
  <c r="I134" i="2"/>
  <c r="G134" i="2"/>
  <c r="J134" i="2" s="1" a="1"/>
  <c r="J134" i="2" s="1"/>
  <c r="L133" i="2"/>
  <c r="I133" i="2"/>
  <c r="G133" i="2"/>
  <c r="J133" i="2" s="1" a="1"/>
  <c r="J133" i="2" s="1"/>
  <c r="L132" i="2"/>
  <c r="I132" i="2"/>
  <c r="G132" i="2"/>
  <c r="J132" i="2" s="1" a="1"/>
  <c r="J132" i="2" s="1"/>
  <c r="L131" i="2"/>
  <c r="I131" i="2"/>
  <c r="G131" i="2"/>
  <c r="J131" i="2" s="1" a="1"/>
  <c r="J131" i="2" s="1"/>
  <c r="L130" i="2"/>
  <c r="I130" i="2"/>
  <c r="G130" i="2"/>
  <c r="J130" i="2" s="1" a="1"/>
  <c r="J130" i="2" s="1"/>
  <c r="L129" i="2"/>
  <c r="J129" i="2"/>
  <c r="I129" i="2"/>
  <c r="G129" i="2"/>
  <c r="J129" i="2" s="1" a="1"/>
  <c r="L128" i="2"/>
  <c r="I128" i="2"/>
  <c r="G128" i="2"/>
  <c r="J128" i="2" s="1" a="1"/>
  <c r="J128" i="2" s="1"/>
  <c r="L127" i="2"/>
  <c r="J127" i="2"/>
  <c r="I127" i="2"/>
  <c r="G127" i="2"/>
  <c r="J127" i="2" s="1" a="1"/>
  <c r="L126" i="2"/>
  <c r="I126" i="2"/>
  <c r="G126" i="2"/>
  <c r="J126" i="2" s="1" a="1"/>
  <c r="J126" i="2" s="1"/>
  <c r="L125" i="2"/>
  <c r="I125" i="2"/>
  <c r="G125" i="2"/>
  <c r="J125" i="2" s="1" a="1"/>
  <c r="J125" i="2" s="1"/>
  <c r="L124" i="2"/>
  <c r="I124" i="2"/>
  <c r="G124" i="2"/>
  <c r="J124" i="2" s="1" a="1"/>
  <c r="J124" i="2" s="1"/>
  <c r="L123" i="2"/>
  <c r="I123" i="2"/>
  <c r="G123" i="2"/>
  <c r="J123" i="2" s="1" a="1"/>
  <c r="J123" i="2" s="1"/>
  <c r="L122" i="2"/>
  <c r="I122" i="2"/>
  <c r="G122" i="2"/>
  <c r="J122" i="2" s="1" a="1"/>
  <c r="J122" i="2" s="1"/>
  <c r="L121" i="2"/>
  <c r="J121" i="2"/>
  <c r="I121" i="2"/>
  <c r="G121" i="2"/>
  <c r="J121" i="2" s="1" a="1"/>
  <c r="L120" i="2"/>
  <c r="I120" i="2"/>
  <c r="G120" i="2"/>
  <c r="J120" i="2" s="1" a="1"/>
  <c r="J120" i="2" s="1"/>
  <c r="L119" i="2"/>
  <c r="J119" i="2"/>
  <c r="I119" i="2"/>
  <c r="G119" i="2"/>
  <c r="J119" i="2" s="1" a="1"/>
  <c r="L118" i="2"/>
  <c r="I118" i="2"/>
  <c r="G118" i="2"/>
  <c r="J118" i="2" s="1" a="1"/>
  <c r="J118" i="2" s="1"/>
  <c r="L117" i="2"/>
  <c r="I117" i="2"/>
  <c r="G117" i="2"/>
  <c r="J117" i="2" s="1" a="1"/>
  <c r="J117" i="2" s="1"/>
  <c r="L116" i="2"/>
  <c r="I116" i="2"/>
  <c r="G116" i="2"/>
  <c r="J116" i="2" s="1" a="1"/>
  <c r="J116" i="2" s="1"/>
  <c r="L115" i="2"/>
  <c r="I115" i="2"/>
  <c r="G115" i="2"/>
  <c r="J115" i="2" s="1" a="1"/>
  <c r="J115" i="2" s="1"/>
  <c r="L114" i="2"/>
  <c r="I114" i="2"/>
  <c r="G114" i="2"/>
  <c r="J114" i="2" s="1" a="1"/>
  <c r="J114" i="2" s="1"/>
  <c r="L113" i="2"/>
  <c r="J113" i="2"/>
  <c r="I113" i="2"/>
  <c r="G113" i="2"/>
  <c r="J113" i="2" s="1" a="1"/>
  <c r="L112" i="2"/>
  <c r="I112" i="2"/>
  <c r="G112" i="2"/>
  <c r="J112" i="2" s="1" a="1"/>
  <c r="J112" i="2" s="1"/>
  <c r="L111" i="2"/>
  <c r="J111" i="2"/>
  <c r="I111" i="2"/>
  <c r="G111" i="2"/>
  <c r="J111" i="2" s="1" a="1"/>
  <c r="L110" i="2"/>
  <c r="I110" i="2"/>
  <c r="G110" i="2"/>
  <c r="J110" i="2" s="1" a="1"/>
  <c r="J110" i="2" s="1"/>
  <c r="L109" i="2"/>
  <c r="I109" i="2"/>
  <c r="G109" i="2"/>
  <c r="J109" i="2" s="1" a="1"/>
  <c r="J109" i="2" s="1"/>
  <c r="L108" i="2"/>
  <c r="I108" i="2"/>
  <c r="G108" i="2"/>
  <c r="J108" i="2" s="1" a="1"/>
  <c r="J108" i="2" s="1"/>
  <c r="L107" i="2"/>
  <c r="I107" i="2"/>
  <c r="G107" i="2"/>
  <c r="J107" i="2" s="1" a="1"/>
  <c r="J107" i="2" s="1"/>
  <c r="L106" i="2"/>
  <c r="I106" i="2"/>
  <c r="G106" i="2"/>
  <c r="J106" i="2" s="1" a="1"/>
  <c r="J106" i="2" s="1"/>
  <c r="L105" i="2"/>
  <c r="J105" i="2"/>
  <c r="I105" i="2"/>
  <c r="G105" i="2"/>
  <c r="J105" i="2" s="1" a="1"/>
  <c r="L104" i="2"/>
  <c r="I104" i="2"/>
  <c r="G104" i="2"/>
  <c r="J104" i="2" s="1" a="1"/>
  <c r="J104" i="2" s="1"/>
  <c r="L103" i="2"/>
  <c r="J103" i="2"/>
  <c r="I103" i="2"/>
  <c r="G103" i="2"/>
  <c r="J103" i="2" s="1" a="1"/>
  <c r="L102" i="2"/>
  <c r="I102" i="2"/>
  <c r="G102" i="2"/>
  <c r="J102" i="2" s="1" a="1"/>
  <c r="J102" i="2" s="1"/>
  <c r="L101" i="2"/>
  <c r="I101" i="2"/>
  <c r="G101" i="2"/>
  <c r="J101" i="2" s="1" a="1"/>
  <c r="J101" i="2" s="1"/>
  <c r="L100" i="2"/>
  <c r="I100" i="2"/>
  <c r="G100" i="2"/>
  <c r="J100" i="2" s="1" a="1"/>
  <c r="J100" i="2" s="1"/>
  <c r="L99" i="2"/>
  <c r="I99" i="2"/>
  <c r="G99" i="2"/>
  <c r="J99" i="2" s="1" a="1"/>
  <c r="J99" i="2" s="1"/>
  <c r="L98" i="2"/>
  <c r="I98" i="2"/>
  <c r="G98" i="2"/>
  <c r="J98" i="2" s="1" a="1"/>
  <c r="J98" i="2" s="1"/>
  <c r="L97" i="2"/>
  <c r="J97" i="2"/>
  <c r="I97" i="2"/>
  <c r="G97" i="2"/>
  <c r="J97" i="2" s="1" a="1"/>
  <c r="L96" i="2"/>
  <c r="I96" i="2"/>
  <c r="G96" i="2"/>
  <c r="J96" i="2" s="1" a="1"/>
  <c r="J96" i="2" s="1"/>
  <c r="L95" i="2"/>
  <c r="J95" i="2"/>
  <c r="I95" i="2"/>
  <c r="G95" i="2"/>
  <c r="J95" i="2" s="1" a="1"/>
  <c r="L94" i="2"/>
  <c r="I94" i="2"/>
  <c r="G94" i="2"/>
  <c r="J94" i="2" s="1" a="1"/>
  <c r="J94" i="2" s="1"/>
  <c r="L93" i="2"/>
  <c r="I93" i="2"/>
  <c r="G93" i="2"/>
  <c r="J93" i="2" s="1" a="1"/>
  <c r="J93" i="2" s="1"/>
  <c r="L92" i="2"/>
  <c r="I92" i="2"/>
  <c r="G92" i="2"/>
  <c r="J92" i="2" s="1" a="1"/>
  <c r="J92" i="2" s="1"/>
  <c r="L91" i="2"/>
  <c r="I91" i="2"/>
  <c r="G91" i="2"/>
  <c r="J91" i="2" s="1" a="1"/>
  <c r="J91" i="2" s="1"/>
  <c r="L90" i="2"/>
  <c r="I90" i="2"/>
  <c r="G90" i="2"/>
  <c r="J90" i="2" s="1" a="1"/>
  <c r="J90" i="2" s="1"/>
  <c r="L89" i="2"/>
  <c r="J89" i="2"/>
  <c r="I89" i="2"/>
  <c r="G89" i="2"/>
  <c r="J89" i="2" s="1" a="1"/>
  <c r="L88" i="2"/>
  <c r="I88" i="2"/>
  <c r="G88" i="2"/>
  <c r="J88" i="2" s="1" a="1"/>
  <c r="J88" i="2" s="1"/>
  <c r="L87" i="2"/>
  <c r="J87" i="2"/>
  <c r="I87" i="2"/>
  <c r="G87" i="2"/>
  <c r="J87" i="2" s="1" a="1"/>
  <c r="L86" i="2"/>
  <c r="I86" i="2"/>
  <c r="G86" i="2"/>
  <c r="J86" i="2" s="1" a="1"/>
  <c r="J86" i="2" s="1"/>
  <c r="L85" i="2"/>
  <c r="I85" i="2"/>
  <c r="G85" i="2"/>
  <c r="J85" i="2" s="1" a="1"/>
  <c r="J85" i="2" s="1"/>
  <c r="L84" i="2"/>
  <c r="I84" i="2"/>
  <c r="G84" i="2"/>
  <c r="J84" i="2" s="1" a="1"/>
  <c r="J84" i="2" s="1"/>
  <c r="L83" i="2"/>
  <c r="I83" i="2"/>
  <c r="G83" i="2"/>
  <c r="J83" i="2" s="1" a="1"/>
  <c r="J83" i="2" s="1"/>
  <c r="L82" i="2"/>
  <c r="I82" i="2"/>
  <c r="G82" i="2"/>
  <c r="J82" i="2" s="1" a="1"/>
  <c r="J82" i="2" s="1"/>
  <c r="L81" i="2"/>
  <c r="J81" i="2"/>
  <c r="I81" i="2"/>
  <c r="G81" i="2"/>
  <c r="J81" i="2" s="1" a="1"/>
  <c r="L80" i="2"/>
  <c r="I80" i="2"/>
  <c r="G80" i="2"/>
  <c r="J80" i="2" s="1" a="1"/>
  <c r="J80" i="2" s="1"/>
  <c r="L79" i="2"/>
  <c r="J79" i="2"/>
  <c r="I79" i="2"/>
  <c r="G79" i="2"/>
  <c r="J79" i="2" s="1" a="1"/>
  <c r="L78" i="2"/>
  <c r="I78" i="2"/>
  <c r="G78" i="2"/>
  <c r="J78" i="2" s="1" a="1"/>
  <c r="J78" i="2" s="1"/>
  <c r="L77" i="2"/>
  <c r="I77" i="2"/>
  <c r="G77" i="2"/>
  <c r="J77" i="2" s="1" a="1"/>
  <c r="J77" i="2" s="1"/>
  <c r="L76" i="2"/>
  <c r="I76" i="2"/>
  <c r="G76" i="2"/>
  <c r="J76" i="2" s="1" a="1"/>
  <c r="J76" i="2" s="1"/>
  <c r="L75" i="2"/>
  <c r="I75" i="2"/>
  <c r="G75" i="2"/>
  <c r="J75" i="2" s="1" a="1"/>
  <c r="J75" i="2" s="1"/>
  <c r="L74" i="2"/>
  <c r="I74" i="2"/>
  <c r="G74" i="2"/>
  <c r="J74" i="2" s="1" a="1"/>
  <c r="J74" i="2" s="1"/>
  <c r="L73" i="2"/>
  <c r="J73" i="2"/>
  <c r="I73" i="2"/>
  <c r="G73" i="2"/>
  <c r="J73" i="2" s="1" a="1"/>
  <c r="L72" i="2"/>
  <c r="I72" i="2"/>
  <c r="G72" i="2"/>
  <c r="J72" i="2" s="1" a="1"/>
  <c r="J72" i="2" s="1"/>
  <c r="L71" i="2"/>
  <c r="J71" i="2"/>
  <c r="I71" i="2"/>
  <c r="G71" i="2"/>
  <c r="J71" i="2" s="1" a="1"/>
  <c r="L70" i="2"/>
  <c r="I70" i="2"/>
  <c r="G70" i="2"/>
  <c r="J70" i="2" s="1" a="1"/>
  <c r="J70" i="2" s="1"/>
  <c r="L69" i="2"/>
  <c r="I69" i="2"/>
  <c r="G69" i="2"/>
  <c r="J69" i="2" s="1" a="1"/>
  <c r="J69" i="2" s="1"/>
  <c r="L68" i="2"/>
  <c r="I68" i="2"/>
  <c r="G68" i="2"/>
  <c r="J68" i="2" s="1" a="1"/>
  <c r="J68" i="2" s="1"/>
  <c r="L67" i="2"/>
  <c r="I67" i="2"/>
  <c r="G67" i="2"/>
  <c r="J67" i="2" s="1" a="1"/>
  <c r="J67" i="2" s="1"/>
  <c r="L66" i="2"/>
  <c r="I66" i="2"/>
  <c r="G66" i="2"/>
  <c r="J66" i="2" s="1" a="1"/>
  <c r="J66" i="2" s="1"/>
  <c r="L65" i="2"/>
  <c r="J65" i="2"/>
  <c r="I65" i="2"/>
  <c r="G65" i="2"/>
  <c r="J65" i="2" s="1" a="1"/>
  <c r="L64" i="2"/>
  <c r="I64" i="2"/>
  <c r="G64" i="2"/>
  <c r="J64" i="2" s="1" a="1"/>
  <c r="J64" i="2" s="1"/>
  <c r="L63" i="2"/>
  <c r="J63" i="2"/>
  <c r="I63" i="2"/>
  <c r="G63" i="2"/>
  <c r="J63" i="2" s="1" a="1"/>
  <c r="L62" i="2"/>
  <c r="I62" i="2"/>
  <c r="G62" i="2"/>
  <c r="J62" i="2" s="1" a="1"/>
  <c r="J62" i="2" s="1"/>
  <c r="L61" i="2"/>
  <c r="I61" i="2"/>
  <c r="G61" i="2"/>
  <c r="J61" i="2" s="1" a="1"/>
  <c r="J61" i="2" s="1"/>
  <c r="L60" i="2"/>
  <c r="I60" i="2"/>
  <c r="G60" i="2"/>
  <c r="J60" i="2" s="1" a="1"/>
  <c r="J60" i="2" s="1"/>
  <c r="L59" i="2"/>
  <c r="I59" i="2"/>
  <c r="G59" i="2"/>
  <c r="J59" i="2" s="1" a="1"/>
  <c r="J59" i="2" s="1"/>
  <c r="L58" i="2"/>
  <c r="I58" i="2"/>
  <c r="G58" i="2"/>
  <c r="J58" i="2" s="1" a="1"/>
  <c r="J58" i="2" s="1"/>
  <c r="L57" i="2"/>
  <c r="J57" i="2"/>
  <c r="I57" i="2"/>
  <c r="G57" i="2"/>
  <c r="J57" i="2" s="1" a="1"/>
  <c r="L56" i="2"/>
  <c r="I56" i="2"/>
  <c r="G56" i="2"/>
  <c r="J56" i="2" s="1" a="1"/>
  <c r="J56" i="2" s="1"/>
  <c r="L55" i="2"/>
  <c r="J55" i="2"/>
  <c r="I55" i="2"/>
  <c r="G55" i="2"/>
  <c r="J55" i="2" s="1" a="1"/>
  <c r="L54" i="2"/>
  <c r="I54" i="2"/>
  <c r="G54" i="2"/>
  <c r="J54" i="2" s="1" a="1"/>
  <c r="J54" i="2" s="1"/>
  <c r="L53" i="2"/>
  <c r="I53" i="2"/>
  <c r="G53" i="2"/>
  <c r="J53" i="2" s="1" a="1"/>
  <c r="J53" i="2" s="1"/>
  <c r="L52" i="2"/>
  <c r="I52" i="2"/>
  <c r="G52" i="2"/>
  <c r="J52" i="2" s="1" a="1"/>
  <c r="J52" i="2" s="1"/>
  <c r="L51" i="2"/>
  <c r="I51" i="2"/>
  <c r="G51" i="2"/>
  <c r="J51" i="2" s="1" a="1"/>
  <c r="J51" i="2" s="1"/>
  <c r="L50" i="2"/>
  <c r="I50" i="2"/>
  <c r="G50" i="2"/>
  <c r="J50" i="2" s="1" a="1"/>
  <c r="J50" i="2" s="1"/>
  <c r="L49" i="2"/>
  <c r="J49" i="2"/>
  <c r="I49" i="2"/>
  <c r="G49" i="2"/>
  <c r="J49" i="2" s="1" a="1"/>
  <c r="L48" i="2"/>
  <c r="I48" i="2"/>
  <c r="G48" i="2"/>
  <c r="J48" i="2" s="1" a="1"/>
  <c r="J48" i="2" s="1"/>
  <c r="L47" i="2"/>
  <c r="J47" i="2"/>
  <c r="I47" i="2"/>
  <c r="G47" i="2"/>
  <c r="J47" i="2" s="1" a="1"/>
  <c r="L46" i="2"/>
  <c r="I46" i="2"/>
  <c r="G46" i="2"/>
  <c r="J46" i="2" s="1" a="1"/>
  <c r="J46" i="2" s="1"/>
  <c r="L45" i="2"/>
  <c r="I45" i="2"/>
  <c r="G45" i="2"/>
  <c r="J45" i="2" s="1" a="1"/>
  <c r="J45" i="2" s="1"/>
  <c r="L44" i="2"/>
  <c r="I44" i="2"/>
  <c r="G44" i="2"/>
  <c r="J44" i="2" s="1" a="1"/>
  <c r="J44" i="2" s="1"/>
  <c r="L43" i="2"/>
  <c r="I43" i="2"/>
  <c r="G43" i="2"/>
  <c r="J43" i="2" s="1" a="1"/>
  <c r="J43" i="2" s="1"/>
  <c r="L42" i="2"/>
  <c r="I42" i="2"/>
  <c r="G42" i="2"/>
  <c r="J42" i="2" s="1" a="1"/>
  <c r="J42" i="2" s="1"/>
  <c r="L41" i="2"/>
  <c r="J41" i="2"/>
  <c r="I41" i="2"/>
  <c r="G41" i="2"/>
  <c r="J41" i="2" s="1" a="1"/>
  <c r="L40" i="2"/>
  <c r="I40" i="2"/>
  <c r="G40" i="2"/>
  <c r="J40" i="2" s="1" a="1"/>
  <c r="J40" i="2" s="1"/>
  <c r="L39" i="2"/>
  <c r="J39" i="2"/>
  <c r="I39" i="2"/>
  <c r="G39" i="2"/>
  <c r="J39" i="2" s="1" a="1"/>
  <c r="L38" i="2"/>
  <c r="I38" i="2"/>
  <c r="G38" i="2"/>
  <c r="J38" i="2" s="1" a="1"/>
  <c r="J38" i="2" s="1"/>
  <c r="L37" i="2"/>
  <c r="I37" i="2"/>
  <c r="G37" i="2"/>
  <c r="J37" i="2" s="1" a="1"/>
  <c r="J37" i="2" s="1"/>
  <c r="L36" i="2"/>
  <c r="I36" i="2"/>
  <c r="G36" i="2"/>
  <c r="J36" i="2" s="1" a="1"/>
  <c r="J36" i="2" s="1"/>
  <c r="L35" i="2"/>
  <c r="I35" i="2"/>
  <c r="G35" i="2"/>
  <c r="J35" i="2" s="1" a="1"/>
  <c r="J35" i="2" s="1"/>
  <c r="L34" i="2"/>
  <c r="I34" i="2"/>
  <c r="G34" i="2"/>
  <c r="J34" i="2" s="1" a="1"/>
  <c r="J34" i="2" s="1"/>
  <c r="L33" i="2"/>
  <c r="J33" i="2"/>
  <c r="I33" i="2"/>
  <c r="G33" i="2"/>
  <c r="J33" i="2" s="1" a="1"/>
  <c r="L32" i="2"/>
  <c r="I32" i="2"/>
  <c r="G32" i="2"/>
  <c r="J32" i="2" s="1" a="1"/>
  <c r="J32" i="2" s="1"/>
  <c r="L31" i="2"/>
  <c r="J31" i="2"/>
  <c r="I31" i="2"/>
  <c r="G31" i="2"/>
  <c r="J31" i="2" s="1" a="1"/>
  <c r="L30" i="2"/>
  <c r="J30" i="2"/>
  <c r="I30" i="2"/>
  <c r="G30" i="2"/>
  <c r="J30" i="2" s="1" a="1"/>
  <c r="L29" i="2"/>
  <c r="J29" i="2"/>
  <c r="I29" i="2"/>
  <c r="G29" i="2"/>
  <c r="J29" i="2" s="1" a="1"/>
  <c r="L28" i="2"/>
  <c r="J28" i="2"/>
  <c r="I28" i="2"/>
  <c r="G28" i="2"/>
  <c r="J28" i="2" s="1" a="1"/>
  <c r="L27" i="2"/>
  <c r="J27" i="2"/>
  <c r="I27" i="2"/>
  <c r="G27" i="2"/>
  <c r="J27" i="2" s="1" a="1"/>
  <c r="L26" i="2"/>
  <c r="J26" i="2"/>
  <c r="I26" i="2"/>
  <c r="G26" i="2"/>
  <c r="J26" i="2" s="1" a="1"/>
  <c r="L25" i="2"/>
  <c r="J25" i="2"/>
  <c r="I25" i="2"/>
  <c r="G25" i="2"/>
  <c r="J25" i="2" s="1" a="1"/>
  <c r="L24" i="2"/>
  <c r="J24" i="2"/>
  <c r="I24" i="2"/>
  <c r="G24" i="2"/>
  <c r="J24" i="2" s="1" a="1"/>
  <c r="L23" i="2"/>
  <c r="J23" i="2"/>
  <c r="I23" i="2"/>
  <c r="G23" i="2"/>
  <c r="J23" i="2" s="1" a="1"/>
  <c r="L22" i="2"/>
  <c r="J22" i="2"/>
  <c r="I22" i="2"/>
  <c r="G22" i="2"/>
  <c r="J22" i="2" s="1" a="1"/>
  <c r="L21" i="2"/>
  <c r="J21" i="2"/>
  <c r="I21" i="2"/>
  <c r="G21" i="2"/>
  <c r="J21" i="2" s="1" a="1"/>
  <c r="L20" i="2"/>
  <c r="J20" i="2"/>
  <c r="I20" i="2"/>
  <c r="G20" i="2"/>
  <c r="J20" i="2" s="1" a="1"/>
  <c r="L19" i="2"/>
  <c r="J19" i="2"/>
  <c r="I19" i="2"/>
  <c r="G19" i="2"/>
  <c r="J19" i="2" s="1" a="1"/>
  <c r="L18" i="2"/>
  <c r="J18" i="2"/>
  <c r="I18" i="2"/>
  <c r="G18" i="2"/>
  <c r="J18" i="2" s="1" a="1"/>
  <c r="L17" i="2"/>
  <c r="J17" i="2"/>
  <c r="I17" i="2"/>
  <c r="G17" i="2"/>
  <c r="J17" i="2" s="1" a="1"/>
  <c r="L16" i="2"/>
  <c r="J16" i="2"/>
  <c r="I16" i="2"/>
  <c r="G16" i="2"/>
  <c r="J16" i="2" s="1" a="1"/>
  <c r="L15" i="2"/>
  <c r="J15" i="2"/>
  <c r="I15" i="2"/>
  <c r="G15" i="2"/>
  <c r="J15" i="2" s="1" a="1"/>
  <c r="L14" i="2"/>
  <c r="J14" i="2"/>
  <c r="I14" i="2"/>
  <c r="G14" i="2"/>
  <c r="J14" i="2" s="1" a="1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J13" i="2" a="1"/>
  <c r="J12" i="2" a="1"/>
  <c r="J11" i="2" a="1"/>
  <c r="J10" i="2" a="1"/>
  <c r="J9" i="2" a="1"/>
  <c r="J8" i="2" a="1"/>
  <c r="J6" i="2" a="1"/>
  <c r="J7" i="2" a="1"/>
  <c r="J13" i="2" l="1"/>
  <c r="J12" i="2"/>
  <c r="K12" i="2" s="1"/>
  <c r="J11" i="2"/>
  <c r="J10" i="2"/>
  <c r="J9" i="2"/>
  <c r="J8" i="2"/>
  <c r="K8" i="2" s="1"/>
  <c r="J6" i="2"/>
  <c r="J7" i="2"/>
  <c r="K7" i="2" s="1"/>
  <c r="K12" i="10"/>
  <c r="K13" i="10"/>
  <c r="D13" i="10" s="1"/>
  <c r="E11" i="10"/>
  <c r="E12" i="10"/>
  <c r="H9" i="10"/>
  <c r="H10" i="10"/>
  <c r="I10" i="10"/>
  <c r="J10" i="10"/>
  <c r="K11" i="10"/>
  <c r="K6" i="2"/>
  <c r="E10" i="10"/>
  <c r="H8" i="10"/>
  <c r="L8" i="2" a="1"/>
  <c r="L8" i="2" l="1"/>
  <c r="K8" i="10"/>
  <c r="D12" i="10"/>
  <c r="H6" i="10"/>
  <c r="K4" i="2"/>
  <c r="L9" i="2" a="1"/>
  <c r="L12" i="2" a="1"/>
  <c r="L13" i="2" a="1"/>
  <c r="L6" i="2" a="1"/>
  <c r="L10" i="2" a="1"/>
  <c r="L7" i="2" a="1"/>
  <c r="L11" i="2" a="1"/>
  <c r="L11" i="2" l="1"/>
  <c r="L7" i="2"/>
  <c r="G9" i="10" s="1"/>
  <c r="L10" i="2"/>
  <c r="J9" i="10" s="1"/>
  <c r="L6" i="2"/>
  <c r="L13" i="2"/>
  <c r="K10" i="10" s="1"/>
  <c r="D10" i="10" s="1"/>
  <c r="L12" i="2"/>
  <c r="E9" i="10" s="1"/>
  <c r="L9" i="2"/>
  <c r="K9" i="10"/>
  <c r="I11" i="10"/>
  <c r="E8" i="10"/>
  <c r="I8" i="10"/>
  <c r="G8" i="10"/>
  <c r="J11" i="10"/>
  <c r="J8" i="10"/>
  <c r="F8" i="10"/>
  <c r="D11" i="10" l="1"/>
  <c r="I9" i="10"/>
  <c r="I6" i="10" s="1"/>
  <c r="L4" i="2"/>
  <c r="G6" i="10"/>
  <c r="E6" i="10"/>
  <c r="K6" i="10"/>
  <c r="J6" i="10"/>
  <c r="F6" i="10"/>
  <c r="D8" i="10"/>
  <c r="AW3" i="12"/>
  <c r="AV5" i="12"/>
  <c r="AV4" i="12"/>
  <c r="AV3" i="12"/>
  <c r="AU5" i="12"/>
  <c r="AU4" i="12"/>
  <c r="AU3" i="12"/>
  <c r="AT6" i="12"/>
  <c r="AT5" i="12"/>
  <c r="AT4" i="12"/>
  <c r="AT3" i="12"/>
  <c r="AS4" i="12"/>
  <c r="AS3" i="12"/>
  <c r="AR3" i="12"/>
  <c r="AQ7" i="12"/>
  <c r="AQ6" i="12"/>
  <c r="AQ5" i="12"/>
  <c r="AQ4" i="12"/>
  <c r="AQ3" i="12"/>
  <c r="AP4" i="12"/>
  <c r="AP3" i="12"/>
  <c r="AO8" i="12"/>
  <c r="AO7" i="12"/>
  <c r="AO6" i="12"/>
  <c r="AO5" i="12"/>
  <c r="AO4" i="12"/>
  <c r="AO3" i="12"/>
  <c r="AN5" i="12"/>
  <c r="AN4" i="12"/>
  <c r="AN3" i="12"/>
  <c r="AM5" i="12"/>
  <c r="AM4" i="12"/>
  <c r="AM3" i="12"/>
  <c r="AL7" i="12"/>
  <c r="AL6" i="12"/>
  <c r="AL5" i="12"/>
  <c r="AL4" i="12"/>
  <c r="AL3" i="12"/>
  <c r="AK4" i="12"/>
  <c r="AK3" i="12"/>
  <c r="AJ4" i="12"/>
  <c r="AJ3" i="12"/>
  <c r="AI5" i="12"/>
  <c r="AI4" i="12"/>
  <c r="AI3" i="12"/>
  <c r="AH4" i="12"/>
  <c r="AH3" i="12"/>
  <c r="AG4" i="12"/>
  <c r="AG3" i="12"/>
  <c r="AF5" i="12"/>
  <c r="AF4" i="12"/>
  <c r="AF3" i="12"/>
  <c r="AE7" i="12"/>
  <c r="AE6" i="12"/>
  <c r="AE5" i="12"/>
  <c r="AE4" i="12"/>
  <c r="AE3" i="12"/>
  <c r="AD8" i="12"/>
  <c r="AD7" i="12"/>
  <c r="AD6" i="12"/>
  <c r="AD5" i="12"/>
  <c r="AD4" i="12"/>
  <c r="AD3" i="12"/>
  <c r="AC6" i="12"/>
  <c r="AC5" i="12"/>
  <c r="AC4" i="12"/>
  <c r="AC3" i="12"/>
  <c r="AB5" i="12"/>
  <c r="AB4" i="12"/>
  <c r="AB3" i="12"/>
  <c r="AA5" i="12"/>
  <c r="AA4" i="12"/>
  <c r="AA3" i="12"/>
  <c r="Z4" i="12"/>
  <c r="Z3" i="12"/>
  <c r="Y4" i="12"/>
  <c r="Y3" i="12"/>
  <c r="X9" i="12"/>
  <c r="X8" i="12"/>
  <c r="X7" i="12"/>
  <c r="X6" i="12"/>
  <c r="X5" i="12"/>
  <c r="X4" i="12"/>
  <c r="X3" i="12"/>
  <c r="W6" i="12"/>
  <c r="W5" i="12"/>
  <c r="W4" i="12"/>
  <c r="W3" i="12"/>
  <c r="V7" i="12"/>
  <c r="V6" i="12"/>
  <c r="V5" i="12"/>
  <c r="V4" i="12"/>
  <c r="V3" i="12"/>
  <c r="U7" i="12"/>
  <c r="U6" i="12"/>
  <c r="U5" i="12"/>
  <c r="U4" i="12"/>
  <c r="U3" i="12"/>
  <c r="T10" i="12"/>
  <c r="T9" i="12"/>
  <c r="T8" i="12"/>
  <c r="T7" i="12"/>
  <c r="T6" i="12"/>
  <c r="T5" i="12"/>
  <c r="T4" i="12"/>
  <c r="T3" i="12"/>
  <c r="S7" i="12"/>
  <c r="S6" i="12"/>
  <c r="S5" i="12"/>
  <c r="S4" i="12"/>
  <c r="S3" i="12"/>
  <c r="R8" i="12"/>
  <c r="R7" i="12"/>
  <c r="R6" i="12"/>
  <c r="R5" i="12"/>
  <c r="R4" i="12"/>
  <c r="R3" i="12"/>
  <c r="Q7" i="12"/>
  <c r="Q6" i="12"/>
  <c r="Q5" i="12"/>
  <c r="Q4" i="12"/>
  <c r="Q3" i="12"/>
  <c r="P11" i="12"/>
  <c r="P10" i="12"/>
  <c r="P9" i="12"/>
  <c r="P8" i="12"/>
  <c r="P7" i="12"/>
  <c r="P6" i="12"/>
  <c r="P5" i="12"/>
  <c r="P4" i="12"/>
  <c r="P3" i="12"/>
  <c r="O10" i="12"/>
  <c r="O9" i="12"/>
  <c r="O8" i="12"/>
  <c r="O7" i="12"/>
  <c r="O6" i="12"/>
  <c r="O5" i="12"/>
  <c r="O4" i="12"/>
  <c r="O3" i="12"/>
  <c r="N7" i="12"/>
  <c r="N6" i="12"/>
  <c r="N5" i="12"/>
  <c r="N4" i="12"/>
  <c r="N3" i="12"/>
  <c r="M12" i="12"/>
  <c r="M11" i="12"/>
  <c r="M10" i="12"/>
  <c r="M9" i="12"/>
  <c r="M8" i="12"/>
  <c r="M7" i="12"/>
  <c r="M6" i="12"/>
  <c r="M5" i="12"/>
  <c r="M4" i="12"/>
  <c r="M3" i="12"/>
  <c r="L6" i="12"/>
  <c r="L5" i="12"/>
  <c r="L4" i="12"/>
  <c r="L3" i="12"/>
  <c r="K9" i="12"/>
  <c r="K8" i="12"/>
  <c r="K7" i="12"/>
  <c r="K6" i="12"/>
  <c r="K5" i="12"/>
  <c r="K4" i="12"/>
  <c r="K3" i="12"/>
  <c r="J7" i="12"/>
  <c r="J6" i="12"/>
  <c r="J5" i="12"/>
  <c r="J4" i="12"/>
  <c r="J3" i="12"/>
  <c r="I8" i="12"/>
  <c r="I7" i="12"/>
  <c r="I6" i="12"/>
  <c r="I5" i="12"/>
  <c r="I4" i="12"/>
  <c r="I3" i="12"/>
  <c r="H8" i="12"/>
  <c r="H7" i="12"/>
  <c r="H6" i="12"/>
  <c r="H5" i="12"/>
  <c r="H4" i="12"/>
  <c r="H3" i="12"/>
  <c r="G8" i="12"/>
  <c r="G7" i="12"/>
  <c r="G6" i="12"/>
  <c r="G5" i="12"/>
  <c r="G4" i="12"/>
  <c r="G3" i="12"/>
  <c r="F7" i="12"/>
  <c r="F6" i="12"/>
  <c r="F5" i="12"/>
  <c r="F4" i="12"/>
  <c r="F3" i="12"/>
  <c r="E8" i="12"/>
  <c r="E7" i="12"/>
  <c r="E6" i="12"/>
  <c r="E5" i="12"/>
  <c r="E4" i="12"/>
  <c r="E3" i="12"/>
  <c r="D6" i="12"/>
  <c r="D5" i="12"/>
  <c r="D4" i="12"/>
  <c r="D3" i="12"/>
  <c r="C8" i="12"/>
  <c r="C7" i="12"/>
  <c r="C6" i="12"/>
  <c r="C5" i="12"/>
  <c r="C4" i="12"/>
  <c r="C3" i="12"/>
  <c r="B10" i="12"/>
  <c r="B9" i="12"/>
  <c r="B8" i="12"/>
  <c r="B7" i="12"/>
  <c r="B6" i="12"/>
  <c r="B5" i="12"/>
  <c r="B4" i="12"/>
  <c r="B3" i="12"/>
  <c r="A7" i="12"/>
  <c r="A6" i="12"/>
  <c r="A5" i="12"/>
  <c r="A4" i="12"/>
  <c r="A3" i="12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C10" i="10"/>
  <c r="C9" i="10"/>
  <c r="D9" i="10" l="1"/>
  <c r="D6" i="10" s="1"/>
</calcChain>
</file>

<file path=xl/connections.xml><?xml version="1.0" encoding="utf-8"?>
<connections xmlns="http://schemas.openxmlformats.org/spreadsheetml/2006/main">
  <connection id="1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keepAlive="1" name="Query - Sales_Agent_info" description="Connection to the 'Sales_Agent_info' query in the workbook." type="5" refreshedVersion="8" background="1" saveData="1">
    <dbPr connection="Provider=Microsoft.Mashup.OleDb.1;Data Source=$Workbook$;Location=Sales_Agent_info;Extended Properties=&quot;&quot;" command="SELECT * FROM [Sales_Agent_info]"/>
  </connection>
  <connection id="3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<sst xmlns="http://schemas.openxmlformats.org/spreadsheetml/2006/main" count="6161" uniqueCount="1339">
  <si>
    <t>Secured</t>
  </si>
  <si>
    <t>Zone</t>
  </si>
  <si>
    <t>No.</t>
  </si>
  <si>
    <t>Sales ID</t>
  </si>
  <si>
    <t>Products</t>
  </si>
  <si>
    <t>Sub Products</t>
  </si>
  <si>
    <t>Amount</t>
  </si>
  <si>
    <t>Unsecured</t>
  </si>
  <si>
    <t>Banca</t>
  </si>
  <si>
    <t>SOMPO</t>
  </si>
  <si>
    <t>HomeLoan_BT_less_than_2_Percent</t>
  </si>
  <si>
    <t>HomeLoan_BT_more_than_2_Percent</t>
  </si>
  <si>
    <t>Personal_Cash</t>
  </si>
  <si>
    <t>Extra_Cash</t>
  </si>
  <si>
    <t>MRTA_3_Percent</t>
  </si>
  <si>
    <t>MRTA_6_Percent</t>
  </si>
  <si>
    <t>HomeLoan_Non_BT</t>
  </si>
  <si>
    <t>Mortgage_Power_Term</t>
  </si>
  <si>
    <t>Pricing discount</t>
  </si>
  <si>
    <t>No discount</t>
  </si>
  <si>
    <t>&lt;= 0.25%</t>
  </si>
  <si>
    <t xml:space="preserve"> &gt; 0.25% to 0.3%</t>
  </si>
  <si>
    <t xml:space="preserve"> &gt; 0.30% to 0.4%</t>
  </si>
  <si>
    <t xml:space="preserve"> &gt; 0.40% to 0.50%</t>
  </si>
  <si>
    <t xml:space="preserve"> &gt; 0.50% to 0.60%</t>
  </si>
  <si>
    <t xml:space="preserve"> &gt; 0.60% to 0.70%</t>
  </si>
  <si>
    <t xml:space="preserve"> &gt; 0.70% to 0.75%</t>
  </si>
  <si>
    <t xml:space="preserve"> &gt; 0.75% </t>
  </si>
  <si>
    <t>Secured_Type</t>
  </si>
  <si>
    <t>others</t>
  </si>
  <si>
    <t>BT_with_5_year_lock_in_period</t>
  </si>
  <si>
    <t>Drawdown Calculate</t>
  </si>
  <si>
    <t>Commission</t>
  </si>
  <si>
    <t>≤ 3 mb</t>
  </si>
  <si>
    <t>&gt; 3 – 6 mb</t>
  </si>
  <si>
    <t>&gt; 6 – 8 mb</t>
  </si>
  <si>
    <t>&gt; 8 – 12 mb</t>
  </si>
  <si>
    <t>&gt; 12 mb</t>
  </si>
  <si>
    <t>Drawdown</t>
  </si>
  <si>
    <t>Personal Cash Drawdown Amt</t>
  </si>
  <si>
    <t>%Comm</t>
  </si>
  <si>
    <t>Direct Sales 1</t>
  </si>
  <si>
    <t>Direct_Sales_1</t>
  </si>
  <si>
    <t>Direct_Sales_2</t>
  </si>
  <si>
    <t>2010607</t>
  </si>
  <si>
    <t>2020440</t>
  </si>
  <si>
    <t>2020799</t>
  </si>
  <si>
    <t>2020911</t>
  </si>
  <si>
    <t>2020887</t>
  </si>
  <si>
    <t>5300754</t>
  </si>
  <si>
    <t>5349609</t>
  </si>
  <si>
    <t>5421894</t>
  </si>
  <si>
    <t>2017843</t>
  </si>
  <si>
    <t>2017884</t>
  </si>
  <si>
    <t>2018033</t>
  </si>
  <si>
    <t>2020624</t>
  </si>
  <si>
    <t>2017137</t>
  </si>
  <si>
    <t>2020497</t>
  </si>
  <si>
    <t>5349231</t>
  </si>
  <si>
    <t>5422177</t>
  </si>
  <si>
    <t>2014504</t>
  </si>
  <si>
    <t>2020314</t>
  </si>
  <si>
    <t>2020309</t>
  </si>
  <si>
    <t>5424797</t>
  </si>
  <si>
    <t>2014899</t>
  </si>
  <si>
    <t>2020310</t>
  </si>
  <si>
    <t>5397723</t>
  </si>
  <si>
    <t>5429310</t>
  </si>
  <si>
    <t>6560465</t>
  </si>
  <si>
    <t>6560471</t>
  </si>
  <si>
    <t>6560369</t>
  </si>
  <si>
    <t>6560475</t>
  </si>
  <si>
    <t>6560385</t>
  </si>
  <si>
    <t>6560479</t>
  </si>
  <si>
    <t>6560395</t>
  </si>
  <si>
    <t>6560330</t>
  </si>
  <si>
    <t>6560362</t>
  </si>
  <si>
    <t>6560449</t>
  </si>
  <si>
    <t>6560513</t>
  </si>
  <si>
    <t>6560488</t>
  </si>
  <si>
    <t>6560354</t>
  </si>
  <si>
    <t>6560466</t>
  </si>
  <si>
    <t>6560355</t>
  </si>
  <si>
    <t>6560394</t>
  </si>
  <si>
    <t>6560522</t>
  </si>
  <si>
    <t>6560467</t>
  </si>
  <si>
    <t>6560468</t>
  </si>
  <si>
    <t>6560378</t>
  </si>
  <si>
    <t>6560414</t>
  </si>
  <si>
    <t>6560480</t>
  </si>
  <si>
    <t>6560523</t>
  </si>
  <si>
    <t>6560356</t>
  </si>
  <si>
    <t>6560472</t>
  </si>
  <si>
    <t>6560508</t>
  </si>
  <si>
    <t>6560484</t>
  </si>
  <si>
    <t>6560491</t>
  </si>
  <si>
    <t>6560342</t>
  </si>
  <si>
    <t>6560497</t>
  </si>
  <si>
    <t>6560498</t>
  </si>
  <si>
    <t>6560372</t>
  </si>
  <si>
    <t>6560407</t>
  </si>
  <si>
    <t>6560481</t>
  </si>
  <si>
    <t>6560516</t>
  </si>
  <si>
    <t>6560525</t>
  </si>
  <si>
    <t>6560517</t>
  </si>
  <si>
    <t>6560426</t>
  </si>
  <si>
    <t>6560440</t>
  </si>
  <si>
    <t>6560433</t>
  </si>
  <si>
    <t>6560409</t>
  </si>
  <si>
    <t>6560518</t>
  </si>
  <si>
    <t>6560436</t>
  </si>
  <si>
    <t>6560360</t>
  </si>
  <si>
    <t>6560374</t>
  </si>
  <si>
    <t>6560476</t>
  </si>
  <si>
    <t>6560492</t>
  </si>
  <si>
    <t>6560376</t>
  </si>
  <si>
    <t>6560353</t>
  </si>
  <si>
    <t>6560401</t>
  </si>
  <si>
    <t>6560451</t>
  </si>
  <si>
    <t>6560477</t>
  </si>
  <si>
    <t>6560504</t>
  </si>
  <si>
    <t>6560447</t>
  </si>
  <si>
    <t>6660008</t>
  </si>
  <si>
    <t>6660026</t>
  </si>
  <si>
    <t>6660029</t>
  </si>
  <si>
    <t>6660002</t>
  </si>
  <si>
    <t>6660159</t>
  </si>
  <si>
    <t>6660173</t>
  </si>
  <si>
    <t>6660193</t>
  </si>
  <si>
    <t>6660210</t>
  </si>
  <si>
    <t>6660211</t>
  </si>
  <si>
    <t>6660262</t>
  </si>
  <si>
    <t>6660278</t>
  </si>
  <si>
    <t>6660293</t>
  </si>
  <si>
    <t>6660446</t>
  </si>
  <si>
    <t>6660462</t>
  </si>
  <si>
    <t>6660517</t>
  </si>
  <si>
    <t>6660574</t>
  </si>
  <si>
    <t>6660582</t>
  </si>
  <si>
    <t>6660631</t>
  </si>
  <si>
    <t>6760011</t>
  </si>
  <si>
    <t>6760062</t>
  </si>
  <si>
    <t>6760124</t>
  </si>
  <si>
    <t>6760135</t>
  </si>
  <si>
    <t>6760190</t>
  </si>
  <si>
    <t>6760250</t>
  </si>
  <si>
    <t>6760372</t>
  </si>
  <si>
    <t>6760388</t>
  </si>
  <si>
    <t>6760420</t>
  </si>
  <si>
    <t>6760421</t>
  </si>
  <si>
    <t>6860015</t>
  </si>
  <si>
    <t>6860023</t>
  </si>
  <si>
    <t>6860039</t>
  </si>
  <si>
    <t>6860040</t>
  </si>
  <si>
    <t>6860042</t>
  </si>
  <si>
    <t>6860049</t>
  </si>
  <si>
    <t>6860063</t>
  </si>
  <si>
    <t>6860065</t>
  </si>
  <si>
    <t>6860067</t>
  </si>
  <si>
    <t>6860084</t>
  </si>
  <si>
    <t>6860139</t>
  </si>
  <si>
    <t>6860142</t>
  </si>
  <si>
    <t>6860147</t>
  </si>
  <si>
    <t>6860149</t>
  </si>
  <si>
    <t>6860170</t>
  </si>
  <si>
    <t>6860174</t>
  </si>
  <si>
    <t>6860175</t>
  </si>
  <si>
    <t>6860210</t>
  </si>
  <si>
    <t>6860211</t>
  </si>
  <si>
    <t>6860239</t>
  </si>
  <si>
    <t>6860243</t>
  </si>
  <si>
    <t>6860273</t>
  </si>
  <si>
    <t>6860274</t>
  </si>
  <si>
    <t>6860276</t>
  </si>
  <si>
    <t>6860280</t>
  </si>
  <si>
    <t>6860286</t>
  </si>
  <si>
    <t>6860287</t>
  </si>
  <si>
    <t>6860294</t>
  </si>
  <si>
    <t>6860295</t>
  </si>
  <si>
    <t>6860305</t>
  </si>
  <si>
    <t>6860311</t>
  </si>
  <si>
    <t>6860315</t>
  </si>
  <si>
    <t>6960014</t>
  </si>
  <si>
    <t>6960023</t>
  </si>
  <si>
    <t>6960032</t>
  </si>
  <si>
    <t>6960033</t>
  </si>
  <si>
    <t>6960037</t>
  </si>
  <si>
    <t>6960052</t>
  </si>
  <si>
    <t>6960053</t>
  </si>
  <si>
    <t>6960054</t>
  </si>
  <si>
    <t>6960055</t>
  </si>
  <si>
    <t>6960056</t>
  </si>
  <si>
    <t>6960057</t>
  </si>
  <si>
    <t>6960058</t>
  </si>
  <si>
    <t>6960076</t>
  </si>
  <si>
    <t>6960077</t>
  </si>
  <si>
    <t>6960095</t>
  </si>
  <si>
    <t>6960096</t>
  </si>
  <si>
    <t>6960097</t>
  </si>
  <si>
    <t>6960098</t>
  </si>
  <si>
    <t>6960100</t>
  </si>
  <si>
    <t>6960101</t>
  </si>
  <si>
    <t>6960197</t>
  </si>
  <si>
    <t>6960198</t>
  </si>
  <si>
    <t>6960200</t>
  </si>
  <si>
    <t>6960201</t>
  </si>
  <si>
    <t>6960202</t>
  </si>
  <si>
    <t>6960232</t>
  </si>
  <si>
    <t>6960233</t>
  </si>
  <si>
    <t>6960234</t>
  </si>
  <si>
    <t>6960238</t>
  </si>
  <si>
    <t>6960239</t>
  </si>
  <si>
    <t>6960241</t>
  </si>
  <si>
    <t>BKK</t>
  </si>
  <si>
    <t>PVA</t>
  </si>
  <si>
    <t>DS1-1/1</t>
  </si>
  <si>
    <t>DS1-1/2</t>
  </si>
  <si>
    <t>DS1-1/3</t>
  </si>
  <si>
    <t>DS1-1/4</t>
  </si>
  <si>
    <t>DS1-2/1</t>
  </si>
  <si>
    <t>DS1-2/2</t>
  </si>
  <si>
    <t>DS1-2/3</t>
  </si>
  <si>
    <t>DS1-2/4</t>
  </si>
  <si>
    <t>DS1-3/1</t>
  </si>
  <si>
    <t>DS1-3/2</t>
  </si>
  <si>
    <t>DS1-3/3</t>
  </si>
  <si>
    <t>DS1-3/4</t>
  </si>
  <si>
    <t>DS1-4/1</t>
  </si>
  <si>
    <t>DS1-4/2</t>
  </si>
  <si>
    <t>DS1-4/3</t>
  </si>
  <si>
    <t>DS1-4/4</t>
  </si>
  <si>
    <t>DS1-5/1</t>
  </si>
  <si>
    <t>DS1-5/2</t>
  </si>
  <si>
    <t>DS1-5/3</t>
  </si>
  <si>
    <t>DS1-5/4</t>
  </si>
  <si>
    <t>DS1-6/1</t>
  </si>
  <si>
    <t>DS1-6/2</t>
  </si>
  <si>
    <t>DS1-6/3</t>
  </si>
  <si>
    <t>DS1-6/4</t>
  </si>
  <si>
    <t>DS2-1/1</t>
  </si>
  <si>
    <t>DS2-5/2</t>
  </si>
  <si>
    <t>DS2-1/2</t>
  </si>
  <si>
    <t>DS2-1/5</t>
  </si>
  <si>
    <t>DS2-4/5</t>
  </si>
  <si>
    <t>DS2-1/3</t>
  </si>
  <si>
    <t>DS2-1/4</t>
  </si>
  <si>
    <t>DS2-5/3</t>
  </si>
  <si>
    <t>DS2-2/1</t>
  </si>
  <si>
    <t>DS2-2/2</t>
  </si>
  <si>
    <t>DS2-3/2</t>
  </si>
  <si>
    <t>DS2-3/5</t>
  </si>
  <si>
    <t>DS2-2/4</t>
  </si>
  <si>
    <t>DS2-2/3</t>
  </si>
  <si>
    <t>DS2-5/4</t>
  </si>
  <si>
    <t>DS2-3/1</t>
  </si>
  <si>
    <t>DS2-3/4</t>
  </si>
  <si>
    <t>DS2-3/3</t>
  </si>
  <si>
    <t>DS2-4/1</t>
  </si>
  <si>
    <t>DS2-4/2</t>
  </si>
  <si>
    <t>DS2-5/1</t>
  </si>
  <si>
    <t>DS2-4/3</t>
  </si>
  <si>
    <t>DS2-2/5</t>
  </si>
  <si>
    <t>DS2-4/4</t>
  </si>
  <si>
    <t>DS2-5/5</t>
  </si>
  <si>
    <t>ลำดับ</t>
  </si>
  <si>
    <t>รหัส</t>
  </si>
  <si>
    <t>คำนำหน้า</t>
  </si>
  <si>
    <t>ชื่อ</t>
  </si>
  <si>
    <t>สกุล</t>
  </si>
  <si>
    <t>Status</t>
  </si>
  <si>
    <t>Status New</t>
  </si>
  <si>
    <t>Join Date</t>
  </si>
  <si>
    <t>Code Team</t>
  </si>
  <si>
    <t>Channel 2 digit</t>
  </si>
  <si>
    <t>Channel</t>
  </si>
  <si>
    <t>ID</t>
  </si>
  <si>
    <t xml:space="preserve">Bank Account </t>
  </si>
  <si>
    <t>Team Manager</t>
  </si>
  <si>
    <t>รหัสพนักงาน Agent Lead</t>
  </si>
  <si>
    <t>Agent Lead Name_
Surname_Sales</t>
  </si>
  <si>
    <t>รหัสพนักงาน Team Manager</t>
  </si>
  <si>
    <t>Team Manager Name_
Surname_Sales</t>
  </si>
  <si>
    <t>รหัสพนักงาน Team Leader</t>
  </si>
  <si>
    <t>Team Leader Name_
Surname_Sales</t>
  </si>
  <si>
    <t>รหัสพนักงาน Head</t>
  </si>
  <si>
    <t>Head
Surname_Sales</t>
  </si>
  <si>
    <t>วันที่Adminรับบัตร</t>
  </si>
  <si>
    <t>ชื่อ-สกุล Sales</t>
  </si>
  <si>
    <t>Check status</t>
  </si>
  <si>
    <t>นางสาว</t>
  </si>
  <si>
    <t>วราภรณ์</t>
  </si>
  <si>
    <t>รัฐฐานนท์</t>
  </si>
  <si>
    <t>TM</t>
  </si>
  <si>
    <t>DS1</t>
  </si>
  <si>
    <t>-</t>
  </si>
  <si>
    <t>Waraporn Rattanon</t>
  </si>
  <si>
    <t>2019804</t>
  </si>
  <si>
    <t>Patpoom Poompij</t>
  </si>
  <si>
    <t>2013757</t>
  </si>
  <si>
    <t>Saruda Chaloemjan</t>
  </si>
  <si>
    <t xml:space="preserve"> </t>
  </si>
  <si>
    <t>วราภรณ์ รัฐฐานนท์</t>
  </si>
  <si>
    <t>Active</t>
  </si>
  <si>
    <t>พชร</t>
  </si>
  <si>
    <t>พิมพ์ประสานต์</t>
  </si>
  <si>
    <t>Pachara Phimprasant</t>
  </si>
  <si>
    <t>พชร พิมพ์ประสานต์</t>
  </si>
  <si>
    <t>นาย</t>
  </si>
  <si>
    <t>ดลพล</t>
  </si>
  <si>
    <t>รชตะพฤกษา</t>
  </si>
  <si>
    <t>Dollapol Rachatapueksa</t>
  </si>
  <si>
    <t>ดลพล รชตะพฤกษา</t>
  </si>
  <si>
    <t>มาโนช</t>
  </si>
  <si>
    <t>วิพัฒน์พงค์</t>
  </si>
  <si>
    <t>Manoch Wiphatpong</t>
  </si>
  <si>
    <t>มาโนช วิพัฒน์พงค์</t>
  </si>
  <si>
    <t>ชัยธนวัฒน์</t>
  </si>
  <si>
    <t>วงศ์ซื่อ</t>
  </si>
  <si>
    <t>Chaitanawat Wongcue</t>
  </si>
  <si>
    <t>2015674</t>
  </si>
  <si>
    <t>Dacha Jandaket</t>
  </si>
  <si>
    <t>ชัยธนวัฒน์ วงศ์ซื่อ</t>
  </si>
  <si>
    <t>อัญรินทร์</t>
  </si>
  <si>
    <t>กีรติอักษรวัชร์</t>
  </si>
  <si>
    <t>Aunyarin Keeratiauksornwat</t>
  </si>
  <si>
    <t>อัญรินทร์ กีรติอักษรวัชร์</t>
  </si>
  <si>
    <t>เบญจวรรณ</t>
  </si>
  <si>
    <t>เทียนดำ</t>
  </si>
  <si>
    <t>Benjawan Teandam</t>
  </si>
  <si>
    <t>เบญจวรรณ เทียนดำ</t>
  </si>
  <si>
    <t>กาญจน์สิตา</t>
  </si>
  <si>
    <t>ของกิ่ง</t>
  </si>
  <si>
    <t>Kansita Khongking</t>
  </si>
  <si>
    <t>กาญจน์สิตา ของกิ่ง</t>
  </si>
  <si>
    <t>ชาชณะ</t>
  </si>
  <si>
    <t>รัตนกิตตินัน</t>
  </si>
  <si>
    <t>Chachana Rattanakittinun</t>
  </si>
  <si>
    <t>2016654</t>
  </si>
  <si>
    <t>Weerakit Keeratichaitam</t>
  </si>
  <si>
    <t>ชาชณะ รัตนกิตตินัน</t>
  </si>
  <si>
    <t>สายัณห์</t>
  </si>
  <si>
    <t>โกมัย</t>
  </si>
  <si>
    <t>Sayun Komai</t>
  </si>
  <si>
    <t>สายัณห์ โกมัย</t>
  </si>
  <si>
    <t>นวรัตน์</t>
  </si>
  <si>
    <t>แหทอง</t>
  </si>
  <si>
    <t>Nawarat Hae-tong</t>
  </si>
  <si>
    <t>นวรัตน์ แหทอง</t>
  </si>
  <si>
    <t>ทิวากร</t>
  </si>
  <si>
    <t>วงษ์ลุน</t>
  </si>
  <si>
    <t>Tivakon Wonglun</t>
  </si>
  <si>
    <t>ทิวากร วงษ์ลุน</t>
  </si>
  <si>
    <t>ชยกฤต</t>
  </si>
  <si>
    <t>ลำเทียน</t>
  </si>
  <si>
    <t>Chayakrit Lumtien</t>
  </si>
  <si>
    <t>2019567</t>
  </si>
  <si>
    <t>Peemphat Panprommin</t>
  </si>
  <si>
    <t>ชยกฤต ลำเทียน</t>
  </si>
  <si>
    <t>วีรพงษ์</t>
  </si>
  <si>
    <t>ลังกาวงค์</t>
  </si>
  <si>
    <t>Weeraphong Lungkawong</t>
  </si>
  <si>
    <t>วีรพงษ์ ลังกาวงค์</t>
  </si>
  <si>
    <t>แสงสร้อย</t>
  </si>
  <si>
    <t>Phatchara Sangsroi</t>
  </si>
  <si>
    <t>พชร แสงสร้อย</t>
  </si>
  <si>
    <t>อัครินทร์</t>
  </si>
  <si>
    <t>ลำพุทธา</t>
  </si>
  <si>
    <t>Akarin Lamphuttha</t>
  </si>
  <si>
    <t>อัครินทร์ ลำพุทธา</t>
  </si>
  <si>
    <t>อาภารัศมิ์</t>
  </si>
  <si>
    <t>พิชยวัฒน์เดชากุล</t>
  </si>
  <si>
    <t>Arbharus Pichayawatdhachakul</t>
  </si>
  <si>
    <t>2019655</t>
  </si>
  <si>
    <t>Kittichet Phattanajiranon</t>
  </si>
  <si>
    <t>อาภารัศมิ์ พิชยวัฒน์เดชากุล</t>
  </si>
  <si>
    <t>สามิตรี</t>
  </si>
  <si>
    <t>สมินเย</t>
  </si>
  <si>
    <t>Samittree Saminye</t>
  </si>
  <si>
    <t>สามิตรี สมินเย</t>
  </si>
  <si>
    <t>ปวินทร์ฉัตร์</t>
  </si>
  <si>
    <t>พุ่มระย้า</t>
  </si>
  <si>
    <t>Pawinchat Pumraya</t>
  </si>
  <si>
    <t>ปวินทร์ฉัตร์ พุ่มระย้า</t>
  </si>
  <si>
    <t>พรเทพ</t>
  </si>
  <si>
    <t>ผิวเผื่อน</t>
  </si>
  <si>
    <t>Pornthap Piwpuan</t>
  </si>
  <si>
    <t>พรเทพ ผิวเผื่อน</t>
  </si>
  <si>
    <t>ณัฐปภัสร์</t>
  </si>
  <si>
    <t>เอนกวศินชัย</t>
  </si>
  <si>
    <t>Natpaphat Anakvasinchai</t>
  </si>
  <si>
    <t>2018414</t>
  </si>
  <si>
    <t>Narabodee Srisuphap</t>
  </si>
  <si>
    <t>ณัฐปภัสร์ เอนกวศินชัย</t>
  </si>
  <si>
    <t>อมลวรรณ</t>
  </si>
  <si>
    <t>โตสงค์</t>
  </si>
  <si>
    <t>Amonwan Tosong</t>
  </si>
  <si>
    <t>อมลวรรณ โตสงค์</t>
  </si>
  <si>
    <t>นริศรา</t>
  </si>
  <si>
    <t>ใจเสือกุล</t>
  </si>
  <si>
    <t>Narisara Jaisueakun</t>
  </si>
  <si>
    <t>นริศรา ใจเสือกุล</t>
  </si>
  <si>
    <t>ณัฐพล</t>
  </si>
  <si>
    <t>สุกใส</t>
  </si>
  <si>
    <t>Nuttapon Suksai</t>
  </si>
  <si>
    <t>ณัฐพล สุกใส</t>
  </si>
  <si>
    <t>2018437</t>
  </si>
  <si>
    <t>พิมพ์ณัฐชญา</t>
  </si>
  <si>
    <t>อยู่ญาติมาก</t>
  </si>
  <si>
    <t>DS2</t>
  </si>
  <si>
    <t>Direct Sales 2</t>
  </si>
  <si>
    <t>Pimnutchaya Youyatmak</t>
  </si>
  <si>
    <t>2008274</t>
  </si>
  <si>
    <t>Kataree Sudhasawin</t>
  </si>
  <si>
    <t>2014180</t>
  </si>
  <si>
    <t>Wichian Tanyawong</t>
  </si>
  <si>
    <t>พิมพ์ณัฐชญา อยู่ญาติมาก</t>
  </si>
  <si>
    <t>2020598</t>
  </si>
  <si>
    <t>นันท์ณรัตน์</t>
  </si>
  <si>
    <t>วิลัยศรี</t>
  </si>
  <si>
    <t>Nunnarat Vilaisri</t>
  </si>
  <si>
    <t>2009365</t>
  </si>
  <si>
    <t>Phakin Thanakwinchok</t>
  </si>
  <si>
    <t>นันท์ณรัตน์ วิลัยศรี</t>
  </si>
  <si>
    <t>2019298</t>
  </si>
  <si>
    <t>อรวรรณ</t>
  </si>
  <si>
    <t>บุนนาค</t>
  </si>
  <si>
    <t>Oravan Boonnak</t>
  </si>
  <si>
    <t>อรวรรณ บุนนาค</t>
  </si>
  <si>
    <t>2019243</t>
  </si>
  <si>
    <t>ไพโรจน์</t>
  </si>
  <si>
    <t>พลเยี่ยม</t>
  </si>
  <si>
    <t>Phairoj Ponyiem</t>
  </si>
  <si>
    <t>ไพโรจน์ พลเยี่ยม</t>
  </si>
  <si>
    <t>2013948</t>
  </si>
  <si>
    <t>ศุภชัย</t>
  </si>
  <si>
    <t>มากอุสาห์</t>
  </si>
  <si>
    <t>Suppachai Markusa</t>
  </si>
  <si>
    <t>2013471</t>
  </si>
  <si>
    <t>Piyawan Treecharoen</t>
  </si>
  <si>
    <t>ศุภชัย มากอุสาห์</t>
  </si>
  <si>
    <t>2015066</t>
  </si>
  <si>
    <t>ชัญญกัลย์</t>
  </si>
  <si>
    <t>อุดมลาภ</t>
  </si>
  <si>
    <t>Chanyakhal Udomlarp</t>
  </si>
  <si>
    <t>ชัญญกัลย์ อุดมลาภ</t>
  </si>
  <si>
    <t>2010212</t>
  </si>
  <si>
    <t>ประทีป</t>
  </si>
  <si>
    <t>แซ่โจ้ง</t>
  </si>
  <si>
    <t>Prateep Saejong</t>
  </si>
  <si>
    <t>ประทีป แซ่โจ้ง</t>
  </si>
  <si>
    <t>5404943</t>
  </si>
  <si>
    <t>สมลักษณ์</t>
  </si>
  <si>
    <t>โพธิศา</t>
  </si>
  <si>
    <t>Somlak Potisa</t>
  </si>
  <si>
    <t>สมลักษณ์ โพธิศา</t>
  </si>
  <si>
    <t>5304046</t>
  </si>
  <si>
    <t>สิริกัญจน์</t>
  </si>
  <si>
    <t>พันธ์บูรณานนท์</t>
  </si>
  <si>
    <t>Sirikan Phanburananont</t>
  </si>
  <si>
    <t>2018025</t>
  </si>
  <si>
    <t>Kitiyaphorn Rakyos</t>
  </si>
  <si>
    <t>สิริกัญจน์ พันธ์บูรณานนท์</t>
  </si>
  <si>
    <t>5362157</t>
  </si>
  <si>
    <t>ชัญญาภัค</t>
  </si>
  <si>
    <t>ฟูอินต๊ะ</t>
  </si>
  <si>
    <t>Chanyaphak Fuinta</t>
  </si>
  <si>
    <t>ชัญญาภัค ฟูอินต๊ะ</t>
  </si>
  <si>
    <t>2017705</t>
  </si>
  <si>
    <t>ภาคภูมิ</t>
  </si>
  <si>
    <t>Phakphoom Suksai</t>
  </si>
  <si>
    <t>2014427</t>
  </si>
  <si>
    <t>Pachara Pinyarassamie</t>
  </si>
  <si>
    <t>ภาคภูมิ สุกใส</t>
  </si>
  <si>
    <t>2015161</t>
  </si>
  <si>
    <t>พลัฏฐ์</t>
  </si>
  <si>
    <t>รักขาว</t>
  </si>
  <si>
    <t>Phalat Rakkhaw</t>
  </si>
  <si>
    <t>พลัฏฐ์ รักขาว</t>
  </si>
  <si>
    <t>2015946</t>
  </si>
  <si>
    <t>สันติชัย</t>
  </si>
  <si>
    <t>อุ่นยวง</t>
  </si>
  <si>
    <t>Santichai Ounyoung</t>
  </si>
  <si>
    <t>สันติชัย อุ่นยวง</t>
  </si>
  <si>
    <t>2009436</t>
  </si>
  <si>
    <t>ณัฏฐิณี</t>
  </si>
  <si>
    <t>ศกุนตนาฏ</t>
  </si>
  <si>
    <t>Nattinee Sakuntanat</t>
  </si>
  <si>
    <t>ณัฏฐิณี ศกุนตนาฏ</t>
  </si>
  <si>
    <t>5366603</t>
  </si>
  <si>
    <t>เธียรวิภา</t>
  </si>
  <si>
    <t>แสงมณี</t>
  </si>
  <si>
    <t>Thianwipa Sangmanee</t>
  </si>
  <si>
    <t>เธียรวิภา แสงมณี</t>
  </si>
  <si>
    <t>2020089</t>
  </si>
  <si>
    <t>ณัฐพงษ์</t>
  </si>
  <si>
    <t>ขุนวิลัย</t>
  </si>
  <si>
    <t>Nuttapong Khunvilai</t>
  </si>
  <si>
    <t>ณัฐพงษ์ ขุนวิลัย</t>
  </si>
  <si>
    <t>2013925</t>
  </si>
  <si>
    <t>เสาวลักษณ์</t>
  </si>
  <si>
    <t>สุทธินันทกร</t>
  </si>
  <si>
    <t>Saowaluk Sutthinunthakorn</t>
  </si>
  <si>
    <t>เสาวลักษณ์ สุทธินันทกร</t>
  </si>
  <si>
    <t>5389331</t>
  </si>
  <si>
    <t>นันทนา</t>
  </si>
  <si>
    <t>ทิพประพันธ์</t>
  </si>
  <si>
    <t>Nantana Tippraphan</t>
  </si>
  <si>
    <t>นันทนา ทิพประพันธ์</t>
  </si>
  <si>
    <t>2017368</t>
  </si>
  <si>
    <t>นาง</t>
  </si>
  <si>
    <t>รดามณี</t>
  </si>
  <si>
    <t>สันติภาพพงศา</t>
  </si>
  <si>
    <t>Radamanee Santipharppongsa</t>
  </si>
  <si>
    <t>รดามณี สันติภาพพงศา</t>
  </si>
  <si>
    <t>2010690</t>
  </si>
  <si>
    <t>กัณฐญา</t>
  </si>
  <si>
    <t>ฐานทองดี</t>
  </si>
  <si>
    <t>Kanthaya Thantongdee</t>
  </si>
  <si>
    <t>กัณฐญา ฐานทองดี</t>
  </si>
  <si>
    <t>5300931</t>
  </si>
  <si>
    <t>ชณิษฐ์นันท์</t>
  </si>
  <si>
    <t>การสมสิทธิ์</t>
  </si>
  <si>
    <t>Chanidnan Kransomsit</t>
  </si>
  <si>
    <t>ชณิษฐ์นันท์ การสมสิทธิ์</t>
  </si>
  <si>
    <t>2020753</t>
  </si>
  <si>
    <t>เกศสุดา</t>
  </si>
  <si>
    <t>ชลกิจ</t>
  </si>
  <si>
    <t>Ketsuda Chonlakit</t>
  </si>
  <si>
    <t>เกศสุดา ชลกิจ</t>
  </si>
  <si>
    <t>2017666</t>
  </si>
  <si>
    <t>ปวีณา</t>
  </si>
  <si>
    <t>ผลทรัพย์</t>
  </si>
  <si>
    <t>Paweena Pholsub</t>
  </si>
  <si>
    <t>ปวีณา ผลทรัพย์</t>
  </si>
  <si>
    <t>2014879</t>
  </si>
  <si>
    <t>สุทธิพร</t>
  </si>
  <si>
    <t>ธนาวุฒิ</t>
  </si>
  <si>
    <t>Sutthiporn Thanawut</t>
  </si>
  <si>
    <t>สุทธิพร ธนาวุฒิ</t>
  </si>
  <si>
    <t>5392829</t>
  </si>
  <si>
    <t>ญาณิน</t>
  </si>
  <si>
    <t>ศาลารักษ์</t>
  </si>
  <si>
    <t>Yanin Salarak</t>
  </si>
  <si>
    <t>ญาณิน ศาลารักษ์</t>
  </si>
  <si>
    <t>เอกรัฐ</t>
  </si>
  <si>
    <t>ประสานสุข</t>
  </si>
  <si>
    <t>Sales</t>
  </si>
  <si>
    <t/>
  </si>
  <si>
    <t>เอกรัฐ ประสานสุข</t>
  </si>
  <si>
    <t>บุณฑริกา</t>
  </si>
  <si>
    <t>บุญมูล</t>
  </si>
  <si>
    <t>บุณฑริกา บุญมูล</t>
  </si>
  <si>
    <t>ณัฐฐิกา</t>
  </si>
  <si>
    <t>อักษรนิตย์</t>
  </si>
  <si>
    <t>ณัฐฐิกา อักษรนิตย์</t>
  </si>
  <si>
    <t>ฐณธรณ์</t>
  </si>
  <si>
    <t>อาริยะ</t>
  </si>
  <si>
    <t>ฐณธรณ์ อาริยะ</t>
  </si>
  <si>
    <t>ขนิษฐา</t>
  </si>
  <si>
    <t>จันทร์บัว</t>
  </si>
  <si>
    <t>ขนิษฐา จันทร์บัว</t>
  </si>
  <si>
    <t>สุนิสา</t>
  </si>
  <si>
    <t>สมัครกิจ</t>
  </si>
  <si>
    <t>สุนิสา สมัครกิจ</t>
  </si>
  <si>
    <t>ละอองฝน</t>
  </si>
  <si>
    <t>อ่อมให้</t>
  </si>
  <si>
    <t>ละอองฝน อ่อมให้</t>
  </si>
  <si>
    <t>วรพล</t>
  </si>
  <si>
    <t>ศรีพิชิต</t>
  </si>
  <si>
    <t>วรพล ศรีพิชิต</t>
  </si>
  <si>
    <t>ศศิธร</t>
  </si>
  <si>
    <t>จงเจริญสวัสดิ์</t>
  </si>
  <si>
    <t>ศศิธร จงเจริญสวัสดิ์</t>
  </si>
  <si>
    <t>สิทธิพงษ์</t>
  </si>
  <si>
    <t>ฟุ้งสวาท</t>
  </si>
  <si>
    <t>สิทธิพงษ์ ฟุ้งสวาท</t>
  </si>
  <si>
    <t>วรยุทธ</t>
  </si>
  <si>
    <t>ดีศรีเกตุ</t>
  </si>
  <si>
    <t>วรยุทธ ดีศรีเกตุ</t>
  </si>
  <si>
    <t>ปวีณวงษ์วรรณ</t>
  </si>
  <si>
    <t>ศศิธร ปวีณวงษ์วรรณ</t>
  </si>
  <si>
    <t>สราวุธ</t>
  </si>
  <si>
    <t>ชมแก้ว</t>
  </si>
  <si>
    <t>สราวุธ ชมแก้ว</t>
  </si>
  <si>
    <t>คำตุ้ยเครือ</t>
  </si>
  <si>
    <t>สราวุธ คำตุ้ยเครือ</t>
  </si>
  <si>
    <t>อลิษา</t>
  </si>
  <si>
    <t>สงประชา</t>
  </si>
  <si>
    <t>อลิษา สงประชา</t>
  </si>
  <si>
    <t>สุรเนตร</t>
  </si>
  <si>
    <t>หาญบาง</t>
  </si>
  <si>
    <t>สุรเนตร หาญบาง</t>
  </si>
  <si>
    <t>พรพิมล</t>
  </si>
  <si>
    <t>แนบสนิท</t>
  </si>
  <si>
    <t>พรพิมล แนบสนิท</t>
  </si>
  <si>
    <t>เจิดจรัส</t>
  </si>
  <si>
    <t>คูหะสุวรรณ</t>
  </si>
  <si>
    <t>เจิดจรัส คูหะสุวรรณ</t>
  </si>
  <si>
    <t>สิริญา</t>
  </si>
  <si>
    <t>บุญปริยฉัตร</t>
  </si>
  <si>
    <t>สิริญา บุญปริยฉัตร</t>
  </si>
  <si>
    <t>สุรชาติ</t>
  </si>
  <si>
    <t>ศศิธนานุรักษ์</t>
  </si>
  <si>
    <t>สุรชาติ ศศิธนานุรักษ์</t>
  </si>
  <si>
    <t>ศิริ</t>
  </si>
  <si>
    <t>พิศุทธิโชติ</t>
  </si>
  <si>
    <t>ศิริ พิศุทธิโชติ</t>
  </si>
  <si>
    <t>เตชนิธิ</t>
  </si>
  <si>
    <t>แซ่ลิ่ม</t>
  </si>
  <si>
    <t>เตชนิธิ แซ่ลิ่ม</t>
  </si>
  <si>
    <t>ศรัณยพงค์</t>
  </si>
  <si>
    <t>ทองขาว</t>
  </si>
  <si>
    <t>ศรัณยพงค์ ทองขาว</t>
  </si>
  <si>
    <t>เบญจรัตน์</t>
  </si>
  <si>
    <t>รื่นคุณ</t>
  </si>
  <si>
    <t>เบญจรัตน์ รื่นคุณ</t>
  </si>
  <si>
    <t>ธิตินันท์</t>
  </si>
  <si>
    <t>ไชยวงศ์หวั่นท๊อก</t>
  </si>
  <si>
    <t>ธิตินันท์ ไชยวงศ์หวั่นท๊อก</t>
  </si>
  <si>
    <t>จรินทร</t>
  </si>
  <si>
    <t>สุขนาแซง</t>
  </si>
  <si>
    <t>จรินทร สุขนาแซง</t>
  </si>
  <si>
    <t>สุวีรา</t>
  </si>
  <si>
    <t>เสือบุญ</t>
  </si>
  <si>
    <t>สุวีรา เสือบุญ</t>
  </si>
  <si>
    <t>อชิร</t>
  </si>
  <si>
    <t>โฆษะปัญญาธรรม</t>
  </si>
  <si>
    <t>อชิร โฆษะปัญญาธรรม</t>
  </si>
  <si>
    <t>พิทักษ</t>
  </si>
  <si>
    <t>อุสาย</t>
  </si>
  <si>
    <t>พิทักษ อุสาย</t>
  </si>
  <si>
    <t>วิลาวัลย์</t>
  </si>
  <si>
    <t>นันทรัตน์</t>
  </si>
  <si>
    <t>วิลาวัลย์ นันทรัตน์</t>
  </si>
  <si>
    <t>ณัฐวรรนธ์</t>
  </si>
  <si>
    <t>ศิริคุณ</t>
  </si>
  <si>
    <t>ณัฐวรรนธ์ ศิริคุณ</t>
  </si>
  <si>
    <t>กิตติยา</t>
  </si>
  <si>
    <t>พุ่มกระจ่าง</t>
  </si>
  <si>
    <t>กิตติยา พุ่มกระจ่าง</t>
  </si>
  <si>
    <t>สันติ</t>
  </si>
  <si>
    <t>แร่เพ็ชร</t>
  </si>
  <si>
    <t>สันติ แร่เพ็ชร</t>
  </si>
  <si>
    <t>อามิตา</t>
  </si>
  <si>
    <t>ตาเดอิน</t>
  </si>
  <si>
    <t>อามิตา ตาเดอิน</t>
  </si>
  <si>
    <t>ญณิฎา</t>
  </si>
  <si>
    <t>ชาญโชติทวีสิน</t>
  </si>
  <si>
    <t>ญณิฎา ชาญโชติทวีสิน</t>
  </si>
  <si>
    <t>สุพรรณี</t>
  </si>
  <si>
    <t>นงนุช</t>
  </si>
  <si>
    <t>สุพรรณี นงนุช</t>
  </si>
  <si>
    <t>ภศุฒิโชค</t>
  </si>
  <si>
    <t>ภศุฒิโชค ชาญโชติทวีสิน</t>
  </si>
  <si>
    <t xml:space="preserve">นางสาว </t>
  </si>
  <si>
    <t>ณัฐพร</t>
  </si>
  <si>
    <t>นารี</t>
  </si>
  <si>
    <t>ณัฐพร นารี</t>
  </si>
  <si>
    <t>ฐณรัช</t>
  </si>
  <si>
    <t>ขนบดี</t>
  </si>
  <si>
    <t>ฐณรัช ขนบดี</t>
  </si>
  <si>
    <t>ธวัชชัย</t>
  </si>
  <si>
    <t>สีหามาตย์</t>
  </si>
  <si>
    <t>ธวัชชัย สีหามาตย์</t>
  </si>
  <si>
    <t>สรัญญา</t>
  </si>
  <si>
    <t>เพ็งประภา</t>
  </si>
  <si>
    <t>สรัญญา เพ็งประภา</t>
  </si>
  <si>
    <t>กนก</t>
  </si>
  <si>
    <t>เกษรบุบผา</t>
  </si>
  <si>
    <t>กนก เกษรบุบผา</t>
  </si>
  <si>
    <t>ณมลชนก</t>
  </si>
  <si>
    <t>แสนวัง</t>
  </si>
  <si>
    <t>ณมลชนก แสนวัง</t>
  </si>
  <si>
    <t>ชมพูนุช</t>
  </si>
  <si>
    <t>ธรรมเนียมอินทร์</t>
  </si>
  <si>
    <t>ชมพูนุช ธรรมเนียมอินทร์</t>
  </si>
  <si>
    <t>กัญญา</t>
  </si>
  <si>
    <t>ชาญกิจ</t>
  </si>
  <si>
    <t>กัญญา ชาญกิจ</t>
  </si>
  <si>
    <t>กนกกาญจน์</t>
  </si>
  <si>
    <t>นิพรรัมย์</t>
  </si>
  <si>
    <t>กนกกาญจน์ นิพรรัมย์</t>
  </si>
  <si>
    <t>สุพรรษา</t>
  </si>
  <si>
    <t>ทาจันทึก</t>
  </si>
  <si>
    <t>สุพรรษา ทาจันทึก</t>
  </si>
  <si>
    <t>ผุสดี</t>
  </si>
  <si>
    <t>ไทรทองคำ</t>
  </si>
  <si>
    <t>ผุสดี ไทรทองคำ</t>
  </si>
  <si>
    <t>กัญมน</t>
  </si>
  <si>
    <t>ตั้งวิถีชีวิต</t>
  </si>
  <si>
    <t>กัญมน ตั้งวิถีชีวิต</t>
  </si>
  <si>
    <t>ภาณุภณ</t>
  </si>
  <si>
    <t>อธิเชาวนนท์</t>
  </si>
  <si>
    <t>ภาณุภณ อธิเชาวนนท์</t>
  </si>
  <si>
    <t>ทชภณ</t>
  </si>
  <si>
    <t>อนันตาวรกุล</t>
  </si>
  <si>
    <t>ทชภณ อนันตาวรกุล</t>
  </si>
  <si>
    <t>ยศวร</t>
  </si>
  <si>
    <t>มูลก้อนแก้ว</t>
  </si>
  <si>
    <t>ยศวร มูลก้อนแก้ว</t>
  </si>
  <si>
    <t>วาริณี</t>
  </si>
  <si>
    <t>สิงหะ</t>
  </si>
  <si>
    <t>วาริณี สิงหะ</t>
  </si>
  <si>
    <t>พนิดา</t>
  </si>
  <si>
    <t>กิมเฮง</t>
  </si>
  <si>
    <t>พนิดา กิมเฮง</t>
  </si>
  <si>
    <t>นิรันดร์</t>
  </si>
  <si>
    <t>ธรรมผลิน</t>
  </si>
  <si>
    <t>นิรันดร์ ธรรมผลิน</t>
  </si>
  <si>
    <t>พรรุจา</t>
  </si>
  <si>
    <t>พิชาภพทิพปภา</t>
  </si>
  <si>
    <t>พรรุจา พิชาภพทิพปภา</t>
  </si>
  <si>
    <t>สุดใจ</t>
  </si>
  <si>
    <t>ปวีณา สุดใจ</t>
  </si>
  <si>
    <t>รัตนาวดี</t>
  </si>
  <si>
    <t>รัตนกำเนิด</t>
  </si>
  <si>
    <t>รัตนาวดี รัตนกำเนิด</t>
  </si>
  <si>
    <t>วิโรจน์</t>
  </si>
  <si>
    <t>ชอบธรรม</t>
  </si>
  <si>
    <t>วิโรจน์ ชอบธรรม</t>
  </si>
  <si>
    <t>ภูมิพัฒม์</t>
  </si>
  <si>
    <t>เพ็ชรตระกูลชาติ</t>
  </si>
  <si>
    <t>ภูมิพัฒม์ เพ็ชรตระกูลชาติ</t>
  </si>
  <si>
    <t>รัชพล</t>
  </si>
  <si>
    <t>อันทะคำภู</t>
  </si>
  <si>
    <t>รัชพล อันทะคำภู</t>
  </si>
  <si>
    <t>บังอร</t>
  </si>
  <si>
    <t>จัยยะ</t>
  </si>
  <si>
    <t>บังอร จัยยะ</t>
  </si>
  <si>
    <t>ปริณทิพย์</t>
  </si>
  <si>
    <t>ปัญญาเธียรเลิศ</t>
  </si>
  <si>
    <t>ปริณทิพย์ ปัญญาเธียรเลิศ</t>
  </si>
  <si>
    <t>ธีระยุทธ์</t>
  </si>
  <si>
    <t>ขุนศรีแก้ว</t>
  </si>
  <si>
    <t>ธีระยุทธ์ ขุนศรีแก้ว</t>
  </si>
  <si>
    <t>อัยยาวริญ</t>
  </si>
  <si>
    <t>จรีวรรณเพชร</t>
  </si>
  <si>
    <t>อัยยาวริญ จรีวรรณเพชร</t>
  </si>
  <si>
    <t>วรวิทย์</t>
  </si>
  <si>
    <t>ยาตา</t>
  </si>
  <si>
    <t>วรวิทย์ ยาตา</t>
  </si>
  <si>
    <t>มงคล</t>
  </si>
  <si>
    <t>บุญลลิต</t>
  </si>
  <si>
    <t>Sales Rejoin</t>
  </si>
  <si>
    <t>มงคล บุญลลิต</t>
  </si>
  <si>
    <t>พรทิพย์</t>
  </si>
  <si>
    <t>ครูอ้น</t>
  </si>
  <si>
    <t>พรทิพย์ ครูอ้น</t>
  </si>
  <si>
    <t>นพพล</t>
  </si>
  <si>
    <t>รวบรัตน์</t>
  </si>
  <si>
    <t>นพพล รวบรัตน์</t>
  </si>
  <si>
    <t>ณัฎนพินน์</t>
  </si>
  <si>
    <t>พวงทองทิพย์</t>
  </si>
  <si>
    <t>ณัฎนพินน์ พวงทองทิพย์</t>
  </si>
  <si>
    <t>วิภาวรรณ</t>
  </si>
  <si>
    <t>กระจ่างศรี</t>
  </si>
  <si>
    <t>วิภาวรรณ กระจ่างศรี</t>
  </si>
  <si>
    <t>อิสมะแอล</t>
  </si>
  <si>
    <t>จำปีพันธ์</t>
  </si>
  <si>
    <t>อิสมะแอล จำปีพันธ์</t>
  </si>
  <si>
    <t>ณัฐนันท์</t>
  </si>
  <si>
    <t>สวัสดี</t>
  </si>
  <si>
    <t>ณัฐนันท์ สวัสดี</t>
  </si>
  <si>
    <t>ไกรยุทธ</t>
  </si>
  <si>
    <t>สีทา</t>
  </si>
  <si>
    <t>ไกรยุทธ สีทา</t>
  </si>
  <si>
    <t>ชานุวัฒน์</t>
  </si>
  <si>
    <t>ซ้องกา</t>
  </si>
  <si>
    <t>ชานุวัฒน์ ซ้องกา</t>
  </si>
  <si>
    <t>จีรนันท์</t>
  </si>
  <si>
    <t>วิภวานี</t>
  </si>
  <si>
    <t>จีรนันท์ วิภวานี</t>
  </si>
  <si>
    <t>ชนัญญา</t>
  </si>
  <si>
    <t>เผือกผ่องใส</t>
  </si>
  <si>
    <t>ชนัญญา เผือกผ่องใส</t>
  </si>
  <si>
    <t>พรพรรณ</t>
  </si>
  <si>
    <t>ชาวเวียง</t>
  </si>
  <si>
    <t>พรพรรณ ชาวเวียง</t>
  </si>
  <si>
    <t>จตุพล</t>
  </si>
  <si>
    <t>ดีอดุลย์</t>
  </si>
  <si>
    <t>จตุพล ดีอดุลย์</t>
  </si>
  <si>
    <t>น้ำฝน</t>
  </si>
  <si>
    <t>บุบผามาลา</t>
  </si>
  <si>
    <t>น้ำฝน บุบผามาลา</t>
  </si>
  <si>
    <t>ศิริพร</t>
  </si>
  <si>
    <t>พวงทิพย์</t>
  </si>
  <si>
    <t>ศิริพร พวงทิพย์</t>
  </si>
  <si>
    <t>สุภาพร</t>
  </si>
  <si>
    <t>บุญทวี</t>
  </si>
  <si>
    <t>สุภาพร บุญทวี</t>
  </si>
  <si>
    <t>จีระนันท์</t>
  </si>
  <si>
    <t>ทานะเวช</t>
  </si>
  <si>
    <t>จีระนันท์ ทานะเวช</t>
  </si>
  <si>
    <t>กานต์ชนก</t>
  </si>
  <si>
    <t>ละออสุวรรณ</t>
  </si>
  <si>
    <t>กานต์ชนก ละออสุวรรณ</t>
  </si>
  <si>
    <t>ธีระวุฒิ</t>
  </si>
  <si>
    <t>อินจันทร์</t>
  </si>
  <si>
    <t>ธีระวุฒิ อินจันทร์</t>
  </si>
  <si>
    <t>กรณ์พงษ์</t>
  </si>
  <si>
    <t>เสียงสุวรรณ</t>
  </si>
  <si>
    <t>กรณ์พงษ์ เสียงสุวรรณ</t>
  </si>
  <si>
    <t>เพทาย</t>
  </si>
  <si>
    <t>นิยมวานิช</t>
  </si>
  <si>
    <t>เพทาย นิยมวานิช</t>
  </si>
  <si>
    <t>จินตนา</t>
  </si>
  <si>
    <t>นาคขวัญ</t>
  </si>
  <si>
    <t>จินตนา นาคขวัญ</t>
  </si>
  <si>
    <t>กัญญ์พัสวี</t>
  </si>
  <si>
    <t>สิรวัฒิภัค</t>
  </si>
  <si>
    <t>กัญญ์พัสวี สิรวัฒิภัค</t>
  </si>
  <si>
    <t>ธันยนันท์</t>
  </si>
  <si>
    <t>อธิเจียราธร</t>
  </si>
  <si>
    <t>ธันยนันท์ อธิเจียราธร</t>
  </si>
  <si>
    <t>อนุชิต</t>
  </si>
  <si>
    <t>ขลุ่ยนาค</t>
  </si>
  <si>
    <t>อนุชิต ขลุ่ยนาค</t>
  </si>
  <si>
    <t>สุนีย์พร</t>
  </si>
  <si>
    <t>จันต๊ะคาด</t>
  </si>
  <si>
    <t>สุนีย์พร จันต๊ะคาด</t>
  </si>
  <si>
    <t>ณวรรณ์ลดา</t>
  </si>
  <si>
    <t>บุตรดา</t>
  </si>
  <si>
    <t>ณวรรณ์ลดา บุตรดา</t>
  </si>
  <si>
    <t>ณัฏฐ์ชิตา</t>
  </si>
  <si>
    <t>ณัฏฐ์ชิตา ผิวเผื่อน</t>
  </si>
  <si>
    <t>ธนกฤต</t>
  </si>
  <si>
    <t>จันทร์หอม</t>
  </si>
  <si>
    <t>ธนกฤต จันทร์หอม</t>
  </si>
  <si>
    <t>ธนกร</t>
  </si>
  <si>
    <t>จิรัฐธนากุล</t>
  </si>
  <si>
    <t>ธนกร จิรัฐธนากุล</t>
  </si>
  <si>
    <t>ภูมิบดินทร์</t>
  </si>
  <si>
    <t>ดิฐภักดีดิลก</t>
  </si>
  <si>
    <t>ภูมิบดินทร์ ดิฐภักดีดิลก</t>
  </si>
  <si>
    <t>ปัญญา</t>
  </si>
  <si>
    <t>สิริจารุไพบูลย์</t>
  </si>
  <si>
    <t>ปัญญา สิริจารุไพบูลย์</t>
  </si>
  <si>
    <t>สุชันษา</t>
  </si>
  <si>
    <t>เตชะมา</t>
  </si>
  <si>
    <t>สุชันษา เตชะมา</t>
  </si>
  <si>
    <t>กฤติญา</t>
  </si>
  <si>
    <t>ศรีรุ่งรัตนาภา</t>
  </si>
  <si>
    <t>กฤติญา ศรีรุ่งรัตนาภา</t>
  </si>
  <si>
    <t>ปภาศิริ</t>
  </si>
  <si>
    <t>จงจิต</t>
  </si>
  <si>
    <t>ปภาศิริ จงจิต</t>
  </si>
  <si>
    <t>จามรี</t>
  </si>
  <si>
    <t>เอ็มเอ็ม</t>
  </si>
  <si>
    <t>จามรี เอ็มเอ็ม</t>
  </si>
  <si>
    <t>กุลสุชา</t>
  </si>
  <si>
    <t>ปิ่นเงิน</t>
  </si>
  <si>
    <t>กุลสุชา ปิ่นเงิน</t>
  </si>
  <si>
    <t>ศศิกานต์</t>
  </si>
  <si>
    <t>สุดสงวน</t>
  </si>
  <si>
    <t>ศศิกานต์ สุดสงวน</t>
  </si>
  <si>
    <t>พัชร์ลิตา</t>
  </si>
  <si>
    <t>ศิระธนันพัทธ์</t>
  </si>
  <si>
    <t>พัชร์ลิตา ศิระธนันพัทธ์</t>
  </si>
  <si>
    <t>ปิยะธิดา</t>
  </si>
  <si>
    <t>ติระนนท์</t>
  </si>
  <si>
    <t>ปิยะธิดา ติระนนท์</t>
  </si>
  <si>
    <t>สิทธิชัย</t>
  </si>
  <si>
    <t>สมศักดิ์</t>
  </si>
  <si>
    <t>สิทธิชัย สมศักดิ์</t>
  </si>
  <si>
    <t>นิรดา</t>
  </si>
  <si>
    <t>เจริญชัยพิพัฒน์</t>
  </si>
  <si>
    <t>นิรดา เจริญชัยพิพัฒน์</t>
  </si>
  <si>
    <t>ฐรัชญา</t>
  </si>
  <si>
    <t>กิตตินันทเศรษฐ์</t>
  </si>
  <si>
    <t>ฐรัชญา กิตตินันทเศรษฐ์</t>
  </si>
  <si>
    <t>รัตยา</t>
  </si>
  <si>
    <t>เย็นใจ</t>
  </si>
  <si>
    <t>รัตยา เย็นใจ</t>
  </si>
  <si>
    <t>สุวพัชร</t>
  </si>
  <si>
    <t>ทับซ้อน</t>
  </si>
  <si>
    <t>สุวพัชร ทับซ้อน</t>
  </si>
  <si>
    <t>ไชยศักดิ์</t>
  </si>
  <si>
    <t>พรก่ำศุภะไพศาล</t>
  </si>
  <si>
    <t>ไชยศักดิ์ พรก่ำศุภะไพศาล</t>
  </si>
  <si>
    <t>กฤติกร</t>
  </si>
  <si>
    <t>วิโรจภัทราสุข</t>
  </si>
  <si>
    <t>กฤติกร วิโรจภัทราสุข</t>
  </si>
  <si>
    <t>เทวัญ</t>
  </si>
  <si>
    <t>แก่นสาร</t>
  </si>
  <si>
    <t>เทวัญ แก่นสาร</t>
  </si>
  <si>
    <t>อรุณรุ่ง</t>
  </si>
  <si>
    <t>อริยะ</t>
  </si>
  <si>
    <t>อรุณรุ่ง อริยะ</t>
  </si>
  <si>
    <t>สิรินารี</t>
  </si>
  <si>
    <t>หมานสกุล</t>
  </si>
  <si>
    <t>สิรินารี หมานสกุล</t>
  </si>
  <si>
    <t>ชุติกาญจน์</t>
  </si>
  <si>
    <t>อ่อนสลุง</t>
  </si>
  <si>
    <t>ชุติกาญจน์ อ่อนสลุง</t>
  </si>
  <si>
    <t>อัญธิญาน์</t>
  </si>
  <si>
    <t>อชิระเจริญพงษ์</t>
  </si>
  <si>
    <t>อัญธิญาน์ อชิระเจริญพงษ์</t>
  </si>
  <si>
    <t>ศตวรรษ</t>
  </si>
  <si>
    <t>ศรีสมัย</t>
  </si>
  <si>
    <t>ศตวรรษ ศรีสมัย</t>
  </si>
  <si>
    <t>รัชนีกร</t>
  </si>
  <si>
    <t>ทาแดง</t>
  </si>
  <si>
    <t>รัชนีกร ทาแดง</t>
  </si>
  <si>
    <t>อริศรา</t>
  </si>
  <si>
    <t>สุระพีพงษ์</t>
  </si>
  <si>
    <t>อริศรา สุระพีพงษ์</t>
  </si>
  <si>
    <t>สาธิดา</t>
  </si>
  <si>
    <t>สายสุวรรณ์</t>
  </si>
  <si>
    <t>สาธิดา สายสุวรรณ์</t>
  </si>
  <si>
    <t>รัตนา</t>
  </si>
  <si>
    <t>ยิ้มชูเดช</t>
  </si>
  <si>
    <t>รัตนา ยิ้มชูเดช</t>
  </si>
  <si>
    <t>สรรเพชร</t>
  </si>
  <si>
    <t>สุขสงเคราะห์</t>
  </si>
  <si>
    <t>สรรเพชร สุขสงเคราะห์</t>
  </si>
  <si>
    <t>อิสรีย์</t>
  </si>
  <si>
    <t>แก้วทอง</t>
  </si>
  <si>
    <t>อิสรีย์ แก้วทอง</t>
  </si>
  <si>
    <t>พิมพ์วิภา</t>
  </si>
  <si>
    <t>มะโนใจ</t>
  </si>
  <si>
    <t>พิมพ์วิภา มะโนใจ</t>
  </si>
  <si>
    <t>เสาวรส</t>
  </si>
  <si>
    <t>แซ่โง้ว</t>
  </si>
  <si>
    <t>เสาวรส แซ่โง้ว</t>
  </si>
  <si>
    <t>ณิชาพัฒน์</t>
  </si>
  <si>
    <t>บุญชาลี</t>
  </si>
  <si>
    <t>ณิชาพัฒน์ บุญชาลี</t>
  </si>
  <si>
    <t>ภูมิพิทักษ์</t>
  </si>
  <si>
    <t>มั่งคั่ง</t>
  </si>
  <si>
    <t>New</t>
  </si>
  <si>
    <t>ภูมิพิทักษ์ มั่งคั่ง</t>
  </si>
  <si>
    <t>ชัญญภัทร</t>
  </si>
  <si>
    <t>ธนวิชธาวิน</t>
  </si>
  <si>
    <t>ชัญญภัทร ธนวิชธาวิน</t>
  </si>
  <si>
    <t>สุจิตรา</t>
  </si>
  <si>
    <t>อิ่มเอิบ</t>
  </si>
  <si>
    <t>สุจิตรา อิ่มเอิบ</t>
  </si>
  <si>
    <t>ชญานี</t>
  </si>
  <si>
    <t>มอนไข่</t>
  </si>
  <si>
    <t>ชญานี มอนไข่</t>
  </si>
  <si>
    <t>กวินทรา</t>
  </si>
  <si>
    <t>นำพล</t>
  </si>
  <si>
    <t>กวินทรา นำพล</t>
  </si>
  <si>
    <t>ชูศักดิ์</t>
  </si>
  <si>
    <t>วังวงค์</t>
  </si>
  <si>
    <t>ชูศักดิ์ วังวงค์</t>
  </si>
  <si>
    <t>6930127</t>
  </si>
  <si>
    <t>ปิยนุช</t>
  </si>
  <si>
    <t>ทองแท้</t>
  </si>
  <si>
    <t>ปิยนุช ทองแท้</t>
  </si>
  <si>
    <t>6930128</t>
  </si>
  <si>
    <t>ธุมากร</t>
  </si>
  <si>
    <t>ประเสริฐศรีเจริญ</t>
  </si>
  <si>
    <t>ธุมากร ประเสริฐศรีเจริญ</t>
  </si>
  <si>
    <t>6930129</t>
  </si>
  <si>
    <t>เอกชาติ</t>
  </si>
  <si>
    <t>เอี่ยมสอาด</t>
  </si>
  <si>
    <t>เอกชาติ เอี่ยมสอาด</t>
  </si>
  <si>
    <t>6930130</t>
  </si>
  <si>
    <t>สาลินี</t>
  </si>
  <si>
    <t>นรรัตน์</t>
  </si>
  <si>
    <t>สาลินี นรรัตน์</t>
  </si>
  <si>
    <t>6930131</t>
  </si>
  <si>
    <t>พรรณธิรา</t>
  </si>
  <si>
    <t>สุขจับจันทร์</t>
  </si>
  <si>
    <t>พรรณธิรา สุขจับจันทร์</t>
  </si>
  <si>
    <t>6930133</t>
  </si>
  <si>
    <t>ทรงธรรม</t>
  </si>
  <si>
    <t>ทวีวิภาสพงศ์</t>
  </si>
  <si>
    <t>ทรงธรรม ทวีวิภาสพงศ์</t>
  </si>
  <si>
    <t>6930134</t>
  </si>
  <si>
    <t>ปริสฐา</t>
  </si>
  <si>
    <t>สโมสร</t>
  </si>
  <si>
    <t>ปริสฐา สโมสร</t>
  </si>
  <si>
    <t>6930135</t>
  </si>
  <si>
    <t>ปฏิมา</t>
  </si>
  <si>
    <t>บัวแก้ว</t>
  </si>
  <si>
    <t>ปฏิมา บัวแก้ว</t>
  </si>
  <si>
    <t>6930136</t>
  </si>
  <si>
    <t>ฐิติมา</t>
  </si>
  <si>
    <t>เนียมเรือง</t>
  </si>
  <si>
    <t>ฐิติมา เนียมเรือง</t>
  </si>
  <si>
    <t>6930137</t>
  </si>
  <si>
    <t>สิริพร</t>
  </si>
  <si>
    <t>พลับทอง</t>
  </si>
  <si>
    <t>สิริพร พลับทอง</t>
  </si>
  <si>
    <t>6930138</t>
  </si>
  <si>
    <t>อัศฎา</t>
  </si>
  <si>
    <t>รักษาเพชร</t>
  </si>
  <si>
    <t>อัศฎา รักษาเพชร</t>
  </si>
  <si>
    <t>6930139</t>
  </si>
  <si>
    <t>สุวรรณรินทร์</t>
  </si>
  <si>
    <t>อรวรรณ สุวรรณรินทร์</t>
  </si>
  <si>
    <t>6930140</t>
  </si>
  <si>
    <t>นาถนรินทร์</t>
  </si>
  <si>
    <t>เยาว์ทุม</t>
  </si>
  <si>
    <t>นาถนรินทร์ เยาว์ทุม</t>
  </si>
  <si>
    <t>6930141</t>
  </si>
  <si>
    <t>เบิร์น</t>
  </si>
  <si>
    <t>วิรติกุล</t>
  </si>
  <si>
    <t>เบิร์น วิรติกุล</t>
  </si>
  <si>
    <t>6930142</t>
  </si>
  <si>
    <t>อัจฉรา</t>
  </si>
  <si>
    <t>โสภาวัฒน์</t>
  </si>
  <si>
    <t>อัจฉรา โสภาวัฒน์</t>
  </si>
  <si>
    <t>6930143</t>
  </si>
  <si>
    <t>ณัฐรดาพร</t>
  </si>
  <si>
    <t>พุ่มงาม</t>
  </si>
  <si>
    <t>ณัฐรดาพร พุ่มงาม</t>
  </si>
  <si>
    <t>6930144</t>
  </si>
  <si>
    <t>จักรัตน์</t>
  </si>
  <si>
    <t>สิมารักษ์</t>
  </si>
  <si>
    <t>จักรัตน์ สิมารักษ์</t>
  </si>
  <si>
    <t>6930145</t>
  </si>
  <si>
    <t>ทิพวรรณ</t>
  </si>
  <si>
    <t>กังอนันต์</t>
  </si>
  <si>
    <t>ทิพวรรณ กังอนันต์</t>
  </si>
  <si>
    <t>6930146</t>
  </si>
  <si>
    <t>นิรุจส์</t>
  </si>
  <si>
    <t>สุทธิชัยธีรกุล</t>
  </si>
  <si>
    <t>นิรุจส์ สุทธิชัยธีรกุล</t>
  </si>
  <si>
    <t>6930147</t>
  </si>
  <si>
    <t>ณัฏฐ์ชุดา</t>
  </si>
  <si>
    <t>สมพันธ์แพ</t>
  </si>
  <si>
    <t>ณัฏฐ์ชุดา สมพันธ์แพ</t>
  </si>
  <si>
    <t>6930148</t>
  </si>
  <si>
    <t>ปิ่นแก้ว</t>
  </si>
  <si>
    <t>ภูศรีโสม</t>
  </si>
  <si>
    <t>ปิ่นแก้ว ภูศรีโสม</t>
  </si>
  <si>
    <t>6930149</t>
  </si>
  <si>
    <t>ภัทรชิรพร</t>
  </si>
  <si>
    <t>เขื่อนคำ</t>
  </si>
  <si>
    <t>ภัทรชิรพร เขื่อนคำ</t>
  </si>
  <si>
    <t>6930150</t>
  </si>
  <si>
    <t>วนิดา</t>
  </si>
  <si>
    <t>มาสา</t>
  </si>
  <si>
    <t>วนิดา มาสา</t>
  </si>
  <si>
    <t>6930151</t>
  </si>
  <si>
    <t>จริยา</t>
  </si>
  <si>
    <t>ขวัญทอง</t>
  </si>
  <si>
    <t>จริยา ขวัญทอง</t>
  </si>
  <si>
    <t>6930152</t>
  </si>
  <si>
    <t>ศรีนวลขาว</t>
  </si>
  <si>
    <t>พรทิพย์ ศรีนวลขาว</t>
  </si>
  <si>
    <t>6930153</t>
  </si>
  <si>
    <t>สิริรัตน์</t>
  </si>
  <si>
    <t>ล้อมวงค์</t>
  </si>
  <si>
    <t>สิริรัตน์ ล้อมวงค์</t>
  </si>
  <si>
    <t>6930154</t>
  </si>
  <si>
    <t>วิทวัฒน์</t>
  </si>
  <si>
    <t>ชัยมั่น</t>
  </si>
  <si>
    <t>วิทวัฒน์ ชัยมั่น</t>
  </si>
  <si>
    <t>6930155</t>
  </si>
  <si>
    <t>กิตติณัฐ์</t>
  </si>
  <si>
    <t>กิตติณัฐ์ ฟูอินต๊ะ</t>
  </si>
  <si>
    <t>6930156</t>
  </si>
  <si>
    <t>ภูริชญา</t>
  </si>
  <si>
    <t>ประสาธน์สุวรรณ</t>
  </si>
  <si>
    <t>ภูริชญา ประสาธน์สุวรรณ</t>
  </si>
  <si>
    <t>6930158</t>
  </si>
  <si>
    <t>หอมแก้ว</t>
  </si>
  <si>
    <t>สุภาพร หอมแก้ว</t>
  </si>
  <si>
    <t>6930159</t>
  </si>
  <si>
    <t>ศิริรักษ์</t>
  </si>
  <si>
    <t>เกตุเอี่ยม</t>
  </si>
  <si>
    <t>ศิริรักษ์ เกตุเอี่ยม</t>
  </si>
  <si>
    <t>6930160</t>
  </si>
  <si>
    <t>คงศักดิ์</t>
  </si>
  <si>
    <t>คงศักดิ์ สันติภาพพงศา</t>
  </si>
  <si>
    <t>6930161</t>
  </si>
  <si>
    <t>ปิติยาภรณ์</t>
  </si>
  <si>
    <t>แซ่ลี้</t>
  </si>
  <si>
    <t>ปิติยาภรณ์ แซ่ลี้</t>
  </si>
  <si>
    <t>6930162</t>
  </si>
  <si>
    <t>ดวงนภา</t>
  </si>
  <si>
    <t>ศรีหะวงษ์</t>
  </si>
  <si>
    <t>ดวงนภา ศรีหะวงษ์</t>
  </si>
  <si>
    <t>6930163</t>
  </si>
  <si>
    <t>กัลยานิษฐ์</t>
  </si>
  <si>
    <t>โพธิ์ขาว</t>
  </si>
  <si>
    <t>กัลยานิษฐ์ โพธิ์ขาว</t>
  </si>
  <si>
    <t>6930164</t>
  </si>
  <si>
    <t>ธารินี</t>
  </si>
  <si>
    <t>ยอดมา</t>
  </si>
  <si>
    <t>ธารินี ยอดมา</t>
  </si>
  <si>
    <t>6930165</t>
  </si>
  <si>
    <t>อัญชนา</t>
  </si>
  <si>
    <t>เผือกวัฒนะ</t>
  </si>
  <si>
    <t>อัญชนา เผือกวัฒนะ</t>
  </si>
  <si>
    <t>6930166</t>
  </si>
  <si>
    <t>สุกัลยา</t>
  </si>
  <si>
    <t>สิทธิชาคำ</t>
  </si>
  <si>
    <t>สุกัลยา สิทธิชาคำ</t>
  </si>
  <si>
    <t>6930167</t>
  </si>
  <si>
    <t>ขวัญใจ</t>
  </si>
  <si>
    <t>สงแจ้งใหญ่</t>
  </si>
  <si>
    <t>ขวัญใจ สงแจ้งใหญ่</t>
  </si>
  <si>
    <t>6930168</t>
  </si>
  <si>
    <t>วันเพ็ญ</t>
  </si>
  <si>
    <t>ศูนย์กลาง</t>
  </si>
  <si>
    <t>วันเพ็ญ ศูนย์กลาง</t>
  </si>
  <si>
    <t>6930169</t>
  </si>
  <si>
    <t>วงสุวรรณ์</t>
  </si>
  <si>
    <t>นิรดา วงสุวรรณ์</t>
  </si>
  <si>
    <t>6930170</t>
  </si>
  <si>
    <t>ญาณัจฉรา</t>
  </si>
  <si>
    <t>สืบสิงห์</t>
  </si>
  <si>
    <t>ญาณัจฉรา สืบสิงห์</t>
  </si>
  <si>
    <t>6930171</t>
  </si>
  <si>
    <t>ชินวัฒน์</t>
  </si>
  <si>
    <t>ภู่ดอก</t>
  </si>
  <si>
    <t>ชินวัฒน์ ภู่ดอก</t>
  </si>
  <si>
    <t>6930172</t>
  </si>
  <si>
    <t>ณัฐรวี</t>
  </si>
  <si>
    <t>แสงมงคลพิพัฒน์</t>
  </si>
  <si>
    <t>ณัฐรวี แสงมงคลพิพัฒน์</t>
  </si>
  <si>
    <t>6930173</t>
  </si>
  <si>
    <t>จีรวรรณ</t>
  </si>
  <si>
    <t>แสงแก้ว</t>
  </si>
  <si>
    <t>จีรวรรณ แสงแก้ว</t>
  </si>
  <si>
    <t>6930174</t>
  </si>
  <si>
    <t>อรัณย์กร</t>
  </si>
  <si>
    <t>เตชะวัชรานนท์</t>
  </si>
  <si>
    <t>อรัณย์กร เตชะวัชรานนท์</t>
  </si>
  <si>
    <t>6930175</t>
  </si>
  <si>
    <t>เนตรภัสพร</t>
  </si>
  <si>
    <t>บุญยงค์</t>
  </si>
  <si>
    <t>เนตรภัสพร บุญยงค์</t>
  </si>
  <si>
    <t>6930176</t>
  </si>
  <si>
    <t>ฐิติยา</t>
  </si>
  <si>
    <t>ทนสิงห์</t>
  </si>
  <si>
    <t>ฐิติยา ทนสิงห์</t>
  </si>
  <si>
    <t>6930177</t>
  </si>
  <si>
    <t>นพดล</t>
  </si>
  <si>
    <t>หัตถกิจ</t>
  </si>
  <si>
    <t>นพดล หัตถกิจ</t>
  </si>
  <si>
    <t>6930178</t>
  </si>
  <si>
    <t>ปฐมพร</t>
  </si>
  <si>
    <t>บุตรวงษ์</t>
  </si>
  <si>
    <t>ปฐมพร บุตรวงษ์</t>
  </si>
  <si>
    <t>6930179</t>
  </si>
  <si>
    <t>ปัทมา</t>
  </si>
  <si>
    <t>โหลนอก</t>
  </si>
  <si>
    <t>ปัทมา โหลนอก</t>
  </si>
  <si>
    <t>6930180</t>
  </si>
  <si>
    <t>ชิสา</t>
  </si>
  <si>
    <t>ธนันท์ศุภกุล</t>
  </si>
  <si>
    <t>ชิสา ธนันท์ศุภกุล</t>
  </si>
  <si>
    <t>6930181</t>
  </si>
  <si>
    <t>วรรณวิษา</t>
  </si>
  <si>
    <t>สุทธิชาติ</t>
  </si>
  <si>
    <t>วรรณวิษา สุทธิชาติ</t>
  </si>
  <si>
    <t>6930182</t>
  </si>
  <si>
    <t>ศุภิกา</t>
  </si>
  <si>
    <t>พวงพา</t>
  </si>
  <si>
    <t>ศุภิกา พวงพา</t>
  </si>
  <si>
    <t>6930183</t>
  </si>
  <si>
    <t>สังฆะคาม</t>
  </si>
  <si>
    <t>สุจิตรา สังฆะคาม</t>
  </si>
  <si>
    <t>6930184</t>
  </si>
  <si>
    <t>กรรภิรมย์</t>
  </si>
  <si>
    <t>ตู้เหล็ก</t>
  </si>
  <si>
    <t>กรรภิรมย์ ตู้เหล็ก</t>
  </si>
  <si>
    <t>6930185</t>
  </si>
  <si>
    <t>รัตนาภรณ์</t>
  </si>
  <si>
    <t>ตันสกุล</t>
  </si>
  <si>
    <t>รัตนาภรณ์ ตันสกุล</t>
  </si>
  <si>
    <t>6930186</t>
  </si>
  <si>
    <t>พิมลพรรณ</t>
  </si>
  <si>
    <t>แก้วศรีทอง</t>
  </si>
  <si>
    <t>พิมลพรรณ แก้วศรีทอง</t>
  </si>
  <si>
    <t>6930187</t>
  </si>
  <si>
    <t>มนตรี</t>
  </si>
  <si>
    <t>ผลใหญ่</t>
  </si>
  <si>
    <t>มนตรี ผลใหญ่</t>
  </si>
  <si>
    <t>6930188</t>
  </si>
  <si>
    <t>ภิรญา</t>
  </si>
  <si>
    <t>แก้วบุศรากรณ์</t>
  </si>
  <si>
    <t>ภิรญา แก้วบุศรากรณ์</t>
  </si>
  <si>
    <t>6930189</t>
  </si>
  <si>
    <t>แทนโพธิ์</t>
  </si>
  <si>
    <t>ชุติกาญจน์ แทนโพธิ์</t>
  </si>
  <si>
    <t>6930190</t>
  </si>
  <si>
    <t>จิรายุทธ</t>
  </si>
  <si>
    <t>คงเกิด</t>
  </si>
  <si>
    <t>จิรายุทธ คงเกิด</t>
  </si>
  <si>
    <t>6930191</t>
  </si>
  <si>
    <t>เทพวกุล</t>
  </si>
  <si>
    <t>เทพวกุล สุกใส</t>
  </si>
  <si>
    <t>6930192</t>
  </si>
  <si>
    <t>ทิพสุคนธ์</t>
  </si>
  <si>
    <t>นันทรังษี</t>
  </si>
  <si>
    <t>ทิพสุคนธ์ นันทรังษี</t>
  </si>
  <si>
    <t>6930193</t>
  </si>
  <si>
    <t>วรวลัญช์</t>
  </si>
  <si>
    <t>หวานฉ่ำ</t>
  </si>
  <si>
    <t>วรวลัญช์ หวานฉ่ำ</t>
  </si>
  <si>
    <t>6930194</t>
  </si>
  <si>
    <t>สุลัดดา</t>
  </si>
  <si>
    <t>ชัยขวัญงาม</t>
  </si>
  <si>
    <t>สุลัดดา ชัยขวัญงาม</t>
  </si>
  <si>
    <t>6930195</t>
  </si>
  <si>
    <t>ปกรณ์</t>
  </si>
  <si>
    <t>มณีรัตน์</t>
  </si>
  <si>
    <t>ปกรณ์ มณีรัตน์</t>
  </si>
  <si>
    <t>6930196</t>
  </si>
  <si>
    <t>ภูชิต</t>
  </si>
  <si>
    <t>สังฆคาม</t>
  </si>
  <si>
    <t>ภูชิต สังฆคาม</t>
  </si>
  <si>
    <t>สิยาพัฐ</t>
  </si>
  <si>
    <t>เล่าชู</t>
  </si>
  <si>
    <t>สิยาพัฐ เล่าชู</t>
  </si>
  <si>
    <t>อนุรักษ์</t>
  </si>
  <si>
    <t>จันทปฐมอรุณ</t>
  </si>
  <si>
    <t>อนุรักษ์ จันทปฐมอรุณ</t>
  </si>
  <si>
    <t>6930199</t>
  </si>
  <si>
    <t>ปูริดา</t>
  </si>
  <si>
    <t>ครสวรรค์</t>
  </si>
  <si>
    <t>ปูริดา ครสวรรค์</t>
  </si>
  <si>
    <t>พิกุลทอง</t>
  </si>
  <si>
    <t>โพธิ์พาสี</t>
  </si>
  <si>
    <t>พิกุลทอง โพธิ์พาสี</t>
  </si>
  <si>
    <t>ประสิทธิ์</t>
  </si>
  <si>
    <t>อานนท์กิจพานิช</t>
  </si>
  <si>
    <t>ประสิทธิ์ อานนท์กิจพานิช</t>
  </si>
  <si>
    <t>สาระอาภรณ์</t>
  </si>
  <si>
    <t>นันทนา สาระอาภรณ์</t>
  </si>
  <si>
    <t>6930222</t>
  </si>
  <si>
    <t>แก่นนาคำ</t>
  </si>
  <si>
    <t>ปัทมา แก่นนาคำ</t>
  </si>
  <si>
    <t>6930223</t>
  </si>
  <si>
    <t>จิราภรณ์</t>
  </si>
  <si>
    <t>เจียมวงษ์</t>
  </si>
  <si>
    <t>จิราภรณ์ เจียมวงษ์</t>
  </si>
  <si>
    <t>6930224</t>
  </si>
  <si>
    <t>ณัฐญา</t>
  </si>
  <si>
    <t>ณัฐญา ผลใหญ่</t>
  </si>
  <si>
    <t>6930225</t>
  </si>
  <si>
    <t>บัณฑิต</t>
  </si>
  <si>
    <t>อรุณฤกษ์</t>
  </si>
  <si>
    <t>บัณฑิต อรุณฤกษ์</t>
  </si>
  <si>
    <t>ศิลาเณร</t>
  </si>
  <si>
    <t>ณัฐพล ศิลาเณร</t>
  </si>
  <si>
    <t>พัชรีรัตน์</t>
  </si>
  <si>
    <t>มัฆวานพัชรกุล</t>
  </si>
  <si>
    <t>พัชรีรัตน์ มัฆวานพัชรกุล</t>
  </si>
  <si>
    <t>นิภาพร</t>
  </si>
  <si>
    <t>ปางแก้ว</t>
  </si>
  <si>
    <t>นิภาพร ปางแก้ว</t>
  </si>
  <si>
    <t>6930235</t>
  </si>
  <si>
    <t>ณัฎฐากร</t>
  </si>
  <si>
    <t>อ๋อประเสริฐ</t>
  </si>
  <si>
    <t>ณัฎฐากร อ๋อประเสริฐ</t>
  </si>
  <si>
    <t>6930236</t>
  </si>
  <si>
    <t>วิยดา</t>
  </si>
  <si>
    <t>ดิษยนันท์</t>
  </si>
  <si>
    <t>วิยดา ดิษยนันท์</t>
  </si>
  <si>
    <t>6930237</t>
  </si>
  <si>
    <t>วีระพงษ์</t>
  </si>
  <si>
    <t>นกเล็ก</t>
  </si>
  <si>
    <t>วีระพงษ์ นกเล็ก</t>
  </si>
  <si>
    <t>รัศมิ์กุล</t>
  </si>
  <si>
    <t>แน่นหนา</t>
  </si>
  <si>
    <t>รัศมิ์กุล แน่นหนา</t>
  </si>
  <si>
    <t>กฤษดา</t>
  </si>
  <si>
    <t>เพาะบุญ</t>
  </si>
  <si>
    <t>กฤษดา เพาะบุญ</t>
  </si>
  <si>
    <t>6930240</t>
  </si>
  <si>
    <t>กฤติกา</t>
  </si>
  <si>
    <t>จงวัฒนกูล</t>
  </si>
  <si>
    <t>กฤติกา จงวัฒนกูล</t>
  </si>
  <si>
    <t>พชรมณ</t>
  </si>
  <si>
    <t>สุขเหล็ก</t>
  </si>
  <si>
    <t>พชรมณ สุขเหล็ก</t>
  </si>
  <si>
    <t>Code_Team_Dropdown</t>
  </si>
  <si>
    <t>DS1_1_1</t>
  </si>
  <si>
    <t>DS1_1_2</t>
  </si>
  <si>
    <t>DS1_1_3</t>
  </si>
  <si>
    <t>DS1_1_4</t>
  </si>
  <si>
    <t>DS1_2_1</t>
  </si>
  <si>
    <t>DS1_2_2</t>
  </si>
  <si>
    <t>DS1_2_3</t>
  </si>
  <si>
    <t>DS1_2_4</t>
  </si>
  <si>
    <t>DS1_3_1</t>
  </si>
  <si>
    <t>DS1_3_2</t>
  </si>
  <si>
    <t>DS1_3_3</t>
  </si>
  <si>
    <t>DS1_3_4</t>
  </si>
  <si>
    <t>DS1_4_1</t>
  </si>
  <si>
    <t>DS1_4_2</t>
  </si>
  <si>
    <t>DS1_4_3</t>
  </si>
  <si>
    <t>DS1_4_4</t>
  </si>
  <si>
    <t>DS1_5_1</t>
  </si>
  <si>
    <t>DS1_5_2</t>
  </si>
  <si>
    <t>DS1_5_3</t>
  </si>
  <si>
    <t>DS1_5_4</t>
  </si>
  <si>
    <t>DS1_6_1</t>
  </si>
  <si>
    <t>DS1_6_2</t>
  </si>
  <si>
    <t>DS1_6_3</t>
  </si>
  <si>
    <t>DS1_6_4</t>
  </si>
  <si>
    <t>DS2_1_1</t>
  </si>
  <si>
    <t>DS2_5_2</t>
  </si>
  <si>
    <t>DS2_1_2</t>
  </si>
  <si>
    <t>DS2_1_5</t>
  </si>
  <si>
    <t>DS2_4_5</t>
  </si>
  <si>
    <t>DS2_1_3</t>
  </si>
  <si>
    <t>DS2_1_4</t>
  </si>
  <si>
    <t>DS2_5_3</t>
  </si>
  <si>
    <t>DS2_2_1</t>
  </si>
  <si>
    <t>DS2_2_2</t>
  </si>
  <si>
    <t>DS2_3_2</t>
  </si>
  <si>
    <t>DS2_3_5</t>
  </si>
  <si>
    <t>DS2_2_4</t>
  </si>
  <si>
    <t>DS2_2_3</t>
  </si>
  <si>
    <t>DS2_5_4</t>
  </si>
  <si>
    <t>DS2_3_1</t>
  </si>
  <si>
    <t>DS2_3_4</t>
  </si>
  <si>
    <t>DS2_3_3</t>
  </si>
  <si>
    <t>DS2_4_1</t>
  </si>
  <si>
    <t>DS2_4_2</t>
  </si>
  <si>
    <t>DS2_5_1</t>
  </si>
  <si>
    <t>DS2_4_3</t>
  </si>
  <si>
    <t>DS2_2_5</t>
  </si>
  <si>
    <t>DS2_4_4</t>
  </si>
  <si>
    <t>DS2_5_5</t>
  </si>
  <si>
    <t>Team</t>
  </si>
  <si>
    <t>Tier</t>
  </si>
  <si>
    <t xml:space="preserve">MRTA </t>
  </si>
  <si>
    <t xml:space="preserve">Unsecured </t>
  </si>
  <si>
    <t xml:space="preserve">Secured </t>
  </si>
  <si>
    <t>HomeLoan_BT
(&lt;2%)</t>
  </si>
  <si>
    <t>HomeLoan_BT 
(&gt;2%)</t>
  </si>
  <si>
    <t xml:space="preserve">HomeLoan 
Non_BT </t>
  </si>
  <si>
    <t>Total 
Commission</t>
  </si>
  <si>
    <t>MP&amp;PP</t>
  </si>
  <si>
    <t>PC</t>
  </si>
  <si>
    <t>Year (Home Loan BT Only)</t>
  </si>
  <si>
    <t>Deviate Range (Secured Loan Only)</t>
  </si>
  <si>
    <t>Big Loan Size (Secured Loan Only)</t>
  </si>
  <si>
    <t>Deviate (Secured Loan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</si>
</sst>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87" formatCode="_-* #,##0_-;\-* #,##0_-;_-* &quot;-&quot;??_-;_-@_-"/>
  </numFmts>
  <fonts count="17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theme="1"/>
      <name val="Aptos Display"/>
      <family val="2"/>
    </font>
    <font>
      <sz val="16"/>
      <color theme="1"/>
      <name val="Aptos Display"/>
      <family val="2"/>
    </font>
    <font>
      <b/>
      <sz val="16"/>
      <color theme="0"/>
      <name val="Aptos Display"/>
      <family val="2"/>
    </font>
    <font>
      <b/>
      <sz val="16"/>
      <color theme="1"/>
      <name val="Aptos Display"/>
      <family val="2"/>
    </font>
    <font>
      <b/>
      <sz val="16"/>
      <name val="Aptos Display"/>
      <family val="2"/>
    </font>
    <font>
      <b/>
      <sz val="16"/>
      <color theme="1" tint="4.9989318521683403E-2"/>
      <name val="Aptos Display"/>
      <family val="2"/>
    </font>
    <font>
      <b/>
      <sz val="14"/>
      <color theme="1"/>
      <name val="Aptos Display"/>
      <family val="2"/>
    </font>
    <font>
      <sz val="14"/>
      <color theme="1"/>
      <name val="Aptos Display"/>
      <family val="2"/>
    </font>
    <font>
      <sz val="18"/>
      <color theme="1"/>
      <name val="Aptos Display"/>
      <family val="2"/>
    </font>
    <font>
      <b/>
      <sz val="18"/>
      <color theme="0"/>
      <name val="Aptos Display"/>
      <family val="2"/>
    </font>
    <font>
      <b/>
      <sz val="18"/>
      <color theme="1"/>
      <name val="Aptos Display"/>
      <family val="2"/>
    </font>
    <font>
      <b/>
      <sz val="14"/>
      <color rgb="FFFF0000"/>
      <name val="Aptos Display"/>
      <family val="2"/>
    </font>
    <font>
      <sz val="14"/>
      <color rgb="FFFF0000"/>
      <name val="Aptos Display"/>
      <family val="2"/>
    </font>
    <font>
      <b/>
      <sz val="14"/>
      <color theme="0"/>
      <name val="Aptos Display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3" xfId="0" applyBorder="1"/>
    <xf numFmtId="0" fontId="0" fillId="0" borderId="4" xfId="0" applyBorder="1"/>
    <xf numFmtId="3" fontId="0" fillId="0" borderId="0" xfId="0" applyNumberFormat="1"/>
    <xf numFmtId="10" fontId="0" fillId="0" borderId="0" xfId="0" applyNumberFormat="1"/>
    <xf numFmtId="14" fontId="0" fillId="0" borderId="0" xfId="0" applyNumberFormat="1"/>
    <xf numFmtId="0" fontId="5" fillId="3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vertical="center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5" fillId="7" borderId="5" xfId="0" applyFont="1" applyFill="1" applyBorder="1" applyAlignment="1" applyProtection="1">
      <alignment horizontal="center" vertical="center" wrapText="1"/>
      <protection locked="0"/>
    </xf>
    <xf numFmtId="0" fontId="4" fillId="12" borderId="0" xfId="0" applyFont="1" applyFill="1" applyAlignment="1" applyProtection="1">
      <alignment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8" fillId="5" borderId="5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43" fontId="14" fillId="0" borderId="1" xfId="1" applyFont="1" applyBorder="1" applyProtection="1">
      <protection locked="0"/>
    </xf>
    <xf numFmtId="43" fontId="15" fillId="0" borderId="0" xfId="1" applyFont="1" applyProtection="1">
      <protection locked="0"/>
    </xf>
    <xf numFmtId="43" fontId="5" fillId="13" borderId="1" xfId="1" applyFont="1" applyFill="1" applyBorder="1" applyAlignment="1" applyProtection="1">
      <alignment horizontal="center" vertical="center"/>
      <protection locked="0"/>
    </xf>
    <xf numFmtId="43" fontId="5" fillId="3" borderId="1" xfId="1" applyFont="1" applyFill="1" applyBorder="1" applyAlignment="1" applyProtection="1">
      <alignment horizontal="center" vertical="center"/>
      <protection locked="0"/>
    </xf>
    <xf numFmtId="0" fontId="3" fillId="12" borderId="0" xfId="0" applyFont="1" applyFill="1" applyAlignment="1">
      <alignment horizontal="center"/>
    </xf>
    <xf numFmtId="0" fontId="3" fillId="12" borderId="0" xfId="0" applyFont="1" applyFill="1"/>
    <xf numFmtId="0" fontId="4" fillId="12" borderId="0" xfId="0" applyFont="1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2" fillId="6" borderId="0" xfId="0" applyFont="1" applyFill="1" applyAlignment="1">
      <alignment horizontal="centerContinuous" vertical="center"/>
    </xf>
    <xf numFmtId="0" fontId="11" fillId="6" borderId="0" xfId="0" applyFont="1" applyFill="1" applyAlignment="1">
      <alignment horizontal="centerContinuous" vertical="center"/>
    </xf>
    <xf numFmtId="0" fontId="12" fillId="7" borderId="0" xfId="0" applyFont="1" applyFill="1" applyAlignment="1">
      <alignment horizontal="centerContinuous" vertical="center"/>
    </xf>
    <xf numFmtId="0" fontId="13" fillId="10" borderId="0" xfId="0" applyFont="1" applyFill="1" applyAlignment="1">
      <alignment horizontal="centerContinuous" vertical="center"/>
    </xf>
    <xf numFmtId="0" fontId="11" fillId="10" borderId="0" xfId="0" applyFont="1" applyFill="1" applyAlignment="1">
      <alignment horizontal="centerContinuous" vertical="center"/>
    </xf>
    <xf numFmtId="0" fontId="4" fillId="12" borderId="0" xfId="0" applyFont="1" applyFill="1" applyAlignment="1">
      <alignment horizontal="center"/>
    </xf>
    <xf numFmtId="0" fontId="4" fillId="12" borderId="0" xfId="0" applyFont="1" applyFill="1"/>
    <xf numFmtId="187" fontId="6" fillId="9" borderId="1" xfId="0" applyNumberFormat="1" applyFont="1" applyFill="1" applyBorder="1"/>
    <xf numFmtId="187" fontId="6" fillId="0" borderId="1" xfId="0" applyNumberFormat="1" applyFont="1" applyBorder="1"/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187" fontId="9" fillId="0" borderId="6" xfId="0" applyNumberFormat="1" applyFont="1" applyBorder="1"/>
    <xf numFmtId="187" fontId="10" fillId="0" borderId="6" xfId="1" applyNumberFormat="1" applyFont="1" applyBorder="1" applyProtection="1"/>
    <xf numFmtId="187" fontId="10" fillId="0" borderId="6" xfId="0" applyNumberFormat="1" applyFont="1" applyBorder="1"/>
    <xf numFmtId="43" fontId="10" fillId="0" borderId="6" xfId="0" applyNumberFormat="1" applyFont="1" applyBorder="1"/>
    <xf numFmtId="43" fontId="10" fillId="0" borderId="6" xfId="1" applyFont="1" applyBorder="1" applyProtection="1"/>
    <xf numFmtId="43" fontId="3" fillId="0" borderId="6" xfId="1" applyFont="1" applyBorder="1" applyProtection="1"/>
    <xf numFmtId="0" fontId="10" fillId="2" borderId="0" xfId="0" applyFont="1" applyFill="1" applyProtection="1">
      <protection locked="0"/>
    </xf>
    <xf numFmtId="43" fontId="14" fillId="0" borderId="1" xfId="1" applyFont="1" applyBorder="1" applyProtection="1"/>
    <xf numFmtId="43" fontId="14" fillId="9" borderId="1" xfId="1" applyFont="1" applyFill="1" applyBorder="1" applyProtection="1"/>
    <xf numFmtId="43" fontId="10" fillId="0" borderId="0" xfId="1" applyFont="1" applyProtection="1"/>
    <xf numFmtId="43" fontId="15" fillId="0" borderId="0" xfId="1" applyFont="1" applyAlignment="1" applyProtection="1">
      <alignment horizontal="center"/>
    </xf>
    <xf numFmtId="43" fontId="5" fillId="3" borderId="1" xfId="1" applyFont="1" applyFill="1" applyBorder="1" applyAlignment="1" applyProtection="1">
      <alignment horizontal="center" vertical="center"/>
    </xf>
    <xf numFmtId="0" fontId="10" fillId="14" borderId="0" xfId="0" applyFont="1" applyFill="1" applyProtection="1">
      <protection locked="0"/>
    </xf>
    <xf numFmtId="0" fontId="10" fillId="2" borderId="2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43" fontId="10" fillId="0" borderId="0" xfId="1" applyFont="1" applyAlignment="1" applyProtection="1">
      <alignment vertical="center"/>
      <protection locked="0"/>
    </xf>
    <xf numFmtId="43" fontId="10" fillId="0" borderId="0" xfId="1" applyFont="1" applyAlignment="1" applyProtection="1">
      <alignment horizontal="center" vertical="center"/>
    </xf>
    <xf numFmtId="0" fontId="16" fillId="3" borderId="1" xfId="0" applyFont="1" applyFill="1" applyBorder="1" applyAlignment="1" applyProtection="1">
      <alignment vertical="center"/>
      <protection locked="0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43" fontId="10" fillId="0" borderId="0" xfId="0" applyNumberFormat="1" applyFont="1"/>
  </cellXfs>
  <cellStyles count="2">
    <cellStyle name="Comma" xfId="1" builtinId="3"/>
    <cellStyle name="Normal" xfId="0" builtinId="0"/>
  </cellStyles>
  <dxfs count="2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979"/>
      <color rgb="FFFF4F4F"/>
      <color rgb="FFFF33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28">
    <queryTableFields count="27">
      <queryTableField id="1" name="ลำดับ" tableColumnId="1"/>
      <queryTableField id="2" name="รหัส" tableColumnId="2"/>
      <queryTableField id="3" name="คำนำหน้า" tableColumnId="3"/>
      <queryTableField id="4" name="ชื่อ" tableColumnId="4"/>
      <queryTableField id="5" name="สกุล" tableColumnId="5"/>
      <queryTableField id="6" name="Status" tableColumnId="6"/>
      <queryTableField id="7" name="Status New" tableColumnId="7"/>
      <queryTableField id="8" name="Join Date" tableColumnId="8"/>
      <queryTableField id="9" name="Code Team" tableColumnId="9"/>
      <queryTableField id="10" name="Channel 2 digit" tableColumnId="10"/>
      <queryTableField id="11" name="Channel" tableColumnId="11"/>
      <queryTableField id="12" name="ID" tableColumnId="12"/>
      <queryTableField id="13" name="Bank Account " tableColumnId="13"/>
      <queryTableField id="14" name="Zone" tableColumnId="14"/>
      <queryTableField id="15" name="Team Manager" tableColumnId="15"/>
      <queryTableField id="16" name="รหัสพนักงาน Agent Lead" tableColumnId="16"/>
      <queryTableField id="17" name="Agent Lead Name__x000a_Surname_Sales" tableColumnId="17"/>
      <queryTableField id="18" name="รหัสพนักงาน Team Manager" tableColumnId="18"/>
      <queryTableField id="19" name="Team Manager Name__x000a_Surname_Sales" tableColumnId="19"/>
      <queryTableField id="20" name="รหัสพนักงาน Team Leader" tableColumnId="20"/>
      <queryTableField id="21" name="Team Leader Name__x000a_Surname_Sales" tableColumnId="21"/>
      <queryTableField id="22" name="รหัสพนักงาน Head" tableColumnId="22"/>
      <queryTableField id="23" name="Head_x000a_Surname_Sales" tableColumnId="23"/>
      <queryTableField id="24" name="วันที่Adminรับบัตร" tableColumnId="24"/>
      <queryTableField id="25" name="ชื่อ-สกุล Sales" tableColumnId="25"/>
      <queryTableField id="26" name="Check status" tableColumnId="26"/>
      <queryTableField id="27" name="Code_Team_Dropdown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7" name="Sales_Agent_info" displayName="Sales_Agent_info" ref="A1:AA272" tableType="queryTable" totalsRowShown="0">
  <autoFilter ref="A1:AA272"/>
  <tableColumns count="27">
    <tableColumn id="1" uniqueName="1" name="ลำดับ" queryTableFieldId="1"/>
    <tableColumn id="2" uniqueName="2" name="รหัส" queryTableFieldId="2" dataDxfId="23"/>
    <tableColumn id="3" uniqueName="3" name="คำนำหน้า" queryTableFieldId="3" dataDxfId="22"/>
    <tableColumn id="4" uniqueName="4" name="ชื่อ" queryTableFieldId="4" dataDxfId="21"/>
    <tableColumn id="5" uniqueName="5" name="สกุล" queryTableFieldId="5" dataDxfId="20"/>
    <tableColumn id="6" uniqueName="6" name="Status" queryTableFieldId="6" dataDxfId="19"/>
    <tableColumn id="7" uniqueName="7" name="Status New" queryTableFieldId="7" dataDxfId="18"/>
    <tableColumn id="8" uniqueName="8" name="Join Date" queryTableFieldId="8" dataDxfId="17"/>
    <tableColumn id="9" uniqueName="9" name="Code Team" queryTableFieldId="9" dataDxfId="16"/>
    <tableColumn id="10" uniqueName="10" name="Channel 2 digit" queryTableFieldId="10" dataDxfId="15"/>
    <tableColumn id="11" uniqueName="11" name="Channel" queryTableFieldId="11" dataDxfId="14"/>
    <tableColumn id="12" uniqueName="12" name="ID" queryTableFieldId="12"/>
    <tableColumn id="13" uniqueName="13" name="Bank Account " queryTableFieldId="13"/>
    <tableColumn id="14" uniqueName="14" name="Zone" queryTableFieldId="14" dataDxfId="13"/>
    <tableColumn id="15" uniqueName="15" name="Team Manager" queryTableFieldId="15" dataDxfId="12"/>
    <tableColumn id="16" uniqueName="16" name="รหัสพนักงาน Agent Lead" queryTableFieldId="16"/>
    <tableColumn id="17" uniqueName="17" name="Agent Lead Name__x000a_Surname_Sales" queryTableFieldId="17" dataDxfId="11"/>
    <tableColumn id="18" uniqueName="18" name="รหัสพนักงาน Team Manager" queryTableFieldId="18" dataDxfId="10"/>
    <tableColumn id="19" uniqueName="19" name="Team Manager Name__x000a_Surname_Sales" queryTableFieldId="19" dataDxfId="9"/>
    <tableColumn id="20" uniqueName="20" name="รหัสพนักงาน Team Leader" queryTableFieldId="20" dataDxfId="8"/>
    <tableColumn id="21" uniqueName="21" name="Team Leader Name__x000a_Surname_Sales" queryTableFieldId="21" dataDxfId="7"/>
    <tableColumn id="22" uniqueName="22" name="รหัสพนักงาน Head" queryTableFieldId="22" dataDxfId="6"/>
    <tableColumn id="23" uniqueName="23" name="Head_x000a_Surname_Sales" queryTableFieldId="23" dataDxfId="5"/>
    <tableColumn id="24" uniqueName="24" name="วันที่Adminรับบัตร" queryTableFieldId="24"/>
    <tableColumn id="25" uniqueName="25" name="ชื่อ-สกุล Sales" queryTableFieldId="25" dataDxfId="4"/>
    <tableColumn id="26" uniqueName="26" name="Check status" queryTableFieldId="26" dataDxfId="3"/>
    <tableColumn id="27" uniqueName="27" name="Code_Team_Dropdown" queryTableFieldId="2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Product" displayName="Product" ref="A1:C6" totalsRowShown="0">
  <autoFilter ref="A1:C6"/>
  <tableColumns count="3">
    <tableColumn id="1" name="Secured"/>
    <tableColumn id="2" name="Unsecured"/>
    <tableColumn id="3" name="Ban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HLBT_Year" displayName="HLBT_Year" ref="A1:H4" totalsRowShown="0" headerRowBorderDxfId="1" tableBorderDxfId="0">
  <autoFilter ref="A1:H4"/>
  <tableColumns count="8">
    <tableColumn id="1" name="HomeLoan_BT_less_than_2_Percent"/>
    <tableColumn id="4" name="HomeLoan_BT_more_than_2_Percent"/>
    <tableColumn id="2" name="HomeLoan_Non_BT"/>
    <tableColumn id="3" name="Mortgage_Power_Term"/>
    <tableColumn id="6" name="Extra_Cash"/>
    <tableColumn id="7" name="MRTA_3_Percent"/>
    <tableColumn id="8" name="MRTA_6_Percent"/>
    <tableColumn id="9" name="SOMP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Dropdown_Deviate" displayName="Dropdown_Deviate" ref="A1:B11" totalsRowShown="0">
  <autoFilter ref="A1:B11"/>
  <tableColumns count="2">
    <tableColumn id="1" name="BT_with_5_year_lock_in_period"/>
    <tableColumn id="2" name="oth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Deviate_Table" displayName="Deviate_Table" ref="A1:C10" totalsRowShown="0">
  <autoFilter ref="A1:C10"/>
  <tableColumns count="3">
    <tableColumn id="1" name="Pricing discount"/>
    <tableColumn id="2" name="BT_with_5_year_lock_in_period"/>
    <tableColumn id="3" name="oth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201"/>
  <sheetViews>
    <sheetView tabSelected="1" zoomScale="60" zoomScaleNormal="60" workbookViewId="0">
      <selection activeCell="D8" sqref="D8"/>
    </sheetView>
  </sheetViews>
  <sheetFormatPr defaultColWidth="9" defaultRowHeight="17.5"/>
  <cols>
    <col min="1" max="1" width="14" style="19" customWidth="1"/>
    <col min="2" max="2" width="17.75" style="19" customWidth="1"/>
    <col min="3" max="3" width="12.83203125" style="19" customWidth="1"/>
    <col min="4" max="4" width="34.33203125" style="19" customWidth="1"/>
    <col min="5" max="5" width="30.83203125" style="19" bestFit="1" customWidth="1"/>
    <col min="6" max="6" width="23.25" style="52" customWidth="1"/>
    <col min="7" max="7" width="26.58203125" style="58" bestFit="1" customWidth="1"/>
    <col min="8" max="8" width="38.75" style="19" customWidth="1"/>
    <col min="9" max="9" width="39.58203125" style="59" bestFit="1" customWidth="1"/>
    <col min="10" max="10" width="33.5" style="59" bestFit="1" customWidth="1"/>
    <col min="11" max="11" width="28.58203125" style="59" customWidth="1"/>
    <col min="12" max="12" width="18.75" style="59" customWidth="1"/>
    <col min="13" max="16384" width="9" style="19"/>
  </cols>
  <sheetData>
    <row r="1" spans="1:12" ht="18" thickBot="1"/>
    <row r="2" spans="1:12" s="54" customFormat="1" ht="33.75" customHeight="1" thickBot="1">
      <c r="A2" s="57" t="s">
        <v>274</v>
      </c>
      <c r="B2" s="53" t="s">
        <v>42</v>
      </c>
      <c r="F2" s="55"/>
      <c r="G2" s="56"/>
      <c r="H2" s="55"/>
      <c r="I2" s="60"/>
      <c r="J2" s="60"/>
      <c r="K2" s="60"/>
      <c r="L2" s="63"/>
    </row>
    <row r="3" spans="1:12" s="54" customFormat="1" ht="31.5" customHeight="1" thickBot="1">
      <c r="A3" s="57" t="s">
        <v>1324</v>
      </c>
      <c r="B3" s="53" t="s">
        <v>1284</v>
      </c>
      <c r="F3" s="55"/>
      <c r="G3" s="56"/>
      <c r="H3" s="55"/>
      <c r="I3" s="60"/>
      <c r="J3" s="60"/>
      <c r="K3" s="60"/>
      <c r="L3" s="63"/>
    </row>
    <row r="4" spans="1:12" ht="18.5" thickBot="1">
      <c r="F4" s="20">
        <f>SUM(F$6:F$201)</f>
        <v>24400000</v>
      </c>
      <c r="G4" s="50"/>
      <c r="H4" s="21"/>
      <c r="I4" s="58"/>
      <c r="J4" s="58"/>
      <c r="K4" s="47">
        <f ca="1">SUM(K$6:K$201)</f>
        <v>11900000</v>
      </c>
      <c r="L4" s="48">
        <f ca="1">SUM(L$6:L$201)</f>
        <v>0</v>
      </c>
    </row>
    <row r="5" spans="1:12" s="8" customFormat="1" ht="36.75" customHeight="1" thickBot="1">
      <c r="A5" s="7" t="s">
        <v>2</v>
      </c>
      <c r="B5" s="6" t="s">
        <v>3</v>
      </c>
      <c r="C5" s="7" t="s">
        <v>4</v>
      </c>
      <c r="D5" s="7" t="s">
        <v>5</v>
      </c>
      <c r="E5" s="7" t="s">
        <v>1335</v>
      </c>
      <c r="F5" s="22" t="s">
        <v>6</v>
      </c>
      <c r="G5" s="51" t="s">
        <v>28</v>
      </c>
      <c r="H5" s="23" t="s">
        <v>1336</v>
      </c>
      <c r="I5" s="61" t="s">
        <v>1337</v>
      </c>
      <c r="J5" s="61" t="s">
        <v>1338</v>
      </c>
      <c r="K5" s="62" t="s">
        <v>31</v>
      </c>
      <c r="L5" s="64" t="s">
        <v>32</v>
      </c>
    </row>
    <row r="6" spans="1:12">
      <c r="A6" s="19">
        <v>1</v>
      </c>
      <c r="B6" s="46" t="s">
        <v>73</v>
      </c>
      <c r="C6" s="46" t="s">
        <v>7</v>
      </c>
      <c r="D6" s="46"/>
      <c r="E6" s="46">
        <v>5</v>
      </c>
      <c r="F6" s="52">
        <v>10000000</v>
      </c>
      <c r="G6" s="58" t="e" cm="1">
        <f t="array" aca="1" ref="G6" ca="1">_xlfn.IFS(
AND($C6="Secured", OR($D6="HomeLoan_BT_more_than_2_Percent", $D6="HomeLoan_BT_less_than_2_Percent"), $E6=""), "",
AND($C6="Secured",$E6=""),"others",
AND($C6="Secured",$E6=3),"others",
AND($C6="Secured",$E6=5),"BT_with_5_year_lock_in_period",
TRUE, "")</f>
        <v>#NAME?</v>
      </c>
      <c r="H6" s="46" t="s">
        <v>23</v>
      </c>
      <c r="I6" s="59" t="e" cm="1">
        <f t="array" aca="1" ref="I6" ca="1">_xlfn.IFS(
AND($C6="Secured", OR($D6="HomeLoan_BT_more_than_2_Percent", $D6="HomeLoan_BT_less_than_2_Percent"), OR($E6="", $E6=0)), "Please input Year !!!",
AND($C6="Secured", OR($F6="", $F6=0)), "Please input Amount !!!",
AND($C6="Secured", $F6&lt;5000000), 1,
AND($C6="Secured", $F6&gt;=5000000), 1.1,
TRUE, "")</f>
        <v>#NAME?</v>
      </c>
      <c r="J6" s="59" t="str" cm="1">
        <f t="array" aca="1" ref="J6" ca="1">IFERROR(_xlfn.IFS(
$G6="BT_with_5_year_lock_in_period", _xlfn.XLOOKUP($H6, Deviate_Table[Pricing discount], Deviate_Table[BT_with_5_year_lock_in_period]),
$G6="others", _xlfn.XLOOKUP($H6, Deviate_Table[Pricing discount], Deviate_Table[others]),
TRUE, ""), "Please input Deviate Range !!!")</f>
        <v>Please input Deviate Range !!!</v>
      </c>
      <c r="K6" s="49">
        <f>IF($C6="Secured",IFERROR($F6*$I6*$J6, ""), $F6)</f>
        <v>10000000</v>
      </c>
      <c r="L6" s="65" cm="1">
        <f t="array" aca="1" ref="L6" ca="1">IFERROR(
_xlfn.IFS(
D6="HomeLoan_BT_less_than_2_Percent", VLOOKUP(SUMIFS($K:$K, $D:$D, "HomeLoan_BT_more_than_2_Percent", $B:$B, B6)+SUMIFS($K:$K, $D:$D, "HomeLoan_BT_less_than_2_Percent", $B:$B, B6)+SUMIFS($K:$K, $D:$D, "HomeLoan_Non_BT", $B:$B, B6)+SUMIFS($K:$K, $D:$D, "Mortgage_Power_Term", $B:$B, B6), Secured_Commission!$A:$F, 2, 1)*(K6/10^6),
D6="HomeLoan_BT_more_than_2_Percent", VLOOKUP(SUMIFS($K:$K, $D:$D, "HomeLoan_BT_more_than_2_Percent", $B:$B, B6)+SUMIFS($K:$K, $D:$D, "HomeLoan_BT_less_than_2_Percent", $B:$B, B6)+SUMIFS($K:$K, $D:$D, "HomeLoan_Non_BT", $B:$B, B6)+SUMIFS($K:$K, $D:$D, "Mortgage_Power_Term", $B:$B, B6), Secured_Commission!$A:$F, 3, 1)*(K6/10^6),
D6="HomeLoan_Non_BT", VLOOKUP(SUMIFS($K:$K, $D:$D, "HomeLoan_BT_more_than_2_Percent", $B:$B, B6)+SUMIFS($K:$K, $D:$D, "HomeLoan_BT_less_than_2_Percent", $B:$B, B6)+SUMIFS($K:$K, $D:$D, "HomeLoan_Non_BT", $B:$B, B6)+SUMIFS($K:$K, $D:$D, "Mortgage_Power_Term", $B:$B, B6), Secured_Commission!$A:$F, 4, 1)*(K6/10^6),
D6="Mortgage_Power_Term", VLOOKUP(SUMIFS($K:$K, $D:$D, "HomeLoan_BT_more_than_2_Percent", $B:$B, B6)+SUMIFS($K:$K, $D:$D, "HomeLoan_BT_less_than_2_Percent", $B:$B, B6)+SUMIFS($K:$K, $D:$D, "HomeLoan_Non_BT", $B:$B, B6)+SUMIFS($K:$K, $D:$D, "Mortgage_Power_Term", $B:$B, B6), Secured_Commission!$A:$F, 5, 1)*(K6/10^6),
D6="Personal_Cash", VLOOKUP(SUMIFS($K:$K, $D:$D, "Personal_Cash", $B:$B, B6), Unsecured_Commission!$A:$B, 2, 1)*K6,
OR(D6="MRTA_3_Percent", D6="SOMPO"), K6*0.03,
D6="MRTA_6_Percent", K6*0.06), 0)</f>
        <v>0</v>
      </c>
    </row>
    <row r="7" spans="1:12">
      <c r="A7" s="19">
        <v>2</v>
      </c>
      <c r="B7" s="46" t="s">
        <v>168</v>
      </c>
      <c r="C7" s="46" t="s">
        <v>0</v>
      </c>
      <c r="D7" s="46"/>
      <c r="E7" s="46"/>
      <c r="F7" s="52">
        <v>5000000</v>
      </c>
      <c r="G7" s="58" t="e" cm="1">
        <f t="array" aca="1" ref="G7" ca="1">_xlfn.IFS(
AND($C7="Secured", OR($D7="HomeLoan_BT_more_than_2_Percent", $D7="HomeLoan_BT_less_than_2_Percent"), $E7=""), "",
AND($C7="Secured",$E7=""),"others",
AND($C7="Secured",$E7=3),"others",
AND($C7="Secured",$E7=5),"BT_with_5_year_lock_in_period",
TRUE, "")</f>
        <v>#NAME?</v>
      </c>
      <c r="H7" s="46" t="s">
        <v>20</v>
      </c>
      <c r="I7" s="59" t="e" cm="1">
        <f t="array" aca="1" ref="I7" ca="1">_xlfn.IFS(
AND($C7="Secured", OR($D7="HomeLoan_BT_more_than_2_Percent", $D7="HomeLoan_BT_less_than_2_Percent"), OR($E7="", $E7=0)), "Please input Year !!!",
AND($C7="Secured", OR($F7="", $F7=0)), "Please input Amount !!!",
AND($C7="Secured", $F7&lt;5000000), 1,
AND($C7="Secured", $F7&gt;=5000000), 1.1,
TRUE, "")</f>
        <v>#NAME?</v>
      </c>
      <c r="J7" s="59" t="str" cm="1">
        <f t="array" aca="1" ref="J7" ca="1">IFERROR(_xlfn.IFS(
$G7="BT_with_5_year_lock_in_period", _xlfn.XLOOKUP($H7, Deviate_Table[Pricing discount], Deviate_Table[BT_with_5_year_lock_in_period]),
$G7="others", _xlfn.XLOOKUP($H7, Deviate_Table[Pricing discount], Deviate_Table[others]),
TRUE, ""), "Please input Deviate Range !!!")</f>
        <v>Please input Deviate Range !!!</v>
      </c>
      <c r="K7" s="49" t="str">
        <f t="shared" ref="K7:K70" ca="1" si="0">IF($C7="Secured",IFERROR($F7*$I7*$J7, ""), $F7)</f>
        <v/>
      </c>
      <c r="L7" s="65" cm="1">
        <f t="array" aca="1" ref="L7" ca="1">IFERROR(
_xlfn.IFS(
D7="HomeLoan_BT_less_than_2_Percent", VLOOKUP(SUMIFS($K:$K, $D:$D, "HomeLoan_BT_more_than_2_Percent", $B:$B, B7)+SUMIFS($K:$K, $D:$D, "HomeLoan_BT_less_than_2_Percent", $B:$B, B7)+SUMIFS($K:$K, $D:$D, "HomeLoan_Non_BT", $B:$B, B7)+SUMIFS($K:$K, $D:$D, "Mortgage_Power_Term", $B:$B, B7), Secured_Commission!$A:$F, 2, 1)*(K7/10^6),
D7="HomeLoan_BT_more_than_2_Percent", VLOOKUP(SUMIFS($K:$K, $D:$D, "HomeLoan_BT_more_than_2_Percent", $B:$B, B7)+SUMIFS($K:$K, $D:$D, "HomeLoan_BT_less_than_2_Percent", $B:$B, B7)+SUMIFS($K:$K, $D:$D, "HomeLoan_Non_BT", $B:$B, B7)+SUMIFS($K:$K, $D:$D, "Mortgage_Power_Term", $B:$B, B7), Secured_Commission!$A:$F, 3, 1)*(K7/10^6),
D7="HomeLoan_Non_BT", VLOOKUP(SUMIFS($K:$K, $D:$D, "HomeLoan_BT_more_than_2_Percent", $B:$B, B7)+SUMIFS($K:$K, $D:$D, "HomeLoan_BT_less_than_2_Percent", $B:$B, B7)+SUMIFS($K:$K, $D:$D, "HomeLoan_Non_BT", $B:$B, B7)+SUMIFS($K:$K, $D:$D, "Mortgage_Power_Term", $B:$B, B7), Secured_Commission!$A:$F, 4, 1)*(K7/10^6),
D7="Mortgage_Power_Term", VLOOKUP(SUMIFS($K:$K, $D:$D, "HomeLoan_BT_more_than_2_Percent", $B:$B, B7)+SUMIFS($K:$K, $D:$D, "HomeLoan_BT_less_than_2_Percent", $B:$B, B7)+SUMIFS($K:$K, $D:$D, "HomeLoan_Non_BT", $B:$B, B7)+SUMIFS($K:$K, $D:$D, "Mortgage_Power_Term", $B:$B, B7), Secured_Commission!$A:$F, 5, 1)*(K7/10^6),
D7="Personal_Cash", VLOOKUP(SUMIFS($K:$K, $D:$D, "Personal_Cash", $B:$B, B7), Unsecured_Commission!$A:$B, 2, 1)*K7,
OR(D7="MRTA_3_Percent", D7="SOMPO"), K7*0.03,
D7="MRTA_6_Percent", K7*0.06), 0)</f>
        <v>0</v>
      </c>
    </row>
    <row r="8" spans="1:12">
      <c r="A8" s="19">
        <v>3</v>
      </c>
      <c r="B8" s="46" t="s">
        <v>168</v>
      </c>
      <c r="C8" s="46" t="s">
        <v>0</v>
      </c>
      <c r="D8" s="46" t="s">
        <v>10</v>
      </c>
      <c r="E8" s="46"/>
      <c r="F8" s="52">
        <v>2000000</v>
      </c>
      <c r="G8" s="58" t="e" cm="1">
        <f t="array" aca="1" ref="G8" ca="1">_xlfn.IFS(
AND($C8="Secured", OR($D8="HomeLoan_BT_more_than_2_Percent", $D8="HomeLoan_BT_less_than_2_Percent"), $E8=""), "",
AND($C8="Secured",$E8=""),"others",
AND($C8="Secured",$E8=3),"others",
AND($C8="Secured",$E8=5),"BT_with_5_year_lock_in_period",
TRUE, "")</f>
        <v>#NAME?</v>
      </c>
      <c r="H8" s="46" t="s">
        <v>19</v>
      </c>
      <c r="I8" s="59" t="e" cm="1">
        <f t="array" aca="1" ref="I8" ca="1">_xlfn.IFS(
AND($C8="Secured", OR($D8="HomeLoan_BT_more_than_2_Percent", $D8="HomeLoan_BT_less_than_2_Percent"), OR($E8="", $E8=0)), "Please input Year !!!",
AND($C8="Secured", OR($F8="", $F8=0)), "Please input Amount !!!",
AND($C8="Secured", $F8&lt;5000000), 1,
AND($C8="Secured", $F8&gt;=5000000), 1.1,
TRUE, "")</f>
        <v>#NAME?</v>
      </c>
      <c r="J8" s="59" t="str" cm="1">
        <f t="array" aca="1" ref="J8" ca="1">IFERROR(_xlfn.IFS(
$G8="BT_with_5_year_lock_in_period", _xlfn.XLOOKUP($H8, Deviate_Table[Pricing discount], Deviate_Table[BT_with_5_year_lock_in_period]),
$G8="others", _xlfn.XLOOKUP($H8, Deviate_Table[Pricing discount], Deviate_Table[others]),
TRUE, ""), "Please input Deviate Range !!!")</f>
        <v>Please input Deviate Range !!!</v>
      </c>
      <c r="K8" s="49" t="str">
        <f t="shared" ca="1" si="0"/>
        <v/>
      </c>
      <c r="L8" s="65" cm="1">
        <f t="array" aca="1" ref="L8" ca="1">IFERROR(
_xlfn.IFS(
D8="HomeLoan_BT_less_than_2_Percent", VLOOKUP(SUMIFS($K:$K, $D:$D, "HomeLoan_BT_more_than_2_Percent", $B:$B, B8)+SUMIFS($K:$K, $D:$D, "HomeLoan_BT_less_than_2_Percent", $B:$B, B8)+SUMIFS($K:$K, $D:$D, "HomeLoan_Non_BT", $B:$B, B8)+SUMIFS($K:$K, $D:$D, "Mortgage_Power_Term", $B:$B, B8), Secured_Commission!$A:$F, 2, 1)*(K8/10^6),
D8="HomeLoan_BT_more_than_2_Percent", VLOOKUP(SUMIFS($K:$K, $D:$D, "HomeLoan_BT_more_than_2_Percent", $B:$B, B8)+SUMIFS($K:$K, $D:$D, "HomeLoan_BT_less_than_2_Percent", $B:$B, B8)+SUMIFS($K:$K, $D:$D, "HomeLoan_Non_BT", $B:$B, B8)+SUMIFS($K:$K, $D:$D, "Mortgage_Power_Term", $B:$B, B8), Secured_Commission!$A:$F, 3, 1)*(K8/10^6),
D8="HomeLoan_Non_BT", VLOOKUP(SUMIFS($K:$K, $D:$D, "HomeLoan_BT_more_than_2_Percent", $B:$B, B8)+SUMIFS($K:$K, $D:$D, "HomeLoan_BT_less_than_2_Percent", $B:$B, B8)+SUMIFS($K:$K, $D:$D, "HomeLoan_Non_BT", $B:$B, B8)+SUMIFS($K:$K, $D:$D, "Mortgage_Power_Term", $B:$B, B8), Secured_Commission!$A:$F, 4, 1)*(K8/10^6),
D8="Mortgage_Power_Term", VLOOKUP(SUMIFS($K:$K, $D:$D, "HomeLoan_BT_more_than_2_Percent", $B:$B, B8)+SUMIFS($K:$K, $D:$D, "HomeLoan_BT_less_than_2_Percent", $B:$B, B8)+SUMIFS($K:$K, $D:$D, "HomeLoan_Non_BT", $B:$B, B8)+SUMIFS($K:$K, $D:$D, "Mortgage_Power_Term", $B:$B, B8), Secured_Commission!$A:$F, 5, 1)*(K8/10^6),
D8="Personal_Cash", VLOOKUP(SUMIFS($K:$K, $D:$D, "Personal_Cash", $B:$B, B8), Unsecured_Commission!$A:$B, 2, 1)*K8,
OR(D8="MRTA_3_Percent", D8="SOMPO"), K8*0.03,
D8="MRTA_6_Percent", K8*0.06), 0)</f>
        <v>0</v>
      </c>
    </row>
    <row r="9" spans="1:12">
      <c r="A9" s="19">
        <v>4</v>
      </c>
      <c r="B9" s="46" t="s">
        <v>168</v>
      </c>
      <c r="C9" s="46" t="s">
        <v>7</v>
      </c>
      <c r="D9" s="46" t="s">
        <v>12</v>
      </c>
      <c r="E9" s="46"/>
      <c r="F9" s="52">
        <v>1000000</v>
      </c>
      <c r="G9" s="58" t="e" cm="1">
        <f t="array" aca="1" ref="G9" ca="1">_xlfn.IFS(
AND($C9="Secured", OR($D9="HomeLoan_BT_more_than_2_Percent", $D9="HomeLoan_BT_less_than_2_Percent"), $E9=""), "",
AND($C9="Secured",$E9=""),"others",
AND($C9="Secured",$E9=3),"others",
AND($C9="Secured",$E9=5),"BT_with_5_year_lock_in_period",
TRUE, "")</f>
        <v>#NAME?</v>
      </c>
      <c r="H9" s="46"/>
      <c r="I9" s="59" t="e" cm="1">
        <f t="array" aca="1" ref="I9" ca="1">_xlfn.IFS(
AND($C9="Secured", OR($D9="HomeLoan_BT_more_than_2_Percent", $D9="HomeLoan_BT_less_than_2_Percent"), OR($E9="", $E9=0)), "Please input Year !!!",
AND($C9="Secured", OR($F9="", $F9=0)), "Please input Amount !!!",
AND($C9="Secured", $F9&lt;5000000), 1,
AND($C9="Secured", $F9&gt;=5000000), 1.1,
TRUE, "")</f>
        <v>#NAME?</v>
      </c>
      <c r="J9" s="59" t="str" cm="1">
        <f t="array" aca="1" ref="J9" ca="1">IFERROR(_xlfn.IFS(
$G9="BT_with_5_year_lock_in_period", _xlfn.XLOOKUP($H9, Deviate_Table[Pricing discount], Deviate_Table[BT_with_5_year_lock_in_period]),
$G9="others", _xlfn.XLOOKUP($H9, Deviate_Table[Pricing discount], Deviate_Table[others]),
TRUE, ""), "Please input Deviate Range !!!")</f>
        <v>Please input Deviate Range !!!</v>
      </c>
      <c r="K9" s="49">
        <f t="shared" si="0"/>
        <v>1000000</v>
      </c>
      <c r="L9" s="65" cm="1">
        <f t="array" aca="1" ref="L9" ca="1">IFERROR(
_xlfn.IFS(
D9="HomeLoan_BT_less_than_2_Percent", VLOOKUP(SUMIFS($K:$K, $D:$D, "HomeLoan_BT_more_than_2_Percent", $B:$B, B9)+SUMIFS($K:$K, $D:$D, "HomeLoan_BT_less_than_2_Percent", $B:$B, B9)+SUMIFS($K:$K, $D:$D, "HomeLoan_Non_BT", $B:$B, B9)+SUMIFS($K:$K, $D:$D, "Mortgage_Power_Term", $B:$B, B9), Secured_Commission!$A:$F, 2, 1)*(K9/10^6),
D9="HomeLoan_BT_more_than_2_Percent", VLOOKUP(SUMIFS($K:$K, $D:$D, "HomeLoan_BT_more_than_2_Percent", $B:$B, B9)+SUMIFS($K:$K, $D:$D, "HomeLoan_BT_less_than_2_Percent", $B:$B, B9)+SUMIFS($K:$K, $D:$D, "HomeLoan_Non_BT", $B:$B, B9)+SUMIFS($K:$K, $D:$D, "Mortgage_Power_Term", $B:$B, B9), Secured_Commission!$A:$F, 3, 1)*(K9/10^6),
D9="HomeLoan_Non_BT", VLOOKUP(SUMIFS($K:$K, $D:$D, "HomeLoan_BT_more_than_2_Percent", $B:$B, B9)+SUMIFS($K:$K, $D:$D, "HomeLoan_BT_less_than_2_Percent", $B:$B, B9)+SUMIFS($K:$K, $D:$D, "HomeLoan_Non_BT", $B:$B, B9)+SUMIFS($K:$K, $D:$D, "Mortgage_Power_Term", $B:$B, B9), Secured_Commission!$A:$F, 4, 1)*(K9/10^6),
D9="Mortgage_Power_Term", VLOOKUP(SUMIFS($K:$K, $D:$D, "HomeLoan_BT_more_than_2_Percent", $B:$B, B9)+SUMIFS($K:$K, $D:$D, "HomeLoan_BT_less_than_2_Percent", $B:$B, B9)+SUMIFS($K:$K, $D:$D, "HomeLoan_Non_BT", $B:$B, B9)+SUMIFS($K:$K, $D:$D, "Mortgage_Power_Term", $B:$B, B9), Secured_Commission!$A:$F, 5, 1)*(K9/10^6),
D9="Personal_Cash", VLOOKUP(SUMIFS($K:$K, $D:$D, "Personal_Cash", $B:$B, B9), Unsecured_Commission!$A:$B, 2, 1)*K9,
OR(D9="MRTA_3_Percent", D9="SOMPO"), K9*0.03,
D9="MRTA_6_Percent", K9*0.06), 0)</f>
        <v>0</v>
      </c>
    </row>
    <row r="10" spans="1:12">
      <c r="A10" s="19">
        <v>5</v>
      </c>
      <c r="B10" s="46" t="s">
        <v>168</v>
      </c>
      <c r="C10" s="46" t="s">
        <v>8</v>
      </c>
      <c r="D10" s="46" t="s">
        <v>15</v>
      </c>
      <c r="E10" s="46"/>
      <c r="F10" s="52">
        <v>200000</v>
      </c>
      <c r="G10" s="58" t="e" cm="1">
        <f t="array" aca="1" ref="G10" ca="1">_xlfn.IFS(
AND($C10="Secured", OR($D10="HomeLoan_BT_more_than_2_Percent", $D10="HomeLoan_BT_less_than_2_Percent"), $E10=""), "",
AND($C10="Secured",$E10=""),"others",
AND($C10="Secured",$E10=3),"others",
AND($C10="Secured",$E10=5),"BT_with_5_year_lock_in_period",
TRUE, "")</f>
        <v>#NAME?</v>
      </c>
      <c r="H10" s="46"/>
      <c r="I10" s="59" t="e" cm="1">
        <f t="array" aca="1" ref="I10" ca="1">_xlfn.IFS(
AND($C10="Secured", OR($D10="HomeLoan_BT_more_than_2_Percent", $D10="HomeLoan_BT_less_than_2_Percent"), OR($E10="", $E10=0)), "Please input Year !!!",
AND($C10="Secured", OR($F10="", $F10=0)), "Please input Amount !!!",
AND($C10="Secured", $F10&lt;5000000), 1,
AND($C10="Secured", $F10&gt;=5000000), 1.1,
TRUE, "")</f>
        <v>#NAME?</v>
      </c>
      <c r="J10" s="59" t="str" cm="1">
        <f t="array" aca="1" ref="J10" ca="1">IFERROR(_xlfn.IFS(
$G10="BT_with_5_year_lock_in_period", _xlfn.XLOOKUP($H10, Deviate_Table[Pricing discount], Deviate_Table[BT_with_5_year_lock_in_period]),
$G10="others", _xlfn.XLOOKUP($H10, Deviate_Table[Pricing discount], Deviate_Table[others]),
TRUE, ""), "Please input Deviate Range !!!")</f>
        <v>Please input Deviate Range !!!</v>
      </c>
      <c r="K10" s="49">
        <f t="shared" si="0"/>
        <v>200000</v>
      </c>
      <c r="L10" s="65" cm="1">
        <f t="array" aca="1" ref="L10" ca="1">IFERROR(
_xlfn.IFS(
D10="HomeLoan_BT_less_than_2_Percent", VLOOKUP(SUMIFS($K:$K, $D:$D, "HomeLoan_BT_more_than_2_Percent", $B:$B, B10)+SUMIFS($K:$K, $D:$D, "HomeLoan_BT_less_than_2_Percent", $B:$B, B10)+SUMIFS($K:$K, $D:$D, "HomeLoan_Non_BT", $B:$B, B10)+SUMIFS($K:$K, $D:$D, "Mortgage_Power_Term", $B:$B, B10), Secured_Commission!$A:$F, 2, 1)*(K10/10^6),
D10="HomeLoan_BT_more_than_2_Percent", VLOOKUP(SUMIFS($K:$K, $D:$D, "HomeLoan_BT_more_than_2_Percent", $B:$B, B10)+SUMIFS($K:$K, $D:$D, "HomeLoan_BT_less_than_2_Percent", $B:$B, B10)+SUMIFS($K:$K, $D:$D, "HomeLoan_Non_BT", $B:$B, B10)+SUMIFS($K:$K, $D:$D, "Mortgage_Power_Term", $B:$B, B10), Secured_Commission!$A:$F, 3, 1)*(K10/10^6),
D10="HomeLoan_Non_BT", VLOOKUP(SUMIFS($K:$K, $D:$D, "HomeLoan_BT_more_than_2_Percent", $B:$B, B10)+SUMIFS($K:$K, $D:$D, "HomeLoan_BT_less_than_2_Percent", $B:$B, B10)+SUMIFS($K:$K, $D:$D, "HomeLoan_Non_BT", $B:$B, B10)+SUMIFS($K:$K, $D:$D, "Mortgage_Power_Term", $B:$B, B10), Secured_Commission!$A:$F, 4, 1)*(K10/10^6),
D10="Mortgage_Power_Term", VLOOKUP(SUMIFS($K:$K, $D:$D, "HomeLoan_BT_more_than_2_Percent", $B:$B, B10)+SUMIFS($K:$K, $D:$D, "HomeLoan_BT_less_than_2_Percent", $B:$B, B10)+SUMIFS($K:$K, $D:$D, "HomeLoan_Non_BT", $B:$B, B10)+SUMIFS($K:$K, $D:$D, "Mortgage_Power_Term", $B:$B, B10), Secured_Commission!$A:$F, 5, 1)*(K10/10^6),
D10="Personal_Cash", VLOOKUP(SUMIFS($K:$K, $D:$D, "Personal_Cash", $B:$B, B10), Unsecured_Commission!$A:$B, 2, 1)*K10,
OR(D10="MRTA_3_Percent", D10="SOMPO"), K10*0.03,
D10="MRTA_6_Percent", K10*0.06), 0)</f>
        <v>0</v>
      </c>
    </row>
    <row r="11" spans="1:12">
      <c r="A11" s="19">
        <v>6</v>
      </c>
      <c r="B11" s="46" t="s">
        <v>168</v>
      </c>
      <c r="C11" s="46" t="s">
        <v>7</v>
      </c>
      <c r="D11" s="46" t="s">
        <v>12</v>
      </c>
      <c r="E11" s="46"/>
      <c r="F11" s="52">
        <v>400000</v>
      </c>
      <c r="G11" s="58" t="e" cm="1">
        <f t="array" aca="1" ref="G11" ca="1">_xlfn.IFS(
AND($C11="Secured", OR($D11="HomeLoan_BT_more_than_2_Percent", $D11="HomeLoan_BT_less_than_2_Percent"), $E11=""), "",
AND($C11="Secured",$E11=""),"others",
AND($C11="Secured",$E11=3),"others",
AND($C11="Secured",$E11=5),"BT_with_5_year_lock_in_period",
TRUE, "")</f>
        <v>#NAME?</v>
      </c>
      <c r="H11" s="46"/>
      <c r="I11" s="59" t="e" cm="1">
        <f t="array" aca="1" ref="I11" ca="1">_xlfn.IFS(
AND($C11="Secured", OR($D11="HomeLoan_BT_more_than_2_Percent", $D11="HomeLoan_BT_less_than_2_Percent"), OR($E11="", $E11=0)), "Please input Year !!!",
AND($C11="Secured", OR($F11="", $F11=0)), "Please input Amount !!!",
AND($C11="Secured", $F11&lt;5000000), 1,
AND($C11="Secured", $F11&gt;=5000000), 1.1,
TRUE, "")</f>
        <v>#NAME?</v>
      </c>
      <c r="J11" s="59" t="str" cm="1">
        <f t="array" aca="1" ref="J11" ca="1">IFERROR(_xlfn.IFS(
$G11="BT_with_5_year_lock_in_period", _xlfn.XLOOKUP($H11, Deviate_Table[Pricing discount], Deviate_Table[BT_with_5_year_lock_in_period]),
$G11="others", _xlfn.XLOOKUP($H11, Deviate_Table[Pricing discount], Deviate_Table[others]),
TRUE, ""), "Please input Deviate Range !!!")</f>
        <v>Please input Deviate Range !!!</v>
      </c>
      <c r="K11" s="49">
        <f t="shared" si="0"/>
        <v>400000</v>
      </c>
      <c r="L11" s="65" cm="1">
        <f t="array" aca="1" ref="L11" ca="1">IFERROR(
_xlfn.IFS(
D11="HomeLoan_BT_less_than_2_Percent", VLOOKUP(SUMIFS($K:$K, $D:$D, "HomeLoan_BT_more_than_2_Percent", $B:$B, B11)+SUMIFS($K:$K, $D:$D, "HomeLoan_BT_less_than_2_Percent", $B:$B, B11)+SUMIFS($K:$K, $D:$D, "HomeLoan_Non_BT", $B:$B, B11)+SUMIFS($K:$K, $D:$D, "Mortgage_Power_Term", $B:$B, B11), Secured_Commission!$A:$F, 2, 1)*(K11/10^6),
D11="HomeLoan_BT_more_than_2_Percent", VLOOKUP(SUMIFS($K:$K, $D:$D, "HomeLoan_BT_more_than_2_Percent", $B:$B, B11)+SUMIFS($K:$K, $D:$D, "HomeLoan_BT_less_than_2_Percent", $B:$B, B11)+SUMIFS($K:$K, $D:$D, "HomeLoan_Non_BT", $B:$B, B11)+SUMIFS($K:$K, $D:$D, "Mortgage_Power_Term", $B:$B, B11), Secured_Commission!$A:$F, 3, 1)*(K11/10^6),
D11="HomeLoan_Non_BT", VLOOKUP(SUMIFS($K:$K, $D:$D, "HomeLoan_BT_more_than_2_Percent", $B:$B, B11)+SUMIFS($K:$K, $D:$D, "HomeLoan_BT_less_than_2_Percent", $B:$B, B11)+SUMIFS($K:$K, $D:$D, "HomeLoan_Non_BT", $B:$B, B11)+SUMIFS($K:$K, $D:$D, "Mortgage_Power_Term", $B:$B, B11), Secured_Commission!$A:$F, 4, 1)*(K11/10^6),
D11="Mortgage_Power_Term", VLOOKUP(SUMIFS($K:$K, $D:$D, "HomeLoan_BT_more_than_2_Percent", $B:$B, B11)+SUMIFS($K:$K, $D:$D, "HomeLoan_BT_less_than_2_Percent", $B:$B, B11)+SUMIFS($K:$K, $D:$D, "HomeLoan_Non_BT", $B:$B, B11)+SUMIFS($K:$K, $D:$D, "Mortgage_Power_Term", $B:$B, B11), Secured_Commission!$A:$F, 5, 1)*(K11/10^6),
D11="Personal_Cash", VLOOKUP(SUMIFS($K:$K, $D:$D, "Personal_Cash", $B:$B, B11), Unsecured_Commission!$A:$B, 2, 1)*K11,
OR(D11="MRTA_3_Percent", D11="SOMPO"), K11*0.03,
D11="MRTA_6_Percent", K11*0.06), 0)</f>
        <v>0</v>
      </c>
    </row>
    <row r="12" spans="1:12">
      <c r="A12" s="19">
        <v>7</v>
      </c>
      <c r="B12" s="46" t="s">
        <v>168</v>
      </c>
      <c r="C12" s="46" t="s">
        <v>0</v>
      </c>
      <c r="D12" s="46" t="s">
        <v>10</v>
      </c>
      <c r="E12" s="46">
        <v>5</v>
      </c>
      <c r="F12" s="52">
        <v>5500000</v>
      </c>
      <c r="G12" s="58" t="e" cm="1">
        <f t="array" aca="1" ref="G12" ca="1">_xlfn.IFS(
AND($C12="Secured", OR($D12="HomeLoan_BT_more_than_2_Percent", $D12="HomeLoan_BT_less_than_2_Percent"), $E12=""), "",
AND($C12="Secured",$E12=""),"others",
AND($C12="Secured",$E12=3),"others",
AND($C12="Secured",$E12=5),"BT_with_5_year_lock_in_period",
TRUE, "")</f>
        <v>#NAME?</v>
      </c>
      <c r="H12" s="46" t="s">
        <v>20</v>
      </c>
      <c r="I12" s="59" t="e" cm="1">
        <f t="array" aca="1" ref="I12" ca="1">_xlfn.IFS(
AND($C12="Secured", OR($D12="HomeLoan_BT_more_than_2_Percent", $D12="HomeLoan_BT_less_than_2_Percent"), OR($E12="", $E12=0)), "Please input Year !!!",
AND($C12="Secured", OR($F12="", $F12=0)), "Please input Amount !!!",
AND($C12="Secured", $F12&lt;5000000), 1,
AND($C12="Secured", $F12&gt;=5000000), 1.1,
TRUE, "")</f>
        <v>#NAME?</v>
      </c>
      <c r="J12" s="59" t="str" cm="1">
        <f t="array" aca="1" ref="J12" ca="1">IFERROR(_xlfn.IFS(
$G12="BT_with_5_year_lock_in_period", _xlfn.XLOOKUP($H12, Deviate_Table[Pricing discount], Deviate_Table[BT_with_5_year_lock_in_period]),
$G12="others", _xlfn.XLOOKUP($H12, Deviate_Table[Pricing discount], Deviate_Table[others]),
TRUE, ""), "Please input Deviate Range !!!")</f>
        <v>Please input Deviate Range !!!</v>
      </c>
      <c r="K12" s="49" t="str">
        <f t="shared" ca="1" si="0"/>
        <v/>
      </c>
      <c r="L12" s="65" cm="1">
        <f t="array" aca="1" ref="L12" ca="1">IFERROR(
_xlfn.IFS(
D12="HomeLoan_BT_less_than_2_Percent", VLOOKUP(SUMIFS($K:$K, $D:$D, "HomeLoan_BT_more_than_2_Percent", $B:$B, B12)+SUMIFS($K:$K, $D:$D, "HomeLoan_BT_less_than_2_Percent", $B:$B, B12)+SUMIFS($K:$K, $D:$D, "HomeLoan_Non_BT", $B:$B, B12)+SUMIFS($K:$K, $D:$D, "Mortgage_Power_Term", $B:$B, B12), Secured_Commission!$A:$F, 2, 1)*(K12/10^6),
D12="HomeLoan_BT_more_than_2_Percent", VLOOKUP(SUMIFS($K:$K, $D:$D, "HomeLoan_BT_more_than_2_Percent", $B:$B, B12)+SUMIFS($K:$K, $D:$D, "HomeLoan_BT_less_than_2_Percent", $B:$B, B12)+SUMIFS($K:$K, $D:$D, "HomeLoan_Non_BT", $B:$B, B12)+SUMIFS($K:$K, $D:$D, "Mortgage_Power_Term", $B:$B, B12), Secured_Commission!$A:$F, 3, 1)*(K12/10^6),
D12="HomeLoan_Non_BT", VLOOKUP(SUMIFS($K:$K, $D:$D, "HomeLoan_BT_more_than_2_Percent", $B:$B, B12)+SUMIFS($K:$K, $D:$D, "HomeLoan_BT_less_than_2_Percent", $B:$B, B12)+SUMIFS($K:$K, $D:$D, "HomeLoan_Non_BT", $B:$B, B12)+SUMIFS($K:$K, $D:$D, "Mortgage_Power_Term", $B:$B, B12), Secured_Commission!$A:$F, 4, 1)*(K12/10^6),
D12="Mortgage_Power_Term", VLOOKUP(SUMIFS($K:$K, $D:$D, "HomeLoan_BT_more_than_2_Percent", $B:$B, B12)+SUMIFS($K:$K, $D:$D, "HomeLoan_BT_less_than_2_Percent", $B:$B, B12)+SUMIFS($K:$K, $D:$D, "HomeLoan_Non_BT", $B:$B, B12)+SUMIFS($K:$K, $D:$D, "Mortgage_Power_Term", $B:$B, B12), Secured_Commission!$A:$F, 5, 1)*(K12/10^6),
D12="Personal_Cash", VLOOKUP(SUMIFS($K:$K, $D:$D, "Personal_Cash", $B:$B, B12), Unsecured_Commission!$A:$B, 2, 1)*K12,
OR(D12="MRTA_3_Percent", D12="SOMPO"), K12*0.03,
D12="MRTA_6_Percent", K12*0.06), 0)</f>
        <v>0</v>
      </c>
    </row>
    <row r="13" spans="1:12">
      <c r="A13" s="19">
        <v>8</v>
      </c>
      <c r="B13" s="46" t="s">
        <v>150</v>
      </c>
      <c r="C13" s="46" t="s">
        <v>8</v>
      </c>
      <c r="D13" s="46" t="s">
        <v>9</v>
      </c>
      <c r="E13" s="46"/>
      <c r="F13" s="52">
        <v>300000</v>
      </c>
      <c r="G13" s="58" t="e" cm="1">
        <f t="array" aca="1" ref="G13" ca="1">_xlfn.IFS(
AND($C13="Secured", OR($D13="HomeLoan_BT_more_than_2_Percent", $D13="HomeLoan_BT_less_than_2_Percent"), $E13=""), "",
AND($C13="Secured",$E13=""),"others",
AND($C13="Secured",$E13=3),"others",
AND($C13="Secured",$E13=5),"BT_with_5_year_lock_in_period",
TRUE, "")</f>
        <v>#NAME?</v>
      </c>
      <c r="H13" s="46"/>
      <c r="I13" s="59" t="e" cm="1">
        <f t="array" aca="1" ref="I13" ca="1">_xlfn.IFS(
AND($C13="Secured", OR($D13="HomeLoan_BT_more_than_2_Percent", $D13="HomeLoan_BT_less_than_2_Percent"), OR($E13="", $E13=0)), "Please input Year !!!",
AND($C13="Secured", OR($F13="", $F13=0)), "Please input Amount !!!",
AND($C13="Secured", $F13&lt;5000000), 1,
AND($C13="Secured", $F13&gt;=5000000), 1.1,
TRUE, "")</f>
        <v>#NAME?</v>
      </c>
      <c r="J13" s="59" t="str" cm="1">
        <f t="array" aca="1" ref="J13" ca="1">IFERROR(_xlfn.IFS(
$G13="BT_with_5_year_lock_in_period", _xlfn.XLOOKUP($H13, Deviate_Table[Pricing discount], Deviate_Table[BT_with_5_year_lock_in_period]),
$G13="others", _xlfn.XLOOKUP($H13, Deviate_Table[Pricing discount], Deviate_Table[others]),
TRUE, ""), "Please input Deviate Range !!!")</f>
        <v>Please input Deviate Range !!!</v>
      </c>
      <c r="K13" s="49">
        <f t="shared" si="0"/>
        <v>300000</v>
      </c>
      <c r="L13" s="65" cm="1">
        <f t="array" aca="1" ref="L13" ca="1">IFERROR(
_xlfn.IFS(
D13="HomeLoan_BT_less_than_2_Percent", VLOOKUP(SUMIFS($K:$K, $D:$D, "HomeLoan_BT_more_than_2_Percent", $B:$B, B13)+SUMIFS($K:$K, $D:$D, "HomeLoan_BT_less_than_2_Percent", $B:$B, B13)+SUMIFS($K:$K, $D:$D, "HomeLoan_Non_BT", $B:$B, B13)+SUMIFS($K:$K, $D:$D, "Mortgage_Power_Term", $B:$B, B13), Secured_Commission!$A:$F, 2, 1)*(K13/10^6),
D13="HomeLoan_BT_more_than_2_Percent", VLOOKUP(SUMIFS($K:$K, $D:$D, "HomeLoan_BT_more_than_2_Percent", $B:$B, B13)+SUMIFS($K:$K, $D:$D, "HomeLoan_BT_less_than_2_Percent", $B:$B, B13)+SUMIFS($K:$K, $D:$D, "HomeLoan_Non_BT", $B:$B, B13)+SUMIFS($K:$K, $D:$D, "Mortgage_Power_Term", $B:$B, B13), Secured_Commission!$A:$F, 3, 1)*(K13/10^6),
D13="HomeLoan_Non_BT", VLOOKUP(SUMIFS($K:$K, $D:$D, "HomeLoan_BT_more_than_2_Percent", $B:$B, B13)+SUMIFS($K:$K, $D:$D, "HomeLoan_BT_less_than_2_Percent", $B:$B, B13)+SUMIFS($K:$K, $D:$D, "HomeLoan_Non_BT", $B:$B, B13)+SUMIFS($K:$K, $D:$D, "Mortgage_Power_Term", $B:$B, B13), Secured_Commission!$A:$F, 4, 1)*(K13/10^6),
D13="Mortgage_Power_Term", VLOOKUP(SUMIFS($K:$K, $D:$D, "HomeLoan_BT_more_than_2_Percent", $B:$B, B13)+SUMIFS($K:$K, $D:$D, "HomeLoan_BT_less_than_2_Percent", $B:$B, B13)+SUMIFS($K:$K, $D:$D, "HomeLoan_Non_BT", $B:$B, B13)+SUMIFS($K:$K, $D:$D, "Mortgage_Power_Term", $B:$B, B13), Secured_Commission!$A:$F, 5, 1)*(K13/10^6),
D13="Personal_Cash", VLOOKUP(SUMIFS($K:$K, $D:$D, "Personal_Cash", $B:$B, B13), Unsecured_Commission!$A:$B, 2, 1)*K13,
OR(D13="MRTA_3_Percent", D13="SOMPO"), K13*0.03,
D13="MRTA_6_Percent", K13*0.06), 0)</f>
        <v>0</v>
      </c>
    </row>
    <row r="14" spans="1:12">
      <c r="A14" s="19">
        <v>9</v>
      </c>
      <c r="B14" s="46"/>
      <c r="C14" s="46"/>
      <c r="D14" s="46"/>
      <c r="E14" s="46"/>
      <c r="G14" s="58" t="str" cm="1">
        <f t="array" ref="G14">_xlfn.IFS(
AND($C14="Secured", OR($D14="HomeLoan_BT_more_than_2_Percent", $D14="HomeLoan_BT_less_than_2_Percent"), $E14=""), "",
AND($C14="Secured",$E14=""),"others",
AND($C14="Secured",$E14=3),"others",
AND($C14="Secured",$E14=5),"BT_with_5_year_lock_in_period",
TRUE, "")</f>
        <v/>
      </c>
      <c r="H14" s="46"/>
      <c r="I14" s="59" t="str" cm="1">
        <f t="array" ref="I14">_xlfn.IFS(
AND($C14="Secured", OR($D14="HomeLoan_BT_more_than_2_Percent", $D14="HomeLoan_BT_less_than_2_Percent"), OR($E14="", $E14=0)), "Please input Year !!!",
AND($C14="Secured", OR($F14="", $F14=0)), "Please input Amount !!!",
AND($C14="Secured", $F14&lt;5000000), 1,
AND($C14="Secured", $F14&gt;=5000000), 1.1,
TRUE, "")</f>
        <v/>
      </c>
      <c r="J14" s="59" t="str" cm="1">
        <f t="array" ref="J14">IFERROR(_xlfn.IFS(
$G14="BT_with_5_year_lock_in_period", _xlfn.XLOOKUP($H14, Deviate_Table[Pricing discount], Deviate_Table[BT_with_5_year_lock_in_period]),
$G14="others", _xlfn.XLOOKUP($H14, Deviate_Table[Pricing discount], Deviate_Table[others]),
TRUE, ""), "Please input Deviate Range !!!")</f>
        <v/>
      </c>
      <c r="K14" s="49">
        <f t="shared" si="0"/>
        <v>0</v>
      </c>
      <c r="L14" s="65" cm="1">
        <f t="array" aca="1" ref="L14" ca="1">IFERROR(
_xlfn.IFS(
D14="HomeLoan_BT_less_than_2_Percent", VLOOKUP(SUMIFS($K:$K, $D:$D, "HomeLoan_BT_more_than_2_Percent", $B:$B, B14)+SUMIFS($K:$K, $D:$D, "HomeLoan_BT_less_than_2_Percent", $B:$B, B14)+SUMIFS($K:$K, $D:$D, "HomeLoan_Non_BT", $B:$B, B14)+SUMIFS($K:$K, $D:$D, "Mortgage_Power_Term", $B:$B, B14), Secured_Commission!$A:$F, 2, 1)*(K14/10^6),
D14="HomeLoan_BT_more_than_2_Percent", VLOOKUP(SUMIFS($K:$K, $D:$D, "HomeLoan_BT_more_than_2_Percent", $B:$B, B14)+SUMIFS($K:$K, $D:$D, "HomeLoan_BT_less_than_2_Percent", $B:$B, B14)+SUMIFS($K:$K, $D:$D, "HomeLoan_Non_BT", $B:$B, B14)+SUMIFS($K:$K, $D:$D, "Mortgage_Power_Term", $B:$B, B14), Secured_Commission!$A:$F, 3, 1)*(K14/10^6),
D14="HomeLoan_Non_BT", VLOOKUP(SUMIFS($K:$K, $D:$D, "HomeLoan_BT_more_than_2_Percent", $B:$B, B14)+SUMIFS($K:$K, $D:$D, "HomeLoan_BT_less_than_2_Percent", $B:$B, B14)+SUMIFS($K:$K, $D:$D, "HomeLoan_Non_BT", $B:$B, B14)+SUMIFS($K:$K, $D:$D, "Mortgage_Power_Term", $B:$B, B14), Secured_Commission!$A:$F, 4, 1)*(K14/10^6),
D14="Mortgage_Power_Term", VLOOKUP(SUMIFS($K:$K, $D:$D, "HomeLoan_BT_more_than_2_Percent", $B:$B, B14)+SUMIFS($K:$K, $D:$D, "HomeLoan_BT_less_than_2_Percent", $B:$B, B14)+SUMIFS($K:$K, $D:$D, "HomeLoan_Non_BT", $B:$B, B14)+SUMIFS($K:$K, $D:$D, "Mortgage_Power_Term", $B:$B, B14), Secured_Commission!$A:$F, 5, 1)*(K14/10^6),
D14="Personal_Cash", VLOOKUP(SUMIFS($K:$K, $D:$D, "Personal_Cash", $B:$B, B14), Unsecured_Commission!$A:$B, 2, 1)*K14,
OR(D14="MRTA_3_Percent", D14="SOMPO"), K14*0.03,
D14="MRTA_6_Percent", K14*0.06), 0)</f>
        <v>0</v>
      </c>
    </row>
    <row r="15" spans="1:12">
      <c r="A15" s="19">
        <v>10</v>
      </c>
      <c r="B15" s="46"/>
      <c r="C15" s="46"/>
      <c r="D15" s="46"/>
      <c r="E15" s="46"/>
      <c r="G15" s="58" t="str" cm="1">
        <f t="array" ref="G15">_xlfn.IFS(
AND($C15="Secured", OR($D15="HomeLoan_BT_more_than_2_Percent", $D15="HomeLoan_BT_less_than_2_Percent"), $E15=""), "",
AND($C15="Secured",$E15=""),"others",
AND($C15="Secured",$E15=3),"others",
AND($C15="Secured",$E15=5),"BT_with_5_year_lock_in_period",
TRUE, "")</f>
        <v/>
      </c>
      <c r="H15" s="46"/>
      <c r="I15" s="59" t="str" cm="1">
        <f t="array" ref="I15">_xlfn.IFS(
AND($C15="Secured", OR($D15="HomeLoan_BT_more_than_2_Percent", $D15="HomeLoan_BT_less_than_2_Percent"), OR($E15="", $E15=0)), "Please input Year !!!",
AND($C15="Secured", OR($F15="", $F15=0)), "Please input Amount !!!",
AND($C15="Secured", $F15&lt;5000000), 1,
AND($C15="Secured", $F15&gt;=5000000), 1.1,
TRUE, "")</f>
        <v/>
      </c>
      <c r="J15" s="59" t="str" cm="1">
        <f t="array" ref="J15">IFERROR(_xlfn.IFS(
$G15="BT_with_5_year_lock_in_period", _xlfn.XLOOKUP($H15, Deviate_Table[Pricing discount], Deviate_Table[BT_with_5_year_lock_in_period]),
$G15="others", _xlfn.XLOOKUP($H15, Deviate_Table[Pricing discount], Deviate_Table[others]),
TRUE, ""), "Please input Deviate Range !!!")</f>
        <v/>
      </c>
      <c r="K15" s="49">
        <f t="shared" si="0"/>
        <v>0</v>
      </c>
      <c r="L15" s="65" cm="1">
        <f t="array" aca="1" ref="L15" ca="1">IFERROR(
_xlfn.IFS(
D15="HomeLoan_BT_less_than_2_Percent", VLOOKUP(SUMIFS($K:$K, $D:$D, "HomeLoan_BT_more_than_2_Percent", $B:$B, B15)+SUMIFS($K:$K, $D:$D, "HomeLoan_BT_less_than_2_Percent", $B:$B, B15)+SUMIFS($K:$K, $D:$D, "HomeLoan_Non_BT", $B:$B, B15)+SUMIFS($K:$K, $D:$D, "Mortgage_Power_Term", $B:$B, B15), Secured_Commission!$A:$F, 2, 1)*(K15/10^6),
D15="HomeLoan_BT_more_than_2_Percent", VLOOKUP(SUMIFS($K:$K, $D:$D, "HomeLoan_BT_more_than_2_Percent", $B:$B, B15)+SUMIFS($K:$K, $D:$D, "HomeLoan_BT_less_than_2_Percent", $B:$B, B15)+SUMIFS($K:$K, $D:$D, "HomeLoan_Non_BT", $B:$B, B15)+SUMIFS($K:$K, $D:$D, "Mortgage_Power_Term", $B:$B, B15), Secured_Commission!$A:$F, 3, 1)*(K15/10^6),
D15="HomeLoan_Non_BT", VLOOKUP(SUMIFS($K:$K, $D:$D, "HomeLoan_BT_more_than_2_Percent", $B:$B, B15)+SUMIFS($K:$K, $D:$D, "HomeLoan_BT_less_than_2_Percent", $B:$B, B15)+SUMIFS($K:$K, $D:$D, "HomeLoan_Non_BT", $B:$B, B15)+SUMIFS($K:$K, $D:$D, "Mortgage_Power_Term", $B:$B, B15), Secured_Commission!$A:$F, 4, 1)*(K15/10^6),
D15="Mortgage_Power_Term", VLOOKUP(SUMIFS($K:$K, $D:$D, "HomeLoan_BT_more_than_2_Percent", $B:$B, B15)+SUMIFS($K:$K, $D:$D, "HomeLoan_BT_less_than_2_Percent", $B:$B, B15)+SUMIFS($K:$K, $D:$D, "HomeLoan_Non_BT", $B:$B, B15)+SUMIFS($K:$K, $D:$D, "Mortgage_Power_Term", $B:$B, B15), Secured_Commission!$A:$F, 5, 1)*(K15/10^6),
D15="Personal_Cash", VLOOKUP(SUMIFS($K:$K, $D:$D, "Personal_Cash", $B:$B, B15), Unsecured_Commission!$A:$B, 2, 1)*K15,
OR(D15="MRTA_3_Percent", D15="SOMPO"), K15*0.03,
D15="MRTA_6_Percent", K15*0.06), 0)</f>
        <v>0</v>
      </c>
    </row>
    <row r="16" spans="1:12">
      <c r="A16" s="19">
        <v>11</v>
      </c>
      <c r="B16" s="46"/>
      <c r="C16" s="46"/>
      <c r="D16" s="46"/>
      <c r="E16" s="46"/>
      <c r="G16" s="58" t="str" cm="1">
        <f t="array" ref="G16">_xlfn.IFS(
AND($C16="Secured", OR($D16="HomeLoan_BT_more_than_2_Percent", $D16="HomeLoan_BT_less_than_2_Percent"), $E16=""), "",
AND($C16="Secured",$E16=""),"others",
AND($C16="Secured",$E16=3),"others",
AND($C16="Secured",$E16=5),"BT_with_5_year_lock_in_period",
TRUE, "")</f>
        <v/>
      </c>
      <c r="H16" s="46"/>
      <c r="I16" s="59" t="str" cm="1">
        <f t="array" ref="I16">_xlfn.IFS(
AND($C16="Secured", OR($D16="HomeLoan_BT_more_than_2_Percent", $D16="HomeLoan_BT_less_than_2_Percent"), OR($E16="", $E16=0)), "Please input Year !!!",
AND($C16="Secured", OR($F16="", $F16=0)), "Please input Amount !!!",
AND($C16="Secured", $F16&lt;5000000), 1,
AND($C16="Secured", $F16&gt;=5000000), 1.1,
TRUE, "")</f>
        <v/>
      </c>
      <c r="J16" s="59" t="str" cm="1">
        <f t="array" ref="J16">IFERROR(_xlfn.IFS(
$G16="BT_with_5_year_lock_in_period", _xlfn.XLOOKUP($H16, Deviate_Table[Pricing discount], Deviate_Table[BT_with_5_year_lock_in_period]),
$G16="others", _xlfn.XLOOKUP($H16, Deviate_Table[Pricing discount], Deviate_Table[others]),
TRUE, ""), "Please input Deviate Range !!!")</f>
        <v/>
      </c>
      <c r="K16" s="49">
        <f t="shared" si="0"/>
        <v>0</v>
      </c>
      <c r="L16" s="65" cm="1">
        <f t="array" aca="1" ref="L16" ca="1">IFERROR(
_xlfn.IFS(
D16="HomeLoan_BT_less_than_2_Percent", VLOOKUP(SUMIFS($K:$K, $D:$D, "HomeLoan_BT_more_than_2_Percent", $B:$B, B16)+SUMIFS($K:$K, $D:$D, "HomeLoan_BT_less_than_2_Percent", $B:$B, B16)+SUMIFS($K:$K, $D:$D, "HomeLoan_Non_BT", $B:$B, B16)+SUMIFS($K:$K, $D:$D, "Mortgage_Power_Term", $B:$B, B16), Secured_Commission!$A:$F, 2, 1)*(K16/10^6),
D16="HomeLoan_BT_more_than_2_Percent", VLOOKUP(SUMIFS($K:$K, $D:$D, "HomeLoan_BT_more_than_2_Percent", $B:$B, B16)+SUMIFS($K:$K, $D:$D, "HomeLoan_BT_less_than_2_Percent", $B:$B, B16)+SUMIFS($K:$K, $D:$D, "HomeLoan_Non_BT", $B:$B, B16)+SUMIFS($K:$K, $D:$D, "Mortgage_Power_Term", $B:$B, B16), Secured_Commission!$A:$F, 3, 1)*(K16/10^6),
D16="HomeLoan_Non_BT", VLOOKUP(SUMIFS($K:$K, $D:$D, "HomeLoan_BT_more_than_2_Percent", $B:$B, B16)+SUMIFS($K:$K, $D:$D, "HomeLoan_BT_less_than_2_Percent", $B:$B, B16)+SUMIFS($K:$K, $D:$D, "HomeLoan_Non_BT", $B:$B, B16)+SUMIFS($K:$K, $D:$D, "Mortgage_Power_Term", $B:$B, B16), Secured_Commission!$A:$F, 4, 1)*(K16/10^6),
D16="Mortgage_Power_Term", VLOOKUP(SUMIFS($K:$K, $D:$D, "HomeLoan_BT_more_than_2_Percent", $B:$B, B16)+SUMIFS($K:$K, $D:$D, "HomeLoan_BT_less_than_2_Percent", $B:$B, B16)+SUMIFS($K:$K, $D:$D, "HomeLoan_Non_BT", $B:$B, B16)+SUMIFS($K:$K, $D:$D, "Mortgage_Power_Term", $B:$B, B16), Secured_Commission!$A:$F, 5, 1)*(K16/10^6),
D16="Personal_Cash", VLOOKUP(SUMIFS($K:$K, $D:$D, "Personal_Cash", $B:$B, B16), Unsecured_Commission!$A:$B, 2, 1)*K16,
OR(D16="MRTA_3_Percent", D16="SOMPO"), K16*0.03,
D16="MRTA_6_Percent", K16*0.06), 0)</f>
        <v>0</v>
      </c>
    </row>
    <row r="17" spans="1:12">
      <c r="A17" s="19">
        <v>12</v>
      </c>
      <c r="B17" s="46"/>
      <c r="C17" s="46"/>
      <c r="D17" s="46"/>
      <c r="E17" s="46"/>
      <c r="G17" s="58" t="str" cm="1">
        <f t="array" ref="G17">_xlfn.IFS(
AND($C17="Secured", OR($D17="HomeLoan_BT_more_than_2_Percent", $D17="HomeLoan_BT_less_than_2_Percent"), $E17=""), "",
AND($C17="Secured",$E17=""),"others",
AND($C17="Secured",$E17=3),"others",
AND($C17="Secured",$E17=5),"BT_with_5_year_lock_in_period",
TRUE, "")</f>
        <v/>
      </c>
      <c r="H17" s="46"/>
      <c r="I17" s="59" t="str" cm="1">
        <f t="array" ref="I17">_xlfn.IFS(
AND($C17="Secured", OR($D17="HomeLoan_BT_more_than_2_Percent", $D17="HomeLoan_BT_less_than_2_Percent"), OR($E17="", $E17=0)), "Please input Year !!!",
AND($C17="Secured", OR($F17="", $F17=0)), "Please input Amount !!!",
AND($C17="Secured", $F17&lt;5000000), 1,
AND($C17="Secured", $F17&gt;=5000000), 1.1,
TRUE, "")</f>
        <v/>
      </c>
      <c r="J17" s="59" t="str" cm="1">
        <f t="array" ref="J17">IFERROR(_xlfn.IFS(
$G17="BT_with_5_year_lock_in_period", _xlfn.XLOOKUP($H17, Deviate_Table[Pricing discount], Deviate_Table[BT_with_5_year_lock_in_period]),
$G17="others", _xlfn.XLOOKUP($H17, Deviate_Table[Pricing discount], Deviate_Table[others]),
TRUE, ""), "Please input Deviate Range !!!")</f>
        <v/>
      </c>
      <c r="K17" s="49">
        <f t="shared" si="0"/>
        <v>0</v>
      </c>
      <c r="L17" s="65" cm="1">
        <f t="array" aca="1" ref="L17" ca="1">IFERROR(
_xlfn.IFS(
D17="HomeLoan_BT_less_than_2_Percent", VLOOKUP(SUMIFS($K:$K, $D:$D, "HomeLoan_BT_more_than_2_Percent", $B:$B, B17)+SUMIFS($K:$K, $D:$D, "HomeLoan_BT_less_than_2_Percent", $B:$B, B17)+SUMIFS($K:$K, $D:$D, "HomeLoan_Non_BT", $B:$B, B17)+SUMIFS($K:$K, $D:$D, "Mortgage_Power_Term", $B:$B, B17), Secured_Commission!$A:$F, 2, 1)*(K17/10^6),
D17="HomeLoan_BT_more_than_2_Percent", VLOOKUP(SUMIFS($K:$K, $D:$D, "HomeLoan_BT_more_than_2_Percent", $B:$B, B17)+SUMIFS($K:$K, $D:$D, "HomeLoan_BT_less_than_2_Percent", $B:$B, B17)+SUMIFS($K:$K, $D:$D, "HomeLoan_Non_BT", $B:$B, B17)+SUMIFS($K:$K, $D:$D, "Mortgage_Power_Term", $B:$B, B17), Secured_Commission!$A:$F, 3, 1)*(K17/10^6),
D17="HomeLoan_Non_BT", VLOOKUP(SUMIFS($K:$K, $D:$D, "HomeLoan_BT_more_than_2_Percent", $B:$B, B17)+SUMIFS($K:$K, $D:$D, "HomeLoan_BT_less_than_2_Percent", $B:$B, B17)+SUMIFS($K:$K, $D:$D, "HomeLoan_Non_BT", $B:$B, B17)+SUMIFS($K:$K, $D:$D, "Mortgage_Power_Term", $B:$B, B17), Secured_Commission!$A:$F, 4, 1)*(K17/10^6),
D17="Mortgage_Power_Term", VLOOKUP(SUMIFS($K:$K, $D:$D, "HomeLoan_BT_more_than_2_Percent", $B:$B, B17)+SUMIFS($K:$K, $D:$D, "HomeLoan_BT_less_than_2_Percent", $B:$B, B17)+SUMIFS($K:$K, $D:$D, "HomeLoan_Non_BT", $B:$B, B17)+SUMIFS($K:$K, $D:$D, "Mortgage_Power_Term", $B:$B, B17), Secured_Commission!$A:$F, 5, 1)*(K17/10^6),
D17="Personal_Cash", VLOOKUP(SUMIFS($K:$K, $D:$D, "Personal_Cash", $B:$B, B17), Unsecured_Commission!$A:$B, 2, 1)*K17,
OR(D17="MRTA_3_Percent", D17="SOMPO"), K17*0.03,
D17="MRTA_6_Percent", K17*0.06), 0)</f>
        <v>0</v>
      </c>
    </row>
    <row r="18" spans="1:12">
      <c r="A18" s="19">
        <v>13</v>
      </c>
      <c r="B18" s="46"/>
      <c r="C18" s="46"/>
      <c r="D18" s="46"/>
      <c r="E18" s="46"/>
      <c r="G18" s="58" t="str" cm="1">
        <f t="array" ref="G18">_xlfn.IFS(
AND($C18="Secured", OR($D18="HomeLoan_BT_more_than_2_Percent", $D18="HomeLoan_BT_less_than_2_Percent"), $E18=""), "",
AND($C18="Secured",$E18=""),"others",
AND($C18="Secured",$E18=3),"others",
AND($C18="Secured",$E18=5),"BT_with_5_year_lock_in_period",
TRUE, "")</f>
        <v/>
      </c>
      <c r="H18" s="46"/>
      <c r="I18" s="59" t="str" cm="1">
        <f t="array" ref="I18">_xlfn.IFS(
AND($C18="Secured", OR($D18="HomeLoan_BT_more_than_2_Percent", $D18="HomeLoan_BT_less_than_2_Percent"), OR($E18="", $E18=0)), "Please input Year !!!",
AND($C18="Secured", OR($F18="", $F18=0)), "Please input Amount !!!",
AND($C18="Secured", $F18&lt;5000000), 1,
AND($C18="Secured", $F18&gt;=5000000), 1.1,
TRUE, "")</f>
        <v/>
      </c>
      <c r="J18" s="59" t="str" cm="1">
        <f t="array" ref="J18">IFERROR(_xlfn.IFS(
$G18="BT_with_5_year_lock_in_period", _xlfn.XLOOKUP($H18, Deviate_Table[Pricing discount], Deviate_Table[BT_with_5_year_lock_in_period]),
$G18="others", _xlfn.XLOOKUP($H18, Deviate_Table[Pricing discount], Deviate_Table[others]),
TRUE, ""), "Please input Deviate Range !!!")</f>
        <v/>
      </c>
      <c r="K18" s="49">
        <f t="shared" si="0"/>
        <v>0</v>
      </c>
      <c r="L18" s="65" cm="1">
        <f t="array" aca="1" ref="L18" ca="1">IFERROR(
_xlfn.IFS(
D18="HomeLoan_BT_less_than_2_Percent", VLOOKUP(SUMIFS($K:$K, $D:$D, "HomeLoan_BT_more_than_2_Percent", $B:$B, B18)+SUMIFS($K:$K, $D:$D, "HomeLoan_BT_less_than_2_Percent", $B:$B, B18)+SUMIFS($K:$K, $D:$D, "HomeLoan_Non_BT", $B:$B, B18)+SUMIFS($K:$K, $D:$D, "Mortgage_Power_Term", $B:$B, B18), Secured_Commission!$A:$F, 2, 1)*(K18/10^6),
D18="HomeLoan_BT_more_than_2_Percent", VLOOKUP(SUMIFS($K:$K, $D:$D, "HomeLoan_BT_more_than_2_Percent", $B:$B, B18)+SUMIFS($K:$K, $D:$D, "HomeLoan_BT_less_than_2_Percent", $B:$B, B18)+SUMIFS($K:$K, $D:$D, "HomeLoan_Non_BT", $B:$B, B18)+SUMIFS($K:$K, $D:$D, "Mortgage_Power_Term", $B:$B, B18), Secured_Commission!$A:$F, 3, 1)*(K18/10^6),
D18="HomeLoan_Non_BT", VLOOKUP(SUMIFS($K:$K, $D:$D, "HomeLoan_BT_more_than_2_Percent", $B:$B, B18)+SUMIFS($K:$K, $D:$D, "HomeLoan_BT_less_than_2_Percent", $B:$B, B18)+SUMIFS($K:$K, $D:$D, "HomeLoan_Non_BT", $B:$B, B18)+SUMIFS($K:$K, $D:$D, "Mortgage_Power_Term", $B:$B, B18), Secured_Commission!$A:$F, 4, 1)*(K18/10^6),
D18="Mortgage_Power_Term", VLOOKUP(SUMIFS($K:$K, $D:$D, "HomeLoan_BT_more_than_2_Percent", $B:$B, B18)+SUMIFS($K:$K, $D:$D, "HomeLoan_BT_less_than_2_Percent", $B:$B, B18)+SUMIFS($K:$K, $D:$D, "HomeLoan_Non_BT", $B:$B, B18)+SUMIFS($K:$K, $D:$D, "Mortgage_Power_Term", $B:$B, B18), Secured_Commission!$A:$F, 5, 1)*(K18/10^6),
D18="Personal_Cash", VLOOKUP(SUMIFS($K:$K, $D:$D, "Personal_Cash", $B:$B, B18), Unsecured_Commission!$A:$B, 2, 1)*K18,
OR(D18="MRTA_3_Percent", D18="SOMPO"), K18*0.03,
D18="MRTA_6_Percent", K18*0.06), 0)</f>
        <v>0</v>
      </c>
    </row>
    <row r="19" spans="1:12">
      <c r="A19" s="19">
        <v>14</v>
      </c>
      <c r="B19" s="46"/>
      <c r="C19" s="46"/>
      <c r="D19" s="46"/>
      <c r="E19" s="46"/>
      <c r="G19" s="58" t="str" cm="1">
        <f t="array" ref="G19">_xlfn.IFS(
AND($C19="Secured", OR($D19="HomeLoan_BT_more_than_2_Percent", $D19="HomeLoan_BT_less_than_2_Percent"), $E19=""), "",
AND($C19="Secured",$E19=""),"others",
AND($C19="Secured",$E19=3),"others",
AND($C19="Secured",$E19=5),"BT_with_5_year_lock_in_period",
TRUE, "")</f>
        <v/>
      </c>
      <c r="H19" s="46"/>
      <c r="I19" s="59" t="str" cm="1">
        <f t="array" ref="I19">_xlfn.IFS(
AND($C19="Secured", OR($D19="HomeLoan_BT_more_than_2_Percent", $D19="HomeLoan_BT_less_than_2_Percent"), OR($E19="", $E19=0)), "Please input Year !!!",
AND($C19="Secured", OR($F19="", $F19=0)), "Please input Amount !!!",
AND($C19="Secured", $F19&lt;5000000), 1,
AND($C19="Secured", $F19&gt;=5000000), 1.1,
TRUE, "")</f>
        <v/>
      </c>
      <c r="J19" s="59" t="str" cm="1">
        <f t="array" ref="J19">IFERROR(_xlfn.IFS(
$G19="BT_with_5_year_lock_in_period", _xlfn.XLOOKUP($H19, Deviate_Table[Pricing discount], Deviate_Table[BT_with_5_year_lock_in_period]),
$G19="others", _xlfn.XLOOKUP($H19, Deviate_Table[Pricing discount], Deviate_Table[others]),
TRUE, ""), "Please input Deviate Range !!!")</f>
        <v/>
      </c>
      <c r="K19" s="49">
        <f t="shared" si="0"/>
        <v>0</v>
      </c>
      <c r="L19" s="65" cm="1">
        <f t="array" aca="1" ref="L19" ca="1">IFERROR(
_xlfn.IFS(
D19="HomeLoan_BT_less_than_2_Percent", VLOOKUP(SUMIFS($K:$K, $D:$D, "HomeLoan_BT_more_than_2_Percent", $B:$B, B19)+SUMIFS($K:$K, $D:$D, "HomeLoan_BT_less_than_2_Percent", $B:$B, B19)+SUMIFS($K:$K, $D:$D, "HomeLoan_Non_BT", $B:$B, B19)+SUMIFS($K:$K, $D:$D, "Mortgage_Power_Term", $B:$B, B19), Secured_Commission!$A:$F, 2, 1)*(K19/10^6),
D19="HomeLoan_BT_more_than_2_Percent", VLOOKUP(SUMIFS($K:$K, $D:$D, "HomeLoan_BT_more_than_2_Percent", $B:$B, B19)+SUMIFS($K:$K, $D:$D, "HomeLoan_BT_less_than_2_Percent", $B:$B, B19)+SUMIFS($K:$K, $D:$D, "HomeLoan_Non_BT", $B:$B, B19)+SUMIFS($K:$K, $D:$D, "Mortgage_Power_Term", $B:$B, B19), Secured_Commission!$A:$F, 3, 1)*(K19/10^6),
D19="HomeLoan_Non_BT", VLOOKUP(SUMIFS($K:$K, $D:$D, "HomeLoan_BT_more_than_2_Percent", $B:$B, B19)+SUMIFS($K:$K, $D:$D, "HomeLoan_BT_less_than_2_Percent", $B:$B, B19)+SUMIFS($K:$K, $D:$D, "HomeLoan_Non_BT", $B:$B, B19)+SUMIFS($K:$K, $D:$D, "Mortgage_Power_Term", $B:$B, B19), Secured_Commission!$A:$F, 4, 1)*(K19/10^6),
D19="Mortgage_Power_Term", VLOOKUP(SUMIFS($K:$K, $D:$D, "HomeLoan_BT_more_than_2_Percent", $B:$B, B19)+SUMIFS($K:$K, $D:$D, "HomeLoan_BT_less_than_2_Percent", $B:$B, B19)+SUMIFS($K:$K, $D:$D, "HomeLoan_Non_BT", $B:$B, B19)+SUMIFS($K:$K, $D:$D, "Mortgage_Power_Term", $B:$B, B19), Secured_Commission!$A:$F, 5, 1)*(K19/10^6),
D19="Personal_Cash", VLOOKUP(SUMIFS($K:$K, $D:$D, "Personal_Cash", $B:$B, B19), Unsecured_Commission!$A:$B, 2, 1)*K19,
OR(D19="MRTA_3_Percent", D19="SOMPO"), K19*0.03,
D19="MRTA_6_Percent", K19*0.06), 0)</f>
        <v>0</v>
      </c>
    </row>
    <row r="20" spans="1:12">
      <c r="A20" s="19">
        <v>15</v>
      </c>
      <c r="B20" s="46"/>
      <c r="C20" s="46"/>
      <c r="D20" s="46"/>
      <c r="E20" s="46"/>
      <c r="G20" s="58" t="str" cm="1">
        <f t="array" ref="G20">_xlfn.IFS(
AND($C20="Secured", OR($D20="HomeLoan_BT_more_than_2_Percent", $D20="HomeLoan_BT_less_than_2_Percent"), $E20=""), "",
AND($C20="Secured",$E20=""),"others",
AND($C20="Secured",$E20=3),"others",
AND($C20="Secured",$E20=5),"BT_with_5_year_lock_in_period",
TRUE, "")</f>
        <v/>
      </c>
      <c r="H20" s="46"/>
      <c r="I20" s="59" t="str" cm="1">
        <f t="array" ref="I20">_xlfn.IFS(
AND($C20="Secured", OR($D20="HomeLoan_BT_more_than_2_Percent", $D20="HomeLoan_BT_less_than_2_Percent"), OR($E20="", $E20=0)), "Please input Year !!!",
AND($C20="Secured", OR($F20="", $F20=0)), "Please input Amount !!!",
AND($C20="Secured", $F20&lt;5000000), 1,
AND($C20="Secured", $F20&gt;=5000000), 1.1,
TRUE, "")</f>
        <v/>
      </c>
      <c r="J20" s="59" t="str" cm="1">
        <f t="array" ref="J20">IFERROR(_xlfn.IFS(
$G20="BT_with_5_year_lock_in_period", _xlfn.XLOOKUP($H20, Deviate_Table[Pricing discount], Deviate_Table[BT_with_5_year_lock_in_period]),
$G20="others", _xlfn.XLOOKUP($H20, Deviate_Table[Pricing discount], Deviate_Table[others]),
TRUE, ""), "Please input Deviate Range !!!")</f>
        <v/>
      </c>
      <c r="K20" s="49">
        <f t="shared" si="0"/>
        <v>0</v>
      </c>
      <c r="L20" s="65" cm="1">
        <f t="array" aca="1" ref="L20" ca="1">IFERROR(
_xlfn.IFS(
D20="HomeLoan_BT_less_than_2_Percent", VLOOKUP(SUMIFS($K:$K, $D:$D, "HomeLoan_BT_more_than_2_Percent", $B:$B, B20)+SUMIFS($K:$K, $D:$D, "HomeLoan_BT_less_than_2_Percent", $B:$B, B20)+SUMIFS($K:$K, $D:$D, "HomeLoan_Non_BT", $B:$B, B20)+SUMIFS($K:$K, $D:$D, "Mortgage_Power_Term", $B:$B, B20), Secured_Commission!$A:$F, 2, 1)*(K20/10^6),
D20="HomeLoan_BT_more_than_2_Percent", VLOOKUP(SUMIFS($K:$K, $D:$D, "HomeLoan_BT_more_than_2_Percent", $B:$B, B20)+SUMIFS($K:$K, $D:$D, "HomeLoan_BT_less_than_2_Percent", $B:$B, B20)+SUMIFS($K:$K, $D:$D, "HomeLoan_Non_BT", $B:$B, B20)+SUMIFS($K:$K, $D:$D, "Mortgage_Power_Term", $B:$B, B20), Secured_Commission!$A:$F, 3, 1)*(K20/10^6),
D20="HomeLoan_Non_BT", VLOOKUP(SUMIFS($K:$K, $D:$D, "HomeLoan_BT_more_than_2_Percent", $B:$B, B20)+SUMIFS($K:$K, $D:$D, "HomeLoan_BT_less_than_2_Percent", $B:$B, B20)+SUMIFS($K:$K, $D:$D, "HomeLoan_Non_BT", $B:$B, B20)+SUMIFS($K:$K, $D:$D, "Mortgage_Power_Term", $B:$B, B20), Secured_Commission!$A:$F, 4, 1)*(K20/10^6),
D20="Mortgage_Power_Term", VLOOKUP(SUMIFS($K:$K, $D:$D, "HomeLoan_BT_more_than_2_Percent", $B:$B, B20)+SUMIFS($K:$K, $D:$D, "HomeLoan_BT_less_than_2_Percent", $B:$B, B20)+SUMIFS($K:$K, $D:$D, "HomeLoan_Non_BT", $B:$B, B20)+SUMIFS($K:$K, $D:$D, "Mortgage_Power_Term", $B:$B, B20), Secured_Commission!$A:$F, 5, 1)*(K20/10^6),
D20="Personal_Cash", VLOOKUP(SUMIFS($K:$K, $D:$D, "Personal_Cash", $B:$B, B20), Unsecured_Commission!$A:$B, 2, 1)*K20,
OR(D20="MRTA_3_Percent", D20="SOMPO"), K20*0.03,
D20="MRTA_6_Percent", K20*0.06), 0)</f>
        <v>0</v>
      </c>
    </row>
    <row r="21" spans="1:12">
      <c r="A21" s="19">
        <v>16</v>
      </c>
      <c r="B21" s="46"/>
      <c r="C21" s="46"/>
      <c r="D21" s="46"/>
      <c r="E21" s="46"/>
      <c r="G21" s="58" t="str" cm="1">
        <f t="array" ref="G21">_xlfn.IFS(
AND($C21="Secured", OR($D21="HomeLoan_BT_more_than_2_Percent", $D21="HomeLoan_BT_less_than_2_Percent"), $E21=""), "",
AND($C21="Secured",$E21=""),"others",
AND($C21="Secured",$E21=3),"others",
AND($C21="Secured",$E21=5),"BT_with_5_year_lock_in_period",
TRUE, "")</f>
        <v/>
      </c>
      <c r="H21" s="46"/>
      <c r="I21" s="59" t="str" cm="1">
        <f t="array" ref="I21">_xlfn.IFS(
AND($C21="Secured", OR($D21="HomeLoan_BT_more_than_2_Percent", $D21="HomeLoan_BT_less_than_2_Percent"), OR($E21="", $E21=0)), "Please input Year !!!",
AND($C21="Secured", OR($F21="", $F21=0)), "Please input Amount !!!",
AND($C21="Secured", $F21&lt;5000000), 1,
AND($C21="Secured", $F21&gt;=5000000), 1.1,
TRUE, "")</f>
        <v/>
      </c>
      <c r="J21" s="59" t="str" cm="1">
        <f t="array" ref="J21">IFERROR(_xlfn.IFS(
$G21="BT_with_5_year_lock_in_period", _xlfn.XLOOKUP($H21, Deviate_Table[Pricing discount], Deviate_Table[BT_with_5_year_lock_in_period]),
$G21="others", _xlfn.XLOOKUP($H21, Deviate_Table[Pricing discount], Deviate_Table[others]),
TRUE, ""), "Please input Deviate Range !!!")</f>
        <v/>
      </c>
      <c r="K21" s="49">
        <f t="shared" si="0"/>
        <v>0</v>
      </c>
      <c r="L21" s="65" cm="1">
        <f t="array" aca="1" ref="L21" ca="1">IFERROR(
_xlfn.IFS(
D21="HomeLoan_BT_less_than_2_Percent", VLOOKUP(SUMIFS($K:$K, $D:$D, "HomeLoan_BT_more_than_2_Percent", $B:$B, B21)+SUMIFS($K:$K, $D:$D, "HomeLoan_BT_less_than_2_Percent", $B:$B, B21)+SUMIFS($K:$K, $D:$D, "HomeLoan_Non_BT", $B:$B, B21)+SUMIFS($K:$K, $D:$D, "Mortgage_Power_Term", $B:$B, B21), Secured_Commission!$A:$F, 2, 1)*(K21/10^6),
D21="HomeLoan_BT_more_than_2_Percent", VLOOKUP(SUMIFS($K:$K, $D:$D, "HomeLoan_BT_more_than_2_Percent", $B:$B, B21)+SUMIFS($K:$K, $D:$D, "HomeLoan_BT_less_than_2_Percent", $B:$B, B21)+SUMIFS($K:$K, $D:$D, "HomeLoan_Non_BT", $B:$B, B21)+SUMIFS($K:$K, $D:$D, "Mortgage_Power_Term", $B:$B, B21), Secured_Commission!$A:$F, 3, 1)*(K21/10^6),
D21="HomeLoan_Non_BT", VLOOKUP(SUMIFS($K:$K, $D:$D, "HomeLoan_BT_more_than_2_Percent", $B:$B, B21)+SUMIFS($K:$K, $D:$D, "HomeLoan_BT_less_than_2_Percent", $B:$B, B21)+SUMIFS($K:$K, $D:$D, "HomeLoan_Non_BT", $B:$B, B21)+SUMIFS($K:$K, $D:$D, "Mortgage_Power_Term", $B:$B, B21), Secured_Commission!$A:$F, 4, 1)*(K21/10^6),
D21="Mortgage_Power_Term", VLOOKUP(SUMIFS($K:$K, $D:$D, "HomeLoan_BT_more_than_2_Percent", $B:$B, B21)+SUMIFS($K:$K, $D:$D, "HomeLoan_BT_less_than_2_Percent", $B:$B, B21)+SUMIFS($K:$K, $D:$D, "HomeLoan_Non_BT", $B:$B, B21)+SUMIFS($K:$K, $D:$D, "Mortgage_Power_Term", $B:$B, B21), Secured_Commission!$A:$F, 5, 1)*(K21/10^6),
D21="Personal_Cash", VLOOKUP(SUMIFS($K:$K, $D:$D, "Personal_Cash", $B:$B, B21), Unsecured_Commission!$A:$B, 2, 1)*K21,
OR(D21="MRTA_3_Percent", D21="SOMPO"), K21*0.03,
D21="MRTA_6_Percent", K21*0.06), 0)</f>
        <v>0</v>
      </c>
    </row>
    <row r="22" spans="1:12">
      <c r="A22" s="19">
        <v>17</v>
      </c>
      <c r="B22" s="46"/>
      <c r="C22" s="46"/>
      <c r="D22" s="46"/>
      <c r="E22" s="46"/>
      <c r="G22" s="58" t="str" cm="1">
        <f t="array" ref="G22">_xlfn.IFS(
AND($C22="Secured", OR($D22="HomeLoan_BT_more_than_2_Percent", $D22="HomeLoan_BT_less_than_2_Percent"), $E22=""), "",
AND($C22="Secured",$E22=""),"others",
AND($C22="Secured",$E22=3),"others",
AND($C22="Secured",$E22=5),"BT_with_5_year_lock_in_period",
TRUE, "")</f>
        <v/>
      </c>
      <c r="H22" s="46"/>
      <c r="I22" s="59" t="str" cm="1">
        <f t="array" ref="I22">_xlfn.IFS(
AND($C22="Secured", OR($D22="HomeLoan_BT_more_than_2_Percent", $D22="HomeLoan_BT_less_than_2_Percent"), OR($E22="", $E22=0)), "Please input Year !!!",
AND($C22="Secured", OR($F22="", $F22=0)), "Please input Amount !!!",
AND($C22="Secured", $F22&lt;5000000), 1,
AND($C22="Secured", $F22&gt;=5000000), 1.1,
TRUE, "")</f>
        <v/>
      </c>
      <c r="J22" s="59" t="str" cm="1">
        <f t="array" ref="J22">IFERROR(_xlfn.IFS(
$G22="BT_with_5_year_lock_in_period", _xlfn.XLOOKUP($H22, Deviate_Table[Pricing discount], Deviate_Table[BT_with_5_year_lock_in_period]),
$G22="others", _xlfn.XLOOKUP($H22, Deviate_Table[Pricing discount], Deviate_Table[others]),
TRUE, ""), "Please input Deviate Range !!!")</f>
        <v/>
      </c>
      <c r="K22" s="49">
        <f t="shared" si="0"/>
        <v>0</v>
      </c>
      <c r="L22" s="65" cm="1">
        <f t="array" aca="1" ref="L22" ca="1">IFERROR(
_xlfn.IFS(
D22="HomeLoan_BT_less_than_2_Percent", VLOOKUP(SUMIFS($K:$K, $D:$D, "HomeLoan_BT_more_than_2_Percent", $B:$B, B22)+SUMIFS($K:$K, $D:$D, "HomeLoan_BT_less_than_2_Percent", $B:$B, B22)+SUMIFS($K:$K, $D:$D, "HomeLoan_Non_BT", $B:$B, B22)+SUMIFS($K:$K, $D:$D, "Mortgage_Power_Term", $B:$B, B22), Secured_Commission!$A:$F, 2, 1)*(K22/10^6),
D22="HomeLoan_BT_more_than_2_Percent", VLOOKUP(SUMIFS($K:$K, $D:$D, "HomeLoan_BT_more_than_2_Percent", $B:$B, B22)+SUMIFS($K:$K, $D:$D, "HomeLoan_BT_less_than_2_Percent", $B:$B, B22)+SUMIFS($K:$K, $D:$D, "HomeLoan_Non_BT", $B:$B, B22)+SUMIFS($K:$K, $D:$D, "Mortgage_Power_Term", $B:$B, B22), Secured_Commission!$A:$F, 3, 1)*(K22/10^6),
D22="HomeLoan_Non_BT", VLOOKUP(SUMIFS($K:$K, $D:$D, "HomeLoan_BT_more_than_2_Percent", $B:$B, B22)+SUMIFS($K:$K, $D:$D, "HomeLoan_BT_less_than_2_Percent", $B:$B, B22)+SUMIFS($K:$K, $D:$D, "HomeLoan_Non_BT", $B:$B, B22)+SUMIFS($K:$K, $D:$D, "Mortgage_Power_Term", $B:$B, B22), Secured_Commission!$A:$F, 4, 1)*(K22/10^6),
D22="Mortgage_Power_Term", VLOOKUP(SUMIFS($K:$K, $D:$D, "HomeLoan_BT_more_than_2_Percent", $B:$B, B22)+SUMIFS($K:$K, $D:$D, "HomeLoan_BT_less_than_2_Percent", $B:$B, B22)+SUMIFS($K:$K, $D:$D, "HomeLoan_Non_BT", $B:$B, B22)+SUMIFS($K:$K, $D:$D, "Mortgage_Power_Term", $B:$B, B22), Secured_Commission!$A:$F, 5, 1)*(K22/10^6),
D22="Personal_Cash", VLOOKUP(SUMIFS($K:$K, $D:$D, "Personal_Cash", $B:$B, B22), Unsecured_Commission!$A:$B, 2, 1)*K22,
OR(D22="MRTA_3_Percent", D22="SOMPO"), K22*0.03,
D22="MRTA_6_Percent", K22*0.06), 0)</f>
        <v>0</v>
      </c>
    </row>
    <row r="23" spans="1:12">
      <c r="A23" s="19">
        <v>18</v>
      </c>
      <c r="B23" s="46"/>
      <c r="C23" s="46"/>
      <c r="D23" s="46"/>
      <c r="E23" s="46"/>
      <c r="G23" s="58" t="str" cm="1">
        <f t="array" ref="G23">_xlfn.IFS(
AND($C23="Secured", OR($D23="HomeLoan_BT_more_than_2_Percent", $D23="HomeLoan_BT_less_than_2_Percent"), $E23=""), "",
AND($C23="Secured",$E23=""),"others",
AND($C23="Secured",$E23=3),"others",
AND($C23="Secured",$E23=5),"BT_with_5_year_lock_in_period",
TRUE, "")</f>
        <v/>
      </c>
      <c r="H23" s="46"/>
      <c r="I23" s="59" t="str" cm="1">
        <f t="array" ref="I23">_xlfn.IFS(
AND($C23="Secured", OR($D23="HomeLoan_BT_more_than_2_Percent", $D23="HomeLoan_BT_less_than_2_Percent"), OR($E23="", $E23=0)), "Please input Year !!!",
AND($C23="Secured", OR($F23="", $F23=0)), "Please input Amount !!!",
AND($C23="Secured", $F23&lt;5000000), 1,
AND($C23="Secured", $F23&gt;=5000000), 1.1,
TRUE, "")</f>
        <v/>
      </c>
      <c r="J23" s="59" t="str" cm="1">
        <f t="array" ref="J23">IFERROR(_xlfn.IFS(
$G23="BT_with_5_year_lock_in_period", _xlfn.XLOOKUP($H23, Deviate_Table[Pricing discount], Deviate_Table[BT_with_5_year_lock_in_period]),
$G23="others", _xlfn.XLOOKUP($H23, Deviate_Table[Pricing discount], Deviate_Table[others]),
TRUE, ""), "Please input Deviate Range !!!")</f>
        <v/>
      </c>
      <c r="K23" s="49">
        <f t="shared" si="0"/>
        <v>0</v>
      </c>
      <c r="L23" s="65" cm="1">
        <f t="array" aca="1" ref="L23" ca="1">IFERROR(
_xlfn.IFS(
D23="HomeLoan_BT_less_than_2_Percent", VLOOKUP(SUMIFS($K:$K, $D:$D, "HomeLoan_BT_more_than_2_Percent", $B:$B, B23)+SUMIFS($K:$K, $D:$D, "HomeLoan_BT_less_than_2_Percent", $B:$B, B23)+SUMIFS($K:$K, $D:$D, "HomeLoan_Non_BT", $B:$B, B23)+SUMIFS($K:$K, $D:$D, "Mortgage_Power_Term", $B:$B, B23), Secured_Commission!$A:$F, 2, 1)*(K23/10^6),
D23="HomeLoan_BT_more_than_2_Percent", VLOOKUP(SUMIFS($K:$K, $D:$D, "HomeLoan_BT_more_than_2_Percent", $B:$B, B23)+SUMIFS($K:$K, $D:$D, "HomeLoan_BT_less_than_2_Percent", $B:$B, B23)+SUMIFS($K:$K, $D:$D, "HomeLoan_Non_BT", $B:$B, B23)+SUMIFS($K:$K, $D:$D, "Mortgage_Power_Term", $B:$B, B23), Secured_Commission!$A:$F, 3, 1)*(K23/10^6),
D23="HomeLoan_Non_BT", VLOOKUP(SUMIFS($K:$K, $D:$D, "HomeLoan_BT_more_than_2_Percent", $B:$B, B23)+SUMIFS($K:$K, $D:$D, "HomeLoan_BT_less_than_2_Percent", $B:$B, B23)+SUMIFS($K:$K, $D:$D, "HomeLoan_Non_BT", $B:$B, B23)+SUMIFS($K:$K, $D:$D, "Mortgage_Power_Term", $B:$B, B23), Secured_Commission!$A:$F, 4, 1)*(K23/10^6),
D23="Mortgage_Power_Term", VLOOKUP(SUMIFS($K:$K, $D:$D, "HomeLoan_BT_more_than_2_Percent", $B:$B, B23)+SUMIFS($K:$K, $D:$D, "HomeLoan_BT_less_than_2_Percent", $B:$B, B23)+SUMIFS($K:$K, $D:$D, "HomeLoan_Non_BT", $B:$B, B23)+SUMIFS($K:$K, $D:$D, "Mortgage_Power_Term", $B:$B, B23), Secured_Commission!$A:$F, 5, 1)*(K23/10^6),
D23="Personal_Cash", VLOOKUP(SUMIFS($K:$K, $D:$D, "Personal_Cash", $B:$B, B23), Unsecured_Commission!$A:$B, 2, 1)*K23,
OR(D23="MRTA_3_Percent", D23="SOMPO"), K23*0.03,
D23="MRTA_6_Percent", K23*0.06), 0)</f>
        <v>0</v>
      </c>
    </row>
    <row r="24" spans="1:12">
      <c r="A24" s="19">
        <v>19</v>
      </c>
      <c r="B24" s="46"/>
      <c r="C24" s="46"/>
      <c r="D24" s="46"/>
      <c r="E24" s="46"/>
      <c r="G24" s="58" t="str" cm="1">
        <f t="array" ref="G24">_xlfn.IFS(
AND($C24="Secured", OR($D24="HomeLoan_BT_more_than_2_Percent", $D24="HomeLoan_BT_less_than_2_Percent"), $E24=""), "",
AND($C24="Secured",$E24=""),"others",
AND($C24="Secured",$E24=3),"others",
AND($C24="Secured",$E24=5),"BT_with_5_year_lock_in_period",
TRUE, "")</f>
        <v/>
      </c>
      <c r="H24" s="46"/>
      <c r="I24" s="59" t="str" cm="1">
        <f t="array" ref="I24">_xlfn.IFS(
AND($C24="Secured", OR($D24="HomeLoan_BT_more_than_2_Percent", $D24="HomeLoan_BT_less_than_2_Percent"), OR($E24="", $E24=0)), "Please input Year !!!",
AND($C24="Secured", OR($F24="", $F24=0)), "Please input Amount !!!",
AND($C24="Secured", $F24&lt;5000000), 1,
AND($C24="Secured", $F24&gt;=5000000), 1.1,
TRUE, "")</f>
        <v/>
      </c>
      <c r="J24" s="59" t="str" cm="1">
        <f t="array" ref="J24">IFERROR(_xlfn.IFS(
$G24="BT_with_5_year_lock_in_period", _xlfn.XLOOKUP($H24, Deviate_Table[Pricing discount], Deviate_Table[BT_with_5_year_lock_in_period]),
$G24="others", _xlfn.XLOOKUP($H24, Deviate_Table[Pricing discount], Deviate_Table[others]),
TRUE, ""), "Please input Deviate Range !!!")</f>
        <v/>
      </c>
      <c r="K24" s="49">
        <f t="shared" si="0"/>
        <v>0</v>
      </c>
      <c r="L24" s="65" cm="1">
        <f t="array" aca="1" ref="L24" ca="1">IFERROR(
_xlfn.IFS(
D24="HomeLoan_BT_less_than_2_Percent", VLOOKUP(SUMIFS($K:$K, $D:$D, "HomeLoan_BT_more_than_2_Percent", $B:$B, B24)+SUMIFS($K:$K, $D:$D, "HomeLoan_BT_less_than_2_Percent", $B:$B, B24)+SUMIFS($K:$K, $D:$D, "HomeLoan_Non_BT", $B:$B, B24)+SUMIFS($K:$K, $D:$D, "Mortgage_Power_Term", $B:$B, B24), Secured_Commission!$A:$F, 2, 1)*(K24/10^6),
D24="HomeLoan_BT_more_than_2_Percent", VLOOKUP(SUMIFS($K:$K, $D:$D, "HomeLoan_BT_more_than_2_Percent", $B:$B, B24)+SUMIFS($K:$K, $D:$D, "HomeLoan_BT_less_than_2_Percent", $B:$B, B24)+SUMIFS($K:$K, $D:$D, "HomeLoan_Non_BT", $B:$B, B24)+SUMIFS($K:$K, $D:$D, "Mortgage_Power_Term", $B:$B, B24), Secured_Commission!$A:$F, 3, 1)*(K24/10^6),
D24="HomeLoan_Non_BT", VLOOKUP(SUMIFS($K:$K, $D:$D, "HomeLoan_BT_more_than_2_Percent", $B:$B, B24)+SUMIFS($K:$K, $D:$D, "HomeLoan_BT_less_than_2_Percent", $B:$B, B24)+SUMIFS($K:$K, $D:$D, "HomeLoan_Non_BT", $B:$B, B24)+SUMIFS($K:$K, $D:$D, "Mortgage_Power_Term", $B:$B, B24), Secured_Commission!$A:$F, 4, 1)*(K24/10^6),
D24="Mortgage_Power_Term", VLOOKUP(SUMIFS($K:$K, $D:$D, "HomeLoan_BT_more_than_2_Percent", $B:$B, B24)+SUMIFS($K:$K, $D:$D, "HomeLoan_BT_less_than_2_Percent", $B:$B, B24)+SUMIFS($K:$K, $D:$D, "HomeLoan_Non_BT", $B:$B, B24)+SUMIFS($K:$K, $D:$D, "Mortgage_Power_Term", $B:$B, B24), Secured_Commission!$A:$F, 5, 1)*(K24/10^6),
D24="Personal_Cash", VLOOKUP(SUMIFS($K:$K, $D:$D, "Personal_Cash", $B:$B, B24), Unsecured_Commission!$A:$B, 2, 1)*K24,
OR(D24="MRTA_3_Percent", D24="SOMPO"), K24*0.03,
D24="MRTA_6_Percent", K24*0.06), 0)</f>
        <v>0</v>
      </c>
    </row>
    <row r="25" spans="1:12">
      <c r="A25" s="19">
        <v>20</v>
      </c>
      <c r="B25" s="46"/>
      <c r="C25" s="46"/>
      <c r="D25" s="46"/>
      <c r="E25" s="46"/>
      <c r="G25" s="58" t="str" cm="1">
        <f t="array" ref="G25">_xlfn.IFS(
AND($C25="Secured", OR($D25="HomeLoan_BT_more_than_2_Percent", $D25="HomeLoan_BT_less_than_2_Percent"), $E25=""), "",
AND($C25="Secured",$E25=""),"others",
AND($C25="Secured",$E25=3),"others",
AND($C25="Secured",$E25=5),"BT_with_5_year_lock_in_period",
TRUE, "")</f>
        <v/>
      </c>
      <c r="H25" s="46"/>
      <c r="I25" s="59" t="str" cm="1">
        <f t="array" ref="I25">_xlfn.IFS(
AND($C25="Secured", OR($D25="HomeLoan_BT_more_than_2_Percent", $D25="HomeLoan_BT_less_than_2_Percent"), OR($E25="", $E25=0)), "Please input Year !!!",
AND($C25="Secured", OR($F25="", $F25=0)), "Please input Amount !!!",
AND($C25="Secured", $F25&lt;5000000), 1,
AND($C25="Secured", $F25&gt;=5000000), 1.1,
TRUE, "")</f>
        <v/>
      </c>
      <c r="J25" s="59" t="str" cm="1">
        <f t="array" ref="J25">IFERROR(_xlfn.IFS(
$G25="BT_with_5_year_lock_in_period", _xlfn.XLOOKUP($H25, Deviate_Table[Pricing discount], Deviate_Table[BT_with_5_year_lock_in_period]),
$G25="others", _xlfn.XLOOKUP($H25, Deviate_Table[Pricing discount], Deviate_Table[others]),
TRUE, ""), "Please input Deviate Range !!!")</f>
        <v/>
      </c>
      <c r="K25" s="49">
        <f t="shared" si="0"/>
        <v>0</v>
      </c>
      <c r="L25" s="65" cm="1">
        <f t="array" aca="1" ref="L25" ca="1">IFERROR(
_xlfn.IFS(
D25="HomeLoan_BT_less_than_2_Percent", VLOOKUP(SUMIFS($K:$K, $D:$D, "HomeLoan_BT_more_than_2_Percent", $B:$B, B25)+SUMIFS($K:$K, $D:$D, "HomeLoan_BT_less_than_2_Percent", $B:$B, B25)+SUMIFS($K:$K, $D:$D, "HomeLoan_Non_BT", $B:$B, B25)+SUMIFS($K:$K, $D:$D, "Mortgage_Power_Term", $B:$B, B25), Secured_Commission!$A:$F, 2, 1)*(K25/10^6),
D25="HomeLoan_BT_more_than_2_Percent", VLOOKUP(SUMIFS($K:$K, $D:$D, "HomeLoan_BT_more_than_2_Percent", $B:$B, B25)+SUMIFS($K:$K, $D:$D, "HomeLoan_BT_less_than_2_Percent", $B:$B, B25)+SUMIFS($K:$K, $D:$D, "HomeLoan_Non_BT", $B:$B, B25)+SUMIFS($K:$K, $D:$D, "Mortgage_Power_Term", $B:$B, B25), Secured_Commission!$A:$F, 3, 1)*(K25/10^6),
D25="HomeLoan_Non_BT", VLOOKUP(SUMIFS($K:$K, $D:$D, "HomeLoan_BT_more_than_2_Percent", $B:$B, B25)+SUMIFS($K:$K, $D:$D, "HomeLoan_BT_less_than_2_Percent", $B:$B, B25)+SUMIFS($K:$K, $D:$D, "HomeLoan_Non_BT", $B:$B, B25)+SUMIFS($K:$K, $D:$D, "Mortgage_Power_Term", $B:$B, B25), Secured_Commission!$A:$F, 4, 1)*(K25/10^6),
D25="Mortgage_Power_Term", VLOOKUP(SUMIFS($K:$K, $D:$D, "HomeLoan_BT_more_than_2_Percent", $B:$B, B25)+SUMIFS($K:$K, $D:$D, "HomeLoan_BT_less_than_2_Percent", $B:$B, B25)+SUMIFS($K:$K, $D:$D, "HomeLoan_Non_BT", $B:$B, B25)+SUMIFS($K:$K, $D:$D, "Mortgage_Power_Term", $B:$B, B25), Secured_Commission!$A:$F, 5, 1)*(K25/10^6),
D25="Personal_Cash", VLOOKUP(SUMIFS($K:$K, $D:$D, "Personal_Cash", $B:$B, B25), Unsecured_Commission!$A:$B, 2, 1)*K25,
OR(D25="MRTA_3_Percent", D25="SOMPO"), K25*0.03,
D25="MRTA_6_Percent", K25*0.06), 0)</f>
        <v>0</v>
      </c>
    </row>
    <row r="26" spans="1:12">
      <c r="A26" s="19">
        <v>21</v>
      </c>
      <c r="B26" s="46"/>
      <c r="C26" s="46"/>
      <c r="D26" s="46"/>
      <c r="E26" s="46"/>
      <c r="G26" s="58" t="str" cm="1">
        <f t="array" ref="G26">_xlfn.IFS(
AND($C26="Secured", OR($D26="HomeLoan_BT_more_than_2_Percent", $D26="HomeLoan_BT_less_than_2_Percent"), $E26=""), "",
AND($C26="Secured",$E26=""),"others",
AND($C26="Secured",$E26=3),"others",
AND($C26="Secured",$E26=5),"BT_with_5_year_lock_in_period",
TRUE, "")</f>
        <v/>
      </c>
      <c r="H26" s="46"/>
      <c r="I26" s="59" t="str" cm="1">
        <f t="array" ref="I26">_xlfn.IFS(
AND($C26="Secured", OR($D26="HomeLoan_BT_more_than_2_Percent", $D26="HomeLoan_BT_less_than_2_Percent"), OR($E26="", $E26=0)), "Please input Year !!!",
AND($C26="Secured", OR($F26="", $F26=0)), "Please input Amount !!!",
AND($C26="Secured", $F26&lt;5000000), 1,
AND($C26="Secured", $F26&gt;=5000000), 1.1,
TRUE, "")</f>
        <v/>
      </c>
      <c r="J26" s="59" t="str" cm="1">
        <f t="array" ref="J26">IFERROR(_xlfn.IFS(
$G26="BT_with_5_year_lock_in_period", _xlfn.XLOOKUP($H26, Deviate_Table[Pricing discount], Deviate_Table[BT_with_5_year_lock_in_period]),
$G26="others", _xlfn.XLOOKUP($H26, Deviate_Table[Pricing discount], Deviate_Table[others]),
TRUE, ""), "Please input Deviate Range !!!")</f>
        <v/>
      </c>
      <c r="K26" s="49">
        <f t="shared" si="0"/>
        <v>0</v>
      </c>
      <c r="L26" s="65" cm="1">
        <f t="array" aca="1" ref="L26" ca="1">IFERROR(
_xlfn.IFS(
D26="HomeLoan_BT_less_than_2_Percent", VLOOKUP(SUMIFS($K:$K, $D:$D, "HomeLoan_BT_more_than_2_Percent", $B:$B, B26)+SUMIFS($K:$K, $D:$D, "HomeLoan_BT_less_than_2_Percent", $B:$B, B26)+SUMIFS($K:$K, $D:$D, "HomeLoan_Non_BT", $B:$B, B26)+SUMIFS($K:$K, $D:$D, "Mortgage_Power_Term", $B:$B, B26), Secured_Commission!$A:$F, 2, 1)*(K26/10^6),
D26="HomeLoan_BT_more_than_2_Percent", VLOOKUP(SUMIFS($K:$K, $D:$D, "HomeLoan_BT_more_than_2_Percent", $B:$B, B26)+SUMIFS($K:$K, $D:$D, "HomeLoan_BT_less_than_2_Percent", $B:$B, B26)+SUMIFS($K:$K, $D:$D, "HomeLoan_Non_BT", $B:$B, B26)+SUMIFS($K:$K, $D:$D, "Mortgage_Power_Term", $B:$B, B26), Secured_Commission!$A:$F, 3, 1)*(K26/10^6),
D26="HomeLoan_Non_BT", VLOOKUP(SUMIFS($K:$K, $D:$D, "HomeLoan_BT_more_than_2_Percent", $B:$B, B26)+SUMIFS($K:$K, $D:$D, "HomeLoan_BT_less_than_2_Percent", $B:$B, B26)+SUMIFS($K:$K, $D:$D, "HomeLoan_Non_BT", $B:$B, B26)+SUMIFS($K:$K, $D:$D, "Mortgage_Power_Term", $B:$B, B26), Secured_Commission!$A:$F, 4, 1)*(K26/10^6),
D26="Mortgage_Power_Term", VLOOKUP(SUMIFS($K:$K, $D:$D, "HomeLoan_BT_more_than_2_Percent", $B:$B, B26)+SUMIFS($K:$K, $D:$D, "HomeLoan_BT_less_than_2_Percent", $B:$B, B26)+SUMIFS($K:$K, $D:$D, "HomeLoan_Non_BT", $B:$B, B26)+SUMIFS($K:$K, $D:$D, "Mortgage_Power_Term", $B:$B, B26), Secured_Commission!$A:$F, 5, 1)*(K26/10^6),
D26="Personal_Cash", VLOOKUP(SUMIFS($K:$K, $D:$D, "Personal_Cash", $B:$B, B26), Unsecured_Commission!$A:$B, 2, 1)*K26,
OR(D26="MRTA_3_Percent", D26="SOMPO"), K26*0.03,
D26="MRTA_6_Percent", K26*0.06), 0)</f>
        <v>0</v>
      </c>
    </row>
    <row r="27" spans="1:12">
      <c r="A27" s="19">
        <v>22</v>
      </c>
      <c r="B27" s="46"/>
      <c r="C27" s="46"/>
      <c r="D27" s="46"/>
      <c r="E27" s="46"/>
      <c r="G27" s="58" t="str" cm="1">
        <f t="array" ref="G27">_xlfn.IFS(
AND($C27="Secured", OR($D27="HomeLoan_BT_more_than_2_Percent", $D27="HomeLoan_BT_less_than_2_Percent"), $E27=""), "",
AND($C27="Secured",$E27=""),"others",
AND($C27="Secured",$E27=3),"others",
AND($C27="Secured",$E27=5),"BT_with_5_year_lock_in_period",
TRUE, "")</f>
        <v/>
      </c>
      <c r="H27" s="46"/>
      <c r="I27" s="59" t="str" cm="1">
        <f t="array" ref="I27">_xlfn.IFS(
AND($C27="Secured", OR($D27="HomeLoan_BT_more_than_2_Percent", $D27="HomeLoan_BT_less_than_2_Percent"), OR($E27="", $E27=0)), "Please input Year !!!",
AND($C27="Secured", OR($F27="", $F27=0)), "Please input Amount !!!",
AND($C27="Secured", $F27&lt;5000000), 1,
AND($C27="Secured", $F27&gt;=5000000), 1.1,
TRUE, "")</f>
        <v/>
      </c>
      <c r="J27" s="59" t="str" cm="1">
        <f t="array" ref="J27">IFERROR(_xlfn.IFS(
$G27="BT_with_5_year_lock_in_period", _xlfn.XLOOKUP($H27, Deviate_Table[Pricing discount], Deviate_Table[BT_with_5_year_lock_in_period]),
$G27="others", _xlfn.XLOOKUP($H27, Deviate_Table[Pricing discount], Deviate_Table[others]),
TRUE, ""), "Please input Deviate Range !!!")</f>
        <v/>
      </c>
      <c r="K27" s="49">
        <f t="shared" si="0"/>
        <v>0</v>
      </c>
      <c r="L27" s="65" cm="1">
        <f t="array" aca="1" ref="L27" ca="1">IFERROR(
_xlfn.IFS(
D27="HomeLoan_BT_less_than_2_Percent", VLOOKUP(SUMIFS($K:$K, $D:$D, "HomeLoan_BT_more_than_2_Percent", $B:$B, B27)+SUMIFS($K:$K, $D:$D, "HomeLoan_BT_less_than_2_Percent", $B:$B, B27)+SUMIFS($K:$K, $D:$D, "HomeLoan_Non_BT", $B:$B, B27)+SUMIFS($K:$K, $D:$D, "Mortgage_Power_Term", $B:$B, B27), Secured_Commission!$A:$F, 2, 1)*(K27/10^6),
D27="HomeLoan_BT_more_than_2_Percent", VLOOKUP(SUMIFS($K:$K, $D:$D, "HomeLoan_BT_more_than_2_Percent", $B:$B, B27)+SUMIFS($K:$K, $D:$D, "HomeLoan_BT_less_than_2_Percent", $B:$B, B27)+SUMIFS($K:$K, $D:$D, "HomeLoan_Non_BT", $B:$B, B27)+SUMIFS($K:$K, $D:$D, "Mortgage_Power_Term", $B:$B, B27), Secured_Commission!$A:$F, 3, 1)*(K27/10^6),
D27="HomeLoan_Non_BT", VLOOKUP(SUMIFS($K:$K, $D:$D, "HomeLoan_BT_more_than_2_Percent", $B:$B, B27)+SUMIFS($K:$K, $D:$D, "HomeLoan_BT_less_than_2_Percent", $B:$B, B27)+SUMIFS($K:$K, $D:$D, "HomeLoan_Non_BT", $B:$B, B27)+SUMIFS($K:$K, $D:$D, "Mortgage_Power_Term", $B:$B, B27), Secured_Commission!$A:$F, 4, 1)*(K27/10^6),
D27="Mortgage_Power_Term", VLOOKUP(SUMIFS($K:$K, $D:$D, "HomeLoan_BT_more_than_2_Percent", $B:$B, B27)+SUMIFS($K:$K, $D:$D, "HomeLoan_BT_less_than_2_Percent", $B:$B, B27)+SUMIFS($K:$K, $D:$D, "HomeLoan_Non_BT", $B:$B, B27)+SUMIFS($K:$K, $D:$D, "Mortgage_Power_Term", $B:$B, B27), Secured_Commission!$A:$F, 5, 1)*(K27/10^6),
D27="Personal_Cash", VLOOKUP(SUMIFS($K:$K, $D:$D, "Personal_Cash", $B:$B, B27), Unsecured_Commission!$A:$B, 2, 1)*K27,
OR(D27="MRTA_3_Percent", D27="SOMPO"), K27*0.03,
D27="MRTA_6_Percent", K27*0.06), 0)</f>
        <v>0</v>
      </c>
    </row>
    <row r="28" spans="1:12">
      <c r="A28" s="19">
        <v>23</v>
      </c>
      <c r="B28" s="46"/>
      <c r="C28" s="46"/>
      <c r="D28" s="46"/>
      <c r="E28" s="46"/>
      <c r="G28" s="58" t="str" cm="1">
        <f t="array" ref="G28">_xlfn.IFS(
AND($C28="Secured", OR($D28="HomeLoan_BT_more_than_2_Percent", $D28="HomeLoan_BT_less_than_2_Percent"), $E28=""), "",
AND($C28="Secured",$E28=""),"others",
AND($C28="Secured",$E28=3),"others",
AND($C28="Secured",$E28=5),"BT_with_5_year_lock_in_period",
TRUE, "")</f>
        <v/>
      </c>
      <c r="H28" s="46"/>
      <c r="I28" s="59" t="str" cm="1">
        <f t="array" ref="I28">_xlfn.IFS(
AND($C28="Secured", OR($D28="HomeLoan_BT_more_than_2_Percent", $D28="HomeLoan_BT_less_than_2_Percent"), OR($E28="", $E28=0)), "Please input Year !!!",
AND($C28="Secured", OR($F28="", $F28=0)), "Please input Amount !!!",
AND($C28="Secured", $F28&lt;5000000), 1,
AND($C28="Secured", $F28&gt;=5000000), 1.1,
TRUE, "")</f>
        <v/>
      </c>
      <c r="J28" s="59" t="str" cm="1">
        <f t="array" ref="J28">IFERROR(_xlfn.IFS(
$G28="BT_with_5_year_lock_in_period", _xlfn.XLOOKUP($H28, Deviate_Table[Pricing discount], Deviate_Table[BT_with_5_year_lock_in_period]),
$G28="others", _xlfn.XLOOKUP($H28, Deviate_Table[Pricing discount], Deviate_Table[others]),
TRUE, ""), "Please input Deviate Range !!!")</f>
        <v/>
      </c>
      <c r="K28" s="49">
        <f t="shared" si="0"/>
        <v>0</v>
      </c>
      <c r="L28" s="65" cm="1">
        <f t="array" aca="1" ref="L28" ca="1">IFERROR(
_xlfn.IFS(
D28="HomeLoan_BT_less_than_2_Percent", VLOOKUP(SUMIFS($K:$K, $D:$D, "HomeLoan_BT_more_than_2_Percent", $B:$B, B28)+SUMIFS($K:$K, $D:$D, "HomeLoan_BT_less_than_2_Percent", $B:$B, B28)+SUMIFS($K:$K, $D:$D, "HomeLoan_Non_BT", $B:$B, B28)+SUMIFS($K:$K, $D:$D, "Mortgage_Power_Term", $B:$B, B28), Secured_Commission!$A:$F, 2, 1)*(K28/10^6),
D28="HomeLoan_BT_more_than_2_Percent", VLOOKUP(SUMIFS($K:$K, $D:$D, "HomeLoan_BT_more_than_2_Percent", $B:$B, B28)+SUMIFS($K:$K, $D:$D, "HomeLoan_BT_less_than_2_Percent", $B:$B, B28)+SUMIFS($K:$K, $D:$D, "HomeLoan_Non_BT", $B:$B, B28)+SUMIFS($K:$K, $D:$D, "Mortgage_Power_Term", $B:$B, B28), Secured_Commission!$A:$F, 3, 1)*(K28/10^6),
D28="HomeLoan_Non_BT", VLOOKUP(SUMIFS($K:$K, $D:$D, "HomeLoan_BT_more_than_2_Percent", $B:$B, B28)+SUMIFS($K:$K, $D:$D, "HomeLoan_BT_less_than_2_Percent", $B:$B, B28)+SUMIFS($K:$K, $D:$D, "HomeLoan_Non_BT", $B:$B, B28)+SUMIFS($K:$K, $D:$D, "Mortgage_Power_Term", $B:$B, B28), Secured_Commission!$A:$F, 4, 1)*(K28/10^6),
D28="Mortgage_Power_Term", VLOOKUP(SUMIFS($K:$K, $D:$D, "HomeLoan_BT_more_than_2_Percent", $B:$B, B28)+SUMIFS($K:$K, $D:$D, "HomeLoan_BT_less_than_2_Percent", $B:$B, B28)+SUMIFS($K:$K, $D:$D, "HomeLoan_Non_BT", $B:$B, B28)+SUMIFS($K:$K, $D:$D, "Mortgage_Power_Term", $B:$B, B28), Secured_Commission!$A:$F, 5, 1)*(K28/10^6),
D28="Personal_Cash", VLOOKUP(SUMIFS($K:$K, $D:$D, "Personal_Cash", $B:$B, B28), Unsecured_Commission!$A:$B, 2, 1)*K28,
OR(D28="MRTA_3_Percent", D28="SOMPO"), K28*0.03,
D28="MRTA_6_Percent", K28*0.06), 0)</f>
        <v>0</v>
      </c>
    </row>
    <row r="29" spans="1:12">
      <c r="A29" s="19">
        <v>24</v>
      </c>
      <c r="B29" s="46"/>
      <c r="C29" s="46"/>
      <c r="D29" s="46"/>
      <c r="E29" s="46"/>
      <c r="G29" s="58" t="str" cm="1">
        <f t="array" ref="G29">_xlfn.IFS(
AND($C29="Secured", OR($D29="HomeLoan_BT_more_than_2_Percent", $D29="HomeLoan_BT_less_than_2_Percent"), $E29=""), "",
AND($C29="Secured",$E29=""),"others",
AND($C29="Secured",$E29=3),"others",
AND($C29="Secured",$E29=5),"BT_with_5_year_lock_in_period",
TRUE, "")</f>
        <v/>
      </c>
      <c r="H29" s="46"/>
      <c r="I29" s="59" t="str" cm="1">
        <f t="array" ref="I29">_xlfn.IFS(
AND($C29="Secured", OR($D29="HomeLoan_BT_more_than_2_Percent", $D29="HomeLoan_BT_less_than_2_Percent"), OR($E29="", $E29=0)), "Please input Year !!!",
AND($C29="Secured", OR($F29="", $F29=0)), "Please input Amount !!!",
AND($C29="Secured", $F29&lt;5000000), 1,
AND($C29="Secured", $F29&gt;=5000000), 1.1,
TRUE, "")</f>
        <v/>
      </c>
      <c r="J29" s="59" t="str" cm="1">
        <f t="array" ref="J29">IFERROR(_xlfn.IFS(
$G29="BT_with_5_year_lock_in_period", _xlfn.XLOOKUP($H29, Deviate_Table[Pricing discount], Deviate_Table[BT_with_5_year_lock_in_period]),
$G29="others", _xlfn.XLOOKUP($H29, Deviate_Table[Pricing discount], Deviate_Table[others]),
TRUE, ""), "Please input Deviate Range !!!")</f>
        <v/>
      </c>
      <c r="K29" s="49">
        <f t="shared" si="0"/>
        <v>0</v>
      </c>
      <c r="L29" s="65" cm="1">
        <f t="array" aca="1" ref="L29" ca="1">IFERROR(
_xlfn.IFS(
D29="HomeLoan_BT_less_than_2_Percent", VLOOKUP(SUMIFS($K:$K, $D:$D, "HomeLoan_BT_more_than_2_Percent", $B:$B, B29)+SUMIFS($K:$K, $D:$D, "HomeLoan_BT_less_than_2_Percent", $B:$B, B29)+SUMIFS($K:$K, $D:$D, "HomeLoan_Non_BT", $B:$B, B29)+SUMIFS($K:$K, $D:$D, "Mortgage_Power_Term", $B:$B, B29), Secured_Commission!$A:$F, 2, 1)*(K29/10^6),
D29="HomeLoan_BT_more_than_2_Percent", VLOOKUP(SUMIFS($K:$K, $D:$D, "HomeLoan_BT_more_than_2_Percent", $B:$B, B29)+SUMIFS($K:$K, $D:$D, "HomeLoan_BT_less_than_2_Percent", $B:$B, B29)+SUMIFS($K:$K, $D:$D, "HomeLoan_Non_BT", $B:$B, B29)+SUMIFS($K:$K, $D:$D, "Mortgage_Power_Term", $B:$B, B29), Secured_Commission!$A:$F, 3, 1)*(K29/10^6),
D29="HomeLoan_Non_BT", VLOOKUP(SUMIFS($K:$K, $D:$D, "HomeLoan_BT_more_than_2_Percent", $B:$B, B29)+SUMIFS($K:$K, $D:$D, "HomeLoan_BT_less_than_2_Percent", $B:$B, B29)+SUMIFS($K:$K, $D:$D, "HomeLoan_Non_BT", $B:$B, B29)+SUMIFS($K:$K, $D:$D, "Mortgage_Power_Term", $B:$B, B29), Secured_Commission!$A:$F, 4, 1)*(K29/10^6),
D29="Mortgage_Power_Term", VLOOKUP(SUMIFS($K:$K, $D:$D, "HomeLoan_BT_more_than_2_Percent", $B:$B, B29)+SUMIFS($K:$K, $D:$D, "HomeLoan_BT_less_than_2_Percent", $B:$B, B29)+SUMIFS($K:$K, $D:$D, "HomeLoan_Non_BT", $B:$B, B29)+SUMIFS($K:$K, $D:$D, "Mortgage_Power_Term", $B:$B, B29), Secured_Commission!$A:$F, 5, 1)*(K29/10^6),
D29="Personal_Cash", VLOOKUP(SUMIFS($K:$K, $D:$D, "Personal_Cash", $B:$B, B29), Unsecured_Commission!$A:$B, 2, 1)*K29,
OR(D29="MRTA_3_Percent", D29="SOMPO"), K29*0.03,
D29="MRTA_6_Percent", K29*0.06), 0)</f>
        <v>0</v>
      </c>
    </row>
    <row r="30" spans="1:12">
      <c r="A30" s="19">
        <v>25</v>
      </c>
      <c r="B30" s="46"/>
      <c r="C30" s="46"/>
      <c r="D30" s="46"/>
      <c r="E30" s="46"/>
      <c r="G30" s="58" t="str" cm="1">
        <f t="array" ref="G30">_xlfn.IFS(
AND($C30="Secured", OR($D30="HomeLoan_BT_more_than_2_Percent", $D30="HomeLoan_BT_less_than_2_Percent"), $E30=""), "",
AND($C30="Secured",$E30=""),"others",
AND($C30="Secured",$E30=3),"others",
AND($C30="Secured",$E30=5),"BT_with_5_year_lock_in_period",
TRUE, "")</f>
        <v/>
      </c>
      <c r="H30" s="46"/>
      <c r="I30" s="59" t="str" cm="1">
        <f t="array" ref="I30">_xlfn.IFS(
AND($C30="Secured", OR($D30="HomeLoan_BT_more_than_2_Percent", $D30="HomeLoan_BT_less_than_2_Percent"), OR($E30="", $E30=0)), "Please input Year !!!",
AND($C30="Secured", OR($F30="", $F30=0)), "Please input Amount !!!",
AND($C30="Secured", $F30&lt;5000000), 1,
AND($C30="Secured", $F30&gt;=5000000), 1.1,
TRUE, "")</f>
        <v/>
      </c>
      <c r="J30" s="59" t="str" cm="1">
        <f t="array" ref="J30">IFERROR(_xlfn.IFS(
$G30="BT_with_5_year_lock_in_period", _xlfn.XLOOKUP($H30, Deviate_Table[Pricing discount], Deviate_Table[BT_with_5_year_lock_in_period]),
$G30="others", _xlfn.XLOOKUP($H30, Deviate_Table[Pricing discount], Deviate_Table[others]),
TRUE, ""), "Please input Deviate Range !!!")</f>
        <v/>
      </c>
      <c r="K30" s="49">
        <f t="shared" si="0"/>
        <v>0</v>
      </c>
      <c r="L30" s="65" cm="1">
        <f t="array" aca="1" ref="L30" ca="1">IFERROR(
_xlfn.IFS(
D30="HomeLoan_BT_less_than_2_Percent", VLOOKUP(SUMIFS($K:$K, $D:$D, "HomeLoan_BT_more_than_2_Percent", $B:$B, B30)+SUMIFS($K:$K, $D:$D, "HomeLoan_BT_less_than_2_Percent", $B:$B, B30)+SUMIFS($K:$K, $D:$D, "HomeLoan_Non_BT", $B:$B, B30)+SUMIFS($K:$K, $D:$D, "Mortgage_Power_Term", $B:$B, B30), Secured_Commission!$A:$F, 2, 1)*(K30/10^6),
D30="HomeLoan_BT_more_than_2_Percent", VLOOKUP(SUMIFS($K:$K, $D:$D, "HomeLoan_BT_more_than_2_Percent", $B:$B, B30)+SUMIFS($K:$K, $D:$D, "HomeLoan_BT_less_than_2_Percent", $B:$B, B30)+SUMIFS($K:$K, $D:$D, "HomeLoan_Non_BT", $B:$B, B30)+SUMIFS($K:$K, $D:$D, "Mortgage_Power_Term", $B:$B, B30), Secured_Commission!$A:$F, 3, 1)*(K30/10^6),
D30="HomeLoan_Non_BT", VLOOKUP(SUMIFS($K:$K, $D:$D, "HomeLoan_BT_more_than_2_Percent", $B:$B, B30)+SUMIFS($K:$K, $D:$D, "HomeLoan_BT_less_than_2_Percent", $B:$B, B30)+SUMIFS($K:$K, $D:$D, "HomeLoan_Non_BT", $B:$B, B30)+SUMIFS($K:$K, $D:$D, "Mortgage_Power_Term", $B:$B, B30), Secured_Commission!$A:$F, 4, 1)*(K30/10^6),
D30="Mortgage_Power_Term", VLOOKUP(SUMIFS($K:$K, $D:$D, "HomeLoan_BT_more_than_2_Percent", $B:$B, B30)+SUMIFS($K:$K, $D:$D, "HomeLoan_BT_less_than_2_Percent", $B:$B, B30)+SUMIFS($K:$K, $D:$D, "HomeLoan_Non_BT", $B:$B, B30)+SUMIFS($K:$K, $D:$D, "Mortgage_Power_Term", $B:$B, B30), Secured_Commission!$A:$F, 5, 1)*(K30/10^6),
D30="Personal_Cash", VLOOKUP(SUMIFS($K:$K, $D:$D, "Personal_Cash", $B:$B, B30), Unsecured_Commission!$A:$B, 2, 1)*K30,
OR(D30="MRTA_3_Percent", D30="SOMPO"), K30*0.03,
D30="MRTA_6_Percent", K30*0.06), 0)</f>
        <v>0</v>
      </c>
    </row>
    <row r="31" spans="1:12">
      <c r="A31" s="19">
        <v>26</v>
      </c>
      <c r="B31" s="46"/>
      <c r="C31" s="46"/>
      <c r="D31" s="46"/>
      <c r="E31" s="46"/>
      <c r="G31" s="58" t="str" cm="1">
        <f t="array" ref="G31">_xlfn.IFS(
AND($C31="Secured", OR($D31="HomeLoan_BT_more_than_2_Percent", $D31="HomeLoan_BT_less_than_2_Percent"), $E31=""), "",
AND($C31="Secured",$E31=""),"others",
AND($C31="Secured",$E31=3),"others",
AND($C31="Secured",$E31=5),"BT_with_5_year_lock_in_period",
TRUE, "")</f>
        <v/>
      </c>
      <c r="H31" s="46"/>
      <c r="I31" s="59" t="str" cm="1">
        <f t="array" ref="I31">_xlfn.IFS(
AND($C31="Secured", OR($D31="HomeLoan_BT_more_than_2_Percent", $D31="HomeLoan_BT_less_than_2_Percent"), OR($E31="", $E31=0)), "Please input Year !!!",
AND($C31="Secured", OR($F31="", $F31=0)), "Please input Amount !!!",
AND($C31="Secured", $F31&lt;5000000), 1,
AND($C31="Secured", $F31&gt;=5000000), 1.1,
TRUE, "")</f>
        <v/>
      </c>
      <c r="J31" s="59" t="str" cm="1">
        <f t="array" ref="J31">IFERROR(_xlfn.IFS(
$G31="BT_with_5_year_lock_in_period", _xlfn.XLOOKUP($H31, Deviate_Table[Pricing discount], Deviate_Table[BT_with_5_year_lock_in_period]),
$G31="others", _xlfn.XLOOKUP($H31, Deviate_Table[Pricing discount], Deviate_Table[others]),
TRUE, ""), "Please input Deviate Range !!!")</f>
        <v/>
      </c>
      <c r="K31" s="49">
        <f t="shared" si="0"/>
        <v>0</v>
      </c>
      <c r="L31" s="65" cm="1">
        <f t="array" aca="1" ref="L31" ca="1">IFERROR(
_xlfn.IFS(
D31="HomeLoan_BT_less_than_2_Percent", VLOOKUP(SUMIFS($K:$K, $D:$D, "HomeLoan_BT_more_than_2_Percent", $B:$B, B31)+SUMIFS($K:$K, $D:$D, "HomeLoan_BT_less_than_2_Percent", $B:$B, B31)+SUMIFS($K:$K, $D:$D, "HomeLoan_Non_BT", $B:$B, B31)+SUMIFS($K:$K, $D:$D, "Mortgage_Power_Term", $B:$B, B31), Secured_Commission!$A:$F, 2, 1)*(K31/10^6),
D31="HomeLoan_BT_more_than_2_Percent", VLOOKUP(SUMIFS($K:$K, $D:$D, "HomeLoan_BT_more_than_2_Percent", $B:$B, B31)+SUMIFS($K:$K, $D:$D, "HomeLoan_BT_less_than_2_Percent", $B:$B, B31)+SUMIFS($K:$K, $D:$D, "HomeLoan_Non_BT", $B:$B, B31)+SUMIFS($K:$K, $D:$D, "Mortgage_Power_Term", $B:$B, B31), Secured_Commission!$A:$F, 3, 1)*(K31/10^6),
D31="HomeLoan_Non_BT", VLOOKUP(SUMIFS($K:$K, $D:$D, "HomeLoan_BT_more_than_2_Percent", $B:$B, B31)+SUMIFS($K:$K, $D:$D, "HomeLoan_BT_less_than_2_Percent", $B:$B, B31)+SUMIFS($K:$K, $D:$D, "HomeLoan_Non_BT", $B:$B, B31)+SUMIFS($K:$K, $D:$D, "Mortgage_Power_Term", $B:$B, B31), Secured_Commission!$A:$F, 4, 1)*(K31/10^6),
D31="Mortgage_Power_Term", VLOOKUP(SUMIFS($K:$K, $D:$D, "HomeLoan_BT_more_than_2_Percent", $B:$B, B31)+SUMIFS($K:$K, $D:$D, "HomeLoan_BT_less_than_2_Percent", $B:$B, B31)+SUMIFS($K:$K, $D:$D, "HomeLoan_Non_BT", $B:$B, B31)+SUMIFS($K:$K, $D:$D, "Mortgage_Power_Term", $B:$B, B31), Secured_Commission!$A:$F, 5, 1)*(K31/10^6),
D31="Personal_Cash", VLOOKUP(SUMIFS($K:$K, $D:$D, "Personal_Cash", $B:$B, B31), Unsecured_Commission!$A:$B, 2, 1)*K31,
OR(D31="MRTA_3_Percent", D31="SOMPO"), K31*0.03,
D31="MRTA_6_Percent", K31*0.06), 0)</f>
        <v>0</v>
      </c>
    </row>
    <row r="32" spans="1:12">
      <c r="A32" s="19">
        <v>27</v>
      </c>
      <c r="B32" s="46"/>
      <c r="C32" s="46"/>
      <c r="D32" s="46"/>
      <c r="E32" s="46"/>
      <c r="G32" s="58" t="str" cm="1">
        <f t="array" ref="G32">_xlfn.IFS(
AND($C32="Secured", OR($D32="HomeLoan_BT_more_than_2_Percent", $D32="HomeLoan_BT_less_than_2_Percent"), $E32=""), "",
AND($C32="Secured",$E32=""),"others",
AND($C32="Secured",$E32=3),"others",
AND($C32="Secured",$E32=5),"BT_with_5_year_lock_in_period",
TRUE, "")</f>
        <v/>
      </c>
      <c r="H32" s="46"/>
      <c r="I32" s="59" t="str" cm="1">
        <f t="array" ref="I32">_xlfn.IFS(
AND($C32="Secured", OR($D32="HomeLoan_BT_more_than_2_Percent", $D32="HomeLoan_BT_less_than_2_Percent"), OR($E32="", $E32=0)), "Please input Year !!!",
AND($C32="Secured", OR($F32="", $F32=0)), "Please input Amount !!!",
AND($C32="Secured", $F32&lt;5000000), 1,
AND($C32="Secured", $F32&gt;=5000000), 1.1,
TRUE, "")</f>
        <v/>
      </c>
      <c r="J32" s="59" t="str" cm="1">
        <f t="array" ref="J32">IFERROR(_xlfn.IFS(
$G32="BT_with_5_year_lock_in_period", _xlfn.XLOOKUP($H32, Deviate_Table[Pricing discount], Deviate_Table[BT_with_5_year_lock_in_period]),
$G32="others", _xlfn.XLOOKUP($H32, Deviate_Table[Pricing discount], Deviate_Table[others]),
TRUE, ""), "Please input Deviate Range !!!")</f>
        <v/>
      </c>
      <c r="K32" s="49">
        <f t="shared" si="0"/>
        <v>0</v>
      </c>
      <c r="L32" s="65" cm="1">
        <f t="array" aca="1" ref="L32" ca="1">IFERROR(
_xlfn.IFS(
D32="HomeLoan_BT_less_than_2_Percent", VLOOKUP(SUMIFS($K:$K, $D:$D, "HomeLoan_BT_more_than_2_Percent", $B:$B, B32)+SUMIFS($K:$K, $D:$D, "HomeLoan_BT_less_than_2_Percent", $B:$B, B32)+SUMIFS($K:$K, $D:$D, "HomeLoan_Non_BT", $B:$B, B32)+SUMIFS($K:$K, $D:$D, "Mortgage_Power_Term", $B:$B, B32), Secured_Commission!$A:$F, 2, 1)*(K32/10^6),
D32="HomeLoan_BT_more_than_2_Percent", VLOOKUP(SUMIFS($K:$K, $D:$D, "HomeLoan_BT_more_than_2_Percent", $B:$B, B32)+SUMIFS($K:$K, $D:$D, "HomeLoan_BT_less_than_2_Percent", $B:$B, B32)+SUMIFS($K:$K, $D:$D, "HomeLoan_Non_BT", $B:$B, B32)+SUMIFS($K:$K, $D:$D, "Mortgage_Power_Term", $B:$B, B32), Secured_Commission!$A:$F, 3, 1)*(K32/10^6),
D32="HomeLoan_Non_BT", VLOOKUP(SUMIFS($K:$K, $D:$D, "HomeLoan_BT_more_than_2_Percent", $B:$B, B32)+SUMIFS($K:$K, $D:$D, "HomeLoan_BT_less_than_2_Percent", $B:$B, B32)+SUMIFS($K:$K, $D:$D, "HomeLoan_Non_BT", $B:$B, B32)+SUMIFS($K:$K, $D:$D, "Mortgage_Power_Term", $B:$B, B32), Secured_Commission!$A:$F, 4, 1)*(K32/10^6),
D32="Mortgage_Power_Term", VLOOKUP(SUMIFS($K:$K, $D:$D, "HomeLoan_BT_more_than_2_Percent", $B:$B, B32)+SUMIFS($K:$K, $D:$D, "HomeLoan_BT_less_than_2_Percent", $B:$B, B32)+SUMIFS($K:$K, $D:$D, "HomeLoan_Non_BT", $B:$B, B32)+SUMIFS($K:$K, $D:$D, "Mortgage_Power_Term", $B:$B, B32), Secured_Commission!$A:$F, 5, 1)*(K32/10^6),
D32="Personal_Cash", VLOOKUP(SUMIFS($K:$K, $D:$D, "Personal_Cash", $B:$B, B32), Unsecured_Commission!$A:$B, 2, 1)*K32,
OR(D32="MRTA_3_Percent", D32="SOMPO"), K32*0.03,
D32="MRTA_6_Percent", K32*0.06), 0)</f>
        <v>0</v>
      </c>
    </row>
    <row r="33" spans="1:12">
      <c r="A33" s="19">
        <v>28</v>
      </c>
      <c r="B33" s="46"/>
      <c r="C33" s="46"/>
      <c r="D33" s="46"/>
      <c r="E33" s="46"/>
      <c r="G33" s="58" t="str" cm="1">
        <f t="array" ref="G33">_xlfn.IFS(
AND($C33="Secured", OR($D33="HomeLoan_BT_more_than_2_Percent", $D33="HomeLoan_BT_less_than_2_Percent"), $E33=""), "",
AND($C33="Secured",$E33=""),"others",
AND($C33="Secured",$E33=3),"others",
AND($C33="Secured",$E33=5),"BT_with_5_year_lock_in_period",
TRUE, "")</f>
        <v/>
      </c>
      <c r="H33" s="46"/>
      <c r="I33" s="59" t="str" cm="1">
        <f t="array" ref="I33">_xlfn.IFS(
AND($C33="Secured", OR($D33="HomeLoan_BT_more_than_2_Percent", $D33="HomeLoan_BT_less_than_2_Percent"), OR($E33="", $E33=0)), "Please input Year !!!",
AND($C33="Secured", OR($F33="", $F33=0)), "Please input Amount !!!",
AND($C33="Secured", $F33&lt;5000000), 1,
AND($C33="Secured", $F33&gt;=5000000), 1.1,
TRUE, "")</f>
        <v/>
      </c>
      <c r="J33" s="59" t="str" cm="1">
        <f t="array" ref="J33">IFERROR(_xlfn.IFS(
$G33="BT_with_5_year_lock_in_period", _xlfn.XLOOKUP($H33, Deviate_Table[Pricing discount], Deviate_Table[BT_with_5_year_lock_in_period]),
$G33="others", _xlfn.XLOOKUP($H33, Deviate_Table[Pricing discount], Deviate_Table[others]),
TRUE, ""), "Please input Deviate Range !!!")</f>
        <v/>
      </c>
      <c r="K33" s="49">
        <f t="shared" si="0"/>
        <v>0</v>
      </c>
      <c r="L33" s="65" cm="1">
        <f t="array" aca="1" ref="L33" ca="1">IFERROR(
_xlfn.IFS(
D33="HomeLoan_BT_less_than_2_Percent", VLOOKUP(SUMIFS($K:$K, $D:$D, "HomeLoan_BT_more_than_2_Percent", $B:$B, B33)+SUMIFS($K:$K, $D:$D, "HomeLoan_BT_less_than_2_Percent", $B:$B, B33)+SUMIFS($K:$K, $D:$D, "HomeLoan_Non_BT", $B:$B, B33)+SUMIFS($K:$K, $D:$D, "Mortgage_Power_Term", $B:$B, B33), Secured_Commission!$A:$F, 2, 1)*(K33/10^6),
D33="HomeLoan_BT_more_than_2_Percent", VLOOKUP(SUMIFS($K:$K, $D:$D, "HomeLoan_BT_more_than_2_Percent", $B:$B, B33)+SUMIFS($K:$K, $D:$D, "HomeLoan_BT_less_than_2_Percent", $B:$B, B33)+SUMIFS($K:$K, $D:$D, "HomeLoan_Non_BT", $B:$B, B33)+SUMIFS($K:$K, $D:$D, "Mortgage_Power_Term", $B:$B, B33), Secured_Commission!$A:$F, 3, 1)*(K33/10^6),
D33="HomeLoan_Non_BT", VLOOKUP(SUMIFS($K:$K, $D:$D, "HomeLoan_BT_more_than_2_Percent", $B:$B, B33)+SUMIFS($K:$K, $D:$D, "HomeLoan_BT_less_than_2_Percent", $B:$B, B33)+SUMIFS($K:$K, $D:$D, "HomeLoan_Non_BT", $B:$B, B33)+SUMIFS($K:$K, $D:$D, "Mortgage_Power_Term", $B:$B, B33), Secured_Commission!$A:$F, 4, 1)*(K33/10^6),
D33="Mortgage_Power_Term", VLOOKUP(SUMIFS($K:$K, $D:$D, "HomeLoan_BT_more_than_2_Percent", $B:$B, B33)+SUMIFS($K:$K, $D:$D, "HomeLoan_BT_less_than_2_Percent", $B:$B, B33)+SUMIFS($K:$K, $D:$D, "HomeLoan_Non_BT", $B:$B, B33)+SUMIFS($K:$K, $D:$D, "Mortgage_Power_Term", $B:$B, B33), Secured_Commission!$A:$F, 5, 1)*(K33/10^6),
D33="Personal_Cash", VLOOKUP(SUMIFS($K:$K, $D:$D, "Personal_Cash", $B:$B, B33), Unsecured_Commission!$A:$B, 2, 1)*K33,
OR(D33="MRTA_3_Percent", D33="SOMPO"), K33*0.03,
D33="MRTA_6_Percent", K33*0.06), 0)</f>
        <v>0</v>
      </c>
    </row>
    <row r="34" spans="1:12">
      <c r="A34" s="19">
        <v>29</v>
      </c>
      <c r="B34" s="46"/>
      <c r="C34" s="46"/>
      <c r="D34" s="46"/>
      <c r="E34" s="46"/>
      <c r="G34" s="58" t="str" cm="1">
        <f t="array" ref="G34">_xlfn.IFS(
AND($C34="Secured", OR($D34="HomeLoan_BT_more_than_2_Percent", $D34="HomeLoan_BT_less_than_2_Percent"), $E34=""), "",
AND($C34="Secured",$E34=""),"others",
AND($C34="Secured",$E34=3),"others",
AND($C34="Secured",$E34=5),"BT_with_5_year_lock_in_period",
TRUE, "")</f>
        <v/>
      </c>
      <c r="H34" s="46"/>
      <c r="I34" s="59" t="str" cm="1">
        <f t="array" ref="I34">_xlfn.IFS(
AND($C34="Secured", OR($D34="HomeLoan_BT_more_than_2_Percent", $D34="HomeLoan_BT_less_than_2_Percent"), OR($E34="", $E34=0)), "Please input Year !!!",
AND($C34="Secured", OR($F34="", $F34=0)), "Please input Amount !!!",
AND($C34="Secured", $F34&lt;5000000), 1,
AND($C34="Secured", $F34&gt;=5000000), 1.1,
TRUE, "")</f>
        <v/>
      </c>
      <c r="J34" s="59" t="str" cm="1">
        <f t="array" ref="J34">IFERROR(_xlfn.IFS(
$G34="BT_with_5_year_lock_in_period", _xlfn.XLOOKUP($H34, Deviate_Table[Pricing discount], Deviate_Table[BT_with_5_year_lock_in_period]),
$G34="others", _xlfn.XLOOKUP($H34, Deviate_Table[Pricing discount], Deviate_Table[others]),
TRUE, ""), "Please input Deviate Range !!!")</f>
        <v/>
      </c>
      <c r="K34" s="49">
        <f t="shared" si="0"/>
        <v>0</v>
      </c>
      <c r="L34" s="65" cm="1">
        <f t="array" aca="1" ref="L34" ca="1">IFERROR(
_xlfn.IFS(
D34="HomeLoan_BT_less_than_2_Percent", VLOOKUP(SUMIFS($K:$K, $D:$D, "HomeLoan_BT_more_than_2_Percent", $B:$B, B34)+SUMIFS($K:$K, $D:$D, "HomeLoan_BT_less_than_2_Percent", $B:$B, B34)+SUMIFS($K:$K, $D:$D, "HomeLoan_Non_BT", $B:$B, B34)+SUMIFS($K:$K, $D:$D, "Mortgage_Power_Term", $B:$B, B34), Secured_Commission!$A:$F, 2, 1)*(K34/10^6),
D34="HomeLoan_BT_more_than_2_Percent", VLOOKUP(SUMIFS($K:$K, $D:$D, "HomeLoan_BT_more_than_2_Percent", $B:$B, B34)+SUMIFS($K:$K, $D:$D, "HomeLoan_BT_less_than_2_Percent", $B:$B, B34)+SUMIFS($K:$K, $D:$D, "HomeLoan_Non_BT", $B:$B, B34)+SUMIFS($K:$K, $D:$D, "Mortgage_Power_Term", $B:$B, B34), Secured_Commission!$A:$F, 3, 1)*(K34/10^6),
D34="HomeLoan_Non_BT", VLOOKUP(SUMIFS($K:$K, $D:$D, "HomeLoan_BT_more_than_2_Percent", $B:$B, B34)+SUMIFS($K:$K, $D:$D, "HomeLoan_BT_less_than_2_Percent", $B:$B, B34)+SUMIFS($K:$K, $D:$D, "HomeLoan_Non_BT", $B:$B, B34)+SUMIFS($K:$K, $D:$D, "Mortgage_Power_Term", $B:$B, B34), Secured_Commission!$A:$F, 4, 1)*(K34/10^6),
D34="Mortgage_Power_Term", VLOOKUP(SUMIFS($K:$K, $D:$D, "HomeLoan_BT_more_than_2_Percent", $B:$B, B34)+SUMIFS($K:$K, $D:$D, "HomeLoan_BT_less_than_2_Percent", $B:$B, B34)+SUMIFS($K:$K, $D:$D, "HomeLoan_Non_BT", $B:$B, B34)+SUMIFS($K:$K, $D:$D, "Mortgage_Power_Term", $B:$B, B34), Secured_Commission!$A:$F, 5, 1)*(K34/10^6),
D34="Personal_Cash", VLOOKUP(SUMIFS($K:$K, $D:$D, "Personal_Cash", $B:$B, B34), Unsecured_Commission!$A:$B, 2, 1)*K34,
OR(D34="MRTA_3_Percent", D34="SOMPO"), K34*0.03,
D34="MRTA_6_Percent", K34*0.06), 0)</f>
        <v>0</v>
      </c>
    </row>
    <row r="35" spans="1:12">
      <c r="A35" s="19">
        <v>30</v>
      </c>
      <c r="B35" s="46"/>
      <c r="C35" s="46"/>
      <c r="D35" s="46"/>
      <c r="E35" s="46"/>
      <c r="G35" s="58" t="str" cm="1">
        <f t="array" ref="G35">_xlfn.IFS(
AND($C35="Secured", OR($D35="HomeLoan_BT_more_than_2_Percent", $D35="HomeLoan_BT_less_than_2_Percent"), $E35=""), "",
AND($C35="Secured",$E35=""),"others",
AND($C35="Secured",$E35=3),"others",
AND($C35="Secured",$E35=5),"BT_with_5_year_lock_in_period",
TRUE, "")</f>
        <v/>
      </c>
      <c r="H35" s="46"/>
      <c r="I35" s="59" t="str" cm="1">
        <f t="array" ref="I35">_xlfn.IFS(
AND($C35="Secured", OR($D35="HomeLoan_BT_more_than_2_Percent", $D35="HomeLoan_BT_less_than_2_Percent"), OR($E35="", $E35=0)), "Please input Year !!!",
AND($C35="Secured", OR($F35="", $F35=0)), "Please input Amount !!!",
AND($C35="Secured", $F35&lt;5000000), 1,
AND($C35="Secured", $F35&gt;=5000000), 1.1,
TRUE, "")</f>
        <v/>
      </c>
      <c r="J35" s="59" t="str" cm="1">
        <f t="array" ref="J35">IFERROR(_xlfn.IFS(
$G35="BT_with_5_year_lock_in_period", _xlfn.XLOOKUP($H35, Deviate_Table[Pricing discount], Deviate_Table[BT_with_5_year_lock_in_period]),
$G35="others", _xlfn.XLOOKUP($H35, Deviate_Table[Pricing discount], Deviate_Table[others]),
TRUE, ""), "Please input Deviate Range !!!")</f>
        <v/>
      </c>
      <c r="K35" s="49">
        <f t="shared" si="0"/>
        <v>0</v>
      </c>
      <c r="L35" s="65" cm="1">
        <f t="array" aca="1" ref="L35" ca="1">IFERROR(
_xlfn.IFS(
D35="HomeLoan_BT_less_than_2_Percent", VLOOKUP(SUMIFS($K:$K, $D:$D, "HomeLoan_BT_more_than_2_Percent", $B:$B, B35)+SUMIFS($K:$K, $D:$D, "HomeLoan_BT_less_than_2_Percent", $B:$B, B35)+SUMIFS($K:$K, $D:$D, "HomeLoan_Non_BT", $B:$B, B35)+SUMIFS($K:$K, $D:$D, "Mortgage_Power_Term", $B:$B, B35), Secured_Commission!$A:$F, 2, 1)*(K35/10^6),
D35="HomeLoan_BT_more_than_2_Percent", VLOOKUP(SUMIFS($K:$K, $D:$D, "HomeLoan_BT_more_than_2_Percent", $B:$B, B35)+SUMIFS($K:$K, $D:$D, "HomeLoan_BT_less_than_2_Percent", $B:$B, B35)+SUMIFS($K:$K, $D:$D, "HomeLoan_Non_BT", $B:$B, B35)+SUMIFS($K:$K, $D:$D, "Mortgage_Power_Term", $B:$B, B35), Secured_Commission!$A:$F, 3, 1)*(K35/10^6),
D35="HomeLoan_Non_BT", VLOOKUP(SUMIFS($K:$K, $D:$D, "HomeLoan_BT_more_than_2_Percent", $B:$B, B35)+SUMIFS($K:$K, $D:$D, "HomeLoan_BT_less_than_2_Percent", $B:$B, B35)+SUMIFS($K:$K, $D:$D, "HomeLoan_Non_BT", $B:$B, B35)+SUMIFS($K:$K, $D:$D, "Mortgage_Power_Term", $B:$B, B35), Secured_Commission!$A:$F, 4, 1)*(K35/10^6),
D35="Mortgage_Power_Term", VLOOKUP(SUMIFS($K:$K, $D:$D, "HomeLoan_BT_more_than_2_Percent", $B:$B, B35)+SUMIFS($K:$K, $D:$D, "HomeLoan_BT_less_than_2_Percent", $B:$B, B35)+SUMIFS($K:$K, $D:$D, "HomeLoan_Non_BT", $B:$B, B35)+SUMIFS($K:$K, $D:$D, "Mortgage_Power_Term", $B:$B, B35), Secured_Commission!$A:$F, 5, 1)*(K35/10^6),
D35="Personal_Cash", VLOOKUP(SUMIFS($K:$K, $D:$D, "Personal_Cash", $B:$B, B35), Unsecured_Commission!$A:$B, 2, 1)*K35,
OR(D35="MRTA_3_Percent", D35="SOMPO"), K35*0.03,
D35="MRTA_6_Percent", K35*0.06), 0)</f>
        <v>0</v>
      </c>
    </row>
    <row r="36" spans="1:12">
      <c r="A36" s="19">
        <v>31</v>
      </c>
      <c r="B36" s="46"/>
      <c r="C36" s="46"/>
      <c r="D36" s="46"/>
      <c r="E36" s="46"/>
      <c r="G36" s="58" t="str" cm="1">
        <f t="array" ref="G36">_xlfn.IFS(
AND($C36="Secured", OR($D36="HomeLoan_BT_more_than_2_Percent", $D36="HomeLoan_BT_less_than_2_Percent"), $E36=""), "",
AND($C36="Secured",$E36=""),"others",
AND($C36="Secured",$E36=3),"others",
AND($C36="Secured",$E36=5),"BT_with_5_year_lock_in_period",
TRUE, "")</f>
        <v/>
      </c>
      <c r="H36" s="46"/>
      <c r="I36" s="59" t="str" cm="1">
        <f t="array" ref="I36">_xlfn.IFS(
AND($C36="Secured", OR($D36="HomeLoan_BT_more_than_2_Percent", $D36="HomeLoan_BT_less_than_2_Percent"), OR($E36="", $E36=0)), "Please input Year !!!",
AND($C36="Secured", OR($F36="", $F36=0)), "Please input Amount !!!",
AND($C36="Secured", $F36&lt;5000000), 1,
AND($C36="Secured", $F36&gt;=5000000), 1.1,
TRUE, "")</f>
        <v/>
      </c>
      <c r="J36" s="59" t="str" cm="1">
        <f t="array" ref="J36">IFERROR(_xlfn.IFS(
$G36="BT_with_5_year_lock_in_period", _xlfn.XLOOKUP($H36, Deviate_Table[Pricing discount], Deviate_Table[BT_with_5_year_lock_in_period]),
$G36="others", _xlfn.XLOOKUP($H36, Deviate_Table[Pricing discount], Deviate_Table[others]),
TRUE, ""), "Please input Deviate Range !!!")</f>
        <v/>
      </c>
      <c r="K36" s="49">
        <f t="shared" si="0"/>
        <v>0</v>
      </c>
      <c r="L36" s="65" cm="1">
        <f t="array" aca="1" ref="L36" ca="1">IFERROR(
_xlfn.IFS(
D36="HomeLoan_BT_less_than_2_Percent", VLOOKUP(SUMIFS($K:$K, $D:$D, "HomeLoan_BT_more_than_2_Percent", $B:$B, B36)+SUMIFS($K:$K, $D:$D, "HomeLoan_BT_less_than_2_Percent", $B:$B, B36)+SUMIFS($K:$K, $D:$D, "HomeLoan_Non_BT", $B:$B, B36)+SUMIFS($K:$K, $D:$D, "Mortgage_Power_Term", $B:$B, B36), Secured_Commission!$A:$F, 2, 1)*(K36/10^6),
D36="HomeLoan_BT_more_than_2_Percent", VLOOKUP(SUMIFS($K:$K, $D:$D, "HomeLoan_BT_more_than_2_Percent", $B:$B, B36)+SUMIFS($K:$K, $D:$D, "HomeLoan_BT_less_than_2_Percent", $B:$B, B36)+SUMIFS($K:$K, $D:$D, "HomeLoan_Non_BT", $B:$B, B36)+SUMIFS($K:$K, $D:$D, "Mortgage_Power_Term", $B:$B, B36), Secured_Commission!$A:$F, 3, 1)*(K36/10^6),
D36="HomeLoan_Non_BT", VLOOKUP(SUMIFS($K:$K, $D:$D, "HomeLoan_BT_more_than_2_Percent", $B:$B, B36)+SUMIFS($K:$K, $D:$D, "HomeLoan_BT_less_than_2_Percent", $B:$B, B36)+SUMIFS($K:$K, $D:$D, "HomeLoan_Non_BT", $B:$B, B36)+SUMIFS($K:$K, $D:$D, "Mortgage_Power_Term", $B:$B, B36), Secured_Commission!$A:$F, 4, 1)*(K36/10^6),
D36="Mortgage_Power_Term", VLOOKUP(SUMIFS($K:$K, $D:$D, "HomeLoan_BT_more_than_2_Percent", $B:$B, B36)+SUMIFS($K:$K, $D:$D, "HomeLoan_BT_less_than_2_Percent", $B:$B, B36)+SUMIFS($K:$K, $D:$D, "HomeLoan_Non_BT", $B:$B, B36)+SUMIFS($K:$K, $D:$D, "Mortgage_Power_Term", $B:$B, B36), Secured_Commission!$A:$F, 5, 1)*(K36/10^6),
D36="Personal_Cash", VLOOKUP(SUMIFS($K:$K, $D:$D, "Personal_Cash", $B:$B, B36), Unsecured_Commission!$A:$B, 2, 1)*K36,
OR(D36="MRTA_3_Percent", D36="SOMPO"), K36*0.03,
D36="MRTA_6_Percent", K36*0.06), 0)</f>
        <v>0</v>
      </c>
    </row>
    <row r="37" spans="1:12">
      <c r="A37" s="19">
        <v>32</v>
      </c>
      <c r="B37" s="46"/>
      <c r="C37" s="46"/>
      <c r="D37" s="46"/>
      <c r="E37" s="46"/>
      <c r="G37" s="58" t="str" cm="1">
        <f t="array" ref="G37">_xlfn.IFS(
AND($C37="Secured", OR($D37="HomeLoan_BT_more_than_2_Percent", $D37="HomeLoan_BT_less_than_2_Percent"), $E37=""), "",
AND($C37="Secured",$E37=""),"others",
AND($C37="Secured",$E37=3),"others",
AND($C37="Secured",$E37=5),"BT_with_5_year_lock_in_period",
TRUE, "")</f>
        <v/>
      </c>
      <c r="H37" s="46"/>
      <c r="I37" s="59" t="str" cm="1">
        <f t="array" ref="I37">_xlfn.IFS(
AND($C37="Secured", OR($D37="HomeLoan_BT_more_than_2_Percent", $D37="HomeLoan_BT_less_than_2_Percent"), OR($E37="", $E37=0)), "Please input Year !!!",
AND($C37="Secured", OR($F37="", $F37=0)), "Please input Amount !!!",
AND($C37="Secured", $F37&lt;5000000), 1,
AND($C37="Secured", $F37&gt;=5000000), 1.1,
TRUE, "")</f>
        <v/>
      </c>
      <c r="J37" s="59" t="str" cm="1">
        <f t="array" ref="J37">IFERROR(_xlfn.IFS(
$G37="BT_with_5_year_lock_in_period", _xlfn.XLOOKUP($H37, Deviate_Table[Pricing discount], Deviate_Table[BT_with_5_year_lock_in_period]),
$G37="others", _xlfn.XLOOKUP($H37, Deviate_Table[Pricing discount], Deviate_Table[others]),
TRUE, ""), "Please input Deviate Range !!!")</f>
        <v/>
      </c>
      <c r="K37" s="49">
        <f t="shared" si="0"/>
        <v>0</v>
      </c>
      <c r="L37" s="65" cm="1">
        <f t="array" aca="1" ref="L37" ca="1">IFERROR(
_xlfn.IFS(
D37="HomeLoan_BT_less_than_2_Percent", VLOOKUP(SUMIFS($K:$K, $D:$D, "HomeLoan_BT_more_than_2_Percent", $B:$B, B37)+SUMIFS($K:$K, $D:$D, "HomeLoan_BT_less_than_2_Percent", $B:$B, B37)+SUMIFS($K:$K, $D:$D, "HomeLoan_Non_BT", $B:$B, B37)+SUMIFS($K:$K, $D:$D, "Mortgage_Power_Term", $B:$B, B37), Secured_Commission!$A:$F, 2, 1)*(K37/10^6),
D37="HomeLoan_BT_more_than_2_Percent", VLOOKUP(SUMIFS($K:$K, $D:$D, "HomeLoan_BT_more_than_2_Percent", $B:$B, B37)+SUMIFS($K:$K, $D:$D, "HomeLoan_BT_less_than_2_Percent", $B:$B, B37)+SUMIFS($K:$K, $D:$D, "HomeLoan_Non_BT", $B:$B, B37)+SUMIFS($K:$K, $D:$D, "Mortgage_Power_Term", $B:$B, B37), Secured_Commission!$A:$F, 3, 1)*(K37/10^6),
D37="HomeLoan_Non_BT", VLOOKUP(SUMIFS($K:$K, $D:$D, "HomeLoan_BT_more_than_2_Percent", $B:$B, B37)+SUMIFS($K:$K, $D:$D, "HomeLoan_BT_less_than_2_Percent", $B:$B, B37)+SUMIFS($K:$K, $D:$D, "HomeLoan_Non_BT", $B:$B, B37)+SUMIFS($K:$K, $D:$D, "Mortgage_Power_Term", $B:$B, B37), Secured_Commission!$A:$F, 4, 1)*(K37/10^6),
D37="Mortgage_Power_Term", VLOOKUP(SUMIFS($K:$K, $D:$D, "HomeLoan_BT_more_than_2_Percent", $B:$B, B37)+SUMIFS($K:$K, $D:$D, "HomeLoan_BT_less_than_2_Percent", $B:$B, B37)+SUMIFS($K:$K, $D:$D, "HomeLoan_Non_BT", $B:$B, B37)+SUMIFS($K:$K, $D:$D, "Mortgage_Power_Term", $B:$B, B37), Secured_Commission!$A:$F, 5, 1)*(K37/10^6),
D37="Personal_Cash", VLOOKUP(SUMIFS($K:$K, $D:$D, "Personal_Cash", $B:$B, B37), Unsecured_Commission!$A:$B, 2, 1)*K37,
OR(D37="MRTA_3_Percent", D37="SOMPO"), K37*0.03,
D37="MRTA_6_Percent", K37*0.06), 0)</f>
        <v>0</v>
      </c>
    </row>
    <row r="38" spans="1:12">
      <c r="A38" s="19">
        <v>33</v>
      </c>
      <c r="B38" s="46"/>
      <c r="C38" s="46"/>
      <c r="D38" s="46"/>
      <c r="E38" s="46"/>
      <c r="G38" s="58" t="str" cm="1">
        <f t="array" ref="G38">_xlfn.IFS(
AND($C38="Secured", OR($D38="HomeLoan_BT_more_than_2_Percent", $D38="HomeLoan_BT_less_than_2_Percent"), $E38=""), "",
AND($C38="Secured",$E38=""),"others",
AND($C38="Secured",$E38=3),"others",
AND($C38="Secured",$E38=5),"BT_with_5_year_lock_in_period",
TRUE, "")</f>
        <v/>
      </c>
      <c r="H38" s="46"/>
      <c r="I38" s="59" t="str" cm="1">
        <f t="array" ref="I38">_xlfn.IFS(
AND($C38="Secured", OR($D38="HomeLoan_BT_more_than_2_Percent", $D38="HomeLoan_BT_less_than_2_Percent"), OR($E38="", $E38=0)), "Please input Year !!!",
AND($C38="Secured", OR($F38="", $F38=0)), "Please input Amount !!!",
AND($C38="Secured", $F38&lt;5000000), 1,
AND($C38="Secured", $F38&gt;=5000000), 1.1,
TRUE, "")</f>
        <v/>
      </c>
      <c r="J38" s="59" t="str" cm="1">
        <f t="array" ref="J38">IFERROR(_xlfn.IFS(
$G38="BT_with_5_year_lock_in_period", _xlfn.XLOOKUP($H38, Deviate_Table[Pricing discount], Deviate_Table[BT_with_5_year_lock_in_period]),
$G38="others", _xlfn.XLOOKUP($H38, Deviate_Table[Pricing discount], Deviate_Table[others]),
TRUE, ""), "Please input Deviate Range !!!")</f>
        <v/>
      </c>
      <c r="K38" s="49">
        <f t="shared" si="0"/>
        <v>0</v>
      </c>
      <c r="L38" s="65" cm="1">
        <f t="array" aca="1" ref="L38" ca="1">IFERROR(
_xlfn.IFS(
D38="HomeLoan_BT_less_than_2_Percent", VLOOKUP(SUMIFS($K:$K, $D:$D, "HomeLoan_BT_more_than_2_Percent", $B:$B, B38)+SUMIFS($K:$K, $D:$D, "HomeLoan_BT_less_than_2_Percent", $B:$B, B38)+SUMIFS($K:$K, $D:$D, "HomeLoan_Non_BT", $B:$B, B38)+SUMIFS($K:$K, $D:$D, "Mortgage_Power_Term", $B:$B, B38), Secured_Commission!$A:$F, 2, 1)*(K38/10^6),
D38="HomeLoan_BT_more_than_2_Percent", VLOOKUP(SUMIFS($K:$K, $D:$D, "HomeLoan_BT_more_than_2_Percent", $B:$B, B38)+SUMIFS($K:$K, $D:$D, "HomeLoan_BT_less_than_2_Percent", $B:$B, B38)+SUMIFS($K:$K, $D:$D, "HomeLoan_Non_BT", $B:$B, B38)+SUMIFS($K:$K, $D:$D, "Mortgage_Power_Term", $B:$B, B38), Secured_Commission!$A:$F, 3, 1)*(K38/10^6),
D38="HomeLoan_Non_BT", VLOOKUP(SUMIFS($K:$K, $D:$D, "HomeLoan_BT_more_than_2_Percent", $B:$B, B38)+SUMIFS($K:$K, $D:$D, "HomeLoan_BT_less_than_2_Percent", $B:$B, B38)+SUMIFS($K:$K, $D:$D, "HomeLoan_Non_BT", $B:$B, B38)+SUMIFS($K:$K, $D:$D, "Mortgage_Power_Term", $B:$B, B38), Secured_Commission!$A:$F, 4, 1)*(K38/10^6),
D38="Mortgage_Power_Term", VLOOKUP(SUMIFS($K:$K, $D:$D, "HomeLoan_BT_more_than_2_Percent", $B:$B, B38)+SUMIFS($K:$K, $D:$D, "HomeLoan_BT_less_than_2_Percent", $B:$B, B38)+SUMIFS($K:$K, $D:$D, "HomeLoan_Non_BT", $B:$B, B38)+SUMIFS($K:$K, $D:$D, "Mortgage_Power_Term", $B:$B, B38), Secured_Commission!$A:$F, 5, 1)*(K38/10^6),
D38="Personal_Cash", VLOOKUP(SUMIFS($K:$K, $D:$D, "Personal_Cash", $B:$B, B38), Unsecured_Commission!$A:$B, 2, 1)*K38,
OR(D38="MRTA_3_Percent", D38="SOMPO"), K38*0.03,
D38="MRTA_6_Percent", K38*0.06), 0)</f>
        <v>0</v>
      </c>
    </row>
    <row r="39" spans="1:12">
      <c r="A39" s="19">
        <v>34</v>
      </c>
      <c r="B39" s="46"/>
      <c r="C39" s="46"/>
      <c r="D39" s="46"/>
      <c r="E39" s="46"/>
      <c r="G39" s="58" t="str" cm="1">
        <f t="array" ref="G39">_xlfn.IFS(
AND($C39="Secured", OR($D39="HomeLoan_BT_more_than_2_Percent", $D39="HomeLoan_BT_less_than_2_Percent"), $E39=""), "",
AND($C39="Secured",$E39=""),"others",
AND($C39="Secured",$E39=3),"others",
AND($C39="Secured",$E39=5),"BT_with_5_year_lock_in_period",
TRUE, "")</f>
        <v/>
      </c>
      <c r="H39" s="46"/>
      <c r="I39" s="59" t="str" cm="1">
        <f t="array" ref="I39">_xlfn.IFS(
AND($C39="Secured", OR($D39="HomeLoan_BT_more_than_2_Percent", $D39="HomeLoan_BT_less_than_2_Percent"), OR($E39="", $E39=0)), "Please input Year !!!",
AND($C39="Secured", OR($F39="", $F39=0)), "Please input Amount !!!",
AND($C39="Secured", $F39&lt;5000000), 1,
AND($C39="Secured", $F39&gt;=5000000), 1.1,
TRUE, "")</f>
        <v/>
      </c>
      <c r="J39" s="59" t="str" cm="1">
        <f t="array" ref="J39">IFERROR(_xlfn.IFS(
$G39="BT_with_5_year_lock_in_period", _xlfn.XLOOKUP($H39, Deviate_Table[Pricing discount], Deviate_Table[BT_with_5_year_lock_in_period]),
$G39="others", _xlfn.XLOOKUP($H39, Deviate_Table[Pricing discount], Deviate_Table[others]),
TRUE, ""), "Please input Deviate Range !!!")</f>
        <v/>
      </c>
      <c r="K39" s="49">
        <f t="shared" si="0"/>
        <v>0</v>
      </c>
      <c r="L39" s="65" cm="1">
        <f t="array" aca="1" ref="L39" ca="1">IFERROR(
_xlfn.IFS(
D39="HomeLoan_BT_less_than_2_Percent", VLOOKUP(SUMIFS($K:$K, $D:$D, "HomeLoan_BT_more_than_2_Percent", $B:$B, B39)+SUMIFS($K:$K, $D:$D, "HomeLoan_BT_less_than_2_Percent", $B:$B, B39)+SUMIFS($K:$K, $D:$D, "HomeLoan_Non_BT", $B:$B, B39)+SUMIFS($K:$K, $D:$D, "Mortgage_Power_Term", $B:$B, B39), Secured_Commission!$A:$F, 2, 1)*(K39/10^6),
D39="HomeLoan_BT_more_than_2_Percent", VLOOKUP(SUMIFS($K:$K, $D:$D, "HomeLoan_BT_more_than_2_Percent", $B:$B, B39)+SUMIFS($K:$K, $D:$D, "HomeLoan_BT_less_than_2_Percent", $B:$B, B39)+SUMIFS($K:$K, $D:$D, "HomeLoan_Non_BT", $B:$B, B39)+SUMIFS($K:$K, $D:$D, "Mortgage_Power_Term", $B:$B, B39), Secured_Commission!$A:$F, 3, 1)*(K39/10^6),
D39="HomeLoan_Non_BT", VLOOKUP(SUMIFS($K:$K, $D:$D, "HomeLoan_BT_more_than_2_Percent", $B:$B, B39)+SUMIFS($K:$K, $D:$D, "HomeLoan_BT_less_than_2_Percent", $B:$B, B39)+SUMIFS($K:$K, $D:$D, "HomeLoan_Non_BT", $B:$B, B39)+SUMIFS($K:$K, $D:$D, "Mortgage_Power_Term", $B:$B, B39), Secured_Commission!$A:$F, 4, 1)*(K39/10^6),
D39="Mortgage_Power_Term", VLOOKUP(SUMIFS($K:$K, $D:$D, "HomeLoan_BT_more_than_2_Percent", $B:$B, B39)+SUMIFS($K:$K, $D:$D, "HomeLoan_BT_less_than_2_Percent", $B:$B, B39)+SUMIFS($K:$K, $D:$D, "HomeLoan_Non_BT", $B:$B, B39)+SUMIFS($K:$K, $D:$D, "Mortgage_Power_Term", $B:$B, B39), Secured_Commission!$A:$F, 5, 1)*(K39/10^6),
D39="Personal_Cash", VLOOKUP(SUMIFS($K:$K, $D:$D, "Personal_Cash", $B:$B, B39), Unsecured_Commission!$A:$B, 2, 1)*K39,
OR(D39="MRTA_3_Percent", D39="SOMPO"), K39*0.03,
D39="MRTA_6_Percent", K39*0.06), 0)</f>
        <v>0</v>
      </c>
    </row>
    <row r="40" spans="1:12">
      <c r="A40" s="19">
        <v>35</v>
      </c>
      <c r="B40" s="46"/>
      <c r="C40" s="46"/>
      <c r="D40" s="46"/>
      <c r="E40" s="46"/>
      <c r="G40" s="58" t="str" cm="1">
        <f t="array" ref="G40">_xlfn.IFS(
AND($C40="Secured", OR($D40="HomeLoan_BT_more_than_2_Percent", $D40="HomeLoan_BT_less_than_2_Percent"), $E40=""), "",
AND($C40="Secured",$E40=""),"others",
AND($C40="Secured",$E40=3),"others",
AND($C40="Secured",$E40=5),"BT_with_5_year_lock_in_period",
TRUE, "")</f>
        <v/>
      </c>
      <c r="H40" s="46"/>
      <c r="I40" s="59" t="str" cm="1">
        <f t="array" ref="I40">_xlfn.IFS(
AND($C40="Secured", OR($D40="HomeLoan_BT_more_than_2_Percent", $D40="HomeLoan_BT_less_than_2_Percent"), OR($E40="", $E40=0)), "Please input Year !!!",
AND($C40="Secured", OR($F40="", $F40=0)), "Please input Amount !!!",
AND($C40="Secured", $F40&lt;5000000), 1,
AND($C40="Secured", $F40&gt;=5000000), 1.1,
TRUE, "")</f>
        <v/>
      </c>
      <c r="J40" s="59" t="str" cm="1">
        <f t="array" ref="J40">IFERROR(_xlfn.IFS(
$G40="BT_with_5_year_lock_in_period", _xlfn.XLOOKUP($H40, Deviate_Table[Pricing discount], Deviate_Table[BT_with_5_year_lock_in_period]),
$G40="others", _xlfn.XLOOKUP($H40, Deviate_Table[Pricing discount], Deviate_Table[others]),
TRUE, ""), "Please input Deviate Range !!!")</f>
        <v/>
      </c>
      <c r="K40" s="49">
        <f t="shared" si="0"/>
        <v>0</v>
      </c>
      <c r="L40" s="65" cm="1">
        <f t="array" aca="1" ref="L40" ca="1">IFERROR(
_xlfn.IFS(
D40="HomeLoan_BT_less_than_2_Percent", VLOOKUP(SUMIFS($K:$K, $D:$D, "HomeLoan_BT_more_than_2_Percent", $B:$B, B40)+SUMIFS($K:$K, $D:$D, "HomeLoan_BT_less_than_2_Percent", $B:$B, B40)+SUMIFS($K:$K, $D:$D, "HomeLoan_Non_BT", $B:$B, B40)+SUMIFS($K:$K, $D:$D, "Mortgage_Power_Term", $B:$B, B40), Secured_Commission!$A:$F, 2, 1)*(K40/10^6),
D40="HomeLoan_BT_more_than_2_Percent", VLOOKUP(SUMIFS($K:$K, $D:$D, "HomeLoan_BT_more_than_2_Percent", $B:$B, B40)+SUMIFS($K:$K, $D:$D, "HomeLoan_BT_less_than_2_Percent", $B:$B, B40)+SUMIFS($K:$K, $D:$D, "HomeLoan_Non_BT", $B:$B, B40)+SUMIFS($K:$K, $D:$D, "Mortgage_Power_Term", $B:$B, B40), Secured_Commission!$A:$F, 3, 1)*(K40/10^6),
D40="HomeLoan_Non_BT", VLOOKUP(SUMIFS($K:$K, $D:$D, "HomeLoan_BT_more_than_2_Percent", $B:$B, B40)+SUMIFS($K:$K, $D:$D, "HomeLoan_BT_less_than_2_Percent", $B:$B, B40)+SUMIFS($K:$K, $D:$D, "HomeLoan_Non_BT", $B:$B, B40)+SUMIFS($K:$K, $D:$D, "Mortgage_Power_Term", $B:$B, B40), Secured_Commission!$A:$F, 4, 1)*(K40/10^6),
D40="Mortgage_Power_Term", VLOOKUP(SUMIFS($K:$K, $D:$D, "HomeLoan_BT_more_than_2_Percent", $B:$B, B40)+SUMIFS($K:$K, $D:$D, "HomeLoan_BT_less_than_2_Percent", $B:$B, B40)+SUMIFS($K:$K, $D:$D, "HomeLoan_Non_BT", $B:$B, B40)+SUMIFS($K:$K, $D:$D, "Mortgage_Power_Term", $B:$B, B40), Secured_Commission!$A:$F, 5, 1)*(K40/10^6),
D40="Personal_Cash", VLOOKUP(SUMIFS($K:$K, $D:$D, "Personal_Cash", $B:$B, B40), Unsecured_Commission!$A:$B, 2, 1)*K40,
OR(D40="MRTA_3_Percent", D40="SOMPO"), K40*0.03,
D40="MRTA_6_Percent", K40*0.06), 0)</f>
        <v>0</v>
      </c>
    </row>
    <row r="41" spans="1:12">
      <c r="A41" s="19">
        <v>36</v>
      </c>
      <c r="B41" s="46"/>
      <c r="C41" s="46"/>
      <c r="D41" s="46"/>
      <c r="E41" s="46"/>
      <c r="G41" s="58" t="str" cm="1">
        <f t="array" ref="G41">_xlfn.IFS(
AND($C41="Secured", OR($D41="HomeLoan_BT_more_than_2_Percent", $D41="HomeLoan_BT_less_than_2_Percent"), $E41=""), "",
AND($C41="Secured",$E41=""),"others",
AND($C41="Secured",$E41=3),"others",
AND($C41="Secured",$E41=5),"BT_with_5_year_lock_in_period",
TRUE, "")</f>
        <v/>
      </c>
      <c r="H41" s="46"/>
      <c r="I41" s="59" t="str" cm="1">
        <f t="array" ref="I41">_xlfn.IFS(
AND($C41="Secured", OR($D41="HomeLoan_BT_more_than_2_Percent", $D41="HomeLoan_BT_less_than_2_Percent"), OR($E41="", $E41=0)), "Please input Year !!!",
AND($C41="Secured", OR($F41="", $F41=0)), "Please input Amount !!!",
AND($C41="Secured", $F41&lt;5000000), 1,
AND($C41="Secured", $F41&gt;=5000000), 1.1,
TRUE, "")</f>
        <v/>
      </c>
      <c r="J41" s="59" t="str" cm="1">
        <f t="array" ref="J41">IFERROR(_xlfn.IFS(
$G41="BT_with_5_year_lock_in_period", _xlfn.XLOOKUP($H41, Deviate_Table[Pricing discount], Deviate_Table[BT_with_5_year_lock_in_period]),
$G41="others", _xlfn.XLOOKUP($H41, Deviate_Table[Pricing discount], Deviate_Table[others]),
TRUE, ""), "Please input Deviate Range !!!")</f>
        <v/>
      </c>
      <c r="K41" s="49">
        <f t="shared" si="0"/>
        <v>0</v>
      </c>
      <c r="L41" s="65" cm="1">
        <f t="array" aca="1" ref="L41" ca="1">IFERROR(
_xlfn.IFS(
D41="HomeLoan_BT_less_than_2_Percent", VLOOKUP(SUMIFS($K:$K, $D:$D, "HomeLoan_BT_more_than_2_Percent", $B:$B, B41)+SUMIFS($K:$K, $D:$D, "HomeLoan_BT_less_than_2_Percent", $B:$B, B41)+SUMIFS($K:$K, $D:$D, "HomeLoan_Non_BT", $B:$B, B41)+SUMIFS($K:$K, $D:$D, "Mortgage_Power_Term", $B:$B, B41), Secured_Commission!$A:$F, 2, 1)*(K41/10^6),
D41="HomeLoan_BT_more_than_2_Percent", VLOOKUP(SUMIFS($K:$K, $D:$D, "HomeLoan_BT_more_than_2_Percent", $B:$B, B41)+SUMIFS($K:$K, $D:$D, "HomeLoan_BT_less_than_2_Percent", $B:$B, B41)+SUMIFS($K:$K, $D:$D, "HomeLoan_Non_BT", $B:$B, B41)+SUMIFS($K:$K, $D:$D, "Mortgage_Power_Term", $B:$B, B41), Secured_Commission!$A:$F, 3, 1)*(K41/10^6),
D41="HomeLoan_Non_BT", VLOOKUP(SUMIFS($K:$K, $D:$D, "HomeLoan_BT_more_than_2_Percent", $B:$B, B41)+SUMIFS($K:$K, $D:$D, "HomeLoan_BT_less_than_2_Percent", $B:$B, B41)+SUMIFS($K:$K, $D:$D, "HomeLoan_Non_BT", $B:$B, B41)+SUMIFS($K:$K, $D:$D, "Mortgage_Power_Term", $B:$B, B41), Secured_Commission!$A:$F, 4, 1)*(K41/10^6),
D41="Mortgage_Power_Term", VLOOKUP(SUMIFS($K:$K, $D:$D, "HomeLoan_BT_more_than_2_Percent", $B:$B, B41)+SUMIFS($K:$K, $D:$D, "HomeLoan_BT_less_than_2_Percent", $B:$B, B41)+SUMIFS($K:$K, $D:$D, "HomeLoan_Non_BT", $B:$B, B41)+SUMIFS($K:$K, $D:$D, "Mortgage_Power_Term", $B:$B, B41), Secured_Commission!$A:$F, 5, 1)*(K41/10^6),
D41="Personal_Cash", VLOOKUP(SUMIFS($K:$K, $D:$D, "Personal_Cash", $B:$B, B41), Unsecured_Commission!$A:$B, 2, 1)*K41,
OR(D41="MRTA_3_Percent", D41="SOMPO"), K41*0.03,
D41="MRTA_6_Percent", K41*0.06), 0)</f>
        <v>0</v>
      </c>
    </row>
    <row r="42" spans="1:12">
      <c r="A42" s="19">
        <v>37</v>
      </c>
      <c r="B42" s="46"/>
      <c r="C42" s="46"/>
      <c r="D42" s="46"/>
      <c r="E42" s="46"/>
      <c r="G42" s="58" t="str" cm="1">
        <f t="array" ref="G42">_xlfn.IFS(
AND($C42="Secured", OR($D42="HomeLoan_BT_more_than_2_Percent", $D42="HomeLoan_BT_less_than_2_Percent"), $E42=""), "",
AND($C42="Secured",$E42=""),"others",
AND($C42="Secured",$E42=3),"others",
AND($C42="Secured",$E42=5),"BT_with_5_year_lock_in_period",
TRUE, "")</f>
        <v/>
      </c>
      <c r="H42" s="46"/>
      <c r="I42" s="59" t="str" cm="1">
        <f t="array" ref="I42">_xlfn.IFS(
AND($C42="Secured", OR($D42="HomeLoan_BT_more_than_2_Percent", $D42="HomeLoan_BT_less_than_2_Percent"), OR($E42="", $E42=0)), "Please input Year !!!",
AND($C42="Secured", OR($F42="", $F42=0)), "Please input Amount !!!",
AND($C42="Secured", $F42&lt;5000000), 1,
AND($C42="Secured", $F42&gt;=5000000), 1.1,
TRUE, "")</f>
        <v/>
      </c>
      <c r="J42" s="59" t="str" cm="1">
        <f t="array" ref="J42">IFERROR(_xlfn.IFS(
$G42="BT_with_5_year_lock_in_period", _xlfn.XLOOKUP($H42, Deviate_Table[Pricing discount], Deviate_Table[BT_with_5_year_lock_in_period]),
$G42="others", _xlfn.XLOOKUP($H42, Deviate_Table[Pricing discount], Deviate_Table[others]),
TRUE, ""), "Please input Deviate Range !!!")</f>
        <v/>
      </c>
      <c r="K42" s="49">
        <f t="shared" si="0"/>
        <v>0</v>
      </c>
      <c r="L42" s="65" cm="1">
        <f t="array" aca="1" ref="L42" ca="1">IFERROR(
_xlfn.IFS(
D42="HomeLoan_BT_less_than_2_Percent", VLOOKUP(SUMIFS($K:$K, $D:$D, "HomeLoan_BT_more_than_2_Percent", $B:$B, B42)+SUMIFS($K:$K, $D:$D, "HomeLoan_BT_less_than_2_Percent", $B:$B, B42)+SUMIFS($K:$K, $D:$D, "HomeLoan_Non_BT", $B:$B, B42)+SUMIFS($K:$K, $D:$D, "Mortgage_Power_Term", $B:$B, B42), Secured_Commission!$A:$F, 2, 1)*(K42/10^6),
D42="HomeLoan_BT_more_than_2_Percent", VLOOKUP(SUMIFS($K:$K, $D:$D, "HomeLoan_BT_more_than_2_Percent", $B:$B, B42)+SUMIFS($K:$K, $D:$D, "HomeLoan_BT_less_than_2_Percent", $B:$B, B42)+SUMIFS($K:$K, $D:$D, "HomeLoan_Non_BT", $B:$B, B42)+SUMIFS($K:$K, $D:$D, "Mortgage_Power_Term", $B:$B, B42), Secured_Commission!$A:$F, 3, 1)*(K42/10^6),
D42="HomeLoan_Non_BT", VLOOKUP(SUMIFS($K:$K, $D:$D, "HomeLoan_BT_more_than_2_Percent", $B:$B, B42)+SUMIFS($K:$K, $D:$D, "HomeLoan_BT_less_than_2_Percent", $B:$B, B42)+SUMIFS($K:$K, $D:$D, "HomeLoan_Non_BT", $B:$B, B42)+SUMIFS($K:$K, $D:$D, "Mortgage_Power_Term", $B:$B, B42), Secured_Commission!$A:$F, 4, 1)*(K42/10^6),
D42="Mortgage_Power_Term", VLOOKUP(SUMIFS($K:$K, $D:$D, "HomeLoan_BT_more_than_2_Percent", $B:$B, B42)+SUMIFS($K:$K, $D:$D, "HomeLoan_BT_less_than_2_Percent", $B:$B, B42)+SUMIFS($K:$K, $D:$D, "HomeLoan_Non_BT", $B:$B, B42)+SUMIFS($K:$K, $D:$D, "Mortgage_Power_Term", $B:$B, B42), Secured_Commission!$A:$F, 5, 1)*(K42/10^6),
D42="Personal_Cash", VLOOKUP(SUMIFS($K:$K, $D:$D, "Personal_Cash", $B:$B, B42), Unsecured_Commission!$A:$B, 2, 1)*K42,
OR(D42="MRTA_3_Percent", D42="SOMPO"), K42*0.03,
D42="MRTA_6_Percent", K42*0.06), 0)</f>
        <v>0</v>
      </c>
    </row>
    <row r="43" spans="1:12">
      <c r="A43" s="19">
        <v>38</v>
      </c>
      <c r="B43" s="46"/>
      <c r="C43" s="46"/>
      <c r="D43" s="46"/>
      <c r="E43" s="46"/>
      <c r="G43" s="58" t="str" cm="1">
        <f t="array" ref="G43">_xlfn.IFS(
AND($C43="Secured", OR($D43="HomeLoan_BT_more_than_2_Percent", $D43="HomeLoan_BT_less_than_2_Percent"), $E43=""), "",
AND($C43="Secured",$E43=""),"others",
AND($C43="Secured",$E43=3),"others",
AND($C43="Secured",$E43=5),"BT_with_5_year_lock_in_period",
TRUE, "")</f>
        <v/>
      </c>
      <c r="H43" s="46"/>
      <c r="I43" s="59" t="str" cm="1">
        <f t="array" ref="I43">_xlfn.IFS(
AND($C43="Secured", OR($D43="HomeLoan_BT_more_than_2_Percent", $D43="HomeLoan_BT_less_than_2_Percent"), OR($E43="", $E43=0)), "Please input Year !!!",
AND($C43="Secured", OR($F43="", $F43=0)), "Please input Amount !!!",
AND($C43="Secured", $F43&lt;5000000), 1,
AND($C43="Secured", $F43&gt;=5000000), 1.1,
TRUE, "")</f>
        <v/>
      </c>
      <c r="J43" s="59" t="str" cm="1">
        <f t="array" ref="J43">IFERROR(_xlfn.IFS(
$G43="BT_with_5_year_lock_in_period", _xlfn.XLOOKUP($H43, Deviate_Table[Pricing discount], Deviate_Table[BT_with_5_year_lock_in_period]),
$G43="others", _xlfn.XLOOKUP($H43, Deviate_Table[Pricing discount], Deviate_Table[others]),
TRUE, ""), "Please input Deviate Range !!!")</f>
        <v/>
      </c>
      <c r="K43" s="49">
        <f t="shared" si="0"/>
        <v>0</v>
      </c>
      <c r="L43" s="65" cm="1">
        <f t="array" aca="1" ref="L43" ca="1">IFERROR(
_xlfn.IFS(
D43="HomeLoan_BT_less_than_2_Percent", VLOOKUP(SUMIFS($K:$K, $D:$D, "HomeLoan_BT_more_than_2_Percent", $B:$B, B43)+SUMIFS($K:$K, $D:$D, "HomeLoan_BT_less_than_2_Percent", $B:$B, B43)+SUMIFS($K:$K, $D:$D, "HomeLoan_Non_BT", $B:$B, B43)+SUMIFS($K:$K, $D:$D, "Mortgage_Power_Term", $B:$B, B43), Secured_Commission!$A:$F, 2, 1)*(K43/10^6),
D43="HomeLoan_BT_more_than_2_Percent", VLOOKUP(SUMIFS($K:$K, $D:$D, "HomeLoan_BT_more_than_2_Percent", $B:$B, B43)+SUMIFS($K:$K, $D:$D, "HomeLoan_BT_less_than_2_Percent", $B:$B, B43)+SUMIFS($K:$K, $D:$D, "HomeLoan_Non_BT", $B:$B, B43)+SUMIFS($K:$K, $D:$D, "Mortgage_Power_Term", $B:$B, B43), Secured_Commission!$A:$F, 3, 1)*(K43/10^6),
D43="HomeLoan_Non_BT", VLOOKUP(SUMIFS($K:$K, $D:$D, "HomeLoan_BT_more_than_2_Percent", $B:$B, B43)+SUMIFS($K:$K, $D:$D, "HomeLoan_BT_less_than_2_Percent", $B:$B, B43)+SUMIFS($K:$K, $D:$D, "HomeLoan_Non_BT", $B:$B, B43)+SUMIFS($K:$K, $D:$D, "Mortgage_Power_Term", $B:$B, B43), Secured_Commission!$A:$F, 4, 1)*(K43/10^6),
D43="Mortgage_Power_Term", VLOOKUP(SUMIFS($K:$K, $D:$D, "HomeLoan_BT_more_than_2_Percent", $B:$B, B43)+SUMIFS($K:$K, $D:$D, "HomeLoan_BT_less_than_2_Percent", $B:$B, B43)+SUMIFS($K:$K, $D:$D, "HomeLoan_Non_BT", $B:$B, B43)+SUMIFS($K:$K, $D:$D, "Mortgage_Power_Term", $B:$B, B43), Secured_Commission!$A:$F, 5, 1)*(K43/10^6),
D43="Personal_Cash", VLOOKUP(SUMIFS($K:$K, $D:$D, "Personal_Cash", $B:$B, B43), Unsecured_Commission!$A:$B, 2, 1)*K43,
OR(D43="MRTA_3_Percent", D43="SOMPO"), K43*0.03,
D43="MRTA_6_Percent", K43*0.06), 0)</f>
        <v>0</v>
      </c>
    </row>
    <row r="44" spans="1:12">
      <c r="A44" s="19">
        <v>39</v>
      </c>
      <c r="B44" s="46"/>
      <c r="C44" s="46"/>
      <c r="D44" s="46"/>
      <c r="E44" s="46"/>
      <c r="G44" s="58" t="str" cm="1">
        <f t="array" ref="G44">_xlfn.IFS(
AND($C44="Secured", OR($D44="HomeLoan_BT_more_than_2_Percent", $D44="HomeLoan_BT_less_than_2_Percent"), $E44=""), "",
AND($C44="Secured",$E44=""),"others",
AND($C44="Secured",$E44=3),"others",
AND($C44="Secured",$E44=5),"BT_with_5_year_lock_in_period",
TRUE, "")</f>
        <v/>
      </c>
      <c r="H44" s="46"/>
      <c r="I44" s="59" t="str" cm="1">
        <f t="array" ref="I44">_xlfn.IFS(
AND($C44="Secured", OR($D44="HomeLoan_BT_more_than_2_Percent", $D44="HomeLoan_BT_less_than_2_Percent"), OR($E44="", $E44=0)), "Please input Year !!!",
AND($C44="Secured", OR($F44="", $F44=0)), "Please input Amount !!!",
AND($C44="Secured", $F44&lt;5000000), 1,
AND($C44="Secured", $F44&gt;=5000000), 1.1,
TRUE, "")</f>
        <v/>
      </c>
      <c r="J44" s="59" t="str" cm="1">
        <f t="array" ref="J44">IFERROR(_xlfn.IFS(
$G44="BT_with_5_year_lock_in_period", _xlfn.XLOOKUP($H44, Deviate_Table[Pricing discount], Deviate_Table[BT_with_5_year_lock_in_period]),
$G44="others", _xlfn.XLOOKUP($H44, Deviate_Table[Pricing discount], Deviate_Table[others]),
TRUE, ""), "Please input Deviate Range !!!")</f>
        <v/>
      </c>
      <c r="K44" s="49">
        <f t="shared" si="0"/>
        <v>0</v>
      </c>
      <c r="L44" s="65" cm="1">
        <f t="array" aca="1" ref="L44" ca="1">IFERROR(
_xlfn.IFS(
D44="HomeLoan_BT_less_than_2_Percent", VLOOKUP(SUMIFS($K:$K, $D:$D, "HomeLoan_BT_more_than_2_Percent", $B:$B, B44)+SUMIFS($K:$K, $D:$D, "HomeLoan_BT_less_than_2_Percent", $B:$B, B44)+SUMIFS($K:$K, $D:$D, "HomeLoan_Non_BT", $B:$B, B44)+SUMIFS($K:$K, $D:$D, "Mortgage_Power_Term", $B:$B, B44), Secured_Commission!$A:$F, 2, 1)*(K44/10^6),
D44="HomeLoan_BT_more_than_2_Percent", VLOOKUP(SUMIFS($K:$K, $D:$D, "HomeLoan_BT_more_than_2_Percent", $B:$B, B44)+SUMIFS($K:$K, $D:$D, "HomeLoan_BT_less_than_2_Percent", $B:$B, B44)+SUMIFS($K:$K, $D:$D, "HomeLoan_Non_BT", $B:$B, B44)+SUMIFS($K:$K, $D:$D, "Mortgage_Power_Term", $B:$B, B44), Secured_Commission!$A:$F, 3, 1)*(K44/10^6),
D44="HomeLoan_Non_BT", VLOOKUP(SUMIFS($K:$K, $D:$D, "HomeLoan_BT_more_than_2_Percent", $B:$B, B44)+SUMIFS($K:$K, $D:$D, "HomeLoan_BT_less_than_2_Percent", $B:$B, B44)+SUMIFS($K:$K, $D:$D, "HomeLoan_Non_BT", $B:$B, B44)+SUMIFS($K:$K, $D:$D, "Mortgage_Power_Term", $B:$B, B44), Secured_Commission!$A:$F, 4, 1)*(K44/10^6),
D44="Mortgage_Power_Term", VLOOKUP(SUMIFS($K:$K, $D:$D, "HomeLoan_BT_more_than_2_Percent", $B:$B, B44)+SUMIFS($K:$K, $D:$D, "HomeLoan_BT_less_than_2_Percent", $B:$B, B44)+SUMIFS($K:$K, $D:$D, "HomeLoan_Non_BT", $B:$B, B44)+SUMIFS($K:$K, $D:$D, "Mortgage_Power_Term", $B:$B, B44), Secured_Commission!$A:$F, 5, 1)*(K44/10^6),
D44="Personal_Cash", VLOOKUP(SUMIFS($K:$K, $D:$D, "Personal_Cash", $B:$B, B44), Unsecured_Commission!$A:$B, 2, 1)*K44,
OR(D44="MRTA_3_Percent", D44="SOMPO"), K44*0.03,
D44="MRTA_6_Percent", K44*0.06), 0)</f>
        <v>0</v>
      </c>
    </row>
    <row r="45" spans="1:12">
      <c r="A45" s="19">
        <v>40</v>
      </c>
      <c r="B45" s="46"/>
      <c r="C45" s="46"/>
      <c r="D45" s="46"/>
      <c r="E45" s="46"/>
      <c r="G45" s="58" t="str" cm="1">
        <f t="array" ref="G45">_xlfn.IFS(
AND($C45="Secured", OR($D45="HomeLoan_BT_more_than_2_Percent", $D45="HomeLoan_BT_less_than_2_Percent"), $E45=""), "",
AND($C45="Secured",$E45=""),"others",
AND($C45="Secured",$E45=3),"others",
AND($C45="Secured",$E45=5),"BT_with_5_year_lock_in_period",
TRUE, "")</f>
        <v/>
      </c>
      <c r="H45" s="46"/>
      <c r="I45" s="59" t="str" cm="1">
        <f t="array" ref="I45">_xlfn.IFS(
AND($C45="Secured", OR($D45="HomeLoan_BT_more_than_2_Percent", $D45="HomeLoan_BT_less_than_2_Percent"), OR($E45="", $E45=0)), "Please input Year !!!",
AND($C45="Secured", OR($F45="", $F45=0)), "Please input Amount !!!",
AND($C45="Secured", $F45&lt;5000000), 1,
AND($C45="Secured", $F45&gt;=5000000), 1.1,
TRUE, "")</f>
        <v/>
      </c>
      <c r="J45" s="59" t="str" cm="1">
        <f t="array" ref="J45">IFERROR(_xlfn.IFS(
$G45="BT_with_5_year_lock_in_period", _xlfn.XLOOKUP($H45, Deviate_Table[Pricing discount], Deviate_Table[BT_with_5_year_lock_in_period]),
$G45="others", _xlfn.XLOOKUP($H45, Deviate_Table[Pricing discount], Deviate_Table[others]),
TRUE, ""), "Please input Deviate Range !!!")</f>
        <v/>
      </c>
      <c r="K45" s="49">
        <f t="shared" si="0"/>
        <v>0</v>
      </c>
      <c r="L45" s="65" cm="1">
        <f t="array" aca="1" ref="L45" ca="1">IFERROR(
_xlfn.IFS(
D45="HomeLoan_BT_less_than_2_Percent", VLOOKUP(SUMIFS($K:$K, $D:$D, "HomeLoan_BT_more_than_2_Percent", $B:$B, B45)+SUMIFS($K:$K, $D:$D, "HomeLoan_BT_less_than_2_Percent", $B:$B, B45)+SUMIFS($K:$K, $D:$D, "HomeLoan_Non_BT", $B:$B, B45)+SUMIFS($K:$K, $D:$D, "Mortgage_Power_Term", $B:$B, B45), Secured_Commission!$A:$F, 2, 1)*(K45/10^6),
D45="HomeLoan_BT_more_than_2_Percent", VLOOKUP(SUMIFS($K:$K, $D:$D, "HomeLoan_BT_more_than_2_Percent", $B:$B, B45)+SUMIFS($K:$K, $D:$D, "HomeLoan_BT_less_than_2_Percent", $B:$B, B45)+SUMIFS($K:$K, $D:$D, "HomeLoan_Non_BT", $B:$B, B45)+SUMIFS($K:$K, $D:$D, "Mortgage_Power_Term", $B:$B, B45), Secured_Commission!$A:$F, 3, 1)*(K45/10^6),
D45="HomeLoan_Non_BT", VLOOKUP(SUMIFS($K:$K, $D:$D, "HomeLoan_BT_more_than_2_Percent", $B:$B, B45)+SUMIFS($K:$K, $D:$D, "HomeLoan_BT_less_than_2_Percent", $B:$B, B45)+SUMIFS($K:$K, $D:$D, "HomeLoan_Non_BT", $B:$B, B45)+SUMIFS($K:$K, $D:$D, "Mortgage_Power_Term", $B:$B, B45), Secured_Commission!$A:$F, 4, 1)*(K45/10^6),
D45="Mortgage_Power_Term", VLOOKUP(SUMIFS($K:$K, $D:$D, "HomeLoan_BT_more_than_2_Percent", $B:$B, B45)+SUMIFS($K:$K, $D:$D, "HomeLoan_BT_less_than_2_Percent", $B:$B, B45)+SUMIFS($K:$K, $D:$D, "HomeLoan_Non_BT", $B:$B, B45)+SUMIFS($K:$K, $D:$D, "Mortgage_Power_Term", $B:$B, B45), Secured_Commission!$A:$F, 5, 1)*(K45/10^6),
D45="Personal_Cash", VLOOKUP(SUMIFS($K:$K, $D:$D, "Personal_Cash", $B:$B, B45), Unsecured_Commission!$A:$B, 2, 1)*K45,
OR(D45="MRTA_3_Percent", D45="SOMPO"), K45*0.03,
D45="MRTA_6_Percent", K45*0.06), 0)</f>
        <v>0</v>
      </c>
    </row>
    <row r="46" spans="1:12">
      <c r="A46" s="19">
        <v>41</v>
      </c>
      <c r="B46" s="46"/>
      <c r="C46" s="46"/>
      <c r="D46" s="46"/>
      <c r="E46" s="46"/>
      <c r="G46" s="58" t="str" cm="1">
        <f t="array" ref="G46">_xlfn.IFS(
AND($C46="Secured", OR($D46="HomeLoan_BT_more_than_2_Percent", $D46="HomeLoan_BT_less_than_2_Percent"), $E46=""), "",
AND($C46="Secured",$E46=""),"others",
AND($C46="Secured",$E46=3),"others",
AND($C46="Secured",$E46=5),"BT_with_5_year_lock_in_period",
TRUE, "")</f>
        <v/>
      </c>
      <c r="H46" s="46"/>
      <c r="I46" s="59" t="str" cm="1">
        <f t="array" ref="I46">_xlfn.IFS(
AND($C46="Secured", OR($D46="HomeLoan_BT_more_than_2_Percent", $D46="HomeLoan_BT_less_than_2_Percent"), OR($E46="", $E46=0)), "Please input Year !!!",
AND($C46="Secured", OR($F46="", $F46=0)), "Please input Amount !!!",
AND($C46="Secured", $F46&lt;5000000), 1,
AND($C46="Secured", $F46&gt;=5000000), 1.1,
TRUE, "")</f>
        <v/>
      </c>
      <c r="J46" s="59" t="str" cm="1">
        <f t="array" ref="J46">IFERROR(_xlfn.IFS(
$G46="BT_with_5_year_lock_in_period", _xlfn.XLOOKUP($H46, Deviate_Table[Pricing discount], Deviate_Table[BT_with_5_year_lock_in_period]),
$G46="others", _xlfn.XLOOKUP($H46, Deviate_Table[Pricing discount], Deviate_Table[others]),
TRUE, ""), "Please input Deviate Range !!!")</f>
        <v/>
      </c>
      <c r="K46" s="49">
        <f t="shared" si="0"/>
        <v>0</v>
      </c>
      <c r="L46" s="65" cm="1">
        <f t="array" aca="1" ref="L46" ca="1">IFERROR(
_xlfn.IFS(
D46="HomeLoan_BT_less_than_2_Percent", VLOOKUP(SUMIFS($K:$K, $D:$D, "HomeLoan_BT_more_than_2_Percent", $B:$B, B46)+SUMIFS($K:$K, $D:$D, "HomeLoan_BT_less_than_2_Percent", $B:$B, B46)+SUMIFS($K:$K, $D:$D, "HomeLoan_Non_BT", $B:$B, B46)+SUMIFS($K:$K, $D:$D, "Mortgage_Power_Term", $B:$B, B46), Secured_Commission!$A:$F, 2, 1)*(K46/10^6),
D46="HomeLoan_BT_more_than_2_Percent", VLOOKUP(SUMIFS($K:$K, $D:$D, "HomeLoan_BT_more_than_2_Percent", $B:$B, B46)+SUMIFS($K:$K, $D:$D, "HomeLoan_BT_less_than_2_Percent", $B:$B, B46)+SUMIFS($K:$K, $D:$D, "HomeLoan_Non_BT", $B:$B, B46)+SUMIFS($K:$K, $D:$D, "Mortgage_Power_Term", $B:$B, B46), Secured_Commission!$A:$F, 3, 1)*(K46/10^6),
D46="HomeLoan_Non_BT", VLOOKUP(SUMIFS($K:$K, $D:$D, "HomeLoan_BT_more_than_2_Percent", $B:$B, B46)+SUMIFS($K:$K, $D:$D, "HomeLoan_BT_less_than_2_Percent", $B:$B, B46)+SUMIFS($K:$K, $D:$D, "HomeLoan_Non_BT", $B:$B, B46)+SUMIFS($K:$K, $D:$D, "Mortgage_Power_Term", $B:$B, B46), Secured_Commission!$A:$F, 4, 1)*(K46/10^6),
D46="Mortgage_Power_Term", VLOOKUP(SUMIFS($K:$K, $D:$D, "HomeLoan_BT_more_than_2_Percent", $B:$B, B46)+SUMIFS($K:$K, $D:$D, "HomeLoan_BT_less_than_2_Percent", $B:$B, B46)+SUMIFS($K:$K, $D:$D, "HomeLoan_Non_BT", $B:$B, B46)+SUMIFS($K:$K, $D:$D, "Mortgage_Power_Term", $B:$B, B46), Secured_Commission!$A:$F, 5, 1)*(K46/10^6),
D46="Personal_Cash", VLOOKUP(SUMIFS($K:$K, $D:$D, "Personal_Cash", $B:$B, B46), Unsecured_Commission!$A:$B, 2, 1)*K46,
OR(D46="MRTA_3_Percent", D46="SOMPO"), K46*0.03,
D46="MRTA_6_Percent", K46*0.06), 0)</f>
        <v>0</v>
      </c>
    </row>
    <row r="47" spans="1:12">
      <c r="A47" s="19">
        <v>42</v>
      </c>
      <c r="B47" s="46"/>
      <c r="C47" s="46"/>
      <c r="D47" s="46"/>
      <c r="E47" s="46"/>
      <c r="G47" s="58" t="str" cm="1">
        <f t="array" ref="G47">_xlfn.IFS(
AND($C47="Secured", OR($D47="HomeLoan_BT_more_than_2_Percent", $D47="HomeLoan_BT_less_than_2_Percent"), $E47=""), "",
AND($C47="Secured",$E47=""),"others",
AND($C47="Secured",$E47=3),"others",
AND($C47="Secured",$E47=5),"BT_with_5_year_lock_in_period",
TRUE, "")</f>
        <v/>
      </c>
      <c r="H47" s="46"/>
      <c r="I47" s="59" t="str" cm="1">
        <f t="array" ref="I47">_xlfn.IFS(
AND($C47="Secured", OR($D47="HomeLoan_BT_more_than_2_Percent", $D47="HomeLoan_BT_less_than_2_Percent"), OR($E47="", $E47=0)), "Please input Year !!!",
AND($C47="Secured", OR($F47="", $F47=0)), "Please input Amount !!!",
AND($C47="Secured", $F47&lt;5000000), 1,
AND($C47="Secured", $F47&gt;=5000000), 1.1,
TRUE, "")</f>
        <v/>
      </c>
      <c r="J47" s="59" t="str" cm="1">
        <f t="array" ref="J47">IFERROR(_xlfn.IFS(
$G47="BT_with_5_year_lock_in_period", _xlfn.XLOOKUP($H47, Deviate_Table[Pricing discount], Deviate_Table[BT_with_5_year_lock_in_period]),
$G47="others", _xlfn.XLOOKUP($H47, Deviate_Table[Pricing discount], Deviate_Table[others]),
TRUE, ""), "Please input Deviate Range !!!")</f>
        <v/>
      </c>
      <c r="K47" s="49">
        <f t="shared" si="0"/>
        <v>0</v>
      </c>
      <c r="L47" s="65" cm="1">
        <f t="array" aca="1" ref="L47" ca="1">IFERROR(
_xlfn.IFS(
D47="HomeLoan_BT_less_than_2_Percent", VLOOKUP(SUMIFS($K:$K, $D:$D, "HomeLoan_BT_more_than_2_Percent", $B:$B, B47)+SUMIFS($K:$K, $D:$D, "HomeLoan_BT_less_than_2_Percent", $B:$B, B47)+SUMIFS($K:$K, $D:$D, "HomeLoan_Non_BT", $B:$B, B47)+SUMIFS($K:$K, $D:$D, "Mortgage_Power_Term", $B:$B, B47), Secured_Commission!$A:$F, 2, 1)*(K47/10^6),
D47="HomeLoan_BT_more_than_2_Percent", VLOOKUP(SUMIFS($K:$K, $D:$D, "HomeLoan_BT_more_than_2_Percent", $B:$B, B47)+SUMIFS($K:$K, $D:$D, "HomeLoan_BT_less_than_2_Percent", $B:$B, B47)+SUMIFS($K:$K, $D:$D, "HomeLoan_Non_BT", $B:$B, B47)+SUMIFS($K:$K, $D:$D, "Mortgage_Power_Term", $B:$B, B47), Secured_Commission!$A:$F, 3, 1)*(K47/10^6),
D47="HomeLoan_Non_BT", VLOOKUP(SUMIFS($K:$K, $D:$D, "HomeLoan_BT_more_than_2_Percent", $B:$B, B47)+SUMIFS($K:$K, $D:$D, "HomeLoan_BT_less_than_2_Percent", $B:$B, B47)+SUMIFS($K:$K, $D:$D, "HomeLoan_Non_BT", $B:$B, B47)+SUMIFS($K:$K, $D:$D, "Mortgage_Power_Term", $B:$B, B47), Secured_Commission!$A:$F, 4, 1)*(K47/10^6),
D47="Mortgage_Power_Term", VLOOKUP(SUMIFS($K:$K, $D:$D, "HomeLoan_BT_more_than_2_Percent", $B:$B, B47)+SUMIFS($K:$K, $D:$D, "HomeLoan_BT_less_than_2_Percent", $B:$B, B47)+SUMIFS($K:$K, $D:$D, "HomeLoan_Non_BT", $B:$B, B47)+SUMIFS($K:$K, $D:$D, "Mortgage_Power_Term", $B:$B, B47), Secured_Commission!$A:$F, 5, 1)*(K47/10^6),
D47="Personal_Cash", VLOOKUP(SUMIFS($K:$K, $D:$D, "Personal_Cash", $B:$B, B47), Unsecured_Commission!$A:$B, 2, 1)*K47,
OR(D47="MRTA_3_Percent", D47="SOMPO"), K47*0.03,
D47="MRTA_6_Percent", K47*0.06), 0)</f>
        <v>0</v>
      </c>
    </row>
    <row r="48" spans="1:12">
      <c r="A48" s="19">
        <v>43</v>
      </c>
      <c r="B48" s="46"/>
      <c r="C48" s="46"/>
      <c r="D48" s="46"/>
      <c r="E48" s="46"/>
      <c r="G48" s="58" t="str" cm="1">
        <f t="array" ref="G48">_xlfn.IFS(
AND($C48="Secured", OR($D48="HomeLoan_BT_more_than_2_Percent", $D48="HomeLoan_BT_less_than_2_Percent"), $E48=""), "",
AND($C48="Secured",$E48=""),"others",
AND($C48="Secured",$E48=3),"others",
AND($C48="Secured",$E48=5),"BT_with_5_year_lock_in_period",
TRUE, "")</f>
        <v/>
      </c>
      <c r="H48" s="46"/>
      <c r="I48" s="59" t="str" cm="1">
        <f t="array" ref="I48">_xlfn.IFS(
AND($C48="Secured", OR($D48="HomeLoan_BT_more_than_2_Percent", $D48="HomeLoan_BT_less_than_2_Percent"), OR($E48="", $E48=0)), "Please input Year !!!",
AND($C48="Secured", OR($F48="", $F48=0)), "Please input Amount !!!",
AND($C48="Secured", $F48&lt;5000000), 1,
AND($C48="Secured", $F48&gt;=5000000), 1.1,
TRUE, "")</f>
        <v/>
      </c>
      <c r="J48" s="59" t="str" cm="1">
        <f t="array" ref="J48">IFERROR(_xlfn.IFS(
$G48="BT_with_5_year_lock_in_period", _xlfn.XLOOKUP($H48, Deviate_Table[Pricing discount], Deviate_Table[BT_with_5_year_lock_in_period]),
$G48="others", _xlfn.XLOOKUP($H48, Deviate_Table[Pricing discount], Deviate_Table[others]),
TRUE, ""), "Please input Deviate Range !!!")</f>
        <v/>
      </c>
      <c r="K48" s="49">
        <f t="shared" si="0"/>
        <v>0</v>
      </c>
      <c r="L48" s="65" cm="1">
        <f t="array" aca="1" ref="L48" ca="1">IFERROR(
_xlfn.IFS(
D48="HomeLoan_BT_less_than_2_Percent", VLOOKUP(SUMIFS($K:$K, $D:$D, "HomeLoan_BT_more_than_2_Percent", $B:$B, B48)+SUMIFS($K:$K, $D:$D, "HomeLoan_BT_less_than_2_Percent", $B:$B, B48)+SUMIFS($K:$K, $D:$D, "HomeLoan_Non_BT", $B:$B, B48)+SUMIFS($K:$K, $D:$D, "Mortgage_Power_Term", $B:$B, B48), Secured_Commission!$A:$F, 2, 1)*(K48/10^6),
D48="HomeLoan_BT_more_than_2_Percent", VLOOKUP(SUMIFS($K:$K, $D:$D, "HomeLoan_BT_more_than_2_Percent", $B:$B, B48)+SUMIFS($K:$K, $D:$D, "HomeLoan_BT_less_than_2_Percent", $B:$B, B48)+SUMIFS($K:$K, $D:$D, "HomeLoan_Non_BT", $B:$B, B48)+SUMIFS($K:$K, $D:$D, "Mortgage_Power_Term", $B:$B, B48), Secured_Commission!$A:$F, 3, 1)*(K48/10^6),
D48="HomeLoan_Non_BT", VLOOKUP(SUMIFS($K:$K, $D:$D, "HomeLoan_BT_more_than_2_Percent", $B:$B, B48)+SUMIFS($K:$K, $D:$D, "HomeLoan_BT_less_than_2_Percent", $B:$B, B48)+SUMIFS($K:$K, $D:$D, "HomeLoan_Non_BT", $B:$B, B48)+SUMIFS($K:$K, $D:$D, "Mortgage_Power_Term", $B:$B, B48), Secured_Commission!$A:$F, 4, 1)*(K48/10^6),
D48="Mortgage_Power_Term", VLOOKUP(SUMIFS($K:$K, $D:$D, "HomeLoan_BT_more_than_2_Percent", $B:$B, B48)+SUMIFS($K:$K, $D:$D, "HomeLoan_BT_less_than_2_Percent", $B:$B, B48)+SUMIFS($K:$K, $D:$D, "HomeLoan_Non_BT", $B:$B, B48)+SUMIFS($K:$K, $D:$D, "Mortgage_Power_Term", $B:$B, B48), Secured_Commission!$A:$F, 5, 1)*(K48/10^6),
D48="Personal_Cash", VLOOKUP(SUMIFS($K:$K, $D:$D, "Personal_Cash", $B:$B, B48), Unsecured_Commission!$A:$B, 2, 1)*K48,
OR(D48="MRTA_3_Percent", D48="SOMPO"), K48*0.03,
D48="MRTA_6_Percent", K48*0.06), 0)</f>
        <v>0</v>
      </c>
    </row>
    <row r="49" spans="1:12">
      <c r="A49" s="19">
        <v>44</v>
      </c>
      <c r="B49" s="46"/>
      <c r="C49" s="46"/>
      <c r="D49" s="46"/>
      <c r="E49" s="46"/>
      <c r="G49" s="58" t="str" cm="1">
        <f t="array" ref="G49">_xlfn.IFS(
AND($C49="Secured", OR($D49="HomeLoan_BT_more_than_2_Percent", $D49="HomeLoan_BT_less_than_2_Percent"), $E49=""), "",
AND($C49="Secured",$E49=""),"others",
AND($C49="Secured",$E49=3),"others",
AND($C49="Secured",$E49=5),"BT_with_5_year_lock_in_period",
TRUE, "")</f>
        <v/>
      </c>
      <c r="H49" s="46"/>
      <c r="I49" s="59" t="str" cm="1">
        <f t="array" ref="I49">_xlfn.IFS(
AND($C49="Secured", OR($D49="HomeLoan_BT_more_than_2_Percent", $D49="HomeLoan_BT_less_than_2_Percent"), OR($E49="", $E49=0)), "Please input Year !!!",
AND($C49="Secured", OR($F49="", $F49=0)), "Please input Amount !!!",
AND($C49="Secured", $F49&lt;5000000), 1,
AND($C49="Secured", $F49&gt;=5000000), 1.1,
TRUE, "")</f>
        <v/>
      </c>
      <c r="J49" s="59" t="str" cm="1">
        <f t="array" ref="J49">IFERROR(_xlfn.IFS(
$G49="BT_with_5_year_lock_in_period", _xlfn.XLOOKUP($H49, Deviate_Table[Pricing discount], Deviate_Table[BT_with_5_year_lock_in_period]),
$G49="others", _xlfn.XLOOKUP($H49, Deviate_Table[Pricing discount], Deviate_Table[others]),
TRUE, ""), "Please input Deviate Range !!!")</f>
        <v/>
      </c>
      <c r="K49" s="49">
        <f t="shared" si="0"/>
        <v>0</v>
      </c>
      <c r="L49" s="65" cm="1">
        <f t="array" aca="1" ref="L49" ca="1">IFERROR(
_xlfn.IFS(
D49="HomeLoan_BT_less_than_2_Percent", VLOOKUP(SUMIFS($K:$K, $D:$D, "HomeLoan_BT_more_than_2_Percent", $B:$B, B49)+SUMIFS($K:$K, $D:$D, "HomeLoan_BT_less_than_2_Percent", $B:$B, B49)+SUMIFS($K:$K, $D:$D, "HomeLoan_Non_BT", $B:$B, B49)+SUMIFS($K:$K, $D:$D, "Mortgage_Power_Term", $B:$B, B49), Secured_Commission!$A:$F, 2, 1)*(K49/10^6),
D49="HomeLoan_BT_more_than_2_Percent", VLOOKUP(SUMIFS($K:$K, $D:$D, "HomeLoan_BT_more_than_2_Percent", $B:$B, B49)+SUMIFS($K:$K, $D:$D, "HomeLoan_BT_less_than_2_Percent", $B:$B, B49)+SUMIFS($K:$K, $D:$D, "HomeLoan_Non_BT", $B:$B, B49)+SUMIFS($K:$K, $D:$D, "Mortgage_Power_Term", $B:$B, B49), Secured_Commission!$A:$F, 3, 1)*(K49/10^6),
D49="HomeLoan_Non_BT", VLOOKUP(SUMIFS($K:$K, $D:$D, "HomeLoan_BT_more_than_2_Percent", $B:$B, B49)+SUMIFS($K:$K, $D:$D, "HomeLoan_BT_less_than_2_Percent", $B:$B, B49)+SUMIFS($K:$K, $D:$D, "HomeLoan_Non_BT", $B:$B, B49)+SUMIFS($K:$K, $D:$D, "Mortgage_Power_Term", $B:$B, B49), Secured_Commission!$A:$F, 4, 1)*(K49/10^6),
D49="Mortgage_Power_Term", VLOOKUP(SUMIFS($K:$K, $D:$D, "HomeLoan_BT_more_than_2_Percent", $B:$B, B49)+SUMIFS($K:$K, $D:$D, "HomeLoan_BT_less_than_2_Percent", $B:$B, B49)+SUMIFS($K:$K, $D:$D, "HomeLoan_Non_BT", $B:$B, B49)+SUMIFS($K:$K, $D:$D, "Mortgage_Power_Term", $B:$B, B49), Secured_Commission!$A:$F, 5, 1)*(K49/10^6),
D49="Personal_Cash", VLOOKUP(SUMIFS($K:$K, $D:$D, "Personal_Cash", $B:$B, B49), Unsecured_Commission!$A:$B, 2, 1)*K49,
OR(D49="MRTA_3_Percent", D49="SOMPO"), K49*0.03,
D49="MRTA_6_Percent", K49*0.06), 0)</f>
        <v>0</v>
      </c>
    </row>
    <row r="50" spans="1:12">
      <c r="A50" s="19">
        <v>45</v>
      </c>
      <c r="B50" s="46"/>
      <c r="C50" s="46"/>
      <c r="D50" s="46"/>
      <c r="E50" s="46"/>
      <c r="G50" s="58" t="str" cm="1">
        <f t="array" ref="G50">_xlfn.IFS(
AND($C50="Secured", OR($D50="HomeLoan_BT_more_than_2_Percent", $D50="HomeLoan_BT_less_than_2_Percent"), $E50=""), "",
AND($C50="Secured",$E50=""),"others",
AND($C50="Secured",$E50=3),"others",
AND($C50="Secured",$E50=5),"BT_with_5_year_lock_in_period",
TRUE, "")</f>
        <v/>
      </c>
      <c r="H50" s="46"/>
      <c r="I50" s="59" t="str" cm="1">
        <f t="array" ref="I50">_xlfn.IFS(
AND($C50="Secured", OR($D50="HomeLoan_BT_more_than_2_Percent", $D50="HomeLoan_BT_less_than_2_Percent"), OR($E50="", $E50=0)), "Please input Year !!!",
AND($C50="Secured", OR($F50="", $F50=0)), "Please input Amount !!!",
AND($C50="Secured", $F50&lt;5000000), 1,
AND($C50="Secured", $F50&gt;=5000000), 1.1,
TRUE, "")</f>
        <v/>
      </c>
      <c r="J50" s="59" t="str" cm="1">
        <f t="array" ref="J50">IFERROR(_xlfn.IFS(
$G50="BT_with_5_year_lock_in_period", _xlfn.XLOOKUP($H50, Deviate_Table[Pricing discount], Deviate_Table[BT_with_5_year_lock_in_period]),
$G50="others", _xlfn.XLOOKUP($H50, Deviate_Table[Pricing discount], Deviate_Table[others]),
TRUE, ""), "Please input Deviate Range !!!")</f>
        <v/>
      </c>
      <c r="K50" s="49">
        <f t="shared" si="0"/>
        <v>0</v>
      </c>
      <c r="L50" s="65" cm="1">
        <f t="array" aca="1" ref="L50" ca="1">IFERROR(
_xlfn.IFS(
D50="HomeLoan_BT_less_than_2_Percent", VLOOKUP(SUMIFS($K:$K, $D:$D, "HomeLoan_BT_more_than_2_Percent", $B:$B, B50)+SUMIFS($K:$K, $D:$D, "HomeLoan_BT_less_than_2_Percent", $B:$B, B50)+SUMIFS($K:$K, $D:$D, "HomeLoan_Non_BT", $B:$B, B50)+SUMIFS($K:$K, $D:$D, "Mortgage_Power_Term", $B:$B, B50), Secured_Commission!$A:$F, 2, 1)*(K50/10^6),
D50="HomeLoan_BT_more_than_2_Percent", VLOOKUP(SUMIFS($K:$K, $D:$D, "HomeLoan_BT_more_than_2_Percent", $B:$B, B50)+SUMIFS($K:$K, $D:$D, "HomeLoan_BT_less_than_2_Percent", $B:$B, B50)+SUMIFS($K:$K, $D:$D, "HomeLoan_Non_BT", $B:$B, B50)+SUMIFS($K:$K, $D:$D, "Mortgage_Power_Term", $B:$B, B50), Secured_Commission!$A:$F, 3, 1)*(K50/10^6),
D50="HomeLoan_Non_BT", VLOOKUP(SUMIFS($K:$K, $D:$D, "HomeLoan_BT_more_than_2_Percent", $B:$B, B50)+SUMIFS($K:$K, $D:$D, "HomeLoan_BT_less_than_2_Percent", $B:$B, B50)+SUMIFS($K:$K, $D:$D, "HomeLoan_Non_BT", $B:$B, B50)+SUMIFS($K:$K, $D:$D, "Mortgage_Power_Term", $B:$B, B50), Secured_Commission!$A:$F, 4, 1)*(K50/10^6),
D50="Mortgage_Power_Term", VLOOKUP(SUMIFS($K:$K, $D:$D, "HomeLoan_BT_more_than_2_Percent", $B:$B, B50)+SUMIFS($K:$K, $D:$D, "HomeLoan_BT_less_than_2_Percent", $B:$B, B50)+SUMIFS($K:$K, $D:$D, "HomeLoan_Non_BT", $B:$B, B50)+SUMIFS($K:$K, $D:$D, "Mortgage_Power_Term", $B:$B, B50), Secured_Commission!$A:$F, 5, 1)*(K50/10^6),
D50="Personal_Cash", VLOOKUP(SUMIFS($K:$K, $D:$D, "Personal_Cash", $B:$B, B50), Unsecured_Commission!$A:$B, 2, 1)*K50,
OR(D50="MRTA_3_Percent", D50="SOMPO"), K50*0.03,
D50="MRTA_6_Percent", K50*0.06), 0)</f>
        <v>0</v>
      </c>
    </row>
    <row r="51" spans="1:12">
      <c r="A51" s="19">
        <v>46</v>
      </c>
      <c r="B51" s="46"/>
      <c r="C51" s="46"/>
      <c r="D51" s="46"/>
      <c r="E51" s="46"/>
      <c r="G51" s="58" t="str" cm="1">
        <f t="array" ref="G51">_xlfn.IFS(
AND($C51="Secured", OR($D51="HomeLoan_BT_more_than_2_Percent", $D51="HomeLoan_BT_less_than_2_Percent"), $E51=""), "",
AND($C51="Secured",$E51=""),"others",
AND($C51="Secured",$E51=3),"others",
AND($C51="Secured",$E51=5),"BT_with_5_year_lock_in_period",
TRUE, "")</f>
        <v/>
      </c>
      <c r="H51" s="46"/>
      <c r="I51" s="59" t="str" cm="1">
        <f t="array" ref="I51">_xlfn.IFS(
AND($C51="Secured", OR($D51="HomeLoan_BT_more_than_2_Percent", $D51="HomeLoan_BT_less_than_2_Percent"), OR($E51="", $E51=0)), "Please input Year !!!",
AND($C51="Secured", OR($F51="", $F51=0)), "Please input Amount !!!",
AND($C51="Secured", $F51&lt;5000000), 1,
AND($C51="Secured", $F51&gt;=5000000), 1.1,
TRUE, "")</f>
        <v/>
      </c>
      <c r="J51" s="59" t="str" cm="1">
        <f t="array" ref="J51">IFERROR(_xlfn.IFS(
$G51="BT_with_5_year_lock_in_period", _xlfn.XLOOKUP($H51, Deviate_Table[Pricing discount], Deviate_Table[BT_with_5_year_lock_in_period]),
$G51="others", _xlfn.XLOOKUP($H51, Deviate_Table[Pricing discount], Deviate_Table[others]),
TRUE, ""), "Please input Deviate Range !!!")</f>
        <v/>
      </c>
      <c r="K51" s="49">
        <f t="shared" si="0"/>
        <v>0</v>
      </c>
      <c r="L51" s="65" cm="1">
        <f t="array" aca="1" ref="L51" ca="1">IFERROR(
_xlfn.IFS(
D51="HomeLoan_BT_less_than_2_Percent", VLOOKUP(SUMIFS($K:$K, $D:$D, "HomeLoan_BT_more_than_2_Percent", $B:$B, B51)+SUMIFS($K:$K, $D:$D, "HomeLoan_BT_less_than_2_Percent", $B:$B, B51)+SUMIFS($K:$K, $D:$D, "HomeLoan_Non_BT", $B:$B, B51)+SUMIFS($K:$K, $D:$D, "Mortgage_Power_Term", $B:$B, B51), Secured_Commission!$A:$F, 2, 1)*(K51/10^6),
D51="HomeLoan_BT_more_than_2_Percent", VLOOKUP(SUMIFS($K:$K, $D:$D, "HomeLoan_BT_more_than_2_Percent", $B:$B, B51)+SUMIFS($K:$K, $D:$D, "HomeLoan_BT_less_than_2_Percent", $B:$B, B51)+SUMIFS($K:$K, $D:$D, "HomeLoan_Non_BT", $B:$B, B51)+SUMIFS($K:$K, $D:$D, "Mortgage_Power_Term", $B:$B, B51), Secured_Commission!$A:$F, 3, 1)*(K51/10^6),
D51="HomeLoan_Non_BT", VLOOKUP(SUMIFS($K:$K, $D:$D, "HomeLoan_BT_more_than_2_Percent", $B:$B, B51)+SUMIFS($K:$K, $D:$D, "HomeLoan_BT_less_than_2_Percent", $B:$B, B51)+SUMIFS($K:$K, $D:$D, "HomeLoan_Non_BT", $B:$B, B51)+SUMIFS($K:$K, $D:$D, "Mortgage_Power_Term", $B:$B, B51), Secured_Commission!$A:$F, 4, 1)*(K51/10^6),
D51="Mortgage_Power_Term", VLOOKUP(SUMIFS($K:$K, $D:$D, "HomeLoan_BT_more_than_2_Percent", $B:$B, B51)+SUMIFS($K:$K, $D:$D, "HomeLoan_BT_less_than_2_Percent", $B:$B, B51)+SUMIFS($K:$K, $D:$D, "HomeLoan_Non_BT", $B:$B, B51)+SUMIFS($K:$K, $D:$D, "Mortgage_Power_Term", $B:$B, B51), Secured_Commission!$A:$F, 5, 1)*(K51/10^6),
D51="Personal_Cash", VLOOKUP(SUMIFS($K:$K, $D:$D, "Personal_Cash", $B:$B, B51), Unsecured_Commission!$A:$B, 2, 1)*K51,
OR(D51="MRTA_3_Percent", D51="SOMPO"), K51*0.03,
D51="MRTA_6_Percent", K51*0.06), 0)</f>
        <v>0</v>
      </c>
    </row>
    <row r="52" spans="1:12">
      <c r="A52" s="19">
        <v>47</v>
      </c>
      <c r="B52" s="46"/>
      <c r="C52" s="46"/>
      <c r="D52" s="46"/>
      <c r="E52" s="46"/>
      <c r="G52" s="58" t="str" cm="1">
        <f t="array" ref="G52">_xlfn.IFS(
AND($C52="Secured", OR($D52="HomeLoan_BT_more_than_2_Percent", $D52="HomeLoan_BT_less_than_2_Percent"), $E52=""), "",
AND($C52="Secured",$E52=""),"others",
AND($C52="Secured",$E52=3),"others",
AND($C52="Secured",$E52=5),"BT_with_5_year_lock_in_period",
TRUE, "")</f>
        <v/>
      </c>
      <c r="H52" s="46"/>
      <c r="I52" s="59" t="str" cm="1">
        <f t="array" ref="I52">_xlfn.IFS(
AND($C52="Secured", OR($D52="HomeLoan_BT_more_than_2_Percent", $D52="HomeLoan_BT_less_than_2_Percent"), OR($E52="", $E52=0)), "Please input Year !!!",
AND($C52="Secured", OR($F52="", $F52=0)), "Please input Amount !!!",
AND($C52="Secured", $F52&lt;5000000), 1,
AND($C52="Secured", $F52&gt;=5000000), 1.1,
TRUE, "")</f>
        <v/>
      </c>
      <c r="J52" s="59" t="str" cm="1">
        <f t="array" ref="J52">IFERROR(_xlfn.IFS(
$G52="BT_with_5_year_lock_in_period", _xlfn.XLOOKUP($H52, Deviate_Table[Pricing discount], Deviate_Table[BT_with_5_year_lock_in_period]),
$G52="others", _xlfn.XLOOKUP($H52, Deviate_Table[Pricing discount], Deviate_Table[others]),
TRUE, ""), "Please input Deviate Range !!!")</f>
        <v/>
      </c>
      <c r="K52" s="49">
        <f t="shared" si="0"/>
        <v>0</v>
      </c>
      <c r="L52" s="65" cm="1">
        <f t="array" aca="1" ref="L52" ca="1">IFERROR(
_xlfn.IFS(
D52="HomeLoan_BT_less_than_2_Percent", VLOOKUP(SUMIFS($K:$K, $D:$D, "HomeLoan_BT_more_than_2_Percent", $B:$B, B52)+SUMIFS($K:$K, $D:$D, "HomeLoan_BT_less_than_2_Percent", $B:$B, B52)+SUMIFS($K:$K, $D:$D, "HomeLoan_Non_BT", $B:$B, B52)+SUMIFS($K:$K, $D:$D, "Mortgage_Power_Term", $B:$B, B52), Secured_Commission!$A:$F, 2, 1)*(K52/10^6),
D52="HomeLoan_BT_more_than_2_Percent", VLOOKUP(SUMIFS($K:$K, $D:$D, "HomeLoan_BT_more_than_2_Percent", $B:$B, B52)+SUMIFS($K:$K, $D:$D, "HomeLoan_BT_less_than_2_Percent", $B:$B, B52)+SUMIFS($K:$K, $D:$D, "HomeLoan_Non_BT", $B:$B, B52)+SUMIFS($K:$K, $D:$D, "Mortgage_Power_Term", $B:$B, B52), Secured_Commission!$A:$F, 3, 1)*(K52/10^6),
D52="HomeLoan_Non_BT", VLOOKUP(SUMIFS($K:$K, $D:$D, "HomeLoan_BT_more_than_2_Percent", $B:$B, B52)+SUMIFS($K:$K, $D:$D, "HomeLoan_BT_less_than_2_Percent", $B:$B, B52)+SUMIFS($K:$K, $D:$D, "HomeLoan_Non_BT", $B:$B, B52)+SUMIFS($K:$K, $D:$D, "Mortgage_Power_Term", $B:$B, B52), Secured_Commission!$A:$F, 4, 1)*(K52/10^6),
D52="Mortgage_Power_Term", VLOOKUP(SUMIFS($K:$K, $D:$D, "HomeLoan_BT_more_than_2_Percent", $B:$B, B52)+SUMIFS($K:$K, $D:$D, "HomeLoan_BT_less_than_2_Percent", $B:$B, B52)+SUMIFS($K:$K, $D:$D, "HomeLoan_Non_BT", $B:$B, B52)+SUMIFS($K:$K, $D:$D, "Mortgage_Power_Term", $B:$B, B52), Secured_Commission!$A:$F, 5, 1)*(K52/10^6),
D52="Personal_Cash", VLOOKUP(SUMIFS($K:$K, $D:$D, "Personal_Cash", $B:$B, B52), Unsecured_Commission!$A:$B, 2, 1)*K52,
OR(D52="MRTA_3_Percent", D52="SOMPO"), K52*0.03,
D52="MRTA_6_Percent", K52*0.06), 0)</f>
        <v>0</v>
      </c>
    </row>
    <row r="53" spans="1:12">
      <c r="A53" s="19">
        <v>48</v>
      </c>
      <c r="B53" s="46"/>
      <c r="C53" s="46"/>
      <c r="D53" s="46"/>
      <c r="E53" s="46"/>
      <c r="G53" s="58" t="str" cm="1">
        <f t="array" ref="G53">_xlfn.IFS(
AND($C53="Secured", OR($D53="HomeLoan_BT_more_than_2_Percent", $D53="HomeLoan_BT_less_than_2_Percent"), $E53=""), "",
AND($C53="Secured",$E53=""),"others",
AND($C53="Secured",$E53=3),"others",
AND($C53="Secured",$E53=5),"BT_with_5_year_lock_in_period",
TRUE, "")</f>
        <v/>
      </c>
      <c r="H53" s="46"/>
      <c r="I53" s="59" t="str" cm="1">
        <f t="array" ref="I53">_xlfn.IFS(
AND($C53="Secured", OR($D53="HomeLoan_BT_more_than_2_Percent", $D53="HomeLoan_BT_less_than_2_Percent"), OR($E53="", $E53=0)), "Please input Year !!!",
AND($C53="Secured", OR($F53="", $F53=0)), "Please input Amount !!!",
AND($C53="Secured", $F53&lt;5000000), 1,
AND($C53="Secured", $F53&gt;=5000000), 1.1,
TRUE, "")</f>
        <v/>
      </c>
      <c r="J53" s="59" t="str" cm="1">
        <f t="array" ref="J53">IFERROR(_xlfn.IFS(
$G53="BT_with_5_year_lock_in_period", _xlfn.XLOOKUP($H53, Deviate_Table[Pricing discount], Deviate_Table[BT_with_5_year_lock_in_period]),
$G53="others", _xlfn.XLOOKUP($H53, Deviate_Table[Pricing discount], Deviate_Table[others]),
TRUE, ""), "Please input Deviate Range !!!")</f>
        <v/>
      </c>
      <c r="K53" s="49">
        <f t="shared" si="0"/>
        <v>0</v>
      </c>
      <c r="L53" s="65" cm="1">
        <f t="array" aca="1" ref="L53" ca="1">IFERROR(
_xlfn.IFS(
D53="HomeLoan_BT_less_than_2_Percent", VLOOKUP(SUMIFS($K:$K, $D:$D, "HomeLoan_BT_more_than_2_Percent", $B:$B, B53)+SUMIFS($K:$K, $D:$D, "HomeLoan_BT_less_than_2_Percent", $B:$B, B53)+SUMIFS($K:$K, $D:$D, "HomeLoan_Non_BT", $B:$B, B53)+SUMIFS($K:$K, $D:$D, "Mortgage_Power_Term", $B:$B, B53), Secured_Commission!$A:$F, 2, 1)*(K53/10^6),
D53="HomeLoan_BT_more_than_2_Percent", VLOOKUP(SUMIFS($K:$K, $D:$D, "HomeLoan_BT_more_than_2_Percent", $B:$B, B53)+SUMIFS($K:$K, $D:$D, "HomeLoan_BT_less_than_2_Percent", $B:$B, B53)+SUMIFS($K:$K, $D:$D, "HomeLoan_Non_BT", $B:$B, B53)+SUMIFS($K:$K, $D:$D, "Mortgage_Power_Term", $B:$B, B53), Secured_Commission!$A:$F, 3, 1)*(K53/10^6),
D53="HomeLoan_Non_BT", VLOOKUP(SUMIFS($K:$K, $D:$D, "HomeLoan_BT_more_than_2_Percent", $B:$B, B53)+SUMIFS($K:$K, $D:$D, "HomeLoan_BT_less_than_2_Percent", $B:$B, B53)+SUMIFS($K:$K, $D:$D, "HomeLoan_Non_BT", $B:$B, B53)+SUMIFS($K:$K, $D:$D, "Mortgage_Power_Term", $B:$B, B53), Secured_Commission!$A:$F, 4, 1)*(K53/10^6),
D53="Mortgage_Power_Term", VLOOKUP(SUMIFS($K:$K, $D:$D, "HomeLoan_BT_more_than_2_Percent", $B:$B, B53)+SUMIFS($K:$K, $D:$D, "HomeLoan_BT_less_than_2_Percent", $B:$B, B53)+SUMIFS($K:$K, $D:$D, "HomeLoan_Non_BT", $B:$B, B53)+SUMIFS($K:$K, $D:$D, "Mortgage_Power_Term", $B:$B, B53), Secured_Commission!$A:$F, 5, 1)*(K53/10^6),
D53="Personal_Cash", VLOOKUP(SUMIFS($K:$K, $D:$D, "Personal_Cash", $B:$B, B53), Unsecured_Commission!$A:$B, 2, 1)*K53,
OR(D53="MRTA_3_Percent", D53="SOMPO"), K53*0.03,
D53="MRTA_6_Percent", K53*0.06), 0)</f>
        <v>0</v>
      </c>
    </row>
    <row r="54" spans="1:12">
      <c r="A54" s="19">
        <v>49</v>
      </c>
      <c r="B54" s="46"/>
      <c r="C54" s="46"/>
      <c r="D54" s="46"/>
      <c r="E54" s="46"/>
      <c r="G54" s="58" t="str" cm="1">
        <f t="array" ref="G54">_xlfn.IFS(
AND($C54="Secured", OR($D54="HomeLoan_BT_more_than_2_Percent", $D54="HomeLoan_BT_less_than_2_Percent"), $E54=""), "",
AND($C54="Secured",$E54=""),"others",
AND($C54="Secured",$E54=3),"others",
AND($C54="Secured",$E54=5),"BT_with_5_year_lock_in_period",
TRUE, "")</f>
        <v/>
      </c>
      <c r="H54" s="46"/>
      <c r="I54" s="59" t="str" cm="1">
        <f t="array" ref="I54">_xlfn.IFS(
AND($C54="Secured", OR($D54="HomeLoan_BT_more_than_2_Percent", $D54="HomeLoan_BT_less_than_2_Percent"), OR($E54="", $E54=0)), "Please input Year !!!",
AND($C54="Secured", OR($F54="", $F54=0)), "Please input Amount !!!",
AND($C54="Secured", $F54&lt;5000000), 1,
AND($C54="Secured", $F54&gt;=5000000), 1.1,
TRUE, "")</f>
        <v/>
      </c>
      <c r="J54" s="59" t="str" cm="1">
        <f t="array" ref="J54">IFERROR(_xlfn.IFS(
$G54="BT_with_5_year_lock_in_period", _xlfn.XLOOKUP($H54, Deviate_Table[Pricing discount], Deviate_Table[BT_with_5_year_lock_in_period]),
$G54="others", _xlfn.XLOOKUP($H54, Deviate_Table[Pricing discount], Deviate_Table[others]),
TRUE, ""), "Please input Deviate Range !!!")</f>
        <v/>
      </c>
      <c r="K54" s="49">
        <f t="shared" si="0"/>
        <v>0</v>
      </c>
      <c r="L54" s="65" cm="1">
        <f t="array" aca="1" ref="L54" ca="1">IFERROR(
_xlfn.IFS(
D54="HomeLoan_BT_less_than_2_Percent", VLOOKUP(SUMIFS($K:$K, $D:$D, "HomeLoan_BT_more_than_2_Percent", $B:$B, B54)+SUMIFS($K:$K, $D:$D, "HomeLoan_BT_less_than_2_Percent", $B:$B, B54)+SUMIFS($K:$K, $D:$D, "HomeLoan_Non_BT", $B:$B, B54)+SUMIFS($K:$K, $D:$D, "Mortgage_Power_Term", $B:$B, B54), Secured_Commission!$A:$F, 2, 1)*(K54/10^6),
D54="HomeLoan_BT_more_than_2_Percent", VLOOKUP(SUMIFS($K:$K, $D:$D, "HomeLoan_BT_more_than_2_Percent", $B:$B, B54)+SUMIFS($K:$K, $D:$D, "HomeLoan_BT_less_than_2_Percent", $B:$B, B54)+SUMIFS($K:$K, $D:$D, "HomeLoan_Non_BT", $B:$B, B54)+SUMIFS($K:$K, $D:$D, "Mortgage_Power_Term", $B:$B, B54), Secured_Commission!$A:$F, 3, 1)*(K54/10^6),
D54="HomeLoan_Non_BT", VLOOKUP(SUMIFS($K:$K, $D:$D, "HomeLoan_BT_more_than_2_Percent", $B:$B, B54)+SUMIFS($K:$K, $D:$D, "HomeLoan_BT_less_than_2_Percent", $B:$B, B54)+SUMIFS($K:$K, $D:$D, "HomeLoan_Non_BT", $B:$B, B54)+SUMIFS($K:$K, $D:$D, "Mortgage_Power_Term", $B:$B, B54), Secured_Commission!$A:$F, 4, 1)*(K54/10^6),
D54="Mortgage_Power_Term", VLOOKUP(SUMIFS($K:$K, $D:$D, "HomeLoan_BT_more_than_2_Percent", $B:$B, B54)+SUMIFS($K:$K, $D:$D, "HomeLoan_BT_less_than_2_Percent", $B:$B, B54)+SUMIFS($K:$K, $D:$D, "HomeLoan_Non_BT", $B:$B, B54)+SUMIFS($K:$K, $D:$D, "Mortgage_Power_Term", $B:$B, B54), Secured_Commission!$A:$F, 5, 1)*(K54/10^6),
D54="Personal_Cash", VLOOKUP(SUMIFS($K:$K, $D:$D, "Personal_Cash", $B:$B, B54), Unsecured_Commission!$A:$B, 2, 1)*K54,
OR(D54="MRTA_3_Percent", D54="SOMPO"), K54*0.03,
D54="MRTA_6_Percent", K54*0.06), 0)</f>
        <v>0</v>
      </c>
    </row>
    <row r="55" spans="1:12">
      <c r="A55" s="19">
        <v>50</v>
      </c>
      <c r="B55" s="46"/>
      <c r="C55" s="46"/>
      <c r="D55" s="46"/>
      <c r="E55" s="46"/>
      <c r="G55" s="58" t="str" cm="1">
        <f t="array" ref="G55">_xlfn.IFS(
AND($C55="Secured", OR($D55="HomeLoan_BT_more_than_2_Percent", $D55="HomeLoan_BT_less_than_2_Percent"), $E55=""), "",
AND($C55="Secured",$E55=""),"others",
AND($C55="Secured",$E55=3),"others",
AND($C55="Secured",$E55=5),"BT_with_5_year_lock_in_period",
TRUE, "")</f>
        <v/>
      </c>
      <c r="H55" s="46"/>
      <c r="I55" s="59" t="str" cm="1">
        <f t="array" ref="I55">_xlfn.IFS(
AND($C55="Secured", OR($D55="HomeLoan_BT_more_than_2_Percent", $D55="HomeLoan_BT_less_than_2_Percent"), OR($E55="", $E55=0)), "Please input Year !!!",
AND($C55="Secured", OR($F55="", $F55=0)), "Please input Amount !!!",
AND($C55="Secured", $F55&lt;5000000), 1,
AND($C55="Secured", $F55&gt;=5000000), 1.1,
TRUE, "")</f>
        <v/>
      </c>
      <c r="J55" s="59" t="str" cm="1">
        <f t="array" ref="J55">IFERROR(_xlfn.IFS(
$G55="BT_with_5_year_lock_in_period", _xlfn.XLOOKUP($H55, Deviate_Table[Pricing discount], Deviate_Table[BT_with_5_year_lock_in_period]),
$G55="others", _xlfn.XLOOKUP($H55, Deviate_Table[Pricing discount], Deviate_Table[others]),
TRUE, ""), "Please input Deviate Range !!!")</f>
        <v/>
      </c>
      <c r="K55" s="49">
        <f t="shared" si="0"/>
        <v>0</v>
      </c>
      <c r="L55" s="65" cm="1">
        <f t="array" aca="1" ref="L55" ca="1">IFERROR(
_xlfn.IFS(
D55="HomeLoan_BT_less_than_2_Percent", VLOOKUP(SUMIFS($K:$K, $D:$D, "HomeLoan_BT_more_than_2_Percent", $B:$B, B55)+SUMIFS($K:$K, $D:$D, "HomeLoan_BT_less_than_2_Percent", $B:$B, B55)+SUMIFS($K:$K, $D:$D, "HomeLoan_Non_BT", $B:$B, B55)+SUMIFS($K:$K, $D:$D, "Mortgage_Power_Term", $B:$B, B55), Secured_Commission!$A:$F, 2, 1)*(K55/10^6),
D55="HomeLoan_BT_more_than_2_Percent", VLOOKUP(SUMIFS($K:$K, $D:$D, "HomeLoan_BT_more_than_2_Percent", $B:$B, B55)+SUMIFS($K:$K, $D:$D, "HomeLoan_BT_less_than_2_Percent", $B:$B, B55)+SUMIFS($K:$K, $D:$D, "HomeLoan_Non_BT", $B:$B, B55)+SUMIFS($K:$K, $D:$D, "Mortgage_Power_Term", $B:$B, B55), Secured_Commission!$A:$F, 3, 1)*(K55/10^6),
D55="HomeLoan_Non_BT", VLOOKUP(SUMIFS($K:$K, $D:$D, "HomeLoan_BT_more_than_2_Percent", $B:$B, B55)+SUMIFS($K:$K, $D:$D, "HomeLoan_BT_less_than_2_Percent", $B:$B, B55)+SUMIFS($K:$K, $D:$D, "HomeLoan_Non_BT", $B:$B, B55)+SUMIFS($K:$K, $D:$D, "Mortgage_Power_Term", $B:$B, B55), Secured_Commission!$A:$F, 4, 1)*(K55/10^6),
D55="Mortgage_Power_Term", VLOOKUP(SUMIFS($K:$K, $D:$D, "HomeLoan_BT_more_than_2_Percent", $B:$B, B55)+SUMIFS($K:$K, $D:$D, "HomeLoan_BT_less_than_2_Percent", $B:$B, B55)+SUMIFS($K:$K, $D:$D, "HomeLoan_Non_BT", $B:$B, B55)+SUMIFS($K:$K, $D:$D, "Mortgage_Power_Term", $B:$B, B55), Secured_Commission!$A:$F, 5, 1)*(K55/10^6),
D55="Personal_Cash", VLOOKUP(SUMIFS($K:$K, $D:$D, "Personal_Cash", $B:$B, B55), Unsecured_Commission!$A:$B, 2, 1)*K55,
OR(D55="MRTA_3_Percent", D55="SOMPO"), K55*0.03,
D55="MRTA_6_Percent", K55*0.06), 0)</f>
        <v>0</v>
      </c>
    </row>
    <row r="56" spans="1:12">
      <c r="A56" s="19">
        <v>51</v>
      </c>
      <c r="B56" s="46"/>
      <c r="C56" s="46"/>
      <c r="D56" s="46"/>
      <c r="E56" s="46"/>
      <c r="G56" s="58" t="str" cm="1">
        <f t="array" ref="G56">_xlfn.IFS(
AND($C56="Secured", OR($D56="HomeLoan_BT_more_than_2_Percent", $D56="HomeLoan_BT_less_than_2_Percent"), $E56=""), "",
AND($C56="Secured",$E56=""),"others",
AND($C56="Secured",$E56=3),"others",
AND($C56="Secured",$E56=5),"BT_with_5_year_lock_in_period",
TRUE, "")</f>
        <v/>
      </c>
      <c r="H56" s="46"/>
      <c r="I56" s="59" t="str" cm="1">
        <f t="array" ref="I56">_xlfn.IFS(
AND($C56="Secured", OR($D56="HomeLoan_BT_more_than_2_Percent", $D56="HomeLoan_BT_less_than_2_Percent"), OR($E56="", $E56=0)), "Please input Year !!!",
AND($C56="Secured", OR($F56="", $F56=0)), "Please input Amount !!!",
AND($C56="Secured", $F56&lt;5000000), 1,
AND($C56="Secured", $F56&gt;=5000000), 1.1,
TRUE, "")</f>
        <v/>
      </c>
      <c r="J56" s="59" t="str" cm="1">
        <f t="array" ref="J56">IFERROR(_xlfn.IFS(
$G56="BT_with_5_year_lock_in_period", _xlfn.XLOOKUP($H56, Deviate_Table[Pricing discount], Deviate_Table[BT_with_5_year_lock_in_period]),
$G56="others", _xlfn.XLOOKUP($H56, Deviate_Table[Pricing discount], Deviate_Table[others]),
TRUE, ""), "Please input Deviate Range !!!")</f>
        <v/>
      </c>
      <c r="K56" s="49">
        <f t="shared" si="0"/>
        <v>0</v>
      </c>
      <c r="L56" s="65" cm="1">
        <f t="array" aca="1" ref="L56" ca="1">IFERROR(
_xlfn.IFS(
D56="HomeLoan_BT_less_than_2_Percent", VLOOKUP(SUMIFS($K:$K, $D:$D, "HomeLoan_BT_more_than_2_Percent", $B:$B, B56)+SUMIFS($K:$K, $D:$D, "HomeLoan_BT_less_than_2_Percent", $B:$B, B56)+SUMIFS($K:$K, $D:$D, "HomeLoan_Non_BT", $B:$B, B56)+SUMIFS($K:$K, $D:$D, "Mortgage_Power_Term", $B:$B, B56), Secured_Commission!$A:$F, 2, 1)*(K56/10^6),
D56="HomeLoan_BT_more_than_2_Percent", VLOOKUP(SUMIFS($K:$K, $D:$D, "HomeLoan_BT_more_than_2_Percent", $B:$B, B56)+SUMIFS($K:$K, $D:$D, "HomeLoan_BT_less_than_2_Percent", $B:$B, B56)+SUMIFS($K:$K, $D:$D, "HomeLoan_Non_BT", $B:$B, B56)+SUMIFS($K:$K, $D:$D, "Mortgage_Power_Term", $B:$B, B56), Secured_Commission!$A:$F, 3, 1)*(K56/10^6),
D56="HomeLoan_Non_BT", VLOOKUP(SUMIFS($K:$K, $D:$D, "HomeLoan_BT_more_than_2_Percent", $B:$B, B56)+SUMIFS($K:$K, $D:$D, "HomeLoan_BT_less_than_2_Percent", $B:$B, B56)+SUMIFS($K:$K, $D:$D, "HomeLoan_Non_BT", $B:$B, B56)+SUMIFS($K:$K, $D:$D, "Mortgage_Power_Term", $B:$B, B56), Secured_Commission!$A:$F, 4, 1)*(K56/10^6),
D56="Mortgage_Power_Term", VLOOKUP(SUMIFS($K:$K, $D:$D, "HomeLoan_BT_more_than_2_Percent", $B:$B, B56)+SUMIFS($K:$K, $D:$D, "HomeLoan_BT_less_than_2_Percent", $B:$B, B56)+SUMIFS($K:$K, $D:$D, "HomeLoan_Non_BT", $B:$B, B56)+SUMIFS($K:$K, $D:$D, "Mortgage_Power_Term", $B:$B, B56), Secured_Commission!$A:$F, 5, 1)*(K56/10^6),
D56="Personal_Cash", VLOOKUP(SUMIFS($K:$K, $D:$D, "Personal_Cash", $B:$B, B56), Unsecured_Commission!$A:$B, 2, 1)*K56,
OR(D56="MRTA_3_Percent", D56="SOMPO"), K56*0.03,
D56="MRTA_6_Percent", K56*0.06), 0)</f>
        <v>0</v>
      </c>
    </row>
    <row r="57" spans="1:12">
      <c r="A57" s="19">
        <v>52</v>
      </c>
      <c r="B57" s="46"/>
      <c r="C57" s="46"/>
      <c r="D57" s="46"/>
      <c r="E57" s="46"/>
      <c r="G57" s="58" t="str" cm="1">
        <f t="array" ref="G57">_xlfn.IFS(
AND($C57="Secured", OR($D57="HomeLoan_BT_more_than_2_Percent", $D57="HomeLoan_BT_less_than_2_Percent"), $E57=""), "",
AND($C57="Secured",$E57=""),"others",
AND($C57="Secured",$E57=3),"others",
AND($C57="Secured",$E57=5),"BT_with_5_year_lock_in_period",
TRUE, "")</f>
        <v/>
      </c>
      <c r="H57" s="46"/>
      <c r="I57" s="59" t="str" cm="1">
        <f t="array" ref="I57">_xlfn.IFS(
AND($C57="Secured", OR($D57="HomeLoan_BT_more_than_2_Percent", $D57="HomeLoan_BT_less_than_2_Percent"), OR($E57="", $E57=0)), "Please input Year !!!",
AND($C57="Secured", OR($F57="", $F57=0)), "Please input Amount !!!",
AND($C57="Secured", $F57&lt;5000000), 1,
AND($C57="Secured", $F57&gt;=5000000), 1.1,
TRUE, "")</f>
        <v/>
      </c>
      <c r="J57" s="59" t="str" cm="1">
        <f t="array" ref="J57">IFERROR(_xlfn.IFS(
$G57="BT_with_5_year_lock_in_period", _xlfn.XLOOKUP($H57, Deviate_Table[Pricing discount], Deviate_Table[BT_with_5_year_lock_in_period]),
$G57="others", _xlfn.XLOOKUP($H57, Deviate_Table[Pricing discount], Deviate_Table[others]),
TRUE, ""), "Please input Deviate Range !!!")</f>
        <v/>
      </c>
      <c r="K57" s="49">
        <f t="shared" si="0"/>
        <v>0</v>
      </c>
      <c r="L57" s="65" cm="1">
        <f t="array" aca="1" ref="L57" ca="1">IFERROR(
_xlfn.IFS(
D57="HomeLoan_BT_less_than_2_Percent", VLOOKUP(SUMIFS($K:$K, $D:$D, "HomeLoan_BT_more_than_2_Percent", $B:$B, B57)+SUMIFS($K:$K, $D:$D, "HomeLoan_BT_less_than_2_Percent", $B:$B, B57)+SUMIFS($K:$K, $D:$D, "HomeLoan_Non_BT", $B:$B, B57)+SUMIFS($K:$K, $D:$D, "Mortgage_Power_Term", $B:$B, B57), Secured_Commission!$A:$F, 2, 1)*(K57/10^6),
D57="HomeLoan_BT_more_than_2_Percent", VLOOKUP(SUMIFS($K:$K, $D:$D, "HomeLoan_BT_more_than_2_Percent", $B:$B, B57)+SUMIFS($K:$K, $D:$D, "HomeLoan_BT_less_than_2_Percent", $B:$B, B57)+SUMIFS($K:$K, $D:$D, "HomeLoan_Non_BT", $B:$B, B57)+SUMIFS($K:$K, $D:$D, "Mortgage_Power_Term", $B:$B, B57), Secured_Commission!$A:$F, 3, 1)*(K57/10^6),
D57="HomeLoan_Non_BT", VLOOKUP(SUMIFS($K:$K, $D:$D, "HomeLoan_BT_more_than_2_Percent", $B:$B, B57)+SUMIFS($K:$K, $D:$D, "HomeLoan_BT_less_than_2_Percent", $B:$B, B57)+SUMIFS($K:$K, $D:$D, "HomeLoan_Non_BT", $B:$B, B57)+SUMIFS($K:$K, $D:$D, "Mortgage_Power_Term", $B:$B, B57), Secured_Commission!$A:$F, 4, 1)*(K57/10^6),
D57="Mortgage_Power_Term", VLOOKUP(SUMIFS($K:$K, $D:$D, "HomeLoan_BT_more_than_2_Percent", $B:$B, B57)+SUMIFS($K:$K, $D:$D, "HomeLoan_BT_less_than_2_Percent", $B:$B, B57)+SUMIFS($K:$K, $D:$D, "HomeLoan_Non_BT", $B:$B, B57)+SUMIFS($K:$K, $D:$D, "Mortgage_Power_Term", $B:$B, B57), Secured_Commission!$A:$F, 5, 1)*(K57/10^6),
D57="Personal_Cash", VLOOKUP(SUMIFS($K:$K, $D:$D, "Personal_Cash", $B:$B, B57), Unsecured_Commission!$A:$B, 2, 1)*K57,
OR(D57="MRTA_3_Percent", D57="SOMPO"), K57*0.03,
D57="MRTA_6_Percent", K57*0.06), 0)</f>
        <v>0</v>
      </c>
    </row>
    <row r="58" spans="1:12">
      <c r="A58" s="19">
        <v>53</v>
      </c>
      <c r="B58" s="46"/>
      <c r="C58" s="46"/>
      <c r="D58" s="46"/>
      <c r="E58" s="46"/>
      <c r="G58" s="58" t="str" cm="1">
        <f t="array" ref="G58">_xlfn.IFS(
AND($C58="Secured", OR($D58="HomeLoan_BT_more_than_2_Percent", $D58="HomeLoan_BT_less_than_2_Percent"), $E58=""), "",
AND($C58="Secured",$E58=""),"others",
AND($C58="Secured",$E58=3),"others",
AND($C58="Secured",$E58=5),"BT_with_5_year_lock_in_period",
TRUE, "")</f>
        <v/>
      </c>
      <c r="H58" s="46"/>
      <c r="I58" s="59" t="str" cm="1">
        <f t="array" ref="I58">_xlfn.IFS(
AND($C58="Secured", OR($D58="HomeLoan_BT_more_than_2_Percent", $D58="HomeLoan_BT_less_than_2_Percent"), OR($E58="", $E58=0)), "Please input Year !!!",
AND($C58="Secured", OR($F58="", $F58=0)), "Please input Amount !!!",
AND($C58="Secured", $F58&lt;5000000), 1,
AND($C58="Secured", $F58&gt;=5000000), 1.1,
TRUE, "")</f>
        <v/>
      </c>
      <c r="J58" s="59" t="str" cm="1">
        <f t="array" ref="J58">IFERROR(_xlfn.IFS(
$G58="BT_with_5_year_lock_in_period", _xlfn.XLOOKUP($H58, Deviate_Table[Pricing discount], Deviate_Table[BT_with_5_year_lock_in_period]),
$G58="others", _xlfn.XLOOKUP($H58, Deviate_Table[Pricing discount], Deviate_Table[others]),
TRUE, ""), "Please input Deviate Range !!!")</f>
        <v/>
      </c>
      <c r="K58" s="49">
        <f t="shared" si="0"/>
        <v>0</v>
      </c>
      <c r="L58" s="65" cm="1">
        <f t="array" aca="1" ref="L58" ca="1">IFERROR(
_xlfn.IFS(
D58="HomeLoan_BT_less_than_2_Percent", VLOOKUP(SUMIFS($K:$K, $D:$D, "HomeLoan_BT_more_than_2_Percent", $B:$B, B58)+SUMIFS($K:$K, $D:$D, "HomeLoan_BT_less_than_2_Percent", $B:$B, B58)+SUMIFS($K:$K, $D:$D, "HomeLoan_Non_BT", $B:$B, B58)+SUMIFS($K:$K, $D:$D, "Mortgage_Power_Term", $B:$B, B58), Secured_Commission!$A:$F, 2, 1)*(K58/10^6),
D58="HomeLoan_BT_more_than_2_Percent", VLOOKUP(SUMIFS($K:$K, $D:$D, "HomeLoan_BT_more_than_2_Percent", $B:$B, B58)+SUMIFS($K:$K, $D:$D, "HomeLoan_BT_less_than_2_Percent", $B:$B, B58)+SUMIFS($K:$K, $D:$D, "HomeLoan_Non_BT", $B:$B, B58)+SUMIFS($K:$K, $D:$D, "Mortgage_Power_Term", $B:$B, B58), Secured_Commission!$A:$F, 3, 1)*(K58/10^6),
D58="HomeLoan_Non_BT", VLOOKUP(SUMIFS($K:$K, $D:$D, "HomeLoan_BT_more_than_2_Percent", $B:$B, B58)+SUMIFS($K:$K, $D:$D, "HomeLoan_BT_less_than_2_Percent", $B:$B, B58)+SUMIFS($K:$K, $D:$D, "HomeLoan_Non_BT", $B:$B, B58)+SUMIFS($K:$K, $D:$D, "Mortgage_Power_Term", $B:$B, B58), Secured_Commission!$A:$F, 4, 1)*(K58/10^6),
D58="Mortgage_Power_Term", VLOOKUP(SUMIFS($K:$K, $D:$D, "HomeLoan_BT_more_than_2_Percent", $B:$B, B58)+SUMIFS($K:$K, $D:$D, "HomeLoan_BT_less_than_2_Percent", $B:$B, B58)+SUMIFS($K:$K, $D:$D, "HomeLoan_Non_BT", $B:$B, B58)+SUMIFS($K:$K, $D:$D, "Mortgage_Power_Term", $B:$B, B58), Secured_Commission!$A:$F, 5, 1)*(K58/10^6),
D58="Personal_Cash", VLOOKUP(SUMIFS($K:$K, $D:$D, "Personal_Cash", $B:$B, B58), Unsecured_Commission!$A:$B, 2, 1)*K58,
OR(D58="MRTA_3_Percent", D58="SOMPO"), K58*0.03,
D58="MRTA_6_Percent", K58*0.06), 0)</f>
        <v>0</v>
      </c>
    </row>
    <row r="59" spans="1:12">
      <c r="A59" s="19">
        <v>54</v>
      </c>
      <c r="B59" s="46"/>
      <c r="C59" s="46"/>
      <c r="D59" s="46"/>
      <c r="E59" s="46"/>
      <c r="G59" s="58" t="str" cm="1">
        <f t="array" ref="G59">_xlfn.IFS(
AND($C59="Secured", OR($D59="HomeLoan_BT_more_than_2_Percent", $D59="HomeLoan_BT_less_than_2_Percent"), $E59=""), "",
AND($C59="Secured",$E59=""),"others",
AND($C59="Secured",$E59=3),"others",
AND($C59="Secured",$E59=5),"BT_with_5_year_lock_in_period",
TRUE, "")</f>
        <v/>
      </c>
      <c r="H59" s="46"/>
      <c r="I59" s="59" t="str" cm="1">
        <f t="array" ref="I59">_xlfn.IFS(
AND($C59="Secured", OR($D59="HomeLoan_BT_more_than_2_Percent", $D59="HomeLoan_BT_less_than_2_Percent"), OR($E59="", $E59=0)), "Please input Year !!!",
AND($C59="Secured", OR($F59="", $F59=0)), "Please input Amount !!!",
AND($C59="Secured", $F59&lt;5000000), 1,
AND($C59="Secured", $F59&gt;=5000000), 1.1,
TRUE, "")</f>
        <v/>
      </c>
      <c r="J59" s="59" t="str" cm="1">
        <f t="array" ref="J59">IFERROR(_xlfn.IFS(
$G59="BT_with_5_year_lock_in_period", _xlfn.XLOOKUP($H59, Deviate_Table[Pricing discount], Deviate_Table[BT_with_5_year_lock_in_period]),
$G59="others", _xlfn.XLOOKUP($H59, Deviate_Table[Pricing discount], Deviate_Table[others]),
TRUE, ""), "Please input Deviate Range !!!")</f>
        <v/>
      </c>
      <c r="K59" s="49">
        <f t="shared" si="0"/>
        <v>0</v>
      </c>
      <c r="L59" s="65" cm="1">
        <f t="array" aca="1" ref="L59" ca="1">IFERROR(
_xlfn.IFS(
D59="HomeLoan_BT_less_than_2_Percent", VLOOKUP(SUMIFS($K:$K, $D:$D, "HomeLoan_BT_more_than_2_Percent", $B:$B, B59)+SUMIFS($K:$K, $D:$D, "HomeLoan_BT_less_than_2_Percent", $B:$B, B59)+SUMIFS($K:$K, $D:$D, "HomeLoan_Non_BT", $B:$B, B59)+SUMIFS($K:$K, $D:$D, "Mortgage_Power_Term", $B:$B, B59), Secured_Commission!$A:$F, 2, 1)*(K59/10^6),
D59="HomeLoan_BT_more_than_2_Percent", VLOOKUP(SUMIFS($K:$K, $D:$D, "HomeLoan_BT_more_than_2_Percent", $B:$B, B59)+SUMIFS($K:$K, $D:$D, "HomeLoan_BT_less_than_2_Percent", $B:$B, B59)+SUMIFS($K:$K, $D:$D, "HomeLoan_Non_BT", $B:$B, B59)+SUMIFS($K:$K, $D:$D, "Mortgage_Power_Term", $B:$B, B59), Secured_Commission!$A:$F, 3, 1)*(K59/10^6),
D59="HomeLoan_Non_BT", VLOOKUP(SUMIFS($K:$K, $D:$D, "HomeLoan_BT_more_than_2_Percent", $B:$B, B59)+SUMIFS($K:$K, $D:$D, "HomeLoan_BT_less_than_2_Percent", $B:$B, B59)+SUMIFS($K:$K, $D:$D, "HomeLoan_Non_BT", $B:$B, B59)+SUMIFS($K:$K, $D:$D, "Mortgage_Power_Term", $B:$B, B59), Secured_Commission!$A:$F, 4, 1)*(K59/10^6),
D59="Mortgage_Power_Term", VLOOKUP(SUMIFS($K:$K, $D:$D, "HomeLoan_BT_more_than_2_Percent", $B:$B, B59)+SUMIFS($K:$K, $D:$D, "HomeLoan_BT_less_than_2_Percent", $B:$B, B59)+SUMIFS($K:$K, $D:$D, "HomeLoan_Non_BT", $B:$B, B59)+SUMIFS($K:$K, $D:$D, "Mortgage_Power_Term", $B:$B, B59), Secured_Commission!$A:$F, 5, 1)*(K59/10^6),
D59="Personal_Cash", VLOOKUP(SUMIFS($K:$K, $D:$D, "Personal_Cash", $B:$B, B59), Unsecured_Commission!$A:$B, 2, 1)*K59,
OR(D59="MRTA_3_Percent", D59="SOMPO"), K59*0.03,
D59="MRTA_6_Percent", K59*0.06), 0)</f>
        <v>0</v>
      </c>
    </row>
    <row r="60" spans="1:12">
      <c r="A60" s="19">
        <v>55</v>
      </c>
      <c r="B60" s="46"/>
      <c r="C60" s="46"/>
      <c r="D60" s="46"/>
      <c r="E60" s="46"/>
      <c r="G60" s="58" t="str" cm="1">
        <f t="array" ref="G60">_xlfn.IFS(
AND($C60="Secured", OR($D60="HomeLoan_BT_more_than_2_Percent", $D60="HomeLoan_BT_less_than_2_Percent"), $E60=""), "",
AND($C60="Secured",$E60=""),"others",
AND($C60="Secured",$E60=3),"others",
AND($C60="Secured",$E60=5),"BT_with_5_year_lock_in_period",
TRUE, "")</f>
        <v/>
      </c>
      <c r="H60" s="46"/>
      <c r="I60" s="59" t="str" cm="1">
        <f t="array" ref="I60">_xlfn.IFS(
AND($C60="Secured", OR($D60="HomeLoan_BT_more_than_2_Percent", $D60="HomeLoan_BT_less_than_2_Percent"), OR($E60="", $E60=0)), "Please input Year !!!",
AND($C60="Secured", OR($F60="", $F60=0)), "Please input Amount !!!",
AND($C60="Secured", $F60&lt;5000000), 1,
AND($C60="Secured", $F60&gt;=5000000), 1.1,
TRUE, "")</f>
        <v/>
      </c>
      <c r="J60" s="59" t="str" cm="1">
        <f t="array" ref="J60">IFERROR(_xlfn.IFS(
$G60="BT_with_5_year_lock_in_period", _xlfn.XLOOKUP($H60, Deviate_Table[Pricing discount], Deviate_Table[BT_with_5_year_lock_in_period]),
$G60="others", _xlfn.XLOOKUP($H60, Deviate_Table[Pricing discount], Deviate_Table[others]),
TRUE, ""), "Please input Deviate Range !!!")</f>
        <v/>
      </c>
      <c r="K60" s="49">
        <f t="shared" si="0"/>
        <v>0</v>
      </c>
      <c r="L60" s="65" cm="1">
        <f t="array" aca="1" ref="L60" ca="1">IFERROR(
_xlfn.IFS(
D60="HomeLoan_BT_less_than_2_Percent", VLOOKUP(SUMIFS($K:$K, $D:$D, "HomeLoan_BT_more_than_2_Percent", $B:$B, B60)+SUMIFS($K:$K, $D:$D, "HomeLoan_BT_less_than_2_Percent", $B:$B, B60)+SUMIFS($K:$K, $D:$D, "HomeLoan_Non_BT", $B:$B, B60)+SUMIFS($K:$K, $D:$D, "Mortgage_Power_Term", $B:$B, B60), Secured_Commission!$A:$F, 2, 1)*(K60/10^6),
D60="HomeLoan_BT_more_than_2_Percent", VLOOKUP(SUMIFS($K:$K, $D:$D, "HomeLoan_BT_more_than_2_Percent", $B:$B, B60)+SUMIFS($K:$K, $D:$D, "HomeLoan_BT_less_than_2_Percent", $B:$B, B60)+SUMIFS($K:$K, $D:$D, "HomeLoan_Non_BT", $B:$B, B60)+SUMIFS($K:$K, $D:$D, "Mortgage_Power_Term", $B:$B, B60), Secured_Commission!$A:$F, 3, 1)*(K60/10^6),
D60="HomeLoan_Non_BT", VLOOKUP(SUMIFS($K:$K, $D:$D, "HomeLoan_BT_more_than_2_Percent", $B:$B, B60)+SUMIFS($K:$K, $D:$D, "HomeLoan_BT_less_than_2_Percent", $B:$B, B60)+SUMIFS($K:$K, $D:$D, "HomeLoan_Non_BT", $B:$B, B60)+SUMIFS($K:$K, $D:$D, "Mortgage_Power_Term", $B:$B, B60), Secured_Commission!$A:$F, 4, 1)*(K60/10^6),
D60="Mortgage_Power_Term", VLOOKUP(SUMIFS($K:$K, $D:$D, "HomeLoan_BT_more_than_2_Percent", $B:$B, B60)+SUMIFS($K:$K, $D:$D, "HomeLoan_BT_less_than_2_Percent", $B:$B, B60)+SUMIFS($K:$K, $D:$D, "HomeLoan_Non_BT", $B:$B, B60)+SUMIFS($K:$K, $D:$D, "Mortgage_Power_Term", $B:$B, B60), Secured_Commission!$A:$F, 5, 1)*(K60/10^6),
D60="Personal_Cash", VLOOKUP(SUMIFS($K:$K, $D:$D, "Personal_Cash", $B:$B, B60), Unsecured_Commission!$A:$B, 2, 1)*K60,
OR(D60="MRTA_3_Percent", D60="SOMPO"), K60*0.03,
D60="MRTA_6_Percent", K60*0.06), 0)</f>
        <v>0</v>
      </c>
    </row>
    <row r="61" spans="1:12">
      <c r="A61" s="19">
        <v>56</v>
      </c>
      <c r="B61" s="46"/>
      <c r="C61" s="46"/>
      <c r="D61" s="46"/>
      <c r="E61" s="46"/>
      <c r="G61" s="58" t="str" cm="1">
        <f t="array" ref="G61">_xlfn.IFS(
AND($C61="Secured", OR($D61="HomeLoan_BT_more_than_2_Percent", $D61="HomeLoan_BT_less_than_2_Percent"), $E61=""), "",
AND($C61="Secured",$E61=""),"others",
AND($C61="Secured",$E61=3),"others",
AND($C61="Secured",$E61=5),"BT_with_5_year_lock_in_period",
TRUE, "")</f>
        <v/>
      </c>
      <c r="H61" s="46"/>
      <c r="I61" s="59" t="str" cm="1">
        <f t="array" ref="I61">_xlfn.IFS(
AND($C61="Secured", OR($D61="HomeLoan_BT_more_than_2_Percent", $D61="HomeLoan_BT_less_than_2_Percent"), OR($E61="", $E61=0)), "Please input Year !!!",
AND($C61="Secured", OR($F61="", $F61=0)), "Please input Amount !!!",
AND($C61="Secured", $F61&lt;5000000), 1,
AND($C61="Secured", $F61&gt;=5000000), 1.1,
TRUE, "")</f>
        <v/>
      </c>
      <c r="J61" s="59" t="str" cm="1">
        <f t="array" ref="J61">IFERROR(_xlfn.IFS(
$G61="BT_with_5_year_lock_in_period", _xlfn.XLOOKUP($H61, Deviate_Table[Pricing discount], Deviate_Table[BT_with_5_year_lock_in_period]),
$G61="others", _xlfn.XLOOKUP($H61, Deviate_Table[Pricing discount], Deviate_Table[others]),
TRUE, ""), "Please input Deviate Range !!!")</f>
        <v/>
      </c>
      <c r="K61" s="49">
        <f t="shared" si="0"/>
        <v>0</v>
      </c>
      <c r="L61" s="65" cm="1">
        <f t="array" aca="1" ref="L61" ca="1">IFERROR(
_xlfn.IFS(
D61="HomeLoan_BT_less_than_2_Percent", VLOOKUP(SUMIFS($K:$K, $D:$D, "HomeLoan_BT_more_than_2_Percent", $B:$B, B61)+SUMIFS($K:$K, $D:$D, "HomeLoan_BT_less_than_2_Percent", $B:$B, B61)+SUMIFS($K:$K, $D:$D, "HomeLoan_Non_BT", $B:$B, B61)+SUMIFS($K:$K, $D:$D, "Mortgage_Power_Term", $B:$B, B61), Secured_Commission!$A:$F, 2, 1)*(K61/10^6),
D61="HomeLoan_BT_more_than_2_Percent", VLOOKUP(SUMIFS($K:$K, $D:$D, "HomeLoan_BT_more_than_2_Percent", $B:$B, B61)+SUMIFS($K:$K, $D:$D, "HomeLoan_BT_less_than_2_Percent", $B:$B, B61)+SUMIFS($K:$K, $D:$D, "HomeLoan_Non_BT", $B:$B, B61)+SUMIFS($K:$K, $D:$D, "Mortgage_Power_Term", $B:$B, B61), Secured_Commission!$A:$F, 3, 1)*(K61/10^6),
D61="HomeLoan_Non_BT", VLOOKUP(SUMIFS($K:$K, $D:$D, "HomeLoan_BT_more_than_2_Percent", $B:$B, B61)+SUMIFS($K:$K, $D:$D, "HomeLoan_BT_less_than_2_Percent", $B:$B, B61)+SUMIFS($K:$K, $D:$D, "HomeLoan_Non_BT", $B:$B, B61)+SUMIFS($K:$K, $D:$D, "Mortgage_Power_Term", $B:$B, B61), Secured_Commission!$A:$F, 4, 1)*(K61/10^6),
D61="Mortgage_Power_Term", VLOOKUP(SUMIFS($K:$K, $D:$D, "HomeLoan_BT_more_than_2_Percent", $B:$B, B61)+SUMIFS($K:$K, $D:$D, "HomeLoan_BT_less_than_2_Percent", $B:$B, B61)+SUMIFS($K:$K, $D:$D, "HomeLoan_Non_BT", $B:$B, B61)+SUMIFS($K:$K, $D:$D, "Mortgage_Power_Term", $B:$B, B61), Secured_Commission!$A:$F, 5, 1)*(K61/10^6),
D61="Personal_Cash", VLOOKUP(SUMIFS($K:$K, $D:$D, "Personal_Cash", $B:$B, B61), Unsecured_Commission!$A:$B, 2, 1)*K61,
OR(D61="MRTA_3_Percent", D61="SOMPO"), K61*0.03,
D61="MRTA_6_Percent", K61*0.06), 0)</f>
        <v>0</v>
      </c>
    </row>
    <row r="62" spans="1:12">
      <c r="A62" s="19">
        <v>57</v>
      </c>
      <c r="B62" s="46"/>
      <c r="C62" s="46"/>
      <c r="D62" s="46"/>
      <c r="E62" s="46"/>
      <c r="G62" s="58" t="str" cm="1">
        <f t="array" ref="G62">_xlfn.IFS(
AND($C62="Secured", OR($D62="HomeLoan_BT_more_than_2_Percent", $D62="HomeLoan_BT_less_than_2_Percent"), $E62=""), "",
AND($C62="Secured",$E62=""),"others",
AND($C62="Secured",$E62=3),"others",
AND($C62="Secured",$E62=5),"BT_with_5_year_lock_in_period",
TRUE, "")</f>
        <v/>
      </c>
      <c r="H62" s="46"/>
      <c r="I62" s="59" t="str" cm="1">
        <f t="array" ref="I62">_xlfn.IFS(
AND($C62="Secured", OR($D62="HomeLoan_BT_more_than_2_Percent", $D62="HomeLoan_BT_less_than_2_Percent"), OR($E62="", $E62=0)), "Please input Year !!!",
AND($C62="Secured", OR($F62="", $F62=0)), "Please input Amount !!!",
AND($C62="Secured", $F62&lt;5000000), 1,
AND($C62="Secured", $F62&gt;=5000000), 1.1,
TRUE, "")</f>
        <v/>
      </c>
      <c r="J62" s="59" t="str" cm="1">
        <f t="array" ref="J62">IFERROR(_xlfn.IFS(
$G62="BT_with_5_year_lock_in_period", _xlfn.XLOOKUP($H62, Deviate_Table[Pricing discount], Deviate_Table[BT_with_5_year_lock_in_period]),
$G62="others", _xlfn.XLOOKUP($H62, Deviate_Table[Pricing discount], Deviate_Table[others]),
TRUE, ""), "Please input Deviate Range !!!")</f>
        <v/>
      </c>
      <c r="K62" s="49">
        <f t="shared" si="0"/>
        <v>0</v>
      </c>
      <c r="L62" s="65" cm="1">
        <f t="array" aca="1" ref="L62" ca="1">IFERROR(
_xlfn.IFS(
D62="HomeLoan_BT_less_than_2_Percent", VLOOKUP(SUMIFS($K:$K, $D:$D, "HomeLoan_BT_more_than_2_Percent", $B:$B, B62)+SUMIFS($K:$K, $D:$D, "HomeLoan_BT_less_than_2_Percent", $B:$B, B62)+SUMIFS($K:$K, $D:$D, "HomeLoan_Non_BT", $B:$B, B62)+SUMIFS($K:$K, $D:$D, "Mortgage_Power_Term", $B:$B, B62), Secured_Commission!$A:$F, 2, 1)*(K62/10^6),
D62="HomeLoan_BT_more_than_2_Percent", VLOOKUP(SUMIFS($K:$K, $D:$D, "HomeLoan_BT_more_than_2_Percent", $B:$B, B62)+SUMIFS($K:$K, $D:$D, "HomeLoan_BT_less_than_2_Percent", $B:$B, B62)+SUMIFS($K:$K, $D:$D, "HomeLoan_Non_BT", $B:$B, B62)+SUMIFS($K:$K, $D:$D, "Mortgage_Power_Term", $B:$B, B62), Secured_Commission!$A:$F, 3, 1)*(K62/10^6),
D62="HomeLoan_Non_BT", VLOOKUP(SUMIFS($K:$K, $D:$D, "HomeLoan_BT_more_than_2_Percent", $B:$B, B62)+SUMIFS($K:$K, $D:$D, "HomeLoan_BT_less_than_2_Percent", $B:$B, B62)+SUMIFS($K:$K, $D:$D, "HomeLoan_Non_BT", $B:$B, B62)+SUMIFS($K:$K, $D:$D, "Mortgage_Power_Term", $B:$B, B62), Secured_Commission!$A:$F, 4, 1)*(K62/10^6),
D62="Mortgage_Power_Term", VLOOKUP(SUMIFS($K:$K, $D:$D, "HomeLoan_BT_more_than_2_Percent", $B:$B, B62)+SUMIFS($K:$K, $D:$D, "HomeLoan_BT_less_than_2_Percent", $B:$B, B62)+SUMIFS($K:$K, $D:$D, "HomeLoan_Non_BT", $B:$B, B62)+SUMIFS($K:$K, $D:$D, "Mortgage_Power_Term", $B:$B, B62), Secured_Commission!$A:$F, 5, 1)*(K62/10^6),
D62="Personal_Cash", VLOOKUP(SUMIFS($K:$K, $D:$D, "Personal_Cash", $B:$B, B62), Unsecured_Commission!$A:$B, 2, 1)*K62,
OR(D62="MRTA_3_Percent", D62="SOMPO"), K62*0.03,
D62="MRTA_6_Percent", K62*0.06), 0)</f>
        <v>0</v>
      </c>
    </row>
    <row r="63" spans="1:12">
      <c r="A63" s="19">
        <v>58</v>
      </c>
      <c r="B63" s="46"/>
      <c r="C63" s="46"/>
      <c r="D63" s="46"/>
      <c r="E63" s="46"/>
      <c r="G63" s="58" t="str" cm="1">
        <f t="array" ref="G63">_xlfn.IFS(
AND($C63="Secured", OR($D63="HomeLoan_BT_more_than_2_Percent", $D63="HomeLoan_BT_less_than_2_Percent"), $E63=""), "",
AND($C63="Secured",$E63=""),"others",
AND($C63="Secured",$E63=3),"others",
AND($C63="Secured",$E63=5),"BT_with_5_year_lock_in_period",
TRUE, "")</f>
        <v/>
      </c>
      <c r="H63" s="46"/>
      <c r="I63" s="59" t="str" cm="1">
        <f t="array" ref="I63">_xlfn.IFS(
AND($C63="Secured", OR($D63="HomeLoan_BT_more_than_2_Percent", $D63="HomeLoan_BT_less_than_2_Percent"), OR($E63="", $E63=0)), "Please input Year !!!",
AND($C63="Secured", OR($F63="", $F63=0)), "Please input Amount !!!",
AND($C63="Secured", $F63&lt;5000000), 1,
AND($C63="Secured", $F63&gt;=5000000), 1.1,
TRUE, "")</f>
        <v/>
      </c>
      <c r="J63" s="59" t="str" cm="1">
        <f t="array" ref="J63">IFERROR(_xlfn.IFS(
$G63="BT_with_5_year_lock_in_period", _xlfn.XLOOKUP($H63, Deviate_Table[Pricing discount], Deviate_Table[BT_with_5_year_lock_in_period]),
$G63="others", _xlfn.XLOOKUP($H63, Deviate_Table[Pricing discount], Deviate_Table[others]),
TRUE, ""), "Please input Deviate Range !!!")</f>
        <v/>
      </c>
      <c r="K63" s="49">
        <f t="shared" si="0"/>
        <v>0</v>
      </c>
      <c r="L63" s="65" cm="1">
        <f t="array" aca="1" ref="L63" ca="1">IFERROR(
_xlfn.IFS(
D63="HomeLoan_BT_less_than_2_Percent", VLOOKUP(SUMIFS($K:$K, $D:$D, "HomeLoan_BT_more_than_2_Percent", $B:$B, B63)+SUMIFS($K:$K, $D:$D, "HomeLoan_BT_less_than_2_Percent", $B:$B, B63)+SUMIFS($K:$K, $D:$D, "HomeLoan_Non_BT", $B:$B, B63)+SUMIFS($K:$K, $D:$D, "Mortgage_Power_Term", $B:$B, B63), Secured_Commission!$A:$F, 2, 1)*(K63/10^6),
D63="HomeLoan_BT_more_than_2_Percent", VLOOKUP(SUMIFS($K:$K, $D:$D, "HomeLoan_BT_more_than_2_Percent", $B:$B, B63)+SUMIFS($K:$K, $D:$D, "HomeLoan_BT_less_than_2_Percent", $B:$B, B63)+SUMIFS($K:$K, $D:$D, "HomeLoan_Non_BT", $B:$B, B63)+SUMIFS($K:$K, $D:$D, "Mortgage_Power_Term", $B:$B, B63), Secured_Commission!$A:$F, 3, 1)*(K63/10^6),
D63="HomeLoan_Non_BT", VLOOKUP(SUMIFS($K:$K, $D:$D, "HomeLoan_BT_more_than_2_Percent", $B:$B, B63)+SUMIFS($K:$K, $D:$D, "HomeLoan_BT_less_than_2_Percent", $B:$B, B63)+SUMIFS($K:$K, $D:$D, "HomeLoan_Non_BT", $B:$B, B63)+SUMIFS($K:$K, $D:$D, "Mortgage_Power_Term", $B:$B, B63), Secured_Commission!$A:$F, 4, 1)*(K63/10^6),
D63="Mortgage_Power_Term", VLOOKUP(SUMIFS($K:$K, $D:$D, "HomeLoan_BT_more_than_2_Percent", $B:$B, B63)+SUMIFS($K:$K, $D:$D, "HomeLoan_BT_less_than_2_Percent", $B:$B, B63)+SUMIFS($K:$K, $D:$D, "HomeLoan_Non_BT", $B:$B, B63)+SUMIFS($K:$K, $D:$D, "Mortgage_Power_Term", $B:$B, B63), Secured_Commission!$A:$F, 5, 1)*(K63/10^6),
D63="Personal_Cash", VLOOKUP(SUMIFS($K:$K, $D:$D, "Personal_Cash", $B:$B, B63), Unsecured_Commission!$A:$B, 2, 1)*K63,
OR(D63="MRTA_3_Percent", D63="SOMPO"), K63*0.03,
D63="MRTA_6_Percent", K63*0.06), 0)</f>
        <v>0</v>
      </c>
    </row>
    <row r="64" spans="1:12">
      <c r="A64" s="19">
        <v>59</v>
      </c>
      <c r="B64" s="46"/>
      <c r="C64" s="46"/>
      <c r="D64" s="46"/>
      <c r="E64" s="46"/>
      <c r="G64" s="58" t="str" cm="1">
        <f t="array" ref="G64">_xlfn.IFS(
AND($C64="Secured", OR($D64="HomeLoan_BT_more_than_2_Percent", $D64="HomeLoan_BT_less_than_2_Percent"), $E64=""), "",
AND($C64="Secured",$E64=""),"others",
AND($C64="Secured",$E64=3),"others",
AND($C64="Secured",$E64=5),"BT_with_5_year_lock_in_period",
TRUE, "")</f>
        <v/>
      </c>
      <c r="H64" s="46"/>
      <c r="I64" s="59" t="str" cm="1">
        <f t="array" ref="I64">_xlfn.IFS(
AND($C64="Secured", OR($D64="HomeLoan_BT_more_than_2_Percent", $D64="HomeLoan_BT_less_than_2_Percent"), OR($E64="", $E64=0)), "Please input Year !!!",
AND($C64="Secured", OR($F64="", $F64=0)), "Please input Amount !!!",
AND($C64="Secured", $F64&lt;5000000), 1,
AND($C64="Secured", $F64&gt;=5000000), 1.1,
TRUE, "")</f>
        <v/>
      </c>
      <c r="J64" s="59" t="str" cm="1">
        <f t="array" ref="J64">IFERROR(_xlfn.IFS(
$G64="BT_with_5_year_lock_in_period", _xlfn.XLOOKUP($H64, Deviate_Table[Pricing discount], Deviate_Table[BT_with_5_year_lock_in_period]),
$G64="others", _xlfn.XLOOKUP($H64, Deviate_Table[Pricing discount], Deviate_Table[others]),
TRUE, ""), "Please input Deviate Range !!!")</f>
        <v/>
      </c>
      <c r="K64" s="49">
        <f t="shared" si="0"/>
        <v>0</v>
      </c>
      <c r="L64" s="65" cm="1">
        <f t="array" aca="1" ref="L64" ca="1">IFERROR(
_xlfn.IFS(
D64="HomeLoan_BT_less_than_2_Percent", VLOOKUP(SUMIFS($K:$K, $D:$D, "HomeLoan_BT_more_than_2_Percent", $B:$B, B64)+SUMIFS($K:$K, $D:$D, "HomeLoan_BT_less_than_2_Percent", $B:$B, B64)+SUMIFS($K:$K, $D:$D, "HomeLoan_Non_BT", $B:$B, B64)+SUMIFS($K:$K, $D:$D, "Mortgage_Power_Term", $B:$B, B64), Secured_Commission!$A:$F, 2, 1)*(K64/10^6),
D64="HomeLoan_BT_more_than_2_Percent", VLOOKUP(SUMIFS($K:$K, $D:$D, "HomeLoan_BT_more_than_2_Percent", $B:$B, B64)+SUMIFS($K:$K, $D:$D, "HomeLoan_BT_less_than_2_Percent", $B:$B, B64)+SUMIFS($K:$K, $D:$D, "HomeLoan_Non_BT", $B:$B, B64)+SUMIFS($K:$K, $D:$D, "Mortgage_Power_Term", $B:$B, B64), Secured_Commission!$A:$F, 3, 1)*(K64/10^6),
D64="HomeLoan_Non_BT", VLOOKUP(SUMIFS($K:$K, $D:$D, "HomeLoan_BT_more_than_2_Percent", $B:$B, B64)+SUMIFS($K:$K, $D:$D, "HomeLoan_BT_less_than_2_Percent", $B:$B, B64)+SUMIFS($K:$K, $D:$D, "HomeLoan_Non_BT", $B:$B, B64)+SUMIFS($K:$K, $D:$D, "Mortgage_Power_Term", $B:$B, B64), Secured_Commission!$A:$F, 4, 1)*(K64/10^6),
D64="Mortgage_Power_Term", VLOOKUP(SUMIFS($K:$K, $D:$D, "HomeLoan_BT_more_than_2_Percent", $B:$B, B64)+SUMIFS($K:$K, $D:$D, "HomeLoan_BT_less_than_2_Percent", $B:$B, B64)+SUMIFS($K:$K, $D:$D, "HomeLoan_Non_BT", $B:$B, B64)+SUMIFS($K:$K, $D:$D, "Mortgage_Power_Term", $B:$B, B64), Secured_Commission!$A:$F, 5, 1)*(K64/10^6),
D64="Personal_Cash", VLOOKUP(SUMIFS($K:$K, $D:$D, "Personal_Cash", $B:$B, B64), Unsecured_Commission!$A:$B, 2, 1)*K64,
OR(D64="MRTA_3_Percent", D64="SOMPO"), K64*0.03,
D64="MRTA_6_Percent", K64*0.06), 0)</f>
        <v>0</v>
      </c>
    </row>
    <row r="65" spans="1:12">
      <c r="A65" s="19">
        <v>60</v>
      </c>
      <c r="B65" s="46"/>
      <c r="C65" s="46"/>
      <c r="D65" s="46"/>
      <c r="E65" s="46"/>
      <c r="G65" s="58" t="str" cm="1">
        <f t="array" ref="G65">_xlfn.IFS(
AND($C65="Secured", OR($D65="HomeLoan_BT_more_than_2_Percent", $D65="HomeLoan_BT_less_than_2_Percent"), $E65=""), "",
AND($C65="Secured",$E65=""),"others",
AND($C65="Secured",$E65=3),"others",
AND($C65="Secured",$E65=5),"BT_with_5_year_lock_in_period",
TRUE, "")</f>
        <v/>
      </c>
      <c r="H65" s="46"/>
      <c r="I65" s="59" t="str" cm="1">
        <f t="array" ref="I65">_xlfn.IFS(
AND($C65="Secured", OR($D65="HomeLoan_BT_more_than_2_Percent", $D65="HomeLoan_BT_less_than_2_Percent"), OR($E65="", $E65=0)), "Please input Year !!!",
AND($C65="Secured", OR($F65="", $F65=0)), "Please input Amount !!!",
AND($C65="Secured", $F65&lt;5000000), 1,
AND($C65="Secured", $F65&gt;=5000000), 1.1,
TRUE, "")</f>
        <v/>
      </c>
      <c r="J65" s="59" t="str" cm="1">
        <f t="array" ref="J65">IFERROR(_xlfn.IFS(
$G65="BT_with_5_year_lock_in_period", _xlfn.XLOOKUP($H65, Deviate_Table[Pricing discount], Deviate_Table[BT_with_5_year_lock_in_period]),
$G65="others", _xlfn.XLOOKUP($H65, Deviate_Table[Pricing discount], Deviate_Table[others]),
TRUE, ""), "Please input Deviate Range !!!")</f>
        <v/>
      </c>
      <c r="K65" s="49">
        <f t="shared" si="0"/>
        <v>0</v>
      </c>
      <c r="L65" s="65" cm="1">
        <f t="array" aca="1" ref="L65" ca="1">IFERROR(
_xlfn.IFS(
D65="HomeLoan_BT_less_than_2_Percent", VLOOKUP(SUMIFS($K:$K, $D:$D, "HomeLoan_BT_more_than_2_Percent", $B:$B, B65)+SUMIFS($K:$K, $D:$D, "HomeLoan_BT_less_than_2_Percent", $B:$B, B65)+SUMIFS($K:$K, $D:$D, "HomeLoan_Non_BT", $B:$B, B65)+SUMIFS($K:$K, $D:$D, "Mortgage_Power_Term", $B:$B, B65), Secured_Commission!$A:$F, 2, 1)*(K65/10^6),
D65="HomeLoan_BT_more_than_2_Percent", VLOOKUP(SUMIFS($K:$K, $D:$D, "HomeLoan_BT_more_than_2_Percent", $B:$B, B65)+SUMIFS($K:$K, $D:$D, "HomeLoan_BT_less_than_2_Percent", $B:$B, B65)+SUMIFS($K:$K, $D:$D, "HomeLoan_Non_BT", $B:$B, B65)+SUMIFS($K:$K, $D:$D, "Mortgage_Power_Term", $B:$B, B65), Secured_Commission!$A:$F, 3, 1)*(K65/10^6),
D65="HomeLoan_Non_BT", VLOOKUP(SUMIFS($K:$K, $D:$D, "HomeLoan_BT_more_than_2_Percent", $B:$B, B65)+SUMIFS($K:$K, $D:$D, "HomeLoan_BT_less_than_2_Percent", $B:$B, B65)+SUMIFS($K:$K, $D:$D, "HomeLoan_Non_BT", $B:$B, B65)+SUMIFS($K:$K, $D:$D, "Mortgage_Power_Term", $B:$B, B65), Secured_Commission!$A:$F, 4, 1)*(K65/10^6),
D65="Mortgage_Power_Term", VLOOKUP(SUMIFS($K:$K, $D:$D, "HomeLoan_BT_more_than_2_Percent", $B:$B, B65)+SUMIFS($K:$K, $D:$D, "HomeLoan_BT_less_than_2_Percent", $B:$B, B65)+SUMIFS($K:$K, $D:$D, "HomeLoan_Non_BT", $B:$B, B65)+SUMIFS($K:$K, $D:$D, "Mortgage_Power_Term", $B:$B, B65), Secured_Commission!$A:$F, 5, 1)*(K65/10^6),
D65="Personal_Cash", VLOOKUP(SUMIFS($K:$K, $D:$D, "Personal_Cash", $B:$B, B65), Unsecured_Commission!$A:$B, 2, 1)*K65,
OR(D65="MRTA_3_Percent", D65="SOMPO"), K65*0.03,
D65="MRTA_6_Percent", K65*0.06), 0)</f>
        <v>0</v>
      </c>
    </row>
    <row r="66" spans="1:12">
      <c r="A66" s="19">
        <v>61</v>
      </c>
      <c r="B66" s="46"/>
      <c r="C66" s="46"/>
      <c r="D66" s="46"/>
      <c r="E66" s="46"/>
      <c r="G66" s="58" t="str" cm="1">
        <f t="array" ref="G66">_xlfn.IFS(
AND($C66="Secured", OR($D66="HomeLoan_BT_more_than_2_Percent", $D66="HomeLoan_BT_less_than_2_Percent"), $E66=""), "",
AND($C66="Secured",$E66=""),"others",
AND($C66="Secured",$E66=3),"others",
AND($C66="Secured",$E66=5),"BT_with_5_year_lock_in_period",
TRUE, "")</f>
        <v/>
      </c>
      <c r="H66" s="46"/>
      <c r="I66" s="59" t="str" cm="1">
        <f t="array" ref="I66">_xlfn.IFS(
AND($C66="Secured", OR($D66="HomeLoan_BT_more_than_2_Percent", $D66="HomeLoan_BT_less_than_2_Percent"), OR($E66="", $E66=0)), "Please input Year !!!",
AND($C66="Secured", OR($F66="", $F66=0)), "Please input Amount !!!",
AND($C66="Secured", $F66&lt;5000000), 1,
AND($C66="Secured", $F66&gt;=5000000), 1.1,
TRUE, "")</f>
        <v/>
      </c>
      <c r="J66" s="59" t="str" cm="1">
        <f t="array" ref="J66">IFERROR(_xlfn.IFS(
$G66="BT_with_5_year_lock_in_period", _xlfn.XLOOKUP($H66, Deviate_Table[Pricing discount], Deviate_Table[BT_with_5_year_lock_in_period]),
$G66="others", _xlfn.XLOOKUP($H66, Deviate_Table[Pricing discount], Deviate_Table[others]),
TRUE, ""), "Please input Deviate Range !!!")</f>
        <v/>
      </c>
      <c r="K66" s="49">
        <f t="shared" si="0"/>
        <v>0</v>
      </c>
      <c r="L66" s="65" cm="1">
        <f t="array" aca="1" ref="L66" ca="1">IFERROR(
_xlfn.IFS(
D66="HomeLoan_BT_less_than_2_Percent", VLOOKUP(SUMIFS($K:$K, $D:$D, "HomeLoan_BT_more_than_2_Percent", $B:$B, B66)+SUMIFS($K:$K, $D:$D, "HomeLoan_BT_less_than_2_Percent", $B:$B, B66)+SUMIFS($K:$K, $D:$D, "HomeLoan_Non_BT", $B:$B, B66)+SUMIFS($K:$K, $D:$D, "Mortgage_Power_Term", $B:$B, B66), Secured_Commission!$A:$F, 2, 1)*(K66/10^6),
D66="HomeLoan_BT_more_than_2_Percent", VLOOKUP(SUMIFS($K:$K, $D:$D, "HomeLoan_BT_more_than_2_Percent", $B:$B, B66)+SUMIFS($K:$K, $D:$D, "HomeLoan_BT_less_than_2_Percent", $B:$B, B66)+SUMIFS($K:$K, $D:$D, "HomeLoan_Non_BT", $B:$B, B66)+SUMIFS($K:$K, $D:$D, "Mortgage_Power_Term", $B:$B, B66), Secured_Commission!$A:$F, 3, 1)*(K66/10^6),
D66="HomeLoan_Non_BT", VLOOKUP(SUMIFS($K:$K, $D:$D, "HomeLoan_BT_more_than_2_Percent", $B:$B, B66)+SUMIFS($K:$K, $D:$D, "HomeLoan_BT_less_than_2_Percent", $B:$B, B66)+SUMIFS($K:$K, $D:$D, "HomeLoan_Non_BT", $B:$B, B66)+SUMIFS($K:$K, $D:$D, "Mortgage_Power_Term", $B:$B, B66), Secured_Commission!$A:$F, 4, 1)*(K66/10^6),
D66="Mortgage_Power_Term", VLOOKUP(SUMIFS($K:$K, $D:$D, "HomeLoan_BT_more_than_2_Percent", $B:$B, B66)+SUMIFS($K:$K, $D:$D, "HomeLoan_BT_less_than_2_Percent", $B:$B, B66)+SUMIFS($K:$K, $D:$D, "HomeLoan_Non_BT", $B:$B, B66)+SUMIFS($K:$K, $D:$D, "Mortgage_Power_Term", $B:$B, B66), Secured_Commission!$A:$F, 5, 1)*(K66/10^6),
D66="Personal_Cash", VLOOKUP(SUMIFS($K:$K, $D:$D, "Personal_Cash", $B:$B, B66), Unsecured_Commission!$A:$B, 2, 1)*K66,
OR(D66="MRTA_3_Percent", D66="SOMPO"), K66*0.03,
D66="MRTA_6_Percent", K66*0.06), 0)</f>
        <v>0</v>
      </c>
    </row>
    <row r="67" spans="1:12">
      <c r="A67" s="19">
        <v>62</v>
      </c>
      <c r="B67" s="46"/>
      <c r="C67" s="46"/>
      <c r="D67" s="46"/>
      <c r="E67" s="46"/>
      <c r="G67" s="58" t="str" cm="1">
        <f t="array" ref="G67">_xlfn.IFS(
AND($C67="Secured", OR($D67="HomeLoan_BT_more_than_2_Percent", $D67="HomeLoan_BT_less_than_2_Percent"), $E67=""), "",
AND($C67="Secured",$E67=""),"others",
AND($C67="Secured",$E67=3),"others",
AND($C67="Secured",$E67=5),"BT_with_5_year_lock_in_period",
TRUE, "")</f>
        <v/>
      </c>
      <c r="H67" s="46"/>
      <c r="I67" s="59" t="str" cm="1">
        <f t="array" ref="I67">_xlfn.IFS(
AND($C67="Secured", OR($D67="HomeLoan_BT_more_than_2_Percent", $D67="HomeLoan_BT_less_than_2_Percent"), OR($E67="", $E67=0)), "Please input Year !!!",
AND($C67="Secured", OR($F67="", $F67=0)), "Please input Amount !!!",
AND($C67="Secured", $F67&lt;5000000), 1,
AND($C67="Secured", $F67&gt;=5000000), 1.1,
TRUE, "")</f>
        <v/>
      </c>
      <c r="J67" s="59" t="str" cm="1">
        <f t="array" ref="J67">IFERROR(_xlfn.IFS(
$G67="BT_with_5_year_lock_in_period", _xlfn.XLOOKUP($H67, Deviate_Table[Pricing discount], Deviate_Table[BT_with_5_year_lock_in_period]),
$G67="others", _xlfn.XLOOKUP($H67, Deviate_Table[Pricing discount], Deviate_Table[others]),
TRUE, ""), "Please input Deviate Range !!!")</f>
        <v/>
      </c>
      <c r="K67" s="49">
        <f t="shared" si="0"/>
        <v>0</v>
      </c>
      <c r="L67" s="65" cm="1">
        <f t="array" aca="1" ref="L67" ca="1">IFERROR(
_xlfn.IFS(
D67="HomeLoan_BT_less_than_2_Percent", VLOOKUP(SUMIFS($K:$K, $D:$D, "HomeLoan_BT_more_than_2_Percent", $B:$B, B67)+SUMIFS($K:$K, $D:$D, "HomeLoan_BT_less_than_2_Percent", $B:$B, B67)+SUMIFS($K:$K, $D:$D, "HomeLoan_Non_BT", $B:$B, B67)+SUMIFS($K:$K, $D:$D, "Mortgage_Power_Term", $B:$B, B67), Secured_Commission!$A:$F, 2, 1)*(K67/10^6),
D67="HomeLoan_BT_more_than_2_Percent", VLOOKUP(SUMIFS($K:$K, $D:$D, "HomeLoan_BT_more_than_2_Percent", $B:$B, B67)+SUMIFS($K:$K, $D:$D, "HomeLoan_BT_less_than_2_Percent", $B:$B, B67)+SUMIFS($K:$K, $D:$D, "HomeLoan_Non_BT", $B:$B, B67)+SUMIFS($K:$K, $D:$D, "Mortgage_Power_Term", $B:$B, B67), Secured_Commission!$A:$F, 3, 1)*(K67/10^6),
D67="HomeLoan_Non_BT", VLOOKUP(SUMIFS($K:$K, $D:$D, "HomeLoan_BT_more_than_2_Percent", $B:$B, B67)+SUMIFS($K:$K, $D:$D, "HomeLoan_BT_less_than_2_Percent", $B:$B, B67)+SUMIFS($K:$K, $D:$D, "HomeLoan_Non_BT", $B:$B, B67)+SUMIFS($K:$K, $D:$D, "Mortgage_Power_Term", $B:$B, B67), Secured_Commission!$A:$F, 4, 1)*(K67/10^6),
D67="Mortgage_Power_Term", VLOOKUP(SUMIFS($K:$K, $D:$D, "HomeLoan_BT_more_than_2_Percent", $B:$B, B67)+SUMIFS($K:$K, $D:$D, "HomeLoan_BT_less_than_2_Percent", $B:$B, B67)+SUMIFS($K:$K, $D:$D, "HomeLoan_Non_BT", $B:$B, B67)+SUMIFS($K:$K, $D:$D, "Mortgage_Power_Term", $B:$B, B67), Secured_Commission!$A:$F, 5, 1)*(K67/10^6),
D67="Personal_Cash", VLOOKUP(SUMIFS($K:$K, $D:$D, "Personal_Cash", $B:$B, B67), Unsecured_Commission!$A:$B, 2, 1)*K67,
OR(D67="MRTA_3_Percent", D67="SOMPO"), K67*0.03,
D67="MRTA_6_Percent", K67*0.06), 0)</f>
        <v>0</v>
      </c>
    </row>
    <row r="68" spans="1:12">
      <c r="A68" s="19">
        <v>63</v>
      </c>
      <c r="B68" s="46"/>
      <c r="C68" s="46"/>
      <c r="D68" s="46"/>
      <c r="E68" s="46"/>
      <c r="G68" s="58" t="str" cm="1">
        <f t="array" ref="G68">_xlfn.IFS(
AND($C68="Secured", OR($D68="HomeLoan_BT_more_than_2_Percent", $D68="HomeLoan_BT_less_than_2_Percent"), $E68=""), "",
AND($C68="Secured",$E68=""),"others",
AND($C68="Secured",$E68=3),"others",
AND($C68="Secured",$E68=5),"BT_with_5_year_lock_in_period",
TRUE, "")</f>
        <v/>
      </c>
      <c r="H68" s="46"/>
      <c r="I68" s="59" t="str" cm="1">
        <f t="array" ref="I68">_xlfn.IFS(
AND($C68="Secured", OR($D68="HomeLoan_BT_more_than_2_Percent", $D68="HomeLoan_BT_less_than_2_Percent"), OR($E68="", $E68=0)), "Please input Year !!!",
AND($C68="Secured", OR($F68="", $F68=0)), "Please input Amount !!!",
AND($C68="Secured", $F68&lt;5000000), 1,
AND($C68="Secured", $F68&gt;=5000000), 1.1,
TRUE, "")</f>
        <v/>
      </c>
      <c r="J68" s="59" t="str" cm="1">
        <f t="array" ref="J68">IFERROR(_xlfn.IFS(
$G68="BT_with_5_year_lock_in_period", _xlfn.XLOOKUP($H68, Deviate_Table[Pricing discount], Deviate_Table[BT_with_5_year_lock_in_period]),
$G68="others", _xlfn.XLOOKUP($H68, Deviate_Table[Pricing discount], Deviate_Table[others]),
TRUE, ""), "Please input Deviate Range !!!")</f>
        <v/>
      </c>
      <c r="K68" s="49">
        <f t="shared" si="0"/>
        <v>0</v>
      </c>
      <c r="L68" s="65" cm="1">
        <f t="array" aca="1" ref="L68" ca="1">IFERROR(
_xlfn.IFS(
D68="HomeLoan_BT_less_than_2_Percent", VLOOKUP(SUMIFS($K:$K, $D:$D, "HomeLoan_BT_more_than_2_Percent", $B:$B, B68)+SUMIFS($K:$K, $D:$D, "HomeLoan_BT_less_than_2_Percent", $B:$B, B68)+SUMIFS($K:$K, $D:$D, "HomeLoan_Non_BT", $B:$B, B68)+SUMIFS($K:$K, $D:$D, "Mortgage_Power_Term", $B:$B, B68), Secured_Commission!$A:$F, 2, 1)*(K68/10^6),
D68="HomeLoan_BT_more_than_2_Percent", VLOOKUP(SUMIFS($K:$K, $D:$D, "HomeLoan_BT_more_than_2_Percent", $B:$B, B68)+SUMIFS($K:$K, $D:$D, "HomeLoan_BT_less_than_2_Percent", $B:$B, B68)+SUMIFS($K:$K, $D:$D, "HomeLoan_Non_BT", $B:$B, B68)+SUMIFS($K:$K, $D:$D, "Mortgage_Power_Term", $B:$B, B68), Secured_Commission!$A:$F, 3, 1)*(K68/10^6),
D68="HomeLoan_Non_BT", VLOOKUP(SUMIFS($K:$K, $D:$D, "HomeLoan_BT_more_than_2_Percent", $B:$B, B68)+SUMIFS($K:$K, $D:$D, "HomeLoan_BT_less_than_2_Percent", $B:$B, B68)+SUMIFS($K:$K, $D:$D, "HomeLoan_Non_BT", $B:$B, B68)+SUMIFS($K:$K, $D:$D, "Mortgage_Power_Term", $B:$B, B68), Secured_Commission!$A:$F, 4, 1)*(K68/10^6),
D68="Mortgage_Power_Term", VLOOKUP(SUMIFS($K:$K, $D:$D, "HomeLoan_BT_more_than_2_Percent", $B:$B, B68)+SUMIFS($K:$K, $D:$D, "HomeLoan_BT_less_than_2_Percent", $B:$B, B68)+SUMIFS($K:$K, $D:$D, "HomeLoan_Non_BT", $B:$B, B68)+SUMIFS($K:$K, $D:$D, "Mortgage_Power_Term", $B:$B, B68), Secured_Commission!$A:$F, 5, 1)*(K68/10^6),
D68="Personal_Cash", VLOOKUP(SUMIFS($K:$K, $D:$D, "Personal_Cash", $B:$B, B68), Unsecured_Commission!$A:$B, 2, 1)*K68,
OR(D68="MRTA_3_Percent", D68="SOMPO"), K68*0.03,
D68="MRTA_6_Percent", K68*0.06), 0)</f>
        <v>0</v>
      </c>
    </row>
    <row r="69" spans="1:12">
      <c r="A69" s="19">
        <v>64</v>
      </c>
      <c r="B69" s="46"/>
      <c r="C69" s="46"/>
      <c r="D69" s="46"/>
      <c r="E69" s="46"/>
      <c r="G69" s="58" t="str" cm="1">
        <f t="array" ref="G69">_xlfn.IFS(
AND($C69="Secured", OR($D69="HomeLoan_BT_more_than_2_Percent", $D69="HomeLoan_BT_less_than_2_Percent"), $E69=""), "",
AND($C69="Secured",$E69=""),"others",
AND($C69="Secured",$E69=3),"others",
AND($C69="Secured",$E69=5),"BT_with_5_year_lock_in_period",
TRUE, "")</f>
        <v/>
      </c>
      <c r="H69" s="46"/>
      <c r="I69" s="59" t="str" cm="1">
        <f t="array" ref="I69">_xlfn.IFS(
AND($C69="Secured", OR($D69="HomeLoan_BT_more_than_2_Percent", $D69="HomeLoan_BT_less_than_2_Percent"), OR($E69="", $E69=0)), "Please input Year !!!",
AND($C69="Secured", OR($F69="", $F69=0)), "Please input Amount !!!",
AND($C69="Secured", $F69&lt;5000000), 1,
AND($C69="Secured", $F69&gt;=5000000), 1.1,
TRUE, "")</f>
        <v/>
      </c>
      <c r="J69" s="59" t="str" cm="1">
        <f t="array" ref="J69">IFERROR(_xlfn.IFS(
$G69="BT_with_5_year_lock_in_period", _xlfn.XLOOKUP($H69, Deviate_Table[Pricing discount], Deviate_Table[BT_with_5_year_lock_in_period]),
$G69="others", _xlfn.XLOOKUP($H69, Deviate_Table[Pricing discount], Deviate_Table[others]),
TRUE, ""), "Please input Deviate Range !!!")</f>
        <v/>
      </c>
      <c r="K69" s="49">
        <f t="shared" si="0"/>
        <v>0</v>
      </c>
      <c r="L69" s="65" cm="1">
        <f t="array" aca="1" ref="L69" ca="1">IFERROR(
_xlfn.IFS(
D69="HomeLoan_BT_less_than_2_Percent", VLOOKUP(SUMIFS($K:$K, $D:$D, "HomeLoan_BT_more_than_2_Percent", $B:$B, B69)+SUMIFS($K:$K, $D:$D, "HomeLoan_BT_less_than_2_Percent", $B:$B, B69)+SUMIFS($K:$K, $D:$D, "HomeLoan_Non_BT", $B:$B, B69)+SUMIFS($K:$K, $D:$D, "Mortgage_Power_Term", $B:$B, B69), Secured_Commission!$A:$F, 2, 1)*(K69/10^6),
D69="HomeLoan_BT_more_than_2_Percent", VLOOKUP(SUMIFS($K:$K, $D:$D, "HomeLoan_BT_more_than_2_Percent", $B:$B, B69)+SUMIFS($K:$K, $D:$D, "HomeLoan_BT_less_than_2_Percent", $B:$B, B69)+SUMIFS($K:$K, $D:$D, "HomeLoan_Non_BT", $B:$B, B69)+SUMIFS($K:$K, $D:$D, "Mortgage_Power_Term", $B:$B, B69), Secured_Commission!$A:$F, 3, 1)*(K69/10^6),
D69="HomeLoan_Non_BT", VLOOKUP(SUMIFS($K:$K, $D:$D, "HomeLoan_BT_more_than_2_Percent", $B:$B, B69)+SUMIFS($K:$K, $D:$D, "HomeLoan_BT_less_than_2_Percent", $B:$B, B69)+SUMIFS($K:$K, $D:$D, "HomeLoan_Non_BT", $B:$B, B69)+SUMIFS($K:$K, $D:$D, "Mortgage_Power_Term", $B:$B, B69), Secured_Commission!$A:$F, 4, 1)*(K69/10^6),
D69="Mortgage_Power_Term", VLOOKUP(SUMIFS($K:$K, $D:$D, "HomeLoan_BT_more_than_2_Percent", $B:$B, B69)+SUMIFS($K:$K, $D:$D, "HomeLoan_BT_less_than_2_Percent", $B:$B, B69)+SUMIFS($K:$K, $D:$D, "HomeLoan_Non_BT", $B:$B, B69)+SUMIFS($K:$K, $D:$D, "Mortgage_Power_Term", $B:$B, B69), Secured_Commission!$A:$F, 5, 1)*(K69/10^6),
D69="Personal_Cash", VLOOKUP(SUMIFS($K:$K, $D:$D, "Personal_Cash", $B:$B, B69), Unsecured_Commission!$A:$B, 2, 1)*K69,
OR(D69="MRTA_3_Percent", D69="SOMPO"), K69*0.03,
D69="MRTA_6_Percent", K69*0.06), 0)</f>
        <v>0</v>
      </c>
    </row>
    <row r="70" spans="1:12">
      <c r="A70" s="19">
        <v>65</v>
      </c>
      <c r="B70" s="46"/>
      <c r="C70" s="46"/>
      <c r="D70" s="46"/>
      <c r="E70" s="46"/>
      <c r="G70" s="58" t="str" cm="1">
        <f t="array" ref="G70">_xlfn.IFS(
AND($C70="Secured", OR($D70="HomeLoan_BT_more_than_2_Percent", $D70="HomeLoan_BT_less_than_2_Percent"), $E70=""), "",
AND($C70="Secured",$E70=""),"others",
AND($C70="Secured",$E70=3),"others",
AND($C70="Secured",$E70=5),"BT_with_5_year_lock_in_period",
TRUE, "")</f>
        <v/>
      </c>
      <c r="H70" s="46"/>
      <c r="I70" s="59" t="str" cm="1">
        <f t="array" ref="I70">_xlfn.IFS(
AND($C70="Secured", OR($D70="HomeLoan_BT_more_than_2_Percent", $D70="HomeLoan_BT_less_than_2_Percent"), OR($E70="", $E70=0)), "Please input Year !!!",
AND($C70="Secured", OR($F70="", $F70=0)), "Please input Amount !!!",
AND($C70="Secured", $F70&lt;5000000), 1,
AND($C70="Secured", $F70&gt;=5000000), 1.1,
TRUE, "")</f>
        <v/>
      </c>
      <c r="J70" s="59" t="str" cm="1">
        <f t="array" ref="J70">IFERROR(_xlfn.IFS(
$G70="BT_with_5_year_lock_in_period", _xlfn.XLOOKUP($H70, Deviate_Table[Pricing discount], Deviate_Table[BT_with_5_year_lock_in_period]),
$G70="others", _xlfn.XLOOKUP($H70, Deviate_Table[Pricing discount], Deviate_Table[others]),
TRUE, ""), "Please input Deviate Range !!!")</f>
        <v/>
      </c>
      <c r="K70" s="49">
        <f t="shared" si="0"/>
        <v>0</v>
      </c>
      <c r="L70" s="65" cm="1">
        <f t="array" aca="1" ref="L70" ca="1">IFERROR(
_xlfn.IFS(
D70="HomeLoan_BT_less_than_2_Percent", VLOOKUP(SUMIFS($K:$K, $D:$D, "HomeLoan_BT_more_than_2_Percent", $B:$B, B70)+SUMIFS($K:$K, $D:$D, "HomeLoan_BT_less_than_2_Percent", $B:$B, B70)+SUMIFS($K:$K, $D:$D, "HomeLoan_Non_BT", $B:$B, B70)+SUMIFS($K:$K, $D:$D, "Mortgage_Power_Term", $B:$B, B70), Secured_Commission!$A:$F, 2, 1)*(K70/10^6),
D70="HomeLoan_BT_more_than_2_Percent", VLOOKUP(SUMIFS($K:$K, $D:$D, "HomeLoan_BT_more_than_2_Percent", $B:$B, B70)+SUMIFS($K:$K, $D:$D, "HomeLoan_BT_less_than_2_Percent", $B:$B, B70)+SUMIFS($K:$K, $D:$D, "HomeLoan_Non_BT", $B:$B, B70)+SUMIFS($K:$K, $D:$D, "Mortgage_Power_Term", $B:$B, B70), Secured_Commission!$A:$F, 3, 1)*(K70/10^6),
D70="HomeLoan_Non_BT", VLOOKUP(SUMIFS($K:$K, $D:$D, "HomeLoan_BT_more_than_2_Percent", $B:$B, B70)+SUMIFS($K:$K, $D:$D, "HomeLoan_BT_less_than_2_Percent", $B:$B, B70)+SUMIFS($K:$K, $D:$D, "HomeLoan_Non_BT", $B:$B, B70)+SUMIFS($K:$K, $D:$D, "Mortgage_Power_Term", $B:$B, B70), Secured_Commission!$A:$F, 4, 1)*(K70/10^6),
D70="Mortgage_Power_Term", VLOOKUP(SUMIFS($K:$K, $D:$D, "HomeLoan_BT_more_than_2_Percent", $B:$B, B70)+SUMIFS($K:$K, $D:$D, "HomeLoan_BT_less_than_2_Percent", $B:$B, B70)+SUMIFS($K:$K, $D:$D, "HomeLoan_Non_BT", $B:$B, B70)+SUMIFS($K:$K, $D:$D, "Mortgage_Power_Term", $B:$B, B70), Secured_Commission!$A:$F, 5, 1)*(K70/10^6),
D70="Personal_Cash", VLOOKUP(SUMIFS($K:$K, $D:$D, "Personal_Cash", $B:$B, B70), Unsecured_Commission!$A:$B, 2, 1)*K70,
OR(D70="MRTA_3_Percent", D70="SOMPO"), K70*0.03,
D70="MRTA_6_Percent", K70*0.06), 0)</f>
        <v>0</v>
      </c>
    </row>
    <row r="71" spans="1:12">
      <c r="A71" s="19">
        <v>66</v>
      </c>
      <c r="B71" s="46"/>
      <c r="C71" s="46"/>
      <c r="D71" s="46"/>
      <c r="E71" s="46"/>
      <c r="G71" s="58" t="str" cm="1">
        <f t="array" ref="G71">_xlfn.IFS(
AND($C71="Secured", OR($D71="HomeLoan_BT_more_than_2_Percent", $D71="HomeLoan_BT_less_than_2_Percent"), $E71=""), "",
AND($C71="Secured",$E71=""),"others",
AND($C71="Secured",$E71=3),"others",
AND($C71="Secured",$E71=5),"BT_with_5_year_lock_in_period",
TRUE, "")</f>
        <v/>
      </c>
      <c r="H71" s="46"/>
      <c r="I71" s="59" t="str" cm="1">
        <f t="array" ref="I71">_xlfn.IFS(
AND($C71="Secured", OR($D71="HomeLoan_BT_more_than_2_Percent", $D71="HomeLoan_BT_less_than_2_Percent"), OR($E71="", $E71=0)), "Please input Year !!!",
AND($C71="Secured", OR($F71="", $F71=0)), "Please input Amount !!!",
AND($C71="Secured", $F71&lt;5000000), 1,
AND($C71="Secured", $F71&gt;=5000000), 1.1,
TRUE, "")</f>
        <v/>
      </c>
      <c r="J71" s="59" t="str" cm="1">
        <f t="array" ref="J71">IFERROR(_xlfn.IFS(
$G71="BT_with_5_year_lock_in_period", _xlfn.XLOOKUP($H71, Deviate_Table[Pricing discount], Deviate_Table[BT_with_5_year_lock_in_period]),
$G71="others", _xlfn.XLOOKUP($H71, Deviate_Table[Pricing discount], Deviate_Table[others]),
TRUE, ""), "Please input Deviate Range !!!")</f>
        <v/>
      </c>
      <c r="K71" s="49">
        <f t="shared" ref="K71:K134" si="1">IF($C71="Secured",IFERROR($F71*$I71*$J71, ""), $F71)</f>
        <v>0</v>
      </c>
      <c r="L71" s="65" cm="1">
        <f t="array" aca="1" ref="L71" ca="1">IFERROR(
_xlfn.IFS(
D71="HomeLoan_BT_less_than_2_Percent", VLOOKUP(SUMIFS($K:$K, $D:$D, "HomeLoan_BT_more_than_2_Percent", $B:$B, B71)+SUMIFS($K:$K, $D:$D, "HomeLoan_BT_less_than_2_Percent", $B:$B, B71)+SUMIFS($K:$K, $D:$D, "HomeLoan_Non_BT", $B:$B, B71)+SUMIFS($K:$K, $D:$D, "Mortgage_Power_Term", $B:$B, B71), Secured_Commission!$A:$F, 2, 1)*(K71/10^6),
D71="HomeLoan_BT_more_than_2_Percent", VLOOKUP(SUMIFS($K:$K, $D:$D, "HomeLoan_BT_more_than_2_Percent", $B:$B, B71)+SUMIFS($K:$K, $D:$D, "HomeLoan_BT_less_than_2_Percent", $B:$B, B71)+SUMIFS($K:$K, $D:$D, "HomeLoan_Non_BT", $B:$B, B71)+SUMIFS($K:$K, $D:$D, "Mortgage_Power_Term", $B:$B, B71), Secured_Commission!$A:$F, 3, 1)*(K71/10^6),
D71="HomeLoan_Non_BT", VLOOKUP(SUMIFS($K:$K, $D:$D, "HomeLoan_BT_more_than_2_Percent", $B:$B, B71)+SUMIFS($K:$K, $D:$D, "HomeLoan_BT_less_than_2_Percent", $B:$B, B71)+SUMIFS($K:$K, $D:$D, "HomeLoan_Non_BT", $B:$B, B71)+SUMIFS($K:$K, $D:$D, "Mortgage_Power_Term", $B:$B, B71), Secured_Commission!$A:$F, 4, 1)*(K71/10^6),
D71="Mortgage_Power_Term", VLOOKUP(SUMIFS($K:$K, $D:$D, "HomeLoan_BT_more_than_2_Percent", $B:$B, B71)+SUMIFS($K:$K, $D:$D, "HomeLoan_BT_less_than_2_Percent", $B:$B, B71)+SUMIFS($K:$K, $D:$D, "HomeLoan_Non_BT", $B:$B, B71)+SUMIFS($K:$K, $D:$D, "Mortgage_Power_Term", $B:$B, B71), Secured_Commission!$A:$F, 5, 1)*(K71/10^6),
D71="Personal_Cash", VLOOKUP(SUMIFS($K:$K, $D:$D, "Personal_Cash", $B:$B, B71), Unsecured_Commission!$A:$B, 2, 1)*K71,
OR(D71="MRTA_3_Percent", D71="SOMPO"), K71*0.03,
D71="MRTA_6_Percent", K71*0.06), 0)</f>
        <v>0</v>
      </c>
    </row>
    <row r="72" spans="1:12">
      <c r="A72" s="19">
        <v>67</v>
      </c>
      <c r="B72" s="46"/>
      <c r="C72" s="46"/>
      <c r="D72" s="46"/>
      <c r="E72" s="46"/>
      <c r="G72" s="58" t="str" cm="1">
        <f t="array" ref="G72">_xlfn.IFS(
AND($C72="Secured", OR($D72="HomeLoan_BT_more_than_2_Percent", $D72="HomeLoan_BT_less_than_2_Percent"), $E72=""), "",
AND($C72="Secured",$E72=""),"others",
AND($C72="Secured",$E72=3),"others",
AND($C72="Secured",$E72=5),"BT_with_5_year_lock_in_period",
TRUE, "")</f>
        <v/>
      </c>
      <c r="H72" s="46"/>
      <c r="I72" s="59" t="str" cm="1">
        <f t="array" ref="I72">_xlfn.IFS(
AND($C72="Secured", OR($D72="HomeLoan_BT_more_than_2_Percent", $D72="HomeLoan_BT_less_than_2_Percent"), OR($E72="", $E72=0)), "Please input Year !!!",
AND($C72="Secured", OR($F72="", $F72=0)), "Please input Amount !!!",
AND($C72="Secured", $F72&lt;5000000), 1,
AND($C72="Secured", $F72&gt;=5000000), 1.1,
TRUE, "")</f>
        <v/>
      </c>
      <c r="J72" s="59" t="str" cm="1">
        <f t="array" ref="J72">IFERROR(_xlfn.IFS(
$G72="BT_with_5_year_lock_in_period", _xlfn.XLOOKUP($H72, Deviate_Table[Pricing discount], Deviate_Table[BT_with_5_year_lock_in_period]),
$G72="others", _xlfn.XLOOKUP($H72, Deviate_Table[Pricing discount], Deviate_Table[others]),
TRUE, ""), "Please input Deviate Range !!!")</f>
        <v/>
      </c>
      <c r="K72" s="49">
        <f t="shared" si="1"/>
        <v>0</v>
      </c>
      <c r="L72" s="65" cm="1">
        <f t="array" aca="1" ref="L72" ca="1">IFERROR(
_xlfn.IFS(
D72="HomeLoan_BT_less_than_2_Percent", VLOOKUP(SUMIFS($K:$K, $D:$D, "HomeLoan_BT_more_than_2_Percent", $B:$B, B72)+SUMIFS($K:$K, $D:$D, "HomeLoan_BT_less_than_2_Percent", $B:$B, B72)+SUMIFS($K:$K, $D:$D, "HomeLoan_Non_BT", $B:$B, B72)+SUMIFS($K:$K, $D:$D, "Mortgage_Power_Term", $B:$B, B72), Secured_Commission!$A:$F, 2, 1)*(K72/10^6),
D72="HomeLoan_BT_more_than_2_Percent", VLOOKUP(SUMIFS($K:$K, $D:$D, "HomeLoan_BT_more_than_2_Percent", $B:$B, B72)+SUMIFS($K:$K, $D:$D, "HomeLoan_BT_less_than_2_Percent", $B:$B, B72)+SUMIFS($K:$K, $D:$D, "HomeLoan_Non_BT", $B:$B, B72)+SUMIFS($K:$K, $D:$D, "Mortgage_Power_Term", $B:$B, B72), Secured_Commission!$A:$F, 3, 1)*(K72/10^6),
D72="HomeLoan_Non_BT", VLOOKUP(SUMIFS($K:$K, $D:$D, "HomeLoan_BT_more_than_2_Percent", $B:$B, B72)+SUMIFS($K:$K, $D:$D, "HomeLoan_BT_less_than_2_Percent", $B:$B, B72)+SUMIFS($K:$K, $D:$D, "HomeLoan_Non_BT", $B:$B, B72)+SUMIFS($K:$K, $D:$D, "Mortgage_Power_Term", $B:$B, B72), Secured_Commission!$A:$F, 4, 1)*(K72/10^6),
D72="Mortgage_Power_Term", VLOOKUP(SUMIFS($K:$K, $D:$D, "HomeLoan_BT_more_than_2_Percent", $B:$B, B72)+SUMIFS($K:$K, $D:$D, "HomeLoan_BT_less_than_2_Percent", $B:$B, B72)+SUMIFS($K:$K, $D:$D, "HomeLoan_Non_BT", $B:$B, B72)+SUMIFS($K:$K, $D:$D, "Mortgage_Power_Term", $B:$B, B72), Secured_Commission!$A:$F, 5, 1)*(K72/10^6),
D72="Personal_Cash", VLOOKUP(SUMIFS($K:$K, $D:$D, "Personal_Cash", $B:$B, B72), Unsecured_Commission!$A:$B, 2, 1)*K72,
OR(D72="MRTA_3_Percent", D72="SOMPO"), K72*0.03,
D72="MRTA_6_Percent", K72*0.06), 0)</f>
        <v>0</v>
      </c>
    </row>
    <row r="73" spans="1:12">
      <c r="A73" s="19">
        <v>68</v>
      </c>
      <c r="B73" s="46"/>
      <c r="C73" s="46"/>
      <c r="D73" s="46"/>
      <c r="E73" s="46"/>
      <c r="G73" s="58" t="str" cm="1">
        <f t="array" ref="G73">_xlfn.IFS(
AND($C73="Secured", OR($D73="HomeLoan_BT_more_than_2_Percent", $D73="HomeLoan_BT_less_than_2_Percent"), $E73=""), "",
AND($C73="Secured",$E73=""),"others",
AND($C73="Secured",$E73=3),"others",
AND($C73="Secured",$E73=5),"BT_with_5_year_lock_in_period",
TRUE, "")</f>
        <v/>
      </c>
      <c r="H73" s="46"/>
      <c r="I73" s="59" t="str" cm="1">
        <f t="array" ref="I73">_xlfn.IFS(
AND($C73="Secured", OR($D73="HomeLoan_BT_more_than_2_Percent", $D73="HomeLoan_BT_less_than_2_Percent"), OR($E73="", $E73=0)), "Please input Year !!!",
AND($C73="Secured", OR($F73="", $F73=0)), "Please input Amount !!!",
AND($C73="Secured", $F73&lt;5000000), 1,
AND($C73="Secured", $F73&gt;=5000000), 1.1,
TRUE, "")</f>
        <v/>
      </c>
      <c r="J73" s="59" t="str" cm="1">
        <f t="array" ref="J73">IFERROR(_xlfn.IFS(
$G73="BT_with_5_year_lock_in_period", _xlfn.XLOOKUP($H73, Deviate_Table[Pricing discount], Deviate_Table[BT_with_5_year_lock_in_period]),
$G73="others", _xlfn.XLOOKUP($H73, Deviate_Table[Pricing discount], Deviate_Table[others]),
TRUE, ""), "Please input Deviate Range !!!")</f>
        <v/>
      </c>
      <c r="K73" s="49">
        <f t="shared" si="1"/>
        <v>0</v>
      </c>
      <c r="L73" s="65" cm="1">
        <f t="array" aca="1" ref="L73" ca="1">IFERROR(
_xlfn.IFS(
D73="HomeLoan_BT_less_than_2_Percent", VLOOKUP(SUMIFS($K:$K, $D:$D, "HomeLoan_BT_more_than_2_Percent", $B:$B, B73)+SUMIFS($K:$K, $D:$D, "HomeLoan_BT_less_than_2_Percent", $B:$B, B73)+SUMIFS($K:$K, $D:$D, "HomeLoan_Non_BT", $B:$B, B73)+SUMIFS($K:$K, $D:$D, "Mortgage_Power_Term", $B:$B, B73), Secured_Commission!$A:$F, 2, 1)*(K73/10^6),
D73="HomeLoan_BT_more_than_2_Percent", VLOOKUP(SUMIFS($K:$K, $D:$D, "HomeLoan_BT_more_than_2_Percent", $B:$B, B73)+SUMIFS($K:$K, $D:$D, "HomeLoan_BT_less_than_2_Percent", $B:$B, B73)+SUMIFS($K:$K, $D:$D, "HomeLoan_Non_BT", $B:$B, B73)+SUMIFS($K:$K, $D:$D, "Mortgage_Power_Term", $B:$B, B73), Secured_Commission!$A:$F, 3, 1)*(K73/10^6),
D73="HomeLoan_Non_BT", VLOOKUP(SUMIFS($K:$K, $D:$D, "HomeLoan_BT_more_than_2_Percent", $B:$B, B73)+SUMIFS($K:$K, $D:$D, "HomeLoan_BT_less_than_2_Percent", $B:$B, B73)+SUMIFS($K:$K, $D:$D, "HomeLoan_Non_BT", $B:$B, B73)+SUMIFS($K:$K, $D:$D, "Mortgage_Power_Term", $B:$B, B73), Secured_Commission!$A:$F, 4, 1)*(K73/10^6),
D73="Mortgage_Power_Term", VLOOKUP(SUMIFS($K:$K, $D:$D, "HomeLoan_BT_more_than_2_Percent", $B:$B, B73)+SUMIFS($K:$K, $D:$D, "HomeLoan_BT_less_than_2_Percent", $B:$B, B73)+SUMIFS($K:$K, $D:$D, "HomeLoan_Non_BT", $B:$B, B73)+SUMIFS($K:$K, $D:$D, "Mortgage_Power_Term", $B:$B, B73), Secured_Commission!$A:$F, 5, 1)*(K73/10^6),
D73="Personal_Cash", VLOOKUP(SUMIFS($K:$K, $D:$D, "Personal_Cash", $B:$B, B73), Unsecured_Commission!$A:$B, 2, 1)*K73,
OR(D73="MRTA_3_Percent", D73="SOMPO"), K73*0.03,
D73="MRTA_6_Percent", K73*0.06), 0)</f>
        <v>0</v>
      </c>
    </row>
    <row r="74" spans="1:12">
      <c r="A74" s="19">
        <v>69</v>
      </c>
      <c r="B74" s="46"/>
      <c r="C74" s="46"/>
      <c r="D74" s="46"/>
      <c r="E74" s="46"/>
      <c r="G74" s="58" t="str" cm="1">
        <f t="array" ref="G74">_xlfn.IFS(
AND($C74="Secured", OR($D74="HomeLoan_BT_more_than_2_Percent", $D74="HomeLoan_BT_less_than_2_Percent"), $E74=""), "",
AND($C74="Secured",$E74=""),"others",
AND($C74="Secured",$E74=3),"others",
AND($C74="Secured",$E74=5),"BT_with_5_year_lock_in_period",
TRUE, "")</f>
        <v/>
      </c>
      <c r="H74" s="46"/>
      <c r="I74" s="59" t="str" cm="1">
        <f t="array" ref="I74">_xlfn.IFS(
AND($C74="Secured", OR($D74="HomeLoan_BT_more_than_2_Percent", $D74="HomeLoan_BT_less_than_2_Percent"), OR($E74="", $E74=0)), "Please input Year !!!",
AND($C74="Secured", OR($F74="", $F74=0)), "Please input Amount !!!",
AND($C74="Secured", $F74&lt;5000000), 1,
AND($C74="Secured", $F74&gt;=5000000), 1.1,
TRUE, "")</f>
        <v/>
      </c>
      <c r="J74" s="59" t="str" cm="1">
        <f t="array" ref="J74">IFERROR(_xlfn.IFS(
$G74="BT_with_5_year_lock_in_period", _xlfn.XLOOKUP($H74, Deviate_Table[Pricing discount], Deviate_Table[BT_with_5_year_lock_in_period]),
$G74="others", _xlfn.XLOOKUP($H74, Deviate_Table[Pricing discount], Deviate_Table[others]),
TRUE, ""), "Please input Deviate Range !!!")</f>
        <v/>
      </c>
      <c r="K74" s="49">
        <f t="shared" si="1"/>
        <v>0</v>
      </c>
      <c r="L74" s="65" cm="1">
        <f t="array" aca="1" ref="L74" ca="1">IFERROR(
_xlfn.IFS(
D74="HomeLoan_BT_less_than_2_Percent", VLOOKUP(SUMIFS($K:$K, $D:$D, "HomeLoan_BT_more_than_2_Percent", $B:$B, B74)+SUMIFS($K:$K, $D:$D, "HomeLoan_BT_less_than_2_Percent", $B:$B, B74)+SUMIFS($K:$K, $D:$D, "HomeLoan_Non_BT", $B:$B, B74)+SUMIFS($K:$K, $D:$D, "Mortgage_Power_Term", $B:$B, B74), Secured_Commission!$A:$F, 2, 1)*(K74/10^6),
D74="HomeLoan_BT_more_than_2_Percent", VLOOKUP(SUMIFS($K:$K, $D:$D, "HomeLoan_BT_more_than_2_Percent", $B:$B, B74)+SUMIFS($K:$K, $D:$D, "HomeLoan_BT_less_than_2_Percent", $B:$B, B74)+SUMIFS($K:$K, $D:$D, "HomeLoan_Non_BT", $B:$B, B74)+SUMIFS($K:$K, $D:$D, "Mortgage_Power_Term", $B:$B, B74), Secured_Commission!$A:$F, 3, 1)*(K74/10^6),
D74="HomeLoan_Non_BT", VLOOKUP(SUMIFS($K:$K, $D:$D, "HomeLoan_BT_more_than_2_Percent", $B:$B, B74)+SUMIFS($K:$K, $D:$D, "HomeLoan_BT_less_than_2_Percent", $B:$B, B74)+SUMIFS($K:$K, $D:$D, "HomeLoan_Non_BT", $B:$B, B74)+SUMIFS($K:$K, $D:$D, "Mortgage_Power_Term", $B:$B, B74), Secured_Commission!$A:$F, 4, 1)*(K74/10^6),
D74="Mortgage_Power_Term", VLOOKUP(SUMIFS($K:$K, $D:$D, "HomeLoan_BT_more_than_2_Percent", $B:$B, B74)+SUMIFS($K:$K, $D:$D, "HomeLoan_BT_less_than_2_Percent", $B:$B, B74)+SUMIFS($K:$K, $D:$D, "HomeLoan_Non_BT", $B:$B, B74)+SUMIFS($K:$K, $D:$D, "Mortgage_Power_Term", $B:$B, B74), Secured_Commission!$A:$F, 5, 1)*(K74/10^6),
D74="Personal_Cash", VLOOKUP(SUMIFS($K:$K, $D:$D, "Personal_Cash", $B:$B, B74), Unsecured_Commission!$A:$B, 2, 1)*K74,
OR(D74="MRTA_3_Percent", D74="SOMPO"), K74*0.03,
D74="MRTA_6_Percent", K74*0.06), 0)</f>
        <v>0</v>
      </c>
    </row>
    <row r="75" spans="1:12">
      <c r="A75" s="19">
        <v>70</v>
      </c>
      <c r="B75" s="46"/>
      <c r="C75" s="46"/>
      <c r="D75" s="46"/>
      <c r="E75" s="46"/>
      <c r="G75" s="58" t="str" cm="1">
        <f t="array" ref="G75">_xlfn.IFS(
AND($C75="Secured", OR($D75="HomeLoan_BT_more_than_2_Percent", $D75="HomeLoan_BT_less_than_2_Percent"), $E75=""), "",
AND($C75="Secured",$E75=""),"others",
AND($C75="Secured",$E75=3),"others",
AND($C75="Secured",$E75=5),"BT_with_5_year_lock_in_period",
TRUE, "")</f>
        <v/>
      </c>
      <c r="H75" s="46"/>
      <c r="I75" s="59" t="str" cm="1">
        <f t="array" ref="I75">_xlfn.IFS(
AND($C75="Secured", OR($D75="HomeLoan_BT_more_than_2_Percent", $D75="HomeLoan_BT_less_than_2_Percent"), OR($E75="", $E75=0)), "Please input Year !!!",
AND($C75="Secured", OR($F75="", $F75=0)), "Please input Amount !!!",
AND($C75="Secured", $F75&lt;5000000), 1,
AND($C75="Secured", $F75&gt;=5000000), 1.1,
TRUE, "")</f>
        <v/>
      </c>
      <c r="J75" s="59" t="str" cm="1">
        <f t="array" ref="J75">IFERROR(_xlfn.IFS(
$G75="BT_with_5_year_lock_in_period", _xlfn.XLOOKUP($H75, Deviate_Table[Pricing discount], Deviate_Table[BT_with_5_year_lock_in_period]),
$G75="others", _xlfn.XLOOKUP($H75, Deviate_Table[Pricing discount], Deviate_Table[others]),
TRUE, ""), "Please input Deviate Range !!!")</f>
        <v/>
      </c>
      <c r="K75" s="49">
        <f t="shared" si="1"/>
        <v>0</v>
      </c>
      <c r="L75" s="65" cm="1">
        <f t="array" aca="1" ref="L75" ca="1">IFERROR(
_xlfn.IFS(
D75="HomeLoan_BT_less_than_2_Percent", VLOOKUP(SUMIFS($K:$K, $D:$D, "HomeLoan_BT_more_than_2_Percent", $B:$B, B75)+SUMIFS($K:$K, $D:$D, "HomeLoan_BT_less_than_2_Percent", $B:$B, B75)+SUMIFS($K:$K, $D:$D, "HomeLoan_Non_BT", $B:$B, B75)+SUMIFS($K:$K, $D:$D, "Mortgage_Power_Term", $B:$B, B75), Secured_Commission!$A:$F, 2, 1)*(K75/10^6),
D75="HomeLoan_BT_more_than_2_Percent", VLOOKUP(SUMIFS($K:$K, $D:$D, "HomeLoan_BT_more_than_2_Percent", $B:$B, B75)+SUMIFS($K:$K, $D:$D, "HomeLoan_BT_less_than_2_Percent", $B:$B, B75)+SUMIFS($K:$K, $D:$D, "HomeLoan_Non_BT", $B:$B, B75)+SUMIFS($K:$K, $D:$D, "Mortgage_Power_Term", $B:$B, B75), Secured_Commission!$A:$F, 3, 1)*(K75/10^6),
D75="HomeLoan_Non_BT", VLOOKUP(SUMIFS($K:$K, $D:$D, "HomeLoan_BT_more_than_2_Percent", $B:$B, B75)+SUMIFS($K:$K, $D:$D, "HomeLoan_BT_less_than_2_Percent", $B:$B, B75)+SUMIFS($K:$K, $D:$D, "HomeLoan_Non_BT", $B:$B, B75)+SUMIFS($K:$K, $D:$D, "Mortgage_Power_Term", $B:$B, B75), Secured_Commission!$A:$F, 4, 1)*(K75/10^6),
D75="Mortgage_Power_Term", VLOOKUP(SUMIFS($K:$K, $D:$D, "HomeLoan_BT_more_than_2_Percent", $B:$B, B75)+SUMIFS($K:$K, $D:$D, "HomeLoan_BT_less_than_2_Percent", $B:$B, B75)+SUMIFS($K:$K, $D:$D, "HomeLoan_Non_BT", $B:$B, B75)+SUMIFS($K:$K, $D:$D, "Mortgage_Power_Term", $B:$B, B75), Secured_Commission!$A:$F, 5, 1)*(K75/10^6),
D75="Personal_Cash", VLOOKUP(SUMIFS($K:$K, $D:$D, "Personal_Cash", $B:$B, B75), Unsecured_Commission!$A:$B, 2, 1)*K75,
OR(D75="MRTA_3_Percent", D75="SOMPO"), K75*0.03,
D75="MRTA_6_Percent", K75*0.06), 0)</f>
        <v>0</v>
      </c>
    </row>
    <row r="76" spans="1:12">
      <c r="A76" s="19">
        <v>71</v>
      </c>
      <c r="B76" s="46"/>
      <c r="C76" s="46"/>
      <c r="D76" s="46"/>
      <c r="E76" s="46"/>
      <c r="G76" s="58" t="str" cm="1">
        <f t="array" ref="G76">_xlfn.IFS(
AND($C76="Secured", OR($D76="HomeLoan_BT_more_than_2_Percent", $D76="HomeLoan_BT_less_than_2_Percent"), $E76=""), "",
AND($C76="Secured",$E76=""),"others",
AND($C76="Secured",$E76=3),"others",
AND($C76="Secured",$E76=5),"BT_with_5_year_lock_in_period",
TRUE, "")</f>
        <v/>
      </c>
      <c r="H76" s="46"/>
      <c r="I76" s="59" t="str" cm="1">
        <f t="array" ref="I76">_xlfn.IFS(
AND($C76="Secured", OR($D76="HomeLoan_BT_more_than_2_Percent", $D76="HomeLoan_BT_less_than_2_Percent"), OR($E76="", $E76=0)), "Please input Year !!!",
AND($C76="Secured", OR($F76="", $F76=0)), "Please input Amount !!!",
AND($C76="Secured", $F76&lt;5000000), 1,
AND($C76="Secured", $F76&gt;=5000000), 1.1,
TRUE, "")</f>
        <v/>
      </c>
      <c r="J76" s="59" t="str" cm="1">
        <f t="array" ref="J76">IFERROR(_xlfn.IFS(
$G76="BT_with_5_year_lock_in_period", _xlfn.XLOOKUP($H76, Deviate_Table[Pricing discount], Deviate_Table[BT_with_5_year_lock_in_period]),
$G76="others", _xlfn.XLOOKUP($H76, Deviate_Table[Pricing discount], Deviate_Table[others]),
TRUE, ""), "Please input Deviate Range !!!")</f>
        <v/>
      </c>
      <c r="K76" s="49">
        <f t="shared" si="1"/>
        <v>0</v>
      </c>
      <c r="L76" s="65" cm="1">
        <f t="array" aca="1" ref="L76" ca="1">IFERROR(
_xlfn.IFS(
D76="HomeLoan_BT_less_than_2_Percent", VLOOKUP(SUMIFS($K:$K, $D:$D, "HomeLoan_BT_more_than_2_Percent", $B:$B, B76)+SUMIFS($K:$K, $D:$D, "HomeLoan_BT_less_than_2_Percent", $B:$B, B76)+SUMIFS($K:$K, $D:$D, "HomeLoan_Non_BT", $B:$B, B76)+SUMIFS($K:$K, $D:$D, "Mortgage_Power_Term", $B:$B, B76), Secured_Commission!$A:$F, 2, 1)*(K76/10^6),
D76="HomeLoan_BT_more_than_2_Percent", VLOOKUP(SUMIFS($K:$K, $D:$D, "HomeLoan_BT_more_than_2_Percent", $B:$B, B76)+SUMIFS($K:$K, $D:$D, "HomeLoan_BT_less_than_2_Percent", $B:$B, B76)+SUMIFS($K:$K, $D:$D, "HomeLoan_Non_BT", $B:$B, B76)+SUMIFS($K:$K, $D:$D, "Mortgage_Power_Term", $B:$B, B76), Secured_Commission!$A:$F, 3, 1)*(K76/10^6),
D76="HomeLoan_Non_BT", VLOOKUP(SUMIFS($K:$K, $D:$D, "HomeLoan_BT_more_than_2_Percent", $B:$B, B76)+SUMIFS($K:$K, $D:$D, "HomeLoan_BT_less_than_2_Percent", $B:$B, B76)+SUMIFS($K:$K, $D:$D, "HomeLoan_Non_BT", $B:$B, B76)+SUMIFS($K:$K, $D:$D, "Mortgage_Power_Term", $B:$B, B76), Secured_Commission!$A:$F, 4, 1)*(K76/10^6),
D76="Mortgage_Power_Term", VLOOKUP(SUMIFS($K:$K, $D:$D, "HomeLoan_BT_more_than_2_Percent", $B:$B, B76)+SUMIFS($K:$K, $D:$D, "HomeLoan_BT_less_than_2_Percent", $B:$B, B76)+SUMIFS($K:$K, $D:$D, "HomeLoan_Non_BT", $B:$B, B76)+SUMIFS($K:$K, $D:$D, "Mortgage_Power_Term", $B:$B, B76), Secured_Commission!$A:$F, 5, 1)*(K76/10^6),
D76="Personal_Cash", VLOOKUP(SUMIFS($K:$K, $D:$D, "Personal_Cash", $B:$B, B76), Unsecured_Commission!$A:$B, 2, 1)*K76,
OR(D76="MRTA_3_Percent", D76="SOMPO"), K76*0.03,
D76="MRTA_6_Percent", K76*0.06), 0)</f>
        <v>0</v>
      </c>
    </row>
    <row r="77" spans="1:12">
      <c r="A77" s="19">
        <v>72</v>
      </c>
      <c r="B77" s="46"/>
      <c r="C77" s="46"/>
      <c r="D77" s="46"/>
      <c r="E77" s="46"/>
      <c r="G77" s="58" t="str" cm="1">
        <f t="array" ref="G77">_xlfn.IFS(
AND($C77="Secured", OR($D77="HomeLoan_BT_more_than_2_Percent", $D77="HomeLoan_BT_less_than_2_Percent"), $E77=""), "",
AND($C77="Secured",$E77=""),"others",
AND($C77="Secured",$E77=3),"others",
AND($C77="Secured",$E77=5),"BT_with_5_year_lock_in_period",
TRUE, "")</f>
        <v/>
      </c>
      <c r="H77" s="46"/>
      <c r="I77" s="59" t="str" cm="1">
        <f t="array" ref="I77">_xlfn.IFS(
AND($C77="Secured", OR($D77="HomeLoan_BT_more_than_2_Percent", $D77="HomeLoan_BT_less_than_2_Percent"), OR($E77="", $E77=0)), "Please input Year !!!",
AND($C77="Secured", OR($F77="", $F77=0)), "Please input Amount !!!",
AND($C77="Secured", $F77&lt;5000000), 1,
AND($C77="Secured", $F77&gt;=5000000), 1.1,
TRUE, "")</f>
        <v/>
      </c>
      <c r="J77" s="59" t="str" cm="1">
        <f t="array" ref="J77">IFERROR(_xlfn.IFS(
$G77="BT_with_5_year_lock_in_period", _xlfn.XLOOKUP($H77, Deviate_Table[Pricing discount], Deviate_Table[BT_with_5_year_lock_in_period]),
$G77="others", _xlfn.XLOOKUP($H77, Deviate_Table[Pricing discount], Deviate_Table[others]),
TRUE, ""), "Please input Deviate Range !!!")</f>
        <v/>
      </c>
      <c r="K77" s="49">
        <f t="shared" si="1"/>
        <v>0</v>
      </c>
      <c r="L77" s="65" cm="1">
        <f t="array" aca="1" ref="L77" ca="1">IFERROR(
_xlfn.IFS(
D77="HomeLoan_BT_less_than_2_Percent", VLOOKUP(SUMIFS($K:$K, $D:$D, "HomeLoan_BT_more_than_2_Percent", $B:$B, B77)+SUMIFS($K:$K, $D:$D, "HomeLoan_BT_less_than_2_Percent", $B:$B, B77)+SUMIFS($K:$K, $D:$D, "HomeLoan_Non_BT", $B:$B, B77)+SUMIFS($K:$K, $D:$D, "Mortgage_Power_Term", $B:$B, B77), Secured_Commission!$A:$F, 2, 1)*(K77/10^6),
D77="HomeLoan_BT_more_than_2_Percent", VLOOKUP(SUMIFS($K:$K, $D:$D, "HomeLoan_BT_more_than_2_Percent", $B:$B, B77)+SUMIFS($K:$K, $D:$D, "HomeLoan_BT_less_than_2_Percent", $B:$B, B77)+SUMIFS($K:$K, $D:$D, "HomeLoan_Non_BT", $B:$B, B77)+SUMIFS($K:$K, $D:$D, "Mortgage_Power_Term", $B:$B, B77), Secured_Commission!$A:$F, 3, 1)*(K77/10^6),
D77="HomeLoan_Non_BT", VLOOKUP(SUMIFS($K:$K, $D:$D, "HomeLoan_BT_more_than_2_Percent", $B:$B, B77)+SUMIFS($K:$K, $D:$D, "HomeLoan_BT_less_than_2_Percent", $B:$B, B77)+SUMIFS($K:$K, $D:$D, "HomeLoan_Non_BT", $B:$B, B77)+SUMIFS($K:$K, $D:$D, "Mortgage_Power_Term", $B:$B, B77), Secured_Commission!$A:$F, 4, 1)*(K77/10^6),
D77="Mortgage_Power_Term", VLOOKUP(SUMIFS($K:$K, $D:$D, "HomeLoan_BT_more_than_2_Percent", $B:$B, B77)+SUMIFS($K:$K, $D:$D, "HomeLoan_BT_less_than_2_Percent", $B:$B, B77)+SUMIFS($K:$K, $D:$D, "HomeLoan_Non_BT", $B:$B, B77)+SUMIFS($K:$K, $D:$D, "Mortgage_Power_Term", $B:$B, B77), Secured_Commission!$A:$F, 5, 1)*(K77/10^6),
D77="Personal_Cash", VLOOKUP(SUMIFS($K:$K, $D:$D, "Personal_Cash", $B:$B, B77), Unsecured_Commission!$A:$B, 2, 1)*K77,
OR(D77="MRTA_3_Percent", D77="SOMPO"), K77*0.03,
D77="MRTA_6_Percent", K77*0.06), 0)</f>
        <v>0</v>
      </c>
    </row>
    <row r="78" spans="1:12">
      <c r="A78" s="19">
        <v>73</v>
      </c>
      <c r="B78" s="46"/>
      <c r="C78" s="46"/>
      <c r="D78" s="46"/>
      <c r="E78" s="46"/>
      <c r="G78" s="58" t="str" cm="1">
        <f t="array" ref="G78">_xlfn.IFS(
AND($C78="Secured", OR($D78="HomeLoan_BT_more_than_2_Percent", $D78="HomeLoan_BT_less_than_2_Percent"), $E78=""), "",
AND($C78="Secured",$E78=""),"others",
AND($C78="Secured",$E78=3),"others",
AND($C78="Secured",$E78=5),"BT_with_5_year_lock_in_period",
TRUE, "")</f>
        <v/>
      </c>
      <c r="H78" s="46"/>
      <c r="I78" s="59" t="str" cm="1">
        <f t="array" ref="I78">_xlfn.IFS(
AND($C78="Secured", OR($D78="HomeLoan_BT_more_than_2_Percent", $D78="HomeLoan_BT_less_than_2_Percent"), OR($E78="", $E78=0)), "Please input Year !!!",
AND($C78="Secured", OR($F78="", $F78=0)), "Please input Amount !!!",
AND($C78="Secured", $F78&lt;5000000), 1,
AND($C78="Secured", $F78&gt;=5000000), 1.1,
TRUE, "")</f>
        <v/>
      </c>
      <c r="J78" s="59" t="str" cm="1">
        <f t="array" ref="J78">IFERROR(_xlfn.IFS(
$G78="BT_with_5_year_lock_in_period", _xlfn.XLOOKUP($H78, Deviate_Table[Pricing discount], Deviate_Table[BT_with_5_year_lock_in_period]),
$G78="others", _xlfn.XLOOKUP($H78, Deviate_Table[Pricing discount], Deviate_Table[others]),
TRUE, ""), "Please input Deviate Range !!!")</f>
        <v/>
      </c>
      <c r="K78" s="49">
        <f t="shared" si="1"/>
        <v>0</v>
      </c>
      <c r="L78" s="65" cm="1">
        <f t="array" aca="1" ref="L78" ca="1">IFERROR(
_xlfn.IFS(
D78="HomeLoan_BT_less_than_2_Percent", VLOOKUP(SUMIFS($K:$K, $D:$D, "HomeLoan_BT_more_than_2_Percent", $B:$B, B78)+SUMIFS($K:$K, $D:$D, "HomeLoan_BT_less_than_2_Percent", $B:$B, B78)+SUMIFS($K:$K, $D:$D, "HomeLoan_Non_BT", $B:$B, B78)+SUMIFS($K:$K, $D:$D, "Mortgage_Power_Term", $B:$B, B78), Secured_Commission!$A:$F, 2, 1)*(K78/10^6),
D78="HomeLoan_BT_more_than_2_Percent", VLOOKUP(SUMIFS($K:$K, $D:$D, "HomeLoan_BT_more_than_2_Percent", $B:$B, B78)+SUMIFS($K:$K, $D:$D, "HomeLoan_BT_less_than_2_Percent", $B:$B, B78)+SUMIFS($K:$K, $D:$D, "HomeLoan_Non_BT", $B:$B, B78)+SUMIFS($K:$K, $D:$D, "Mortgage_Power_Term", $B:$B, B78), Secured_Commission!$A:$F, 3, 1)*(K78/10^6),
D78="HomeLoan_Non_BT", VLOOKUP(SUMIFS($K:$K, $D:$D, "HomeLoan_BT_more_than_2_Percent", $B:$B, B78)+SUMIFS($K:$K, $D:$D, "HomeLoan_BT_less_than_2_Percent", $B:$B, B78)+SUMIFS($K:$K, $D:$D, "HomeLoan_Non_BT", $B:$B, B78)+SUMIFS($K:$K, $D:$D, "Mortgage_Power_Term", $B:$B, B78), Secured_Commission!$A:$F, 4, 1)*(K78/10^6),
D78="Mortgage_Power_Term", VLOOKUP(SUMIFS($K:$K, $D:$D, "HomeLoan_BT_more_than_2_Percent", $B:$B, B78)+SUMIFS($K:$K, $D:$D, "HomeLoan_BT_less_than_2_Percent", $B:$B, B78)+SUMIFS($K:$K, $D:$D, "HomeLoan_Non_BT", $B:$B, B78)+SUMIFS($K:$K, $D:$D, "Mortgage_Power_Term", $B:$B, B78), Secured_Commission!$A:$F, 5, 1)*(K78/10^6),
D78="Personal_Cash", VLOOKUP(SUMIFS($K:$K, $D:$D, "Personal_Cash", $B:$B, B78), Unsecured_Commission!$A:$B, 2, 1)*K78,
OR(D78="MRTA_3_Percent", D78="SOMPO"), K78*0.03,
D78="MRTA_6_Percent", K78*0.06), 0)</f>
        <v>0</v>
      </c>
    </row>
    <row r="79" spans="1:12">
      <c r="A79" s="19">
        <v>74</v>
      </c>
      <c r="B79" s="46"/>
      <c r="C79" s="46"/>
      <c r="D79" s="46"/>
      <c r="E79" s="46"/>
      <c r="G79" s="58" t="str" cm="1">
        <f t="array" ref="G79">_xlfn.IFS(
AND($C79="Secured", OR($D79="HomeLoan_BT_more_than_2_Percent", $D79="HomeLoan_BT_less_than_2_Percent"), $E79=""), "",
AND($C79="Secured",$E79=""),"others",
AND($C79="Secured",$E79=3),"others",
AND($C79="Secured",$E79=5),"BT_with_5_year_lock_in_period",
TRUE, "")</f>
        <v/>
      </c>
      <c r="H79" s="46"/>
      <c r="I79" s="59" t="str" cm="1">
        <f t="array" ref="I79">_xlfn.IFS(
AND($C79="Secured", OR($D79="HomeLoan_BT_more_than_2_Percent", $D79="HomeLoan_BT_less_than_2_Percent"), OR($E79="", $E79=0)), "Please input Year !!!",
AND($C79="Secured", OR($F79="", $F79=0)), "Please input Amount !!!",
AND($C79="Secured", $F79&lt;5000000), 1,
AND($C79="Secured", $F79&gt;=5000000), 1.1,
TRUE, "")</f>
        <v/>
      </c>
      <c r="J79" s="59" t="str" cm="1">
        <f t="array" ref="J79">IFERROR(_xlfn.IFS(
$G79="BT_with_5_year_lock_in_period", _xlfn.XLOOKUP($H79, Deviate_Table[Pricing discount], Deviate_Table[BT_with_5_year_lock_in_period]),
$G79="others", _xlfn.XLOOKUP($H79, Deviate_Table[Pricing discount], Deviate_Table[others]),
TRUE, ""), "Please input Deviate Range !!!")</f>
        <v/>
      </c>
      <c r="K79" s="49">
        <f t="shared" si="1"/>
        <v>0</v>
      </c>
      <c r="L79" s="65" cm="1">
        <f t="array" aca="1" ref="L79" ca="1">IFERROR(
_xlfn.IFS(
D79="HomeLoan_BT_less_than_2_Percent", VLOOKUP(SUMIFS($K:$K, $D:$D, "HomeLoan_BT_more_than_2_Percent", $B:$B, B79)+SUMIFS($K:$K, $D:$D, "HomeLoan_BT_less_than_2_Percent", $B:$B, B79)+SUMIFS($K:$K, $D:$D, "HomeLoan_Non_BT", $B:$B, B79)+SUMIFS($K:$K, $D:$D, "Mortgage_Power_Term", $B:$B, B79), Secured_Commission!$A:$F, 2, 1)*(K79/10^6),
D79="HomeLoan_BT_more_than_2_Percent", VLOOKUP(SUMIFS($K:$K, $D:$D, "HomeLoan_BT_more_than_2_Percent", $B:$B, B79)+SUMIFS($K:$K, $D:$D, "HomeLoan_BT_less_than_2_Percent", $B:$B, B79)+SUMIFS($K:$K, $D:$D, "HomeLoan_Non_BT", $B:$B, B79)+SUMIFS($K:$K, $D:$D, "Mortgage_Power_Term", $B:$B, B79), Secured_Commission!$A:$F, 3, 1)*(K79/10^6),
D79="HomeLoan_Non_BT", VLOOKUP(SUMIFS($K:$K, $D:$D, "HomeLoan_BT_more_than_2_Percent", $B:$B, B79)+SUMIFS($K:$K, $D:$D, "HomeLoan_BT_less_than_2_Percent", $B:$B, B79)+SUMIFS($K:$K, $D:$D, "HomeLoan_Non_BT", $B:$B, B79)+SUMIFS($K:$K, $D:$D, "Mortgage_Power_Term", $B:$B, B79), Secured_Commission!$A:$F, 4, 1)*(K79/10^6),
D79="Mortgage_Power_Term", VLOOKUP(SUMIFS($K:$K, $D:$D, "HomeLoan_BT_more_than_2_Percent", $B:$B, B79)+SUMIFS($K:$K, $D:$D, "HomeLoan_BT_less_than_2_Percent", $B:$B, B79)+SUMIFS($K:$K, $D:$D, "HomeLoan_Non_BT", $B:$B, B79)+SUMIFS($K:$K, $D:$D, "Mortgage_Power_Term", $B:$B, B79), Secured_Commission!$A:$F, 5, 1)*(K79/10^6),
D79="Personal_Cash", VLOOKUP(SUMIFS($K:$K, $D:$D, "Personal_Cash", $B:$B, B79), Unsecured_Commission!$A:$B, 2, 1)*K79,
OR(D79="MRTA_3_Percent", D79="SOMPO"), K79*0.03,
D79="MRTA_6_Percent", K79*0.06), 0)</f>
        <v>0</v>
      </c>
    </row>
    <row r="80" spans="1:12">
      <c r="A80" s="19">
        <v>75</v>
      </c>
      <c r="B80" s="46"/>
      <c r="C80" s="46"/>
      <c r="D80" s="46"/>
      <c r="E80" s="46"/>
      <c r="G80" s="58" t="str" cm="1">
        <f t="array" ref="G80">_xlfn.IFS(
AND($C80="Secured", OR($D80="HomeLoan_BT_more_than_2_Percent", $D80="HomeLoan_BT_less_than_2_Percent"), $E80=""), "",
AND($C80="Secured",$E80=""),"others",
AND($C80="Secured",$E80=3),"others",
AND($C80="Secured",$E80=5),"BT_with_5_year_lock_in_period",
TRUE, "")</f>
        <v/>
      </c>
      <c r="H80" s="46"/>
      <c r="I80" s="59" t="str" cm="1">
        <f t="array" ref="I80">_xlfn.IFS(
AND($C80="Secured", OR($D80="HomeLoan_BT_more_than_2_Percent", $D80="HomeLoan_BT_less_than_2_Percent"), OR($E80="", $E80=0)), "Please input Year !!!",
AND($C80="Secured", OR($F80="", $F80=0)), "Please input Amount !!!",
AND($C80="Secured", $F80&lt;5000000), 1,
AND($C80="Secured", $F80&gt;=5000000), 1.1,
TRUE, "")</f>
        <v/>
      </c>
      <c r="J80" s="59" t="str" cm="1">
        <f t="array" ref="J80">IFERROR(_xlfn.IFS(
$G80="BT_with_5_year_lock_in_period", _xlfn.XLOOKUP($H80, Deviate_Table[Pricing discount], Deviate_Table[BT_with_5_year_lock_in_period]),
$G80="others", _xlfn.XLOOKUP($H80, Deviate_Table[Pricing discount], Deviate_Table[others]),
TRUE, ""), "Please input Deviate Range !!!")</f>
        <v/>
      </c>
      <c r="K80" s="49">
        <f t="shared" si="1"/>
        <v>0</v>
      </c>
      <c r="L80" s="65" cm="1">
        <f t="array" aca="1" ref="L80" ca="1">IFERROR(
_xlfn.IFS(
D80="HomeLoan_BT_less_than_2_Percent", VLOOKUP(SUMIFS($K:$K, $D:$D, "HomeLoan_BT_more_than_2_Percent", $B:$B, B80)+SUMIFS($K:$K, $D:$D, "HomeLoan_BT_less_than_2_Percent", $B:$B, B80)+SUMIFS($K:$K, $D:$D, "HomeLoan_Non_BT", $B:$B, B80)+SUMIFS($K:$K, $D:$D, "Mortgage_Power_Term", $B:$B, B80), Secured_Commission!$A:$F, 2, 1)*(K80/10^6),
D80="HomeLoan_BT_more_than_2_Percent", VLOOKUP(SUMIFS($K:$K, $D:$D, "HomeLoan_BT_more_than_2_Percent", $B:$B, B80)+SUMIFS($K:$K, $D:$D, "HomeLoan_BT_less_than_2_Percent", $B:$B, B80)+SUMIFS($K:$K, $D:$D, "HomeLoan_Non_BT", $B:$B, B80)+SUMIFS($K:$K, $D:$D, "Mortgage_Power_Term", $B:$B, B80), Secured_Commission!$A:$F, 3, 1)*(K80/10^6),
D80="HomeLoan_Non_BT", VLOOKUP(SUMIFS($K:$K, $D:$D, "HomeLoan_BT_more_than_2_Percent", $B:$B, B80)+SUMIFS($K:$K, $D:$D, "HomeLoan_BT_less_than_2_Percent", $B:$B, B80)+SUMIFS($K:$K, $D:$D, "HomeLoan_Non_BT", $B:$B, B80)+SUMIFS($K:$K, $D:$D, "Mortgage_Power_Term", $B:$B, B80), Secured_Commission!$A:$F, 4, 1)*(K80/10^6),
D80="Mortgage_Power_Term", VLOOKUP(SUMIFS($K:$K, $D:$D, "HomeLoan_BT_more_than_2_Percent", $B:$B, B80)+SUMIFS($K:$K, $D:$D, "HomeLoan_BT_less_than_2_Percent", $B:$B, B80)+SUMIFS($K:$K, $D:$D, "HomeLoan_Non_BT", $B:$B, B80)+SUMIFS($K:$K, $D:$D, "Mortgage_Power_Term", $B:$B, B80), Secured_Commission!$A:$F, 5, 1)*(K80/10^6),
D80="Personal_Cash", VLOOKUP(SUMIFS($K:$K, $D:$D, "Personal_Cash", $B:$B, B80), Unsecured_Commission!$A:$B, 2, 1)*K80,
OR(D80="MRTA_3_Percent", D80="SOMPO"), K80*0.03,
D80="MRTA_6_Percent", K80*0.06), 0)</f>
        <v>0</v>
      </c>
    </row>
    <row r="81" spans="1:12">
      <c r="A81" s="19">
        <v>76</v>
      </c>
      <c r="B81" s="46"/>
      <c r="C81" s="46"/>
      <c r="D81" s="46"/>
      <c r="E81" s="46"/>
      <c r="G81" s="58" t="str" cm="1">
        <f t="array" ref="G81">_xlfn.IFS(
AND($C81="Secured", OR($D81="HomeLoan_BT_more_than_2_Percent", $D81="HomeLoan_BT_less_than_2_Percent"), $E81=""), "",
AND($C81="Secured",$E81=""),"others",
AND($C81="Secured",$E81=3),"others",
AND($C81="Secured",$E81=5),"BT_with_5_year_lock_in_period",
TRUE, "")</f>
        <v/>
      </c>
      <c r="H81" s="46"/>
      <c r="I81" s="59" t="str" cm="1">
        <f t="array" ref="I81">_xlfn.IFS(
AND($C81="Secured", OR($D81="HomeLoan_BT_more_than_2_Percent", $D81="HomeLoan_BT_less_than_2_Percent"), OR($E81="", $E81=0)), "Please input Year !!!",
AND($C81="Secured", OR($F81="", $F81=0)), "Please input Amount !!!",
AND($C81="Secured", $F81&lt;5000000), 1,
AND($C81="Secured", $F81&gt;=5000000), 1.1,
TRUE, "")</f>
        <v/>
      </c>
      <c r="J81" s="59" t="str" cm="1">
        <f t="array" ref="J81">IFERROR(_xlfn.IFS(
$G81="BT_with_5_year_lock_in_period", _xlfn.XLOOKUP($H81, Deviate_Table[Pricing discount], Deviate_Table[BT_with_5_year_lock_in_period]),
$G81="others", _xlfn.XLOOKUP($H81, Deviate_Table[Pricing discount], Deviate_Table[others]),
TRUE, ""), "Please input Deviate Range !!!")</f>
        <v/>
      </c>
      <c r="K81" s="49">
        <f t="shared" si="1"/>
        <v>0</v>
      </c>
      <c r="L81" s="65" cm="1">
        <f t="array" aca="1" ref="L81" ca="1">IFERROR(
_xlfn.IFS(
D81="HomeLoan_BT_less_than_2_Percent", VLOOKUP(SUMIFS($K:$K, $D:$D, "HomeLoan_BT_more_than_2_Percent", $B:$B, B81)+SUMIFS($K:$K, $D:$D, "HomeLoan_BT_less_than_2_Percent", $B:$B, B81)+SUMIFS($K:$K, $D:$D, "HomeLoan_Non_BT", $B:$B, B81)+SUMIFS($K:$K, $D:$D, "Mortgage_Power_Term", $B:$B, B81), Secured_Commission!$A:$F, 2, 1)*(K81/10^6),
D81="HomeLoan_BT_more_than_2_Percent", VLOOKUP(SUMIFS($K:$K, $D:$D, "HomeLoan_BT_more_than_2_Percent", $B:$B, B81)+SUMIFS($K:$K, $D:$D, "HomeLoan_BT_less_than_2_Percent", $B:$B, B81)+SUMIFS($K:$K, $D:$D, "HomeLoan_Non_BT", $B:$B, B81)+SUMIFS($K:$K, $D:$D, "Mortgage_Power_Term", $B:$B, B81), Secured_Commission!$A:$F, 3, 1)*(K81/10^6),
D81="HomeLoan_Non_BT", VLOOKUP(SUMIFS($K:$K, $D:$D, "HomeLoan_BT_more_than_2_Percent", $B:$B, B81)+SUMIFS($K:$K, $D:$D, "HomeLoan_BT_less_than_2_Percent", $B:$B, B81)+SUMIFS($K:$K, $D:$D, "HomeLoan_Non_BT", $B:$B, B81)+SUMIFS($K:$K, $D:$D, "Mortgage_Power_Term", $B:$B, B81), Secured_Commission!$A:$F, 4, 1)*(K81/10^6),
D81="Mortgage_Power_Term", VLOOKUP(SUMIFS($K:$K, $D:$D, "HomeLoan_BT_more_than_2_Percent", $B:$B, B81)+SUMIFS($K:$K, $D:$D, "HomeLoan_BT_less_than_2_Percent", $B:$B, B81)+SUMIFS($K:$K, $D:$D, "HomeLoan_Non_BT", $B:$B, B81)+SUMIFS($K:$K, $D:$D, "Mortgage_Power_Term", $B:$B, B81), Secured_Commission!$A:$F, 5, 1)*(K81/10^6),
D81="Personal_Cash", VLOOKUP(SUMIFS($K:$K, $D:$D, "Personal_Cash", $B:$B, B81), Unsecured_Commission!$A:$B, 2, 1)*K81,
OR(D81="MRTA_3_Percent", D81="SOMPO"), K81*0.03,
D81="MRTA_6_Percent", K81*0.06), 0)</f>
        <v>0</v>
      </c>
    </row>
    <row r="82" spans="1:12">
      <c r="A82" s="19">
        <v>77</v>
      </c>
      <c r="B82" s="46"/>
      <c r="C82" s="46"/>
      <c r="D82" s="46"/>
      <c r="E82" s="46"/>
      <c r="G82" s="58" t="str" cm="1">
        <f t="array" ref="G82">_xlfn.IFS(
AND($C82="Secured", OR($D82="HomeLoan_BT_more_than_2_Percent", $D82="HomeLoan_BT_less_than_2_Percent"), $E82=""), "",
AND($C82="Secured",$E82=""),"others",
AND($C82="Secured",$E82=3),"others",
AND($C82="Secured",$E82=5),"BT_with_5_year_lock_in_period",
TRUE, "")</f>
        <v/>
      </c>
      <c r="H82" s="46"/>
      <c r="I82" s="59" t="str" cm="1">
        <f t="array" ref="I82">_xlfn.IFS(
AND($C82="Secured", OR($D82="HomeLoan_BT_more_than_2_Percent", $D82="HomeLoan_BT_less_than_2_Percent"), OR($E82="", $E82=0)), "Please input Year !!!",
AND($C82="Secured", OR($F82="", $F82=0)), "Please input Amount !!!",
AND($C82="Secured", $F82&lt;5000000), 1,
AND($C82="Secured", $F82&gt;=5000000), 1.1,
TRUE, "")</f>
        <v/>
      </c>
      <c r="J82" s="59" t="str" cm="1">
        <f t="array" ref="J82">IFERROR(_xlfn.IFS(
$G82="BT_with_5_year_lock_in_period", _xlfn.XLOOKUP($H82, Deviate_Table[Pricing discount], Deviate_Table[BT_with_5_year_lock_in_period]),
$G82="others", _xlfn.XLOOKUP($H82, Deviate_Table[Pricing discount], Deviate_Table[others]),
TRUE, ""), "Please input Deviate Range !!!")</f>
        <v/>
      </c>
      <c r="K82" s="49">
        <f t="shared" si="1"/>
        <v>0</v>
      </c>
      <c r="L82" s="65" cm="1">
        <f t="array" aca="1" ref="L82" ca="1">IFERROR(
_xlfn.IFS(
D82="HomeLoan_BT_less_than_2_Percent", VLOOKUP(SUMIFS($K:$K, $D:$D, "HomeLoan_BT_more_than_2_Percent", $B:$B, B82)+SUMIFS($K:$K, $D:$D, "HomeLoan_BT_less_than_2_Percent", $B:$B, B82)+SUMIFS($K:$K, $D:$D, "HomeLoan_Non_BT", $B:$B, B82)+SUMIFS($K:$K, $D:$D, "Mortgage_Power_Term", $B:$B, B82), Secured_Commission!$A:$F, 2, 1)*(K82/10^6),
D82="HomeLoan_BT_more_than_2_Percent", VLOOKUP(SUMIFS($K:$K, $D:$D, "HomeLoan_BT_more_than_2_Percent", $B:$B, B82)+SUMIFS($K:$K, $D:$D, "HomeLoan_BT_less_than_2_Percent", $B:$B, B82)+SUMIFS($K:$K, $D:$D, "HomeLoan_Non_BT", $B:$B, B82)+SUMIFS($K:$K, $D:$D, "Mortgage_Power_Term", $B:$B, B82), Secured_Commission!$A:$F, 3, 1)*(K82/10^6),
D82="HomeLoan_Non_BT", VLOOKUP(SUMIFS($K:$K, $D:$D, "HomeLoan_BT_more_than_2_Percent", $B:$B, B82)+SUMIFS($K:$K, $D:$D, "HomeLoan_BT_less_than_2_Percent", $B:$B, B82)+SUMIFS($K:$K, $D:$D, "HomeLoan_Non_BT", $B:$B, B82)+SUMIFS($K:$K, $D:$D, "Mortgage_Power_Term", $B:$B, B82), Secured_Commission!$A:$F, 4, 1)*(K82/10^6),
D82="Mortgage_Power_Term", VLOOKUP(SUMIFS($K:$K, $D:$D, "HomeLoan_BT_more_than_2_Percent", $B:$B, B82)+SUMIFS($K:$K, $D:$D, "HomeLoan_BT_less_than_2_Percent", $B:$B, B82)+SUMIFS($K:$K, $D:$D, "HomeLoan_Non_BT", $B:$B, B82)+SUMIFS($K:$K, $D:$D, "Mortgage_Power_Term", $B:$B, B82), Secured_Commission!$A:$F, 5, 1)*(K82/10^6),
D82="Personal_Cash", VLOOKUP(SUMIFS($K:$K, $D:$D, "Personal_Cash", $B:$B, B82), Unsecured_Commission!$A:$B, 2, 1)*K82,
OR(D82="MRTA_3_Percent", D82="SOMPO"), K82*0.03,
D82="MRTA_6_Percent", K82*0.06), 0)</f>
        <v>0</v>
      </c>
    </row>
    <row r="83" spans="1:12">
      <c r="A83" s="19">
        <v>78</v>
      </c>
      <c r="B83" s="46"/>
      <c r="C83" s="46"/>
      <c r="D83" s="46"/>
      <c r="E83" s="46"/>
      <c r="G83" s="58" t="str" cm="1">
        <f t="array" ref="G83">_xlfn.IFS(
AND($C83="Secured", OR($D83="HomeLoan_BT_more_than_2_Percent", $D83="HomeLoan_BT_less_than_2_Percent"), $E83=""), "",
AND($C83="Secured",$E83=""),"others",
AND($C83="Secured",$E83=3),"others",
AND($C83="Secured",$E83=5),"BT_with_5_year_lock_in_period",
TRUE, "")</f>
        <v/>
      </c>
      <c r="H83" s="46"/>
      <c r="I83" s="59" t="str" cm="1">
        <f t="array" ref="I83">_xlfn.IFS(
AND($C83="Secured", OR($D83="HomeLoan_BT_more_than_2_Percent", $D83="HomeLoan_BT_less_than_2_Percent"), OR($E83="", $E83=0)), "Please input Year !!!",
AND($C83="Secured", OR($F83="", $F83=0)), "Please input Amount !!!",
AND($C83="Secured", $F83&lt;5000000), 1,
AND($C83="Secured", $F83&gt;=5000000), 1.1,
TRUE, "")</f>
        <v/>
      </c>
      <c r="J83" s="59" t="str" cm="1">
        <f t="array" ref="J83">IFERROR(_xlfn.IFS(
$G83="BT_with_5_year_lock_in_period", _xlfn.XLOOKUP($H83, Deviate_Table[Pricing discount], Deviate_Table[BT_with_5_year_lock_in_period]),
$G83="others", _xlfn.XLOOKUP($H83, Deviate_Table[Pricing discount], Deviate_Table[others]),
TRUE, ""), "Please input Deviate Range !!!")</f>
        <v/>
      </c>
      <c r="K83" s="49">
        <f t="shared" si="1"/>
        <v>0</v>
      </c>
      <c r="L83" s="65" cm="1">
        <f t="array" aca="1" ref="L83" ca="1">IFERROR(
_xlfn.IFS(
D83="HomeLoan_BT_less_than_2_Percent", VLOOKUP(SUMIFS($K:$K, $D:$D, "HomeLoan_BT_more_than_2_Percent", $B:$B, B83)+SUMIFS($K:$K, $D:$D, "HomeLoan_BT_less_than_2_Percent", $B:$B, B83)+SUMIFS($K:$K, $D:$D, "HomeLoan_Non_BT", $B:$B, B83)+SUMIFS($K:$K, $D:$D, "Mortgage_Power_Term", $B:$B, B83), Secured_Commission!$A:$F, 2, 1)*(K83/10^6),
D83="HomeLoan_BT_more_than_2_Percent", VLOOKUP(SUMIFS($K:$K, $D:$D, "HomeLoan_BT_more_than_2_Percent", $B:$B, B83)+SUMIFS($K:$K, $D:$D, "HomeLoan_BT_less_than_2_Percent", $B:$B, B83)+SUMIFS($K:$K, $D:$D, "HomeLoan_Non_BT", $B:$B, B83)+SUMIFS($K:$K, $D:$D, "Mortgage_Power_Term", $B:$B, B83), Secured_Commission!$A:$F, 3, 1)*(K83/10^6),
D83="HomeLoan_Non_BT", VLOOKUP(SUMIFS($K:$K, $D:$D, "HomeLoan_BT_more_than_2_Percent", $B:$B, B83)+SUMIFS($K:$K, $D:$D, "HomeLoan_BT_less_than_2_Percent", $B:$B, B83)+SUMIFS($K:$K, $D:$D, "HomeLoan_Non_BT", $B:$B, B83)+SUMIFS($K:$K, $D:$D, "Mortgage_Power_Term", $B:$B, B83), Secured_Commission!$A:$F, 4, 1)*(K83/10^6),
D83="Mortgage_Power_Term", VLOOKUP(SUMIFS($K:$K, $D:$D, "HomeLoan_BT_more_than_2_Percent", $B:$B, B83)+SUMIFS($K:$K, $D:$D, "HomeLoan_BT_less_than_2_Percent", $B:$B, B83)+SUMIFS($K:$K, $D:$D, "HomeLoan_Non_BT", $B:$B, B83)+SUMIFS($K:$K, $D:$D, "Mortgage_Power_Term", $B:$B, B83), Secured_Commission!$A:$F, 5, 1)*(K83/10^6),
D83="Personal_Cash", VLOOKUP(SUMIFS($K:$K, $D:$D, "Personal_Cash", $B:$B, B83), Unsecured_Commission!$A:$B, 2, 1)*K83,
OR(D83="MRTA_3_Percent", D83="SOMPO"), K83*0.03,
D83="MRTA_6_Percent", K83*0.06), 0)</f>
        <v>0</v>
      </c>
    </row>
    <row r="84" spans="1:12">
      <c r="A84" s="19">
        <v>79</v>
      </c>
      <c r="B84" s="46"/>
      <c r="C84" s="46"/>
      <c r="D84" s="46"/>
      <c r="E84" s="46"/>
      <c r="G84" s="58" t="str" cm="1">
        <f t="array" ref="G84">_xlfn.IFS(
AND($C84="Secured", OR($D84="HomeLoan_BT_more_than_2_Percent", $D84="HomeLoan_BT_less_than_2_Percent"), $E84=""), "",
AND($C84="Secured",$E84=""),"others",
AND($C84="Secured",$E84=3),"others",
AND($C84="Secured",$E84=5),"BT_with_5_year_lock_in_period",
TRUE, "")</f>
        <v/>
      </c>
      <c r="H84" s="46"/>
      <c r="I84" s="59" t="str" cm="1">
        <f t="array" ref="I84">_xlfn.IFS(
AND($C84="Secured", OR($D84="HomeLoan_BT_more_than_2_Percent", $D84="HomeLoan_BT_less_than_2_Percent"), OR($E84="", $E84=0)), "Please input Year !!!",
AND($C84="Secured", OR($F84="", $F84=0)), "Please input Amount !!!",
AND($C84="Secured", $F84&lt;5000000), 1,
AND($C84="Secured", $F84&gt;=5000000), 1.1,
TRUE, "")</f>
        <v/>
      </c>
      <c r="J84" s="59" t="str" cm="1">
        <f t="array" ref="J84">IFERROR(_xlfn.IFS(
$G84="BT_with_5_year_lock_in_period", _xlfn.XLOOKUP($H84, Deviate_Table[Pricing discount], Deviate_Table[BT_with_5_year_lock_in_period]),
$G84="others", _xlfn.XLOOKUP($H84, Deviate_Table[Pricing discount], Deviate_Table[others]),
TRUE, ""), "Please input Deviate Range !!!")</f>
        <v/>
      </c>
      <c r="K84" s="49">
        <f t="shared" si="1"/>
        <v>0</v>
      </c>
      <c r="L84" s="65" cm="1">
        <f t="array" aca="1" ref="L84" ca="1">IFERROR(
_xlfn.IFS(
D84="HomeLoan_BT_less_than_2_Percent", VLOOKUP(SUMIFS($K:$K, $D:$D, "HomeLoan_BT_more_than_2_Percent", $B:$B, B84)+SUMIFS($K:$K, $D:$D, "HomeLoan_BT_less_than_2_Percent", $B:$B, B84)+SUMIFS($K:$K, $D:$D, "HomeLoan_Non_BT", $B:$B, B84)+SUMIFS($K:$K, $D:$D, "Mortgage_Power_Term", $B:$B, B84), Secured_Commission!$A:$F, 2, 1)*(K84/10^6),
D84="HomeLoan_BT_more_than_2_Percent", VLOOKUP(SUMIFS($K:$K, $D:$D, "HomeLoan_BT_more_than_2_Percent", $B:$B, B84)+SUMIFS($K:$K, $D:$D, "HomeLoan_BT_less_than_2_Percent", $B:$B, B84)+SUMIFS($K:$K, $D:$D, "HomeLoan_Non_BT", $B:$B, B84)+SUMIFS($K:$K, $D:$D, "Mortgage_Power_Term", $B:$B, B84), Secured_Commission!$A:$F, 3, 1)*(K84/10^6),
D84="HomeLoan_Non_BT", VLOOKUP(SUMIFS($K:$K, $D:$D, "HomeLoan_BT_more_than_2_Percent", $B:$B, B84)+SUMIFS($K:$K, $D:$D, "HomeLoan_BT_less_than_2_Percent", $B:$B, B84)+SUMIFS($K:$K, $D:$D, "HomeLoan_Non_BT", $B:$B, B84)+SUMIFS($K:$K, $D:$D, "Mortgage_Power_Term", $B:$B, B84), Secured_Commission!$A:$F, 4, 1)*(K84/10^6),
D84="Mortgage_Power_Term", VLOOKUP(SUMIFS($K:$K, $D:$D, "HomeLoan_BT_more_than_2_Percent", $B:$B, B84)+SUMIFS($K:$K, $D:$D, "HomeLoan_BT_less_than_2_Percent", $B:$B, B84)+SUMIFS($K:$K, $D:$D, "HomeLoan_Non_BT", $B:$B, B84)+SUMIFS($K:$K, $D:$D, "Mortgage_Power_Term", $B:$B, B84), Secured_Commission!$A:$F, 5, 1)*(K84/10^6),
D84="Personal_Cash", VLOOKUP(SUMIFS($K:$K, $D:$D, "Personal_Cash", $B:$B, B84), Unsecured_Commission!$A:$B, 2, 1)*K84,
OR(D84="MRTA_3_Percent", D84="SOMPO"), K84*0.03,
D84="MRTA_6_Percent", K84*0.06), 0)</f>
        <v>0</v>
      </c>
    </row>
    <row r="85" spans="1:12">
      <c r="A85" s="19">
        <v>80</v>
      </c>
      <c r="B85" s="46"/>
      <c r="C85" s="46"/>
      <c r="D85" s="46"/>
      <c r="E85" s="46"/>
      <c r="G85" s="58" t="str" cm="1">
        <f t="array" ref="G85">_xlfn.IFS(
AND($C85="Secured", OR($D85="HomeLoan_BT_more_than_2_Percent", $D85="HomeLoan_BT_less_than_2_Percent"), $E85=""), "",
AND($C85="Secured",$E85=""),"others",
AND($C85="Secured",$E85=3),"others",
AND($C85="Secured",$E85=5),"BT_with_5_year_lock_in_period",
TRUE, "")</f>
        <v/>
      </c>
      <c r="H85" s="46"/>
      <c r="I85" s="59" t="str" cm="1">
        <f t="array" ref="I85">_xlfn.IFS(
AND($C85="Secured", OR($D85="HomeLoan_BT_more_than_2_Percent", $D85="HomeLoan_BT_less_than_2_Percent"), OR($E85="", $E85=0)), "Please input Year !!!",
AND($C85="Secured", OR($F85="", $F85=0)), "Please input Amount !!!",
AND($C85="Secured", $F85&lt;5000000), 1,
AND($C85="Secured", $F85&gt;=5000000), 1.1,
TRUE, "")</f>
        <v/>
      </c>
      <c r="J85" s="59" t="str" cm="1">
        <f t="array" ref="J85">IFERROR(_xlfn.IFS(
$G85="BT_with_5_year_lock_in_period", _xlfn.XLOOKUP($H85, Deviate_Table[Pricing discount], Deviate_Table[BT_with_5_year_lock_in_period]),
$G85="others", _xlfn.XLOOKUP($H85, Deviate_Table[Pricing discount], Deviate_Table[others]),
TRUE, ""), "Please input Deviate Range !!!")</f>
        <v/>
      </c>
      <c r="K85" s="49">
        <f t="shared" si="1"/>
        <v>0</v>
      </c>
      <c r="L85" s="65" cm="1">
        <f t="array" aca="1" ref="L85" ca="1">IFERROR(
_xlfn.IFS(
D85="HomeLoan_BT_less_than_2_Percent", VLOOKUP(SUMIFS($K:$K, $D:$D, "HomeLoan_BT_more_than_2_Percent", $B:$B, B85)+SUMIFS($K:$K, $D:$D, "HomeLoan_BT_less_than_2_Percent", $B:$B, B85)+SUMIFS($K:$K, $D:$D, "HomeLoan_Non_BT", $B:$B, B85)+SUMIFS($K:$K, $D:$D, "Mortgage_Power_Term", $B:$B, B85), Secured_Commission!$A:$F, 2, 1)*(K85/10^6),
D85="HomeLoan_BT_more_than_2_Percent", VLOOKUP(SUMIFS($K:$K, $D:$D, "HomeLoan_BT_more_than_2_Percent", $B:$B, B85)+SUMIFS($K:$K, $D:$D, "HomeLoan_BT_less_than_2_Percent", $B:$B, B85)+SUMIFS($K:$K, $D:$D, "HomeLoan_Non_BT", $B:$B, B85)+SUMIFS($K:$K, $D:$D, "Mortgage_Power_Term", $B:$B, B85), Secured_Commission!$A:$F, 3, 1)*(K85/10^6),
D85="HomeLoan_Non_BT", VLOOKUP(SUMIFS($K:$K, $D:$D, "HomeLoan_BT_more_than_2_Percent", $B:$B, B85)+SUMIFS($K:$K, $D:$D, "HomeLoan_BT_less_than_2_Percent", $B:$B, B85)+SUMIFS($K:$K, $D:$D, "HomeLoan_Non_BT", $B:$B, B85)+SUMIFS($K:$K, $D:$D, "Mortgage_Power_Term", $B:$B, B85), Secured_Commission!$A:$F, 4, 1)*(K85/10^6),
D85="Mortgage_Power_Term", VLOOKUP(SUMIFS($K:$K, $D:$D, "HomeLoan_BT_more_than_2_Percent", $B:$B, B85)+SUMIFS($K:$K, $D:$D, "HomeLoan_BT_less_than_2_Percent", $B:$B, B85)+SUMIFS($K:$K, $D:$D, "HomeLoan_Non_BT", $B:$B, B85)+SUMIFS($K:$K, $D:$D, "Mortgage_Power_Term", $B:$B, B85), Secured_Commission!$A:$F, 5, 1)*(K85/10^6),
D85="Personal_Cash", VLOOKUP(SUMIFS($K:$K, $D:$D, "Personal_Cash", $B:$B, B85), Unsecured_Commission!$A:$B, 2, 1)*K85,
OR(D85="MRTA_3_Percent", D85="SOMPO"), K85*0.03,
D85="MRTA_6_Percent", K85*0.06), 0)</f>
        <v>0</v>
      </c>
    </row>
    <row r="86" spans="1:12">
      <c r="A86" s="19">
        <v>81</v>
      </c>
      <c r="B86" s="46"/>
      <c r="C86" s="46"/>
      <c r="D86" s="46"/>
      <c r="E86" s="46"/>
      <c r="G86" s="58" t="str" cm="1">
        <f t="array" ref="G86">_xlfn.IFS(
AND($C86="Secured", OR($D86="HomeLoan_BT_more_than_2_Percent", $D86="HomeLoan_BT_less_than_2_Percent"), $E86=""), "",
AND($C86="Secured",$E86=""),"others",
AND($C86="Secured",$E86=3),"others",
AND($C86="Secured",$E86=5),"BT_with_5_year_lock_in_period",
TRUE, "")</f>
        <v/>
      </c>
      <c r="H86" s="46"/>
      <c r="I86" s="59" t="str" cm="1">
        <f t="array" ref="I86">_xlfn.IFS(
AND($C86="Secured", OR($D86="HomeLoan_BT_more_than_2_Percent", $D86="HomeLoan_BT_less_than_2_Percent"), OR($E86="", $E86=0)), "Please input Year !!!",
AND($C86="Secured", OR($F86="", $F86=0)), "Please input Amount !!!",
AND($C86="Secured", $F86&lt;5000000), 1,
AND($C86="Secured", $F86&gt;=5000000), 1.1,
TRUE, "")</f>
        <v/>
      </c>
      <c r="J86" s="59" t="str" cm="1">
        <f t="array" ref="J86">IFERROR(_xlfn.IFS(
$G86="BT_with_5_year_lock_in_period", _xlfn.XLOOKUP($H86, Deviate_Table[Pricing discount], Deviate_Table[BT_with_5_year_lock_in_period]),
$G86="others", _xlfn.XLOOKUP($H86, Deviate_Table[Pricing discount], Deviate_Table[others]),
TRUE, ""), "Please input Deviate Range !!!")</f>
        <v/>
      </c>
      <c r="K86" s="49">
        <f t="shared" si="1"/>
        <v>0</v>
      </c>
      <c r="L86" s="65" cm="1">
        <f t="array" aca="1" ref="L86" ca="1">IFERROR(
_xlfn.IFS(
D86="HomeLoan_BT_less_than_2_Percent", VLOOKUP(SUMIFS($K:$K, $D:$D, "HomeLoan_BT_more_than_2_Percent", $B:$B, B86)+SUMIFS($K:$K, $D:$D, "HomeLoan_BT_less_than_2_Percent", $B:$B, B86)+SUMIFS($K:$K, $D:$D, "HomeLoan_Non_BT", $B:$B, B86)+SUMIFS($K:$K, $D:$D, "Mortgage_Power_Term", $B:$B, B86), Secured_Commission!$A:$F, 2, 1)*(K86/10^6),
D86="HomeLoan_BT_more_than_2_Percent", VLOOKUP(SUMIFS($K:$K, $D:$D, "HomeLoan_BT_more_than_2_Percent", $B:$B, B86)+SUMIFS($K:$K, $D:$D, "HomeLoan_BT_less_than_2_Percent", $B:$B, B86)+SUMIFS($K:$K, $D:$D, "HomeLoan_Non_BT", $B:$B, B86)+SUMIFS($K:$K, $D:$D, "Mortgage_Power_Term", $B:$B, B86), Secured_Commission!$A:$F, 3, 1)*(K86/10^6),
D86="HomeLoan_Non_BT", VLOOKUP(SUMIFS($K:$K, $D:$D, "HomeLoan_BT_more_than_2_Percent", $B:$B, B86)+SUMIFS($K:$K, $D:$D, "HomeLoan_BT_less_than_2_Percent", $B:$B, B86)+SUMIFS($K:$K, $D:$D, "HomeLoan_Non_BT", $B:$B, B86)+SUMIFS($K:$K, $D:$D, "Mortgage_Power_Term", $B:$B, B86), Secured_Commission!$A:$F, 4, 1)*(K86/10^6),
D86="Mortgage_Power_Term", VLOOKUP(SUMIFS($K:$K, $D:$D, "HomeLoan_BT_more_than_2_Percent", $B:$B, B86)+SUMIFS($K:$K, $D:$D, "HomeLoan_BT_less_than_2_Percent", $B:$B, B86)+SUMIFS($K:$K, $D:$D, "HomeLoan_Non_BT", $B:$B, B86)+SUMIFS($K:$K, $D:$D, "Mortgage_Power_Term", $B:$B, B86), Secured_Commission!$A:$F, 5, 1)*(K86/10^6),
D86="Personal_Cash", VLOOKUP(SUMIFS($K:$K, $D:$D, "Personal_Cash", $B:$B, B86), Unsecured_Commission!$A:$B, 2, 1)*K86,
OR(D86="MRTA_3_Percent", D86="SOMPO"), K86*0.03,
D86="MRTA_6_Percent", K86*0.06), 0)</f>
        <v>0</v>
      </c>
    </row>
    <row r="87" spans="1:12">
      <c r="A87" s="19">
        <v>82</v>
      </c>
      <c r="B87" s="46"/>
      <c r="C87" s="46"/>
      <c r="D87" s="46"/>
      <c r="E87" s="46"/>
      <c r="G87" s="58" t="str" cm="1">
        <f t="array" ref="G87">_xlfn.IFS(
AND($C87="Secured", OR($D87="HomeLoan_BT_more_than_2_Percent", $D87="HomeLoan_BT_less_than_2_Percent"), $E87=""), "",
AND($C87="Secured",$E87=""),"others",
AND($C87="Secured",$E87=3),"others",
AND($C87="Secured",$E87=5),"BT_with_5_year_lock_in_period",
TRUE, "")</f>
        <v/>
      </c>
      <c r="H87" s="46"/>
      <c r="I87" s="59" t="str" cm="1">
        <f t="array" ref="I87">_xlfn.IFS(
AND($C87="Secured", OR($D87="HomeLoan_BT_more_than_2_Percent", $D87="HomeLoan_BT_less_than_2_Percent"), OR($E87="", $E87=0)), "Please input Year !!!",
AND($C87="Secured", OR($F87="", $F87=0)), "Please input Amount !!!",
AND($C87="Secured", $F87&lt;5000000), 1,
AND($C87="Secured", $F87&gt;=5000000), 1.1,
TRUE, "")</f>
        <v/>
      </c>
      <c r="J87" s="59" t="str" cm="1">
        <f t="array" ref="J87">IFERROR(_xlfn.IFS(
$G87="BT_with_5_year_lock_in_period", _xlfn.XLOOKUP($H87, Deviate_Table[Pricing discount], Deviate_Table[BT_with_5_year_lock_in_period]),
$G87="others", _xlfn.XLOOKUP($H87, Deviate_Table[Pricing discount], Deviate_Table[others]),
TRUE, ""), "Please input Deviate Range !!!")</f>
        <v/>
      </c>
      <c r="K87" s="49">
        <f t="shared" si="1"/>
        <v>0</v>
      </c>
      <c r="L87" s="65" cm="1">
        <f t="array" aca="1" ref="L87" ca="1">IFERROR(
_xlfn.IFS(
D87="HomeLoan_BT_less_than_2_Percent", VLOOKUP(SUMIFS($K:$K, $D:$D, "HomeLoan_BT_more_than_2_Percent", $B:$B, B87)+SUMIFS($K:$K, $D:$D, "HomeLoan_BT_less_than_2_Percent", $B:$B, B87)+SUMIFS($K:$K, $D:$D, "HomeLoan_Non_BT", $B:$B, B87)+SUMIFS($K:$K, $D:$D, "Mortgage_Power_Term", $B:$B, B87), Secured_Commission!$A:$F, 2, 1)*(K87/10^6),
D87="HomeLoan_BT_more_than_2_Percent", VLOOKUP(SUMIFS($K:$K, $D:$D, "HomeLoan_BT_more_than_2_Percent", $B:$B, B87)+SUMIFS($K:$K, $D:$D, "HomeLoan_BT_less_than_2_Percent", $B:$B, B87)+SUMIFS($K:$K, $D:$D, "HomeLoan_Non_BT", $B:$B, B87)+SUMIFS($K:$K, $D:$D, "Mortgage_Power_Term", $B:$B, B87), Secured_Commission!$A:$F, 3, 1)*(K87/10^6),
D87="HomeLoan_Non_BT", VLOOKUP(SUMIFS($K:$K, $D:$D, "HomeLoan_BT_more_than_2_Percent", $B:$B, B87)+SUMIFS($K:$K, $D:$D, "HomeLoan_BT_less_than_2_Percent", $B:$B, B87)+SUMIFS($K:$K, $D:$D, "HomeLoan_Non_BT", $B:$B, B87)+SUMIFS($K:$K, $D:$D, "Mortgage_Power_Term", $B:$B, B87), Secured_Commission!$A:$F, 4, 1)*(K87/10^6),
D87="Mortgage_Power_Term", VLOOKUP(SUMIFS($K:$K, $D:$D, "HomeLoan_BT_more_than_2_Percent", $B:$B, B87)+SUMIFS($K:$K, $D:$D, "HomeLoan_BT_less_than_2_Percent", $B:$B, B87)+SUMIFS($K:$K, $D:$D, "HomeLoan_Non_BT", $B:$B, B87)+SUMIFS($K:$K, $D:$D, "Mortgage_Power_Term", $B:$B, B87), Secured_Commission!$A:$F, 5, 1)*(K87/10^6),
D87="Personal_Cash", VLOOKUP(SUMIFS($K:$K, $D:$D, "Personal_Cash", $B:$B, B87), Unsecured_Commission!$A:$B, 2, 1)*K87,
OR(D87="MRTA_3_Percent", D87="SOMPO"), K87*0.03,
D87="MRTA_6_Percent", K87*0.06), 0)</f>
        <v>0</v>
      </c>
    </row>
    <row r="88" spans="1:12">
      <c r="A88" s="19">
        <v>83</v>
      </c>
      <c r="B88" s="46"/>
      <c r="C88" s="46"/>
      <c r="D88" s="46"/>
      <c r="E88" s="46"/>
      <c r="G88" s="58" t="str" cm="1">
        <f t="array" ref="G88">_xlfn.IFS(
AND($C88="Secured", OR($D88="HomeLoan_BT_more_than_2_Percent", $D88="HomeLoan_BT_less_than_2_Percent"), $E88=""), "",
AND($C88="Secured",$E88=""),"others",
AND($C88="Secured",$E88=3),"others",
AND($C88="Secured",$E88=5),"BT_with_5_year_lock_in_period",
TRUE, "")</f>
        <v/>
      </c>
      <c r="H88" s="46"/>
      <c r="I88" s="59" t="str" cm="1">
        <f t="array" ref="I88">_xlfn.IFS(
AND($C88="Secured", OR($D88="HomeLoan_BT_more_than_2_Percent", $D88="HomeLoan_BT_less_than_2_Percent"), OR($E88="", $E88=0)), "Please input Year !!!",
AND($C88="Secured", OR($F88="", $F88=0)), "Please input Amount !!!",
AND($C88="Secured", $F88&lt;5000000), 1,
AND($C88="Secured", $F88&gt;=5000000), 1.1,
TRUE, "")</f>
        <v/>
      </c>
      <c r="J88" s="59" t="str" cm="1">
        <f t="array" ref="J88">IFERROR(_xlfn.IFS(
$G88="BT_with_5_year_lock_in_period", _xlfn.XLOOKUP($H88, Deviate_Table[Pricing discount], Deviate_Table[BT_with_5_year_lock_in_period]),
$G88="others", _xlfn.XLOOKUP($H88, Deviate_Table[Pricing discount], Deviate_Table[others]),
TRUE, ""), "Please input Deviate Range !!!")</f>
        <v/>
      </c>
      <c r="K88" s="49">
        <f t="shared" si="1"/>
        <v>0</v>
      </c>
      <c r="L88" s="65" cm="1">
        <f t="array" aca="1" ref="L88" ca="1">IFERROR(
_xlfn.IFS(
D88="HomeLoan_BT_less_than_2_Percent", VLOOKUP(SUMIFS($K:$K, $D:$D, "HomeLoan_BT_more_than_2_Percent", $B:$B, B88)+SUMIFS($K:$K, $D:$D, "HomeLoan_BT_less_than_2_Percent", $B:$B, B88)+SUMIFS($K:$K, $D:$D, "HomeLoan_Non_BT", $B:$B, B88)+SUMIFS($K:$K, $D:$D, "Mortgage_Power_Term", $B:$B, B88), Secured_Commission!$A:$F, 2, 1)*(K88/10^6),
D88="HomeLoan_BT_more_than_2_Percent", VLOOKUP(SUMIFS($K:$K, $D:$D, "HomeLoan_BT_more_than_2_Percent", $B:$B, B88)+SUMIFS($K:$K, $D:$D, "HomeLoan_BT_less_than_2_Percent", $B:$B, B88)+SUMIFS($K:$K, $D:$D, "HomeLoan_Non_BT", $B:$B, B88)+SUMIFS($K:$K, $D:$D, "Mortgage_Power_Term", $B:$B, B88), Secured_Commission!$A:$F, 3, 1)*(K88/10^6),
D88="HomeLoan_Non_BT", VLOOKUP(SUMIFS($K:$K, $D:$D, "HomeLoan_BT_more_than_2_Percent", $B:$B, B88)+SUMIFS($K:$K, $D:$D, "HomeLoan_BT_less_than_2_Percent", $B:$B, B88)+SUMIFS($K:$K, $D:$D, "HomeLoan_Non_BT", $B:$B, B88)+SUMIFS($K:$K, $D:$D, "Mortgage_Power_Term", $B:$B, B88), Secured_Commission!$A:$F, 4, 1)*(K88/10^6),
D88="Mortgage_Power_Term", VLOOKUP(SUMIFS($K:$K, $D:$D, "HomeLoan_BT_more_than_2_Percent", $B:$B, B88)+SUMIFS($K:$K, $D:$D, "HomeLoan_BT_less_than_2_Percent", $B:$B, B88)+SUMIFS($K:$K, $D:$D, "HomeLoan_Non_BT", $B:$B, B88)+SUMIFS($K:$K, $D:$D, "Mortgage_Power_Term", $B:$B, B88), Secured_Commission!$A:$F, 5, 1)*(K88/10^6),
D88="Personal_Cash", VLOOKUP(SUMIFS($K:$K, $D:$D, "Personal_Cash", $B:$B, B88), Unsecured_Commission!$A:$B, 2, 1)*K88,
OR(D88="MRTA_3_Percent", D88="SOMPO"), K88*0.03,
D88="MRTA_6_Percent", K88*0.06), 0)</f>
        <v>0</v>
      </c>
    </row>
    <row r="89" spans="1:12">
      <c r="A89" s="19">
        <v>84</v>
      </c>
      <c r="B89" s="46"/>
      <c r="C89" s="46"/>
      <c r="D89" s="46"/>
      <c r="E89" s="46"/>
      <c r="G89" s="58" t="str" cm="1">
        <f t="array" ref="G89">_xlfn.IFS(
AND($C89="Secured", OR($D89="HomeLoan_BT_more_than_2_Percent", $D89="HomeLoan_BT_less_than_2_Percent"), $E89=""), "",
AND($C89="Secured",$E89=""),"others",
AND($C89="Secured",$E89=3),"others",
AND($C89="Secured",$E89=5),"BT_with_5_year_lock_in_period",
TRUE, "")</f>
        <v/>
      </c>
      <c r="H89" s="46"/>
      <c r="I89" s="59" t="str" cm="1">
        <f t="array" ref="I89">_xlfn.IFS(
AND($C89="Secured", OR($D89="HomeLoan_BT_more_than_2_Percent", $D89="HomeLoan_BT_less_than_2_Percent"), OR($E89="", $E89=0)), "Please input Year !!!",
AND($C89="Secured", OR($F89="", $F89=0)), "Please input Amount !!!",
AND($C89="Secured", $F89&lt;5000000), 1,
AND($C89="Secured", $F89&gt;=5000000), 1.1,
TRUE, "")</f>
        <v/>
      </c>
      <c r="J89" s="59" t="str" cm="1">
        <f t="array" ref="J89">IFERROR(_xlfn.IFS(
$G89="BT_with_5_year_lock_in_period", _xlfn.XLOOKUP($H89, Deviate_Table[Pricing discount], Deviate_Table[BT_with_5_year_lock_in_period]),
$G89="others", _xlfn.XLOOKUP($H89, Deviate_Table[Pricing discount], Deviate_Table[others]),
TRUE, ""), "Please input Deviate Range !!!")</f>
        <v/>
      </c>
      <c r="K89" s="49">
        <f t="shared" si="1"/>
        <v>0</v>
      </c>
      <c r="L89" s="65" cm="1">
        <f t="array" aca="1" ref="L89" ca="1">IFERROR(
_xlfn.IFS(
D89="HomeLoan_BT_less_than_2_Percent", VLOOKUP(SUMIFS($K:$K, $D:$D, "HomeLoan_BT_more_than_2_Percent", $B:$B, B89)+SUMIFS($K:$K, $D:$D, "HomeLoan_BT_less_than_2_Percent", $B:$B, B89)+SUMIFS($K:$K, $D:$D, "HomeLoan_Non_BT", $B:$B, B89)+SUMIFS($K:$K, $D:$D, "Mortgage_Power_Term", $B:$B, B89), Secured_Commission!$A:$F, 2, 1)*(K89/10^6),
D89="HomeLoan_BT_more_than_2_Percent", VLOOKUP(SUMIFS($K:$K, $D:$D, "HomeLoan_BT_more_than_2_Percent", $B:$B, B89)+SUMIFS($K:$K, $D:$D, "HomeLoan_BT_less_than_2_Percent", $B:$B, B89)+SUMIFS($K:$K, $D:$D, "HomeLoan_Non_BT", $B:$B, B89)+SUMIFS($K:$K, $D:$D, "Mortgage_Power_Term", $B:$B, B89), Secured_Commission!$A:$F, 3, 1)*(K89/10^6),
D89="HomeLoan_Non_BT", VLOOKUP(SUMIFS($K:$K, $D:$D, "HomeLoan_BT_more_than_2_Percent", $B:$B, B89)+SUMIFS($K:$K, $D:$D, "HomeLoan_BT_less_than_2_Percent", $B:$B, B89)+SUMIFS($K:$K, $D:$D, "HomeLoan_Non_BT", $B:$B, B89)+SUMIFS($K:$K, $D:$D, "Mortgage_Power_Term", $B:$B, B89), Secured_Commission!$A:$F, 4, 1)*(K89/10^6),
D89="Mortgage_Power_Term", VLOOKUP(SUMIFS($K:$K, $D:$D, "HomeLoan_BT_more_than_2_Percent", $B:$B, B89)+SUMIFS($K:$K, $D:$D, "HomeLoan_BT_less_than_2_Percent", $B:$B, B89)+SUMIFS($K:$K, $D:$D, "HomeLoan_Non_BT", $B:$B, B89)+SUMIFS($K:$K, $D:$D, "Mortgage_Power_Term", $B:$B, B89), Secured_Commission!$A:$F, 5, 1)*(K89/10^6),
D89="Personal_Cash", VLOOKUP(SUMIFS($K:$K, $D:$D, "Personal_Cash", $B:$B, B89), Unsecured_Commission!$A:$B, 2, 1)*K89,
OR(D89="MRTA_3_Percent", D89="SOMPO"), K89*0.03,
D89="MRTA_6_Percent", K89*0.06), 0)</f>
        <v>0</v>
      </c>
    </row>
    <row r="90" spans="1:12">
      <c r="A90" s="19">
        <v>85</v>
      </c>
      <c r="B90" s="46"/>
      <c r="C90" s="46"/>
      <c r="D90" s="46"/>
      <c r="E90" s="46"/>
      <c r="G90" s="58" t="str" cm="1">
        <f t="array" ref="G90">_xlfn.IFS(
AND($C90="Secured", OR($D90="HomeLoan_BT_more_than_2_Percent", $D90="HomeLoan_BT_less_than_2_Percent"), $E90=""), "",
AND($C90="Secured",$E90=""),"others",
AND($C90="Secured",$E90=3),"others",
AND($C90="Secured",$E90=5),"BT_with_5_year_lock_in_period",
TRUE, "")</f>
        <v/>
      </c>
      <c r="H90" s="46"/>
      <c r="I90" s="59" t="str" cm="1">
        <f t="array" ref="I90">_xlfn.IFS(
AND($C90="Secured", OR($D90="HomeLoan_BT_more_than_2_Percent", $D90="HomeLoan_BT_less_than_2_Percent"), OR($E90="", $E90=0)), "Please input Year !!!",
AND($C90="Secured", OR($F90="", $F90=0)), "Please input Amount !!!",
AND($C90="Secured", $F90&lt;5000000), 1,
AND($C90="Secured", $F90&gt;=5000000), 1.1,
TRUE, "")</f>
        <v/>
      </c>
      <c r="J90" s="59" t="str" cm="1">
        <f t="array" ref="J90">IFERROR(_xlfn.IFS(
$G90="BT_with_5_year_lock_in_period", _xlfn.XLOOKUP($H90, Deviate_Table[Pricing discount], Deviate_Table[BT_with_5_year_lock_in_period]),
$G90="others", _xlfn.XLOOKUP($H90, Deviate_Table[Pricing discount], Deviate_Table[others]),
TRUE, ""), "Please input Deviate Range !!!")</f>
        <v/>
      </c>
      <c r="K90" s="49">
        <f t="shared" si="1"/>
        <v>0</v>
      </c>
      <c r="L90" s="65" cm="1">
        <f t="array" aca="1" ref="L90" ca="1">IFERROR(
_xlfn.IFS(
D90="HomeLoan_BT_less_than_2_Percent", VLOOKUP(SUMIFS($K:$K, $D:$D, "HomeLoan_BT_more_than_2_Percent", $B:$B, B90)+SUMIFS($K:$K, $D:$D, "HomeLoan_BT_less_than_2_Percent", $B:$B, B90)+SUMIFS($K:$K, $D:$D, "HomeLoan_Non_BT", $B:$B, B90)+SUMIFS($K:$K, $D:$D, "Mortgage_Power_Term", $B:$B, B90), Secured_Commission!$A:$F, 2, 1)*(K90/10^6),
D90="HomeLoan_BT_more_than_2_Percent", VLOOKUP(SUMIFS($K:$K, $D:$D, "HomeLoan_BT_more_than_2_Percent", $B:$B, B90)+SUMIFS($K:$K, $D:$D, "HomeLoan_BT_less_than_2_Percent", $B:$B, B90)+SUMIFS($K:$K, $D:$D, "HomeLoan_Non_BT", $B:$B, B90)+SUMIFS($K:$K, $D:$D, "Mortgage_Power_Term", $B:$B, B90), Secured_Commission!$A:$F, 3, 1)*(K90/10^6),
D90="HomeLoan_Non_BT", VLOOKUP(SUMIFS($K:$K, $D:$D, "HomeLoan_BT_more_than_2_Percent", $B:$B, B90)+SUMIFS($K:$K, $D:$D, "HomeLoan_BT_less_than_2_Percent", $B:$B, B90)+SUMIFS($K:$K, $D:$D, "HomeLoan_Non_BT", $B:$B, B90)+SUMIFS($K:$K, $D:$D, "Mortgage_Power_Term", $B:$B, B90), Secured_Commission!$A:$F, 4, 1)*(K90/10^6),
D90="Mortgage_Power_Term", VLOOKUP(SUMIFS($K:$K, $D:$D, "HomeLoan_BT_more_than_2_Percent", $B:$B, B90)+SUMIFS($K:$K, $D:$D, "HomeLoan_BT_less_than_2_Percent", $B:$B, B90)+SUMIFS($K:$K, $D:$D, "HomeLoan_Non_BT", $B:$B, B90)+SUMIFS($K:$K, $D:$D, "Mortgage_Power_Term", $B:$B, B90), Secured_Commission!$A:$F, 5, 1)*(K90/10^6),
D90="Personal_Cash", VLOOKUP(SUMIFS($K:$K, $D:$D, "Personal_Cash", $B:$B, B90), Unsecured_Commission!$A:$B, 2, 1)*K90,
OR(D90="MRTA_3_Percent", D90="SOMPO"), K90*0.03,
D90="MRTA_6_Percent", K90*0.06), 0)</f>
        <v>0</v>
      </c>
    </row>
    <row r="91" spans="1:12">
      <c r="A91" s="19">
        <v>86</v>
      </c>
      <c r="B91" s="46"/>
      <c r="C91" s="46"/>
      <c r="D91" s="46"/>
      <c r="E91" s="46"/>
      <c r="G91" s="58" t="str" cm="1">
        <f t="array" ref="G91">_xlfn.IFS(
AND($C91="Secured", OR($D91="HomeLoan_BT_more_than_2_Percent", $D91="HomeLoan_BT_less_than_2_Percent"), $E91=""), "",
AND($C91="Secured",$E91=""),"others",
AND($C91="Secured",$E91=3),"others",
AND($C91="Secured",$E91=5),"BT_with_5_year_lock_in_period",
TRUE, "")</f>
        <v/>
      </c>
      <c r="H91" s="46"/>
      <c r="I91" s="59" t="str" cm="1">
        <f t="array" ref="I91">_xlfn.IFS(
AND($C91="Secured", OR($D91="HomeLoan_BT_more_than_2_Percent", $D91="HomeLoan_BT_less_than_2_Percent"), OR($E91="", $E91=0)), "Please input Year !!!",
AND($C91="Secured", OR($F91="", $F91=0)), "Please input Amount !!!",
AND($C91="Secured", $F91&lt;5000000), 1,
AND($C91="Secured", $F91&gt;=5000000), 1.1,
TRUE, "")</f>
        <v/>
      </c>
      <c r="J91" s="59" t="str" cm="1">
        <f t="array" ref="J91">IFERROR(_xlfn.IFS(
$G91="BT_with_5_year_lock_in_period", _xlfn.XLOOKUP($H91, Deviate_Table[Pricing discount], Deviate_Table[BT_with_5_year_lock_in_period]),
$G91="others", _xlfn.XLOOKUP($H91, Deviate_Table[Pricing discount], Deviate_Table[others]),
TRUE, ""), "Please input Deviate Range !!!")</f>
        <v/>
      </c>
      <c r="K91" s="49">
        <f t="shared" si="1"/>
        <v>0</v>
      </c>
      <c r="L91" s="65" cm="1">
        <f t="array" aca="1" ref="L91" ca="1">IFERROR(
_xlfn.IFS(
D91="HomeLoan_BT_less_than_2_Percent", VLOOKUP(SUMIFS($K:$K, $D:$D, "HomeLoan_BT_more_than_2_Percent", $B:$B, B91)+SUMIFS($K:$K, $D:$D, "HomeLoan_BT_less_than_2_Percent", $B:$B, B91)+SUMIFS($K:$K, $D:$D, "HomeLoan_Non_BT", $B:$B, B91)+SUMIFS($K:$K, $D:$D, "Mortgage_Power_Term", $B:$B, B91), Secured_Commission!$A:$F, 2, 1)*(K91/10^6),
D91="HomeLoan_BT_more_than_2_Percent", VLOOKUP(SUMIFS($K:$K, $D:$D, "HomeLoan_BT_more_than_2_Percent", $B:$B, B91)+SUMIFS($K:$K, $D:$D, "HomeLoan_BT_less_than_2_Percent", $B:$B, B91)+SUMIFS($K:$K, $D:$D, "HomeLoan_Non_BT", $B:$B, B91)+SUMIFS($K:$K, $D:$D, "Mortgage_Power_Term", $B:$B, B91), Secured_Commission!$A:$F, 3, 1)*(K91/10^6),
D91="HomeLoan_Non_BT", VLOOKUP(SUMIFS($K:$K, $D:$D, "HomeLoan_BT_more_than_2_Percent", $B:$B, B91)+SUMIFS($K:$K, $D:$D, "HomeLoan_BT_less_than_2_Percent", $B:$B, B91)+SUMIFS($K:$K, $D:$D, "HomeLoan_Non_BT", $B:$B, B91)+SUMIFS($K:$K, $D:$D, "Mortgage_Power_Term", $B:$B, B91), Secured_Commission!$A:$F, 4, 1)*(K91/10^6),
D91="Mortgage_Power_Term", VLOOKUP(SUMIFS($K:$K, $D:$D, "HomeLoan_BT_more_than_2_Percent", $B:$B, B91)+SUMIFS($K:$K, $D:$D, "HomeLoan_BT_less_than_2_Percent", $B:$B, B91)+SUMIFS($K:$K, $D:$D, "HomeLoan_Non_BT", $B:$B, B91)+SUMIFS($K:$K, $D:$D, "Mortgage_Power_Term", $B:$B, B91), Secured_Commission!$A:$F, 5, 1)*(K91/10^6),
D91="Personal_Cash", VLOOKUP(SUMIFS($K:$K, $D:$D, "Personal_Cash", $B:$B, B91), Unsecured_Commission!$A:$B, 2, 1)*K91,
OR(D91="MRTA_3_Percent", D91="SOMPO"), K91*0.03,
D91="MRTA_6_Percent", K91*0.06), 0)</f>
        <v>0</v>
      </c>
    </row>
    <row r="92" spans="1:12">
      <c r="A92" s="19">
        <v>87</v>
      </c>
      <c r="B92" s="46"/>
      <c r="C92" s="46"/>
      <c r="D92" s="46"/>
      <c r="E92" s="46"/>
      <c r="G92" s="58" t="str" cm="1">
        <f t="array" ref="G92">_xlfn.IFS(
AND($C92="Secured", OR($D92="HomeLoan_BT_more_than_2_Percent", $D92="HomeLoan_BT_less_than_2_Percent"), $E92=""), "",
AND($C92="Secured",$E92=""),"others",
AND($C92="Secured",$E92=3),"others",
AND($C92="Secured",$E92=5),"BT_with_5_year_lock_in_period",
TRUE, "")</f>
        <v/>
      </c>
      <c r="H92" s="46"/>
      <c r="I92" s="59" t="str" cm="1">
        <f t="array" ref="I92">_xlfn.IFS(
AND($C92="Secured", OR($D92="HomeLoan_BT_more_than_2_Percent", $D92="HomeLoan_BT_less_than_2_Percent"), OR($E92="", $E92=0)), "Please input Year !!!",
AND($C92="Secured", OR($F92="", $F92=0)), "Please input Amount !!!",
AND($C92="Secured", $F92&lt;5000000), 1,
AND($C92="Secured", $F92&gt;=5000000), 1.1,
TRUE, "")</f>
        <v/>
      </c>
      <c r="J92" s="59" t="str" cm="1">
        <f t="array" ref="J92">IFERROR(_xlfn.IFS(
$G92="BT_with_5_year_lock_in_period", _xlfn.XLOOKUP($H92, Deviate_Table[Pricing discount], Deviate_Table[BT_with_5_year_lock_in_period]),
$G92="others", _xlfn.XLOOKUP($H92, Deviate_Table[Pricing discount], Deviate_Table[others]),
TRUE, ""), "Please input Deviate Range !!!")</f>
        <v/>
      </c>
      <c r="K92" s="49">
        <f t="shared" si="1"/>
        <v>0</v>
      </c>
      <c r="L92" s="65" cm="1">
        <f t="array" aca="1" ref="L92" ca="1">IFERROR(
_xlfn.IFS(
D92="HomeLoan_BT_less_than_2_Percent", VLOOKUP(SUMIFS($K:$K, $D:$D, "HomeLoan_BT_more_than_2_Percent", $B:$B, B92)+SUMIFS($K:$K, $D:$D, "HomeLoan_BT_less_than_2_Percent", $B:$B, B92)+SUMIFS($K:$K, $D:$D, "HomeLoan_Non_BT", $B:$B, B92)+SUMIFS($K:$K, $D:$D, "Mortgage_Power_Term", $B:$B, B92), Secured_Commission!$A:$F, 2, 1)*(K92/10^6),
D92="HomeLoan_BT_more_than_2_Percent", VLOOKUP(SUMIFS($K:$K, $D:$D, "HomeLoan_BT_more_than_2_Percent", $B:$B, B92)+SUMIFS($K:$K, $D:$D, "HomeLoan_BT_less_than_2_Percent", $B:$B, B92)+SUMIFS($K:$K, $D:$D, "HomeLoan_Non_BT", $B:$B, B92)+SUMIFS($K:$K, $D:$D, "Mortgage_Power_Term", $B:$B, B92), Secured_Commission!$A:$F, 3, 1)*(K92/10^6),
D92="HomeLoan_Non_BT", VLOOKUP(SUMIFS($K:$K, $D:$D, "HomeLoan_BT_more_than_2_Percent", $B:$B, B92)+SUMIFS($K:$K, $D:$D, "HomeLoan_BT_less_than_2_Percent", $B:$B, B92)+SUMIFS($K:$K, $D:$D, "HomeLoan_Non_BT", $B:$B, B92)+SUMIFS($K:$K, $D:$D, "Mortgage_Power_Term", $B:$B, B92), Secured_Commission!$A:$F, 4, 1)*(K92/10^6),
D92="Mortgage_Power_Term", VLOOKUP(SUMIFS($K:$K, $D:$D, "HomeLoan_BT_more_than_2_Percent", $B:$B, B92)+SUMIFS($K:$K, $D:$D, "HomeLoan_BT_less_than_2_Percent", $B:$B, B92)+SUMIFS($K:$K, $D:$D, "HomeLoan_Non_BT", $B:$B, B92)+SUMIFS($K:$K, $D:$D, "Mortgage_Power_Term", $B:$B, B92), Secured_Commission!$A:$F, 5, 1)*(K92/10^6),
D92="Personal_Cash", VLOOKUP(SUMIFS($K:$K, $D:$D, "Personal_Cash", $B:$B, B92), Unsecured_Commission!$A:$B, 2, 1)*K92,
OR(D92="MRTA_3_Percent", D92="SOMPO"), K92*0.03,
D92="MRTA_6_Percent", K92*0.06), 0)</f>
        <v>0</v>
      </c>
    </row>
    <row r="93" spans="1:12">
      <c r="A93" s="19">
        <v>88</v>
      </c>
      <c r="B93" s="46"/>
      <c r="C93" s="46"/>
      <c r="D93" s="46"/>
      <c r="E93" s="46"/>
      <c r="G93" s="58" t="str" cm="1">
        <f t="array" ref="G93">_xlfn.IFS(
AND($C93="Secured", OR($D93="HomeLoan_BT_more_than_2_Percent", $D93="HomeLoan_BT_less_than_2_Percent"), $E93=""), "",
AND($C93="Secured",$E93=""),"others",
AND($C93="Secured",$E93=3),"others",
AND($C93="Secured",$E93=5),"BT_with_5_year_lock_in_period",
TRUE, "")</f>
        <v/>
      </c>
      <c r="H93" s="46"/>
      <c r="I93" s="59" t="str" cm="1">
        <f t="array" ref="I93">_xlfn.IFS(
AND($C93="Secured", OR($D93="HomeLoan_BT_more_than_2_Percent", $D93="HomeLoan_BT_less_than_2_Percent"), OR($E93="", $E93=0)), "Please input Year !!!",
AND($C93="Secured", OR($F93="", $F93=0)), "Please input Amount !!!",
AND($C93="Secured", $F93&lt;5000000), 1,
AND($C93="Secured", $F93&gt;=5000000), 1.1,
TRUE, "")</f>
        <v/>
      </c>
      <c r="J93" s="59" t="str" cm="1">
        <f t="array" ref="J93">IFERROR(_xlfn.IFS(
$G93="BT_with_5_year_lock_in_period", _xlfn.XLOOKUP($H93, Deviate_Table[Pricing discount], Deviate_Table[BT_with_5_year_lock_in_period]),
$G93="others", _xlfn.XLOOKUP($H93, Deviate_Table[Pricing discount], Deviate_Table[others]),
TRUE, ""), "Please input Deviate Range !!!")</f>
        <v/>
      </c>
      <c r="K93" s="49">
        <f t="shared" si="1"/>
        <v>0</v>
      </c>
      <c r="L93" s="65" cm="1">
        <f t="array" aca="1" ref="L93" ca="1">IFERROR(
_xlfn.IFS(
D93="HomeLoan_BT_less_than_2_Percent", VLOOKUP(SUMIFS($K:$K, $D:$D, "HomeLoan_BT_more_than_2_Percent", $B:$B, B93)+SUMIFS($K:$K, $D:$D, "HomeLoan_BT_less_than_2_Percent", $B:$B, B93)+SUMIFS($K:$K, $D:$D, "HomeLoan_Non_BT", $B:$B, B93)+SUMIFS($K:$K, $D:$D, "Mortgage_Power_Term", $B:$B, B93), Secured_Commission!$A:$F, 2, 1)*(K93/10^6),
D93="HomeLoan_BT_more_than_2_Percent", VLOOKUP(SUMIFS($K:$K, $D:$D, "HomeLoan_BT_more_than_2_Percent", $B:$B, B93)+SUMIFS($K:$K, $D:$D, "HomeLoan_BT_less_than_2_Percent", $B:$B, B93)+SUMIFS($K:$K, $D:$D, "HomeLoan_Non_BT", $B:$B, B93)+SUMIFS($K:$K, $D:$D, "Mortgage_Power_Term", $B:$B, B93), Secured_Commission!$A:$F, 3, 1)*(K93/10^6),
D93="HomeLoan_Non_BT", VLOOKUP(SUMIFS($K:$K, $D:$D, "HomeLoan_BT_more_than_2_Percent", $B:$B, B93)+SUMIFS($K:$K, $D:$D, "HomeLoan_BT_less_than_2_Percent", $B:$B, B93)+SUMIFS($K:$K, $D:$D, "HomeLoan_Non_BT", $B:$B, B93)+SUMIFS($K:$K, $D:$D, "Mortgage_Power_Term", $B:$B, B93), Secured_Commission!$A:$F, 4, 1)*(K93/10^6),
D93="Mortgage_Power_Term", VLOOKUP(SUMIFS($K:$K, $D:$D, "HomeLoan_BT_more_than_2_Percent", $B:$B, B93)+SUMIFS($K:$K, $D:$D, "HomeLoan_BT_less_than_2_Percent", $B:$B, B93)+SUMIFS($K:$K, $D:$D, "HomeLoan_Non_BT", $B:$B, B93)+SUMIFS($K:$K, $D:$D, "Mortgage_Power_Term", $B:$B, B93), Secured_Commission!$A:$F, 5, 1)*(K93/10^6),
D93="Personal_Cash", VLOOKUP(SUMIFS($K:$K, $D:$D, "Personal_Cash", $B:$B, B93), Unsecured_Commission!$A:$B, 2, 1)*K93,
OR(D93="MRTA_3_Percent", D93="SOMPO"), K93*0.03,
D93="MRTA_6_Percent", K93*0.06), 0)</f>
        <v>0</v>
      </c>
    </row>
    <row r="94" spans="1:12">
      <c r="A94" s="19">
        <v>89</v>
      </c>
      <c r="B94" s="46"/>
      <c r="C94" s="46"/>
      <c r="D94" s="46"/>
      <c r="E94" s="46"/>
      <c r="G94" s="58" t="str" cm="1">
        <f t="array" ref="G94">_xlfn.IFS(
AND($C94="Secured", OR($D94="HomeLoan_BT_more_than_2_Percent", $D94="HomeLoan_BT_less_than_2_Percent"), $E94=""), "",
AND($C94="Secured",$E94=""),"others",
AND($C94="Secured",$E94=3),"others",
AND($C94="Secured",$E94=5),"BT_with_5_year_lock_in_period",
TRUE, "")</f>
        <v/>
      </c>
      <c r="H94" s="46"/>
      <c r="I94" s="59" t="str" cm="1">
        <f t="array" ref="I94">_xlfn.IFS(
AND($C94="Secured", OR($D94="HomeLoan_BT_more_than_2_Percent", $D94="HomeLoan_BT_less_than_2_Percent"), OR($E94="", $E94=0)), "Please input Year !!!",
AND($C94="Secured", OR($F94="", $F94=0)), "Please input Amount !!!",
AND($C94="Secured", $F94&lt;5000000), 1,
AND($C94="Secured", $F94&gt;=5000000), 1.1,
TRUE, "")</f>
        <v/>
      </c>
      <c r="J94" s="59" t="str" cm="1">
        <f t="array" ref="J94">IFERROR(_xlfn.IFS(
$G94="BT_with_5_year_lock_in_period", _xlfn.XLOOKUP($H94, Deviate_Table[Pricing discount], Deviate_Table[BT_with_5_year_lock_in_period]),
$G94="others", _xlfn.XLOOKUP($H94, Deviate_Table[Pricing discount], Deviate_Table[others]),
TRUE, ""), "Please input Deviate Range !!!")</f>
        <v/>
      </c>
      <c r="K94" s="49">
        <f t="shared" si="1"/>
        <v>0</v>
      </c>
      <c r="L94" s="65" cm="1">
        <f t="array" aca="1" ref="L94" ca="1">IFERROR(
_xlfn.IFS(
D94="HomeLoan_BT_less_than_2_Percent", VLOOKUP(SUMIFS($K:$K, $D:$D, "HomeLoan_BT_more_than_2_Percent", $B:$B, B94)+SUMIFS($K:$K, $D:$D, "HomeLoan_BT_less_than_2_Percent", $B:$B, B94)+SUMIFS($K:$K, $D:$D, "HomeLoan_Non_BT", $B:$B, B94)+SUMIFS($K:$K, $D:$D, "Mortgage_Power_Term", $B:$B, B94), Secured_Commission!$A:$F, 2, 1)*(K94/10^6),
D94="HomeLoan_BT_more_than_2_Percent", VLOOKUP(SUMIFS($K:$K, $D:$D, "HomeLoan_BT_more_than_2_Percent", $B:$B, B94)+SUMIFS($K:$K, $D:$D, "HomeLoan_BT_less_than_2_Percent", $B:$B, B94)+SUMIFS($K:$K, $D:$D, "HomeLoan_Non_BT", $B:$B, B94)+SUMIFS($K:$K, $D:$D, "Mortgage_Power_Term", $B:$B, B94), Secured_Commission!$A:$F, 3, 1)*(K94/10^6),
D94="HomeLoan_Non_BT", VLOOKUP(SUMIFS($K:$K, $D:$D, "HomeLoan_BT_more_than_2_Percent", $B:$B, B94)+SUMIFS($K:$K, $D:$D, "HomeLoan_BT_less_than_2_Percent", $B:$B, B94)+SUMIFS($K:$K, $D:$D, "HomeLoan_Non_BT", $B:$B, B94)+SUMIFS($K:$K, $D:$D, "Mortgage_Power_Term", $B:$B, B94), Secured_Commission!$A:$F, 4, 1)*(K94/10^6),
D94="Mortgage_Power_Term", VLOOKUP(SUMIFS($K:$K, $D:$D, "HomeLoan_BT_more_than_2_Percent", $B:$B, B94)+SUMIFS($K:$K, $D:$D, "HomeLoan_BT_less_than_2_Percent", $B:$B, B94)+SUMIFS($K:$K, $D:$D, "HomeLoan_Non_BT", $B:$B, B94)+SUMIFS($K:$K, $D:$D, "Mortgage_Power_Term", $B:$B, B94), Secured_Commission!$A:$F, 5, 1)*(K94/10^6),
D94="Personal_Cash", VLOOKUP(SUMIFS($K:$K, $D:$D, "Personal_Cash", $B:$B, B94), Unsecured_Commission!$A:$B, 2, 1)*K94,
OR(D94="MRTA_3_Percent", D94="SOMPO"), K94*0.03,
D94="MRTA_6_Percent", K94*0.06), 0)</f>
        <v>0</v>
      </c>
    </row>
    <row r="95" spans="1:12">
      <c r="A95" s="19">
        <v>90</v>
      </c>
      <c r="B95" s="46"/>
      <c r="C95" s="46"/>
      <c r="D95" s="46"/>
      <c r="E95" s="46"/>
      <c r="G95" s="58" t="str" cm="1">
        <f t="array" ref="G95">_xlfn.IFS(
AND($C95="Secured", OR($D95="HomeLoan_BT_more_than_2_Percent", $D95="HomeLoan_BT_less_than_2_Percent"), $E95=""), "",
AND($C95="Secured",$E95=""),"others",
AND($C95="Secured",$E95=3),"others",
AND($C95="Secured",$E95=5),"BT_with_5_year_lock_in_period",
TRUE, "")</f>
        <v/>
      </c>
      <c r="H95" s="46"/>
      <c r="I95" s="59" t="str" cm="1">
        <f t="array" ref="I95">_xlfn.IFS(
AND($C95="Secured", OR($D95="HomeLoan_BT_more_than_2_Percent", $D95="HomeLoan_BT_less_than_2_Percent"), OR($E95="", $E95=0)), "Please input Year !!!",
AND($C95="Secured", OR($F95="", $F95=0)), "Please input Amount !!!",
AND($C95="Secured", $F95&lt;5000000), 1,
AND($C95="Secured", $F95&gt;=5000000), 1.1,
TRUE, "")</f>
        <v/>
      </c>
      <c r="J95" s="59" t="str" cm="1">
        <f t="array" ref="J95">IFERROR(_xlfn.IFS(
$G95="BT_with_5_year_lock_in_period", _xlfn.XLOOKUP($H95, Deviate_Table[Pricing discount], Deviate_Table[BT_with_5_year_lock_in_period]),
$G95="others", _xlfn.XLOOKUP($H95, Deviate_Table[Pricing discount], Deviate_Table[others]),
TRUE, ""), "Please input Deviate Range !!!")</f>
        <v/>
      </c>
      <c r="K95" s="49">
        <f t="shared" si="1"/>
        <v>0</v>
      </c>
      <c r="L95" s="65" cm="1">
        <f t="array" aca="1" ref="L95" ca="1">IFERROR(
_xlfn.IFS(
D95="HomeLoan_BT_less_than_2_Percent", VLOOKUP(SUMIFS($K:$K, $D:$D, "HomeLoan_BT_more_than_2_Percent", $B:$B, B95)+SUMIFS($K:$K, $D:$D, "HomeLoan_BT_less_than_2_Percent", $B:$B, B95)+SUMIFS($K:$K, $D:$D, "HomeLoan_Non_BT", $B:$B, B95)+SUMIFS($K:$K, $D:$D, "Mortgage_Power_Term", $B:$B, B95), Secured_Commission!$A:$F, 2, 1)*(K95/10^6),
D95="HomeLoan_BT_more_than_2_Percent", VLOOKUP(SUMIFS($K:$K, $D:$D, "HomeLoan_BT_more_than_2_Percent", $B:$B, B95)+SUMIFS($K:$K, $D:$D, "HomeLoan_BT_less_than_2_Percent", $B:$B, B95)+SUMIFS($K:$K, $D:$D, "HomeLoan_Non_BT", $B:$B, B95)+SUMIFS($K:$K, $D:$D, "Mortgage_Power_Term", $B:$B, B95), Secured_Commission!$A:$F, 3, 1)*(K95/10^6),
D95="HomeLoan_Non_BT", VLOOKUP(SUMIFS($K:$K, $D:$D, "HomeLoan_BT_more_than_2_Percent", $B:$B, B95)+SUMIFS($K:$K, $D:$D, "HomeLoan_BT_less_than_2_Percent", $B:$B, B95)+SUMIFS($K:$K, $D:$D, "HomeLoan_Non_BT", $B:$B, B95)+SUMIFS($K:$K, $D:$D, "Mortgage_Power_Term", $B:$B, B95), Secured_Commission!$A:$F, 4, 1)*(K95/10^6),
D95="Mortgage_Power_Term", VLOOKUP(SUMIFS($K:$K, $D:$D, "HomeLoan_BT_more_than_2_Percent", $B:$B, B95)+SUMIFS($K:$K, $D:$D, "HomeLoan_BT_less_than_2_Percent", $B:$B, B95)+SUMIFS($K:$K, $D:$D, "HomeLoan_Non_BT", $B:$B, B95)+SUMIFS($K:$K, $D:$D, "Mortgage_Power_Term", $B:$B, B95), Secured_Commission!$A:$F, 5, 1)*(K95/10^6),
D95="Personal_Cash", VLOOKUP(SUMIFS($K:$K, $D:$D, "Personal_Cash", $B:$B, B95), Unsecured_Commission!$A:$B, 2, 1)*K95,
OR(D95="MRTA_3_Percent", D95="SOMPO"), K95*0.03,
D95="MRTA_6_Percent", K95*0.06), 0)</f>
        <v>0</v>
      </c>
    </row>
    <row r="96" spans="1:12">
      <c r="A96" s="19">
        <v>91</v>
      </c>
      <c r="B96" s="46"/>
      <c r="C96" s="46"/>
      <c r="D96" s="46"/>
      <c r="E96" s="46"/>
      <c r="G96" s="58" t="str" cm="1">
        <f t="array" ref="G96">_xlfn.IFS(
AND($C96="Secured", OR($D96="HomeLoan_BT_more_than_2_Percent", $D96="HomeLoan_BT_less_than_2_Percent"), $E96=""), "",
AND($C96="Secured",$E96=""),"others",
AND($C96="Secured",$E96=3),"others",
AND($C96="Secured",$E96=5),"BT_with_5_year_lock_in_period",
TRUE, "")</f>
        <v/>
      </c>
      <c r="H96" s="46"/>
      <c r="I96" s="59" t="str" cm="1">
        <f t="array" ref="I96">_xlfn.IFS(
AND($C96="Secured", OR($D96="HomeLoan_BT_more_than_2_Percent", $D96="HomeLoan_BT_less_than_2_Percent"), OR($E96="", $E96=0)), "Please input Year !!!",
AND($C96="Secured", OR($F96="", $F96=0)), "Please input Amount !!!",
AND($C96="Secured", $F96&lt;5000000), 1,
AND($C96="Secured", $F96&gt;=5000000), 1.1,
TRUE, "")</f>
        <v/>
      </c>
      <c r="J96" s="59" t="str" cm="1">
        <f t="array" ref="J96">IFERROR(_xlfn.IFS(
$G96="BT_with_5_year_lock_in_period", _xlfn.XLOOKUP($H96, Deviate_Table[Pricing discount], Deviate_Table[BT_with_5_year_lock_in_period]),
$G96="others", _xlfn.XLOOKUP($H96, Deviate_Table[Pricing discount], Deviate_Table[others]),
TRUE, ""), "Please input Deviate Range !!!")</f>
        <v/>
      </c>
      <c r="K96" s="49">
        <f t="shared" si="1"/>
        <v>0</v>
      </c>
      <c r="L96" s="65" cm="1">
        <f t="array" aca="1" ref="L96" ca="1">IFERROR(
_xlfn.IFS(
D96="HomeLoan_BT_less_than_2_Percent", VLOOKUP(SUMIFS($K:$K, $D:$D, "HomeLoan_BT_more_than_2_Percent", $B:$B, B96)+SUMIFS($K:$K, $D:$D, "HomeLoan_BT_less_than_2_Percent", $B:$B, B96)+SUMIFS($K:$K, $D:$D, "HomeLoan_Non_BT", $B:$B, B96)+SUMIFS($K:$K, $D:$D, "Mortgage_Power_Term", $B:$B, B96), Secured_Commission!$A:$F, 2, 1)*(K96/10^6),
D96="HomeLoan_BT_more_than_2_Percent", VLOOKUP(SUMIFS($K:$K, $D:$D, "HomeLoan_BT_more_than_2_Percent", $B:$B, B96)+SUMIFS($K:$K, $D:$D, "HomeLoan_BT_less_than_2_Percent", $B:$B, B96)+SUMIFS($K:$K, $D:$D, "HomeLoan_Non_BT", $B:$B, B96)+SUMIFS($K:$K, $D:$D, "Mortgage_Power_Term", $B:$B, B96), Secured_Commission!$A:$F, 3, 1)*(K96/10^6),
D96="HomeLoan_Non_BT", VLOOKUP(SUMIFS($K:$K, $D:$D, "HomeLoan_BT_more_than_2_Percent", $B:$B, B96)+SUMIFS($K:$K, $D:$D, "HomeLoan_BT_less_than_2_Percent", $B:$B, B96)+SUMIFS($K:$K, $D:$D, "HomeLoan_Non_BT", $B:$B, B96)+SUMIFS($K:$K, $D:$D, "Mortgage_Power_Term", $B:$B, B96), Secured_Commission!$A:$F, 4, 1)*(K96/10^6),
D96="Mortgage_Power_Term", VLOOKUP(SUMIFS($K:$K, $D:$D, "HomeLoan_BT_more_than_2_Percent", $B:$B, B96)+SUMIFS($K:$K, $D:$D, "HomeLoan_BT_less_than_2_Percent", $B:$B, B96)+SUMIFS($K:$K, $D:$D, "HomeLoan_Non_BT", $B:$B, B96)+SUMIFS($K:$K, $D:$D, "Mortgage_Power_Term", $B:$B, B96), Secured_Commission!$A:$F, 5, 1)*(K96/10^6),
D96="Personal_Cash", VLOOKUP(SUMIFS($K:$K, $D:$D, "Personal_Cash", $B:$B, B96), Unsecured_Commission!$A:$B, 2, 1)*K96,
OR(D96="MRTA_3_Percent", D96="SOMPO"), K96*0.03,
D96="MRTA_6_Percent", K96*0.06), 0)</f>
        <v>0</v>
      </c>
    </row>
    <row r="97" spans="1:12">
      <c r="A97" s="19">
        <v>92</v>
      </c>
      <c r="B97" s="46"/>
      <c r="C97" s="46"/>
      <c r="D97" s="46"/>
      <c r="E97" s="46"/>
      <c r="G97" s="58" t="str" cm="1">
        <f t="array" ref="G97">_xlfn.IFS(
AND($C97="Secured", OR($D97="HomeLoan_BT_more_than_2_Percent", $D97="HomeLoan_BT_less_than_2_Percent"), $E97=""), "",
AND($C97="Secured",$E97=""),"others",
AND($C97="Secured",$E97=3),"others",
AND($C97="Secured",$E97=5),"BT_with_5_year_lock_in_period",
TRUE, "")</f>
        <v/>
      </c>
      <c r="H97" s="46"/>
      <c r="I97" s="59" t="str" cm="1">
        <f t="array" ref="I97">_xlfn.IFS(
AND($C97="Secured", OR($D97="HomeLoan_BT_more_than_2_Percent", $D97="HomeLoan_BT_less_than_2_Percent"), OR($E97="", $E97=0)), "Please input Year !!!",
AND($C97="Secured", OR($F97="", $F97=0)), "Please input Amount !!!",
AND($C97="Secured", $F97&lt;5000000), 1,
AND($C97="Secured", $F97&gt;=5000000), 1.1,
TRUE, "")</f>
        <v/>
      </c>
      <c r="J97" s="59" t="str" cm="1">
        <f t="array" ref="J97">IFERROR(_xlfn.IFS(
$G97="BT_with_5_year_lock_in_period", _xlfn.XLOOKUP($H97, Deviate_Table[Pricing discount], Deviate_Table[BT_with_5_year_lock_in_period]),
$G97="others", _xlfn.XLOOKUP($H97, Deviate_Table[Pricing discount], Deviate_Table[others]),
TRUE, ""), "Please input Deviate Range !!!")</f>
        <v/>
      </c>
      <c r="K97" s="49">
        <f t="shared" si="1"/>
        <v>0</v>
      </c>
      <c r="L97" s="65" cm="1">
        <f t="array" aca="1" ref="L97" ca="1">IFERROR(
_xlfn.IFS(
D97="HomeLoan_BT_less_than_2_Percent", VLOOKUP(SUMIFS($K:$K, $D:$D, "HomeLoan_BT_more_than_2_Percent", $B:$B, B97)+SUMIFS($K:$K, $D:$D, "HomeLoan_BT_less_than_2_Percent", $B:$B, B97)+SUMIFS($K:$K, $D:$D, "HomeLoan_Non_BT", $B:$B, B97)+SUMIFS($K:$K, $D:$D, "Mortgage_Power_Term", $B:$B, B97), Secured_Commission!$A:$F, 2, 1)*(K97/10^6),
D97="HomeLoan_BT_more_than_2_Percent", VLOOKUP(SUMIFS($K:$K, $D:$D, "HomeLoan_BT_more_than_2_Percent", $B:$B, B97)+SUMIFS($K:$K, $D:$D, "HomeLoan_BT_less_than_2_Percent", $B:$B, B97)+SUMIFS($K:$K, $D:$D, "HomeLoan_Non_BT", $B:$B, B97)+SUMIFS($K:$K, $D:$D, "Mortgage_Power_Term", $B:$B, B97), Secured_Commission!$A:$F, 3, 1)*(K97/10^6),
D97="HomeLoan_Non_BT", VLOOKUP(SUMIFS($K:$K, $D:$D, "HomeLoan_BT_more_than_2_Percent", $B:$B, B97)+SUMIFS($K:$K, $D:$D, "HomeLoan_BT_less_than_2_Percent", $B:$B, B97)+SUMIFS($K:$K, $D:$D, "HomeLoan_Non_BT", $B:$B, B97)+SUMIFS($K:$K, $D:$D, "Mortgage_Power_Term", $B:$B, B97), Secured_Commission!$A:$F, 4, 1)*(K97/10^6),
D97="Mortgage_Power_Term", VLOOKUP(SUMIFS($K:$K, $D:$D, "HomeLoan_BT_more_than_2_Percent", $B:$B, B97)+SUMIFS($K:$K, $D:$D, "HomeLoan_BT_less_than_2_Percent", $B:$B, B97)+SUMIFS($K:$K, $D:$D, "HomeLoan_Non_BT", $B:$B, B97)+SUMIFS($K:$K, $D:$D, "Mortgage_Power_Term", $B:$B, B97), Secured_Commission!$A:$F, 5, 1)*(K97/10^6),
D97="Personal_Cash", VLOOKUP(SUMIFS($K:$K, $D:$D, "Personal_Cash", $B:$B, B97), Unsecured_Commission!$A:$B, 2, 1)*K97,
OR(D97="MRTA_3_Percent", D97="SOMPO"), K97*0.03,
D97="MRTA_6_Percent", K97*0.06), 0)</f>
        <v>0</v>
      </c>
    </row>
    <row r="98" spans="1:12">
      <c r="A98" s="19">
        <v>93</v>
      </c>
      <c r="B98" s="46"/>
      <c r="C98" s="46"/>
      <c r="D98" s="46"/>
      <c r="E98" s="46"/>
      <c r="G98" s="58" t="str" cm="1">
        <f t="array" ref="G98">_xlfn.IFS(
AND($C98="Secured", OR($D98="HomeLoan_BT_more_than_2_Percent", $D98="HomeLoan_BT_less_than_2_Percent"), $E98=""), "",
AND($C98="Secured",$E98=""),"others",
AND($C98="Secured",$E98=3),"others",
AND($C98="Secured",$E98=5),"BT_with_5_year_lock_in_period",
TRUE, "")</f>
        <v/>
      </c>
      <c r="H98" s="46"/>
      <c r="I98" s="59" t="str" cm="1">
        <f t="array" ref="I98">_xlfn.IFS(
AND($C98="Secured", OR($D98="HomeLoan_BT_more_than_2_Percent", $D98="HomeLoan_BT_less_than_2_Percent"), OR($E98="", $E98=0)), "Please input Year !!!",
AND($C98="Secured", OR($F98="", $F98=0)), "Please input Amount !!!",
AND($C98="Secured", $F98&lt;5000000), 1,
AND($C98="Secured", $F98&gt;=5000000), 1.1,
TRUE, "")</f>
        <v/>
      </c>
      <c r="J98" s="59" t="str" cm="1">
        <f t="array" ref="J98">IFERROR(_xlfn.IFS(
$G98="BT_with_5_year_lock_in_period", _xlfn.XLOOKUP($H98, Deviate_Table[Pricing discount], Deviate_Table[BT_with_5_year_lock_in_period]),
$G98="others", _xlfn.XLOOKUP($H98, Deviate_Table[Pricing discount], Deviate_Table[others]),
TRUE, ""), "Please input Deviate Range !!!")</f>
        <v/>
      </c>
      <c r="K98" s="49">
        <f t="shared" si="1"/>
        <v>0</v>
      </c>
      <c r="L98" s="65" cm="1">
        <f t="array" aca="1" ref="L98" ca="1">IFERROR(
_xlfn.IFS(
D98="HomeLoan_BT_less_than_2_Percent", VLOOKUP(SUMIFS($K:$K, $D:$D, "HomeLoan_BT_more_than_2_Percent", $B:$B, B98)+SUMIFS($K:$K, $D:$D, "HomeLoan_BT_less_than_2_Percent", $B:$B, B98)+SUMIFS($K:$K, $D:$D, "HomeLoan_Non_BT", $B:$B, B98)+SUMIFS($K:$K, $D:$D, "Mortgage_Power_Term", $B:$B, B98), Secured_Commission!$A:$F, 2, 1)*(K98/10^6),
D98="HomeLoan_BT_more_than_2_Percent", VLOOKUP(SUMIFS($K:$K, $D:$D, "HomeLoan_BT_more_than_2_Percent", $B:$B, B98)+SUMIFS($K:$K, $D:$D, "HomeLoan_BT_less_than_2_Percent", $B:$B, B98)+SUMIFS($K:$K, $D:$D, "HomeLoan_Non_BT", $B:$B, B98)+SUMIFS($K:$K, $D:$D, "Mortgage_Power_Term", $B:$B, B98), Secured_Commission!$A:$F, 3, 1)*(K98/10^6),
D98="HomeLoan_Non_BT", VLOOKUP(SUMIFS($K:$K, $D:$D, "HomeLoan_BT_more_than_2_Percent", $B:$B, B98)+SUMIFS($K:$K, $D:$D, "HomeLoan_BT_less_than_2_Percent", $B:$B, B98)+SUMIFS($K:$K, $D:$D, "HomeLoan_Non_BT", $B:$B, B98)+SUMIFS($K:$K, $D:$D, "Mortgage_Power_Term", $B:$B, B98), Secured_Commission!$A:$F, 4, 1)*(K98/10^6),
D98="Mortgage_Power_Term", VLOOKUP(SUMIFS($K:$K, $D:$D, "HomeLoan_BT_more_than_2_Percent", $B:$B, B98)+SUMIFS($K:$K, $D:$D, "HomeLoan_BT_less_than_2_Percent", $B:$B, B98)+SUMIFS($K:$K, $D:$D, "HomeLoan_Non_BT", $B:$B, B98)+SUMIFS($K:$K, $D:$D, "Mortgage_Power_Term", $B:$B, B98), Secured_Commission!$A:$F, 5, 1)*(K98/10^6),
D98="Personal_Cash", VLOOKUP(SUMIFS($K:$K, $D:$D, "Personal_Cash", $B:$B, B98), Unsecured_Commission!$A:$B, 2, 1)*K98,
OR(D98="MRTA_3_Percent", D98="SOMPO"), K98*0.03,
D98="MRTA_6_Percent", K98*0.06), 0)</f>
        <v>0</v>
      </c>
    </row>
    <row r="99" spans="1:12">
      <c r="A99" s="19">
        <v>94</v>
      </c>
      <c r="B99" s="46"/>
      <c r="C99" s="46"/>
      <c r="D99" s="46"/>
      <c r="E99" s="46"/>
      <c r="G99" s="58" t="str" cm="1">
        <f t="array" ref="G99">_xlfn.IFS(
AND($C99="Secured", OR($D99="HomeLoan_BT_more_than_2_Percent", $D99="HomeLoan_BT_less_than_2_Percent"), $E99=""), "",
AND($C99="Secured",$E99=""),"others",
AND($C99="Secured",$E99=3),"others",
AND($C99="Secured",$E99=5),"BT_with_5_year_lock_in_period",
TRUE, "")</f>
        <v/>
      </c>
      <c r="H99" s="46"/>
      <c r="I99" s="59" t="str" cm="1">
        <f t="array" ref="I99">_xlfn.IFS(
AND($C99="Secured", OR($D99="HomeLoan_BT_more_than_2_Percent", $D99="HomeLoan_BT_less_than_2_Percent"), OR($E99="", $E99=0)), "Please input Year !!!",
AND($C99="Secured", OR($F99="", $F99=0)), "Please input Amount !!!",
AND($C99="Secured", $F99&lt;5000000), 1,
AND($C99="Secured", $F99&gt;=5000000), 1.1,
TRUE, "")</f>
        <v/>
      </c>
      <c r="J99" s="59" t="str" cm="1">
        <f t="array" ref="J99">IFERROR(_xlfn.IFS(
$G99="BT_with_5_year_lock_in_period", _xlfn.XLOOKUP($H99, Deviate_Table[Pricing discount], Deviate_Table[BT_with_5_year_lock_in_period]),
$G99="others", _xlfn.XLOOKUP($H99, Deviate_Table[Pricing discount], Deviate_Table[others]),
TRUE, ""), "Please input Deviate Range !!!")</f>
        <v/>
      </c>
      <c r="K99" s="49">
        <f t="shared" si="1"/>
        <v>0</v>
      </c>
      <c r="L99" s="65" cm="1">
        <f t="array" aca="1" ref="L99" ca="1">IFERROR(
_xlfn.IFS(
D99="HomeLoan_BT_less_than_2_Percent", VLOOKUP(SUMIFS($K:$K, $D:$D, "HomeLoan_BT_more_than_2_Percent", $B:$B, B99)+SUMIFS($K:$K, $D:$D, "HomeLoan_BT_less_than_2_Percent", $B:$B, B99)+SUMIFS($K:$K, $D:$D, "HomeLoan_Non_BT", $B:$B, B99)+SUMIFS($K:$K, $D:$D, "Mortgage_Power_Term", $B:$B, B99), Secured_Commission!$A:$F, 2, 1)*(K99/10^6),
D99="HomeLoan_BT_more_than_2_Percent", VLOOKUP(SUMIFS($K:$K, $D:$D, "HomeLoan_BT_more_than_2_Percent", $B:$B, B99)+SUMIFS($K:$K, $D:$D, "HomeLoan_BT_less_than_2_Percent", $B:$B, B99)+SUMIFS($K:$K, $D:$D, "HomeLoan_Non_BT", $B:$B, B99)+SUMIFS($K:$K, $D:$D, "Mortgage_Power_Term", $B:$B, B99), Secured_Commission!$A:$F, 3, 1)*(K99/10^6),
D99="HomeLoan_Non_BT", VLOOKUP(SUMIFS($K:$K, $D:$D, "HomeLoan_BT_more_than_2_Percent", $B:$B, B99)+SUMIFS($K:$K, $D:$D, "HomeLoan_BT_less_than_2_Percent", $B:$B, B99)+SUMIFS($K:$K, $D:$D, "HomeLoan_Non_BT", $B:$B, B99)+SUMIFS($K:$K, $D:$D, "Mortgage_Power_Term", $B:$B, B99), Secured_Commission!$A:$F, 4, 1)*(K99/10^6),
D99="Mortgage_Power_Term", VLOOKUP(SUMIFS($K:$K, $D:$D, "HomeLoan_BT_more_than_2_Percent", $B:$B, B99)+SUMIFS($K:$K, $D:$D, "HomeLoan_BT_less_than_2_Percent", $B:$B, B99)+SUMIFS($K:$K, $D:$D, "HomeLoan_Non_BT", $B:$B, B99)+SUMIFS($K:$K, $D:$D, "Mortgage_Power_Term", $B:$B, B99), Secured_Commission!$A:$F, 5, 1)*(K99/10^6),
D99="Personal_Cash", VLOOKUP(SUMIFS($K:$K, $D:$D, "Personal_Cash", $B:$B, B99), Unsecured_Commission!$A:$B, 2, 1)*K99,
OR(D99="MRTA_3_Percent", D99="SOMPO"), K99*0.03,
D99="MRTA_6_Percent", K99*0.06), 0)</f>
        <v>0</v>
      </c>
    </row>
    <row r="100" spans="1:12">
      <c r="A100" s="19">
        <v>95</v>
      </c>
      <c r="B100" s="46"/>
      <c r="C100" s="46"/>
      <c r="D100" s="46"/>
      <c r="E100" s="46"/>
      <c r="G100" s="58" t="str" cm="1">
        <f t="array" ref="G100">_xlfn.IFS(
AND($C100="Secured", OR($D100="HomeLoan_BT_more_than_2_Percent", $D100="HomeLoan_BT_less_than_2_Percent"), $E100=""), "",
AND($C100="Secured",$E100=""),"others",
AND($C100="Secured",$E100=3),"others",
AND($C100="Secured",$E100=5),"BT_with_5_year_lock_in_period",
TRUE, "")</f>
        <v/>
      </c>
      <c r="H100" s="46"/>
      <c r="I100" s="59" t="str" cm="1">
        <f t="array" ref="I100">_xlfn.IFS(
AND($C100="Secured", OR($D100="HomeLoan_BT_more_than_2_Percent", $D100="HomeLoan_BT_less_than_2_Percent"), OR($E100="", $E100=0)), "Please input Year !!!",
AND($C100="Secured", OR($F100="", $F100=0)), "Please input Amount !!!",
AND($C100="Secured", $F100&lt;5000000), 1,
AND($C100="Secured", $F100&gt;=5000000), 1.1,
TRUE, "")</f>
        <v/>
      </c>
      <c r="J100" s="59" t="str" cm="1">
        <f t="array" ref="J100">IFERROR(_xlfn.IFS(
$G100="BT_with_5_year_lock_in_period", _xlfn.XLOOKUP($H100, Deviate_Table[Pricing discount], Deviate_Table[BT_with_5_year_lock_in_period]),
$G100="others", _xlfn.XLOOKUP($H100, Deviate_Table[Pricing discount], Deviate_Table[others]),
TRUE, ""), "Please input Deviate Range !!!")</f>
        <v/>
      </c>
      <c r="K100" s="49">
        <f t="shared" si="1"/>
        <v>0</v>
      </c>
      <c r="L100" s="65" cm="1">
        <f t="array" aca="1" ref="L100" ca="1">IFERROR(
_xlfn.IFS(
D100="HomeLoan_BT_less_than_2_Percent", VLOOKUP(SUMIFS($K:$K, $D:$D, "HomeLoan_BT_more_than_2_Percent", $B:$B, B100)+SUMIFS($K:$K, $D:$D, "HomeLoan_BT_less_than_2_Percent", $B:$B, B100)+SUMIFS($K:$K, $D:$D, "HomeLoan_Non_BT", $B:$B, B100)+SUMIFS($K:$K, $D:$D, "Mortgage_Power_Term", $B:$B, B100), Secured_Commission!$A:$F, 2, 1)*(K100/10^6),
D100="HomeLoan_BT_more_than_2_Percent", VLOOKUP(SUMIFS($K:$K, $D:$D, "HomeLoan_BT_more_than_2_Percent", $B:$B, B100)+SUMIFS($K:$K, $D:$D, "HomeLoan_BT_less_than_2_Percent", $B:$B, B100)+SUMIFS($K:$K, $D:$D, "HomeLoan_Non_BT", $B:$B, B100)+SUMIFS($K:$K, $D:$D, "Mortgage_Power_Term", $B:$B, B100), Secured_Commission!$A:$F, 3, 1)*(K100/10^6),
D100="HomeLoan_Non_BT", VLOOKUP(SUMIFS($K:$K, $D:$D, "HomeLoan_BT_more_than_2_Percent", $B:$B, B100)+SUMIFS($K:$K, $D:$D, "HomeLoan_BT_less_than_2_Percent", $B:$B, B100)+SUMIFS($K:$K, $D:$D, "HomeLoan_Non_BT", $B:$B, B100)+SUMIFS($K:$K, $D:$D, "Mortgage_Power_Term", $B:$B, B100), Secured_Commission!$A:$F, 4, 1)*(K100/10^6),
D100="Mortgage_Power_Term", VLOOKUP(SUMIFS($K:$K, $D:$D, "HomeLoan_BT_more_than_2_Percent", $B:$B, B100)+SUMIFS($K:$K, $D:$D, "HomeLoan_BT_less_than_2_Percent", $B:$B, B100)+SUMIFS($K:$K, $D:$D, "HomeLoan_Non_BT", $B:$B, B100)+SUMIFS($K:$K, $D:$D, "Mortgage_Power_Term", $B:$B, B100), Secured_Commission!$A:$F, 5, 1)*(K100/10^6),
D100="Personal_Cash", VLOOKUP(SUMIFS($K:$K, $D:$D, "Personal_Cash", $B:$B, B100), Unsecured_Commission!$A:$B, 2, 1)*K100,
OR(D100="MRTA_3_Percent", D100="SOMPO"), K100*0.03,
D100="MRTA_6_Percent", K100*0.06), 0)</f>
        <v>0</v>
      </c>
    </row>
    <row r="101" spans="1:12">
      <c r="A101" s="19">
        <v>96</v>
      </c>
      <c r="B101" s="46"/>
      <c r="C101" s="46"/>
      <c r="D101" s="46"/>
      <c r="E101" s="46"/>
      <c r="G101" s="58" t="str" cm="1">
        <f t="array" ref="G101">_xlfn.IFS(
AND($C101="Secured", OR($D101="HomeLoan_BT_more_than_2_Percent", $D101="HomeLoan_BT_less_than_2_Percent"), $E101=""), "",
AND($C101="Secured",$E101=""),"others",
AND($C101="Secured",$E101=3),"others",
AND($C101="Secured",$E101=5),"BT_with_5_year_lock_in_period",
TRUE, "")</f>
        <v/>
      </c>
      <c r="H101" s="46"/>
      <c r="I101" s="59" t="str" cm="1">
        <f t="array" ref="I101">_xlfn.IFS(
AND($C101="Secured", OR($D101="HomeLoan_BT_more_than_2_Percent", $D101="HomeLoan_BT_less_than_2_Percent"), OR($E101="", $E101=0)), "Please input Year !!!",
AND($C101="Secured", OR($F101="", $F101=0)), "Please input Amount !!!",
AND($C101="Secured", $F101&lt;5000000), 1,
AND($C101="Secured", $F101&gt;=5000000), 1.1,
TRUE, "")</f>
        <v/>
      </c>
      <c r="J101" s="59" t="str" cm="1">
        <f t="array" ref="J101">IFERROR(_xlfn.IFS(
$G101="BT_with_5_year_lock_in_period", _xlfn.XLOOKUP($H101, Deviate_Table[Pricing discount], Deviate_Table[BT_with_5_year_lock_in_period]),
$G101="others", _xlfn.XLOOKUP($H101, Deviate_Table[Pricing discount], Deviate_Table[others]),
TRUE, ""), "Please input Deviate Range !!!")</f>
        <v/>
      </c>
      <c r="K101" s="49">
        <f t="shared" si="1"/>
        <v>0</v>
      </c>
      <c r="L101" s="65" cm="1">
        <f t="array" aca="1" ref="L101" ca="1">IFERROR(
_xlfn.IFS(
D101="HomeLoan_BT_less_than_2_Percent", VLOOKUP(SUMIFS($K:$K, $D:$D, "HomeLoan_BT_more_than_2_Percent", $B:$B, B101)+SUMIFS($K:$K, $D:$D, "HomeLoan_BT_less_than_2_Percent", $B:$B, B101)+SUMIFS($K:$K, $D:$D, "HomeLoan_Non_BT", $B:$B, B101)+SUMIFS($K:$K, $D:$D, "Mortgage_Power_Term", $B:$B, B101), Secured_Commission!$A:$F, 2, 1)*(K101/10^6),
D101="HomeLoan_BT_more_than_2_Percent", VLOOKUP(SUMIFS($K:$K, $D:$D, "HomeLoan_BT_more_than_2_Percent", $B:$B, B101)+SUMIFS($K:$K, $D:$D, "HomeLoan_BT_less_than_2_Percent", $B:$B, B101)+SUMIFS($K:$K, $D:$D, "HomeLoan_Non_BT", $B:$B, B101)+SUMIFS($K:$K, $D:$D, "Mortgage_Power_Term", $B:$B, B101), Secured_Commission!$A:$F, 3, 1)*(K101/10^6),
D101="HomeLoan_Non_BT", VLOOKUP(SUMIFS($K:$K, $D:$D, "HomeLoan_BT_more_than_2_Percent", $B:$B, B101)+SUMIFS($K:$K, $D:$D, "HomeLoan_BT_less_than_2_Percent", $B:$B, B101)+SUMIFS($K:$K, $D:$D, "HomeLoan_Non_BT", $B:$B, B101)+SUMIFS($K:$K, $D:$D, "Mortgage_Power_Term", $B:$B, B101), Secured_Commission!$A:$F, 4, 1)*(K101/10^6),
D101="Mortgage_Power_Term", VLOOKUP(SUMIFS($K:$K, $D:$D, "HomeLoan_BT_more_than_2_Percent", $B:$B, B101)+SUMIFS($K:$K, $D:$D, "HomeLoan_BT_less_than_2_Percent", $B:$B, B101)+SUMIFS($K:$K, $D:$D, "HomeLoan_Non_BT", $B:$B, B101)+SUMIFS($K:$K, $D:$D, "Mortgage_Power_Term", $B:$B, B101), Secured_Commission!$A:$F, 5, 1)*(K101/10^6),
D101="Personal_Cash", VLOOKUP(SUMIFS($K:$K, $D:$D, "Personal_Cash", $B:$B, B101), Unsecured_Commission!$A:$B, 2, 1)*K101,
OR(D101="MRTA_3_Percent", D101="SOMPO"), K101*0.03,
D101="MRTA_6_Percent", K101*0.06), 0)</f>
        <v>0</v>
      </c>
    </row>
    <row r="102" spans="1:12">
      <c r="A102" s="19">
        <v>97</v>
      </c>
      <c r="B102" s="46"/>
      <c r="C102" s="46"/>
      <c r="D102" s="46"/>
      <c r="E102" s="46"/>
      <c r="G102" s="58" t="str" cm="1">
        <f t="array" ref="G102">_xlfn.IFS(
AND($C102="Secured", OR($D102="HomeLoan_BT_more_than_2_Percent", $D102="HomeLoan_BT_less_than_2_Percent"), $E102=""), "",
AND($C102="Secured",$E102=""),"others",
AND($C102="Secured",$E102=3),"others",
AND($C102="Secured",$E102=5),"BT_with_5_year_lock_in_period",
TRUE, "")</f>
        <v/>
      </c>
      <c r="H102" s="46"/>
      <c r="I102" s="59" t="str" cm="1">
        <f t="array" ref="I102">_xlfn.IFS(
AND($C102="Secured", OR($D102="HomeLoan_BT_more_than_2_Percent", $D102="HomeLoan_BT_less_than_2_Percent"), OR($E102="", $E102=0)), "Please input Year !!!",
AND($C102="Secured", OR($F102="", $F102=0)), "Please input Amount !!!",
AND($C102="Secured", $F102&lt;5000000), 1,
AND($C102="Secured", $F102&gt;=5000000), 1.1,
TRUE, "")</f>
        <v/>
      </c>
      <c r="J102" s="59" t="str" cm="1">
        <f t="array" ref="J102">IFERROR(_xlfn.IFS(
$G102="BT_with_5_year_lock_in_period", _xlfn.XLOOKUP($H102, Deviate_Table[Pricing discount], Deviate_Table[BT_with_5_year_lock_in_period]),
$G102="others", _xlfn.XLOOKUP($H102, Deviate_Table[Pricing discount], Deviate_Table[others]),
TRUE, ""), "Please input Deviate Range !!!")</f>
        <v/>
      </c>
      <c r="K102" s="49">
        <f t="shared" si="1"/>
        <v>0</v>
      </c>
      <c r="L102" s="65" cm="1">
        <f t="array" aca="1" ref="L102" ca="1">IFERROR(
_xlfn.IFS(
D102="HomeLoan_BT_less_than_2_Percent", VLOOKUP(SUMIFS($K:$K, $D:$D, "HomeLoan_BT_more_than_2_Percent", $B:$B, B102)+SUMIFS($K:$K, $D:$D, "HomeLoan_BT_less_than_2_Percent", $B:$B, B102)+SUMIFS($K:$K, $D:$D, "HomeLoan_Non_BT", $B:$B, B102)+SUMIFS($K:$K, $D:$D, "Mortgage_Power_Term", $B:$B, B102), Secured_Commission!$A:$F, 2, 1)*(K102/10^6),
D102="HomeLoan_BT_more_than_2_Percent", VLOOKUP(SUMIFS($K:$K, $D:$D, "HomeLoan_BT_more_than_2_Percent", $B:$B, B102)+SUMIFS($K:$K, $D:$D, "HomeLoan_BT_less_than_2_Percent", $B:$B, B102)+SUMIFS($K:$K, $D:$D, "HomeLoan_Non_BT", $B:$B, B102)+SUMIFS($K:$K, $D:$D, "Mortgage_Power_Term", $B:$B, B102), Secured_Commission!$A:$F, 3, 1)*(K102/10^6),
D102="HomeLoan_Non_BT", VLOOKUP(SUMIFS($K:$K, $D:$D, "HomeLoan_BT_more_than_2_Percent", $B:$B, B102)+SUMIFS($K:$K, $D:$D, "HomeLoan_BT_less_than_2_Percent", $B:$B, B102)+SUMIFS($K:$K, $D:$D, "HomeLoan_Non_BT", $B:$B, B102)+SUMIFS($K:$K, $D:$D, "Mortgage_Power_Term", $B:$B, B102), Secured_Commission!$A:$F, 4, 1)*(K102/10^6),
D102="Mortgage_Power_Term", VLOOKUP(SUMIFS($K:$K, $D:$D, "HomeLoan_BT_more_than_2_Percent", $B:$B, B102)+SUMIFS($K:$K, $D:$D, "HomeLoan_BT_less_than_2_Percent", $B:$B, B102)+SUMIFS($K:$K, $D:$D, "HomeLoan_Non_BT", $B:$B, B102)+SUMIFS($K:$K, $D:$D, "Mortgage_Power_Term", $B:$B, B102), Secured_Commission!$A:$F, 5, 1)*(K102/10^6),
D102="Personal_Cash", VLOOKUP(SUMIFS($K:$K, $D:$D, "Personal_Cash", $B:$B, B102), Unsecured_Commission!$A:$B, 2, 1)*K102,
OR(D102="MRTA_3_Percent", D102="SOMPO"), K102*0.03,
D102="MRTA_6_Percent", K102*0.06), 0)</f>
        <v>0</v>
      </c>
    </row>
    <row r="103" spans="1:12">
      <c r="A103" s="19">
        <v>98</v>
      </c>
      <c r="B103" s="46"/>
      <c r="C103" s="46"/>
      <c r="D103" s="46"/>
      <c r="E103" s="46"/>
      <c r="G103" s="58" t="str" cm="1">
        <f t="array" ref="G103">_xlfn.IFS(
AND($C103="Secured", OR($D103="HomeLoan_BT_more_than_2_Percent", $D103="HomeLoan_BT_less_than_2_Percent"), $E103=""), "",
AND($C103="Secured",$E103=""),"others",
AND($C103="Secured",$E103=3),"others",
AND($C103="Secured",$E103=5),"BT_with_5_year_lock_in_period",
TRUE, "")</f>
        <v/>
      </c>
      <c r="H103" s="46"/>
      <c r="I103" s="59" t="str" cm="1">
        <f t="array" ref="I103">_xlfn.IFS(
AND($C103="Secured", OR($D103="HomeLoan_BT_more_than_2_Percent", $D103="HomeLoan_BT_less_than_2_Percent"), OR($E103="", $E103=0)), "Please input Year !!!",
AND($C103="Secured", OR($F103="", $F103=0)), "Please input Amount !!!",
AND($C103="Secured", $F103&lt;5000000), 1,
AND($C103="Secured", $F103&gt;=5000000), 1.1,
TRUE, "")</f>
        <v/>
      </c>
      <c r="J103" s="59" t="str" cm="1">
        <f t="array" ref="J103">IFERROR(_xlfn.IFS(
$G103="BT_with_5_year_lock_in_period", _xlfn.XLOOKUP($H103, Deviate_Table[Pricing discount], Deviate_Table[BT_with_5_year_lock_in_period]),
$G103="others", _xlfn.XLOOKUP($H103, Deviate_Table[Pricing discount], Deviate_Table[others]),
TRUE, ""), "Please input Deviate Range !!!")</f>
        <v/>
      </c>
      <c r="K103" s="49">
        <f t="shared" si="1"/>
        <v>0</v>
      </c>
      <c r="L103" s="65" cm="1">
        <f t="array" aca="1" ref="L103" ca="1">IFERROR(
_xlfn.IFS(
D103="HomeLoan_BT_less_than_2_Percent", VLOOKUP(SUMIFS($K:$K, $D:$D, "HomeLoan_BT_more_than_2_Percent", $B:$B, B103)+SUMIFS($K:$K, $D:$D, "HomeLoan_BT_less_than_2_Percent", $B:$B, B103)+SUMIFS($K:$K, $D:$D, "HomeLoan_Non_BT", $B:$B, B103)+SUMIFS($K:$K, $D:$D, "Mortgage_Power_Term", $B:$B, B103), Secured_Commission!$A:$F, 2, 1)*(K103/10^6),
D103="HomeLoan_BT_more_than_2_Percent", VLOOKUP(SUMIFS($K:$K, $D:$D, "HomeLoan_BT_more_than_2_Percent", $B:$B, B103)+SUMIFS($K:$K, $D:$D, "HomeLoan_BT_less_than_2_Percent", $B:$B, B103)+SUMIFS($K:$K, $D:$D, "HomeLoan_Non_BT", $B:$B, B103)+SUMIFS($K:$K, $D:$D, "Mortgage_Power_Term", $B:$B, B103), Secured_Commission!$A:$F, 3, 1)*(K103/10^6),
D103="HomeLoan_Non_BT", VLOOKUP(SUMIFS($K:$K, $D:$D, "HomeLoan_BT_more_than_2_Percent", $B:$B, B103)+SUMIFS($K:$K, $D:$D, "HomeLoan_BT_less_than_2_Percent", $B:$B, B103)+SUMIFS($K:$K, $D:$D, "HomeLoan_Non_BT", $B:$B, B103)+SUMIFS($K:$K, $D:$D, "Mortgage_Power_Term", $B:$B, B103), Secured_Commission!$A:$F, 4, 1)*(K103/10^6),
D103="Mortgage_Power_Term", VLOOKUP(SUMIFS($K:$K, $D:$D, "HomeLoan_BT_more_than_2_Percent", $B:$B, B103)+SUMIFS($K:$K, $D:$D, "HomeLoan_BT_less_than_2_Percent", $B:$B, B103)+SUMIFS($K:$K, $D:$D, "HomeLoan_Non_BT", $B:$B, B103)+SUMIFS($K:$K, $D:$D, "Mortgage_Power_Term", $B:$B, B103), Secured_Commission!$A:$F, 5, 1)*(K103/10^6),
D103="Personal_Cash", VLOOKUP(SUMIFS($K:$K, $D:$D, "Personal_Cash", $B:$B, B103), Unsecured_Commission!$A:$B, 2, 1)*K103,
OR(D103="MRTA_3_Percent", D103="SOMPO"), K103*0.03,
D103="MRTA_6_Percent", K103*0.06), 0)</f>
        <v>0</v>
      </c>
    </row>
    <row r="104" spans="1:12">
      <c r="A104" s="19">
        <v>99</v>
      </c>
      <c r="B104" s="46"/>
      <c r="C104" s="46"/>
      <c r="D104" s="46"/>
      <c r="E104" s="46"/>
      <c r="G104" s="58" t="str" cm="1">
        <f t="array" ref="G104">_xlfn.IFS(
AND($C104="Secured", OR($D104="HomeLoan_BT_more_than_2_Percent", $D104="HomeLoan_BT_less_than_2_Percent"), $E104=""), "",
AND($C104="Secured",$E104=""),"others",
AND($C104="Secured",$E104=3),"others",
AND($C104="Secured",$E104=5),"BT_with_5_year_lock_in_period",
TRUE, "")</f>
        <v/>
      </c>
      <c r="H104" s="46"/>
      <c r="I104" s="59" t="str" cm="1">
        <f t="array" ref="I104">_xlfn.IFS(
AND($C104="Secured", OR($D104="HomeLoan_BT_more_than_2_Percent", $D104="HomeLoan_BT_less_than_2_Percent"), OR($E104="", $E104=0)), "Please input Year !!!",
AND($C104="Secured", OR($F104="", $F104=0)), "Please input Amount !!!",
AND($C104="Secured", $F104&lt;5000000), 1,
AND($C104="Secured", $F104&gt;=5000000), 1.1,
TRUE, "")</f>
        <v/>
      </c>
      <c r="J104" s="59" t="str" cm="1">
        <f t="array" ref="J104">IFERROR(_xlfn.IFS(
$G104="BT_with_5_year_lock_in_period", _xlfn.XLOOKUP($H104, Deviate_Table[Pricing discount], Deviate_Table[BT_with_5_year_lock_in_period]),
$G104="others", _xlfn.XLOOKUP($H104, Deviate_Table[Pricing discount], Deviate_Table[others]),
TRUE, ""), "Please input Deviate Range !!!")</f>
        <v/>
      </c>
      <c r="K104" s="49">
        <f t="shared" si="1"/>
        <v>0</v>
      </c>
      <c r="L104" s="65" cm="1">
        <f t="array" aca="1" ref="L104" ca="1">IFERROR(
_xlfn.IFS(
D104="HomeLoan_BT_less_than_2_Percent", VLOOKUP(SUMIFS($K:$K, $D:$D, "HomeLoan_BT_more_than_2_Percent", $B:$B, B104)+SUMIFS($K:$K, $D:$D, "HomeLoan_BT_less_than_2_Percent", $B:$B, B104)+SUMIFS($K:$K, $D:$D, "HomeLoan_Non_BT", $B:$B, B104)+SUMIFS($K:$K, $D:$D, "Mortgage_Power_Term", $B:$B, B104), Secured_Commission!$A:$F, 2, 1)*(K104/10^6),
D104="HomeLoan_BT_more_than_2_Percent", VLOOKUP(SUMIFS($K:$K, $D:$D, "HomeLoan_BT_more_than_2_Percent", $B:$B, B104)+SUMIFS($K:$K, $D:$D, "HomeLoan_BT_less_than_2_Percent", $B:$B, B104)+SUMIFS($K:$K, $D:$D, "HomeLoan_Non_BT", $B:$B, B104)+SUMIFS($K:$K, $D:$D, "Mortgage_Power_Term", $B:$B, B104), Secured_Commission!$A:$F, 3, 1)*(K104/10^6),
D104="HomeLoan_Non_BT", VLOOKUP(SUMIFS($K:$K, $D:$D, "HomeLoan_BT_more_than_2_Percent", $B:$B, B104)+SUMIFS($K:$K, $D:$D, "HomeLoan_BT_less_than_2_Percent", $B:$B, B104)+SUMIFS($K:$K, $D:$D, "HomeLoan_Non_BT", $B:$B, B104)+SUMIFS($K:$K, $D:$D, "Mortgage_Power_Term", $B:$B, B104), Secured_Commission!$A:$F, 4, 1)*(K104/10^6),
D104="Mortgage_Power_Term", VLOOKUP(SUMIFS($K:$K, $D:$D, "HomeLoan_BT_more_than_2_Percent", $B:$B, B104)+SUMIFS($K:$K, $D:$D, "HomeLoan_BT_less_than_2_Percent", $B:$B, B104)+SUMIFS($K:$K, $D:$D, "HomeLoan_Non_BT", $B:$B, B104)+SUMIFS($K:$K, $D:$D, "Mortgage_Power_Term", $B:$B, B104), Secured_Commission!$A:$F, 5, 1)*(K104/10^6),
D104="Personal_Cash", VLOOKUP(SUMIFS($K:$K, $D:$D, "Personal_Cash", $B:$B, B104), Unsecured_Commission!$A:$B, 2, 1)*K104,
OR(D104="MRTA_3_Percent", D104="SOMPO"), K104*0.03,
D104="MRTA_6_Percent", K104*0.06), 0)</f>
        <v>0</v>
      </c>
    </row>
    <row r="105" spans="1:12">
      <c r="A105" s="19">
        <v>100</v>
      </c>
      <c r="B105" s="46"/>
      <c r="C105" s="46"/>
      <c r="D105" s="46"/>
      <c r="E105" s="46"/>
      <c r="G105" s="58" t="str" cm="1">
        <f t="array" ref="G105">_xlfn.IFS(
AND($C105="Secured", OR($D105="HomeLoan_BT_more_than_2_Percent", $D105="HomeLoan_BT_less_than_2_Percent"), $E105=""), "",
AND($C105="Secured",$E105=""),"others",
AND($C105="Secured",$E105=3),"others",
AND($C105="Secured",$E105=5),"BT_with_5_year_lock_in_period",
TRUE, "")</f>
        <v/>
      </c>
      <c r="H105" s="46"/>
      <c r="I105" s="59" t="str" cm="1">
        <f t="array" ref="I105">_xlfn.IFS(
AND($C105="Secured", OR($D105="HomeLoan_BT_more_than_2_Percent", $D105="HomeLoan_BT_less_than_2_Percent"), OR($E105="", $E105=0)), "Please input Year !!!",
AND($C105="Secured", OR($F105="", $F105=0)), "Please input Amount !!!",
AND($C105="Secured", $F105&lt;5000000), 1,
AND($C105="Secured", $F105&gt;=5000000), 1.1,
TRUE, "")</f>
        <v/>
      </c>
      <c r="J105" s="59" t="str" cm="1">
        <f t="array" ref="J105">IFERROR(_xlfn.IFS(
$G105="BT_with_5_year_lock_in_period", _xlfn.XLOOKUP($H105, Deviate_Table[Pricing discount], Deviate_Table[BT_with_5_year_lock_in_period]),
$G105="others", _xlfn.XLOOKUP($H105, Deviate_Table[Pricing discount], Deviate_Table[others]),
TRUE, ""), "Please input Deviate Range !!!")</f>
        <v/>
      </c>
      <c r="K105" s="49">
        <f t="shared" si="1"/>
        <v>0</v>
      </c>
      <c r="L105" s="65" cm="1">
        <f t="array" aca="1" ref="L105" ca="1">IFERROR(
_xlfn.IFS(
D105="HomeLoan_BT_less_than_2_Percent", VLOOKUP(SUMIFS($K:$K, $D:$D, "HomeLoan_BT_more_than_2_Percent", $B:$B, B105)+SUMIFS($K:$K, $D:$D, "HomeLoan_BT_less_than_2_Percent", $B:$B, B105)+SUMIFS($K:$K, $D:$D, "HomeLoan_Non_BT", $B:$B, B105)+SUMIFS($K:$K, $D:$D, "Mortgage_Power_Term", $B:$B, B105), Secured_Commission!$A:$F, 2, 1)*(K105/10^6),
D105="HomeLoan_BT_more_than_2_Percent", VLOOKUP(SUMIFS($K:$K, $D:$D, "HomeLoan_BT_more_than_2_Percent", $B:$B, B105)+SUMIFS($K:$K, $D:$D, "HomeLoan_BT_less_than_2_Percent", $B:$B, B105)+SUMIFS($K:$K, $D:$D, "HomeLoan_Non_BT", $B:$B, B105)+SUMIFS($K:$K, $D:$D, "Mortgage_Power_Term", $B:$B, B105), Secured_Commission!$A:$F, 3, 1)*(K105/10^6),
D105="HomeLoan_Non_BT", VLOOKUP(SUMIFS($K:$K, $D:$D, "HomeLoan_BT_more_than_2_Percent", $B:$B, B105)+SUMIFS($K:$K, $D:$D, "HomeLoan_BT_less_than_2_Percent", $B:$B, B105)+SUMIFS($K:$K, $D:$D, "HomeLoan_Non_BT", $B:$B, B105)+SUMIFS($K:$K, $D:$D, "Mortgage_Power_Term", $B:$B, B105), Secured_Commission!$A:$F, 4, 1)*(K105/10^6),
D105="Mortgage_Power_Term", VLOOKUP(SUMIFS($K:$K, $D:$D, "HomeLoan_BT_more_than_2_Percent", $B:$B, B105)+SUMIFS($K:$K, $D:$D, "HomeLoan_BT_less_than_2_Percent", $B:$B, B105)+SUMIFS($K:$K, $D:$D, "HomeLoan_Non_BT", $B:$B, B105)+SUMIFS($K:$K, $D:$D, "Mortgage_Power_Term", $B:$B, B105), Secured_Commission!$A:$F, 5, 1)*(K105/10^6),
D105="Personal_Cash", VLOOKUP(SUMIFS($K:$K, $D:$D, "Personal_Cash", $B:$B, B105), Unsecured_Commission!$A:$B, 2, 1)*K105,
OR(D105="MRTA_3_Percent", D105="SOMPO"), K105*0.03,
D105="MRTA_6_Percent", K105*0.06), 0)</f>
        <v>0</v>
      </c>
    </row>
    <row r="106" spans="1:12">
      <c r="A106" s="19">
        <v>101</v>
      </c>
      <c r="B106" s="46"/>
      <c r="C106" s="46"/>
      <c r="D106" s="46"/>
      <c r="E106" s="46"/>
      <c r="G106" s="58" t="str" cm="1">
        <f t="array" ref="G106">_xlfn.IFS(
AND($C106="Secured", OR($D106="HomeLoan_BT_more_than_2_Percent", $D106="HomeLoan_BT_less_than_2_Percent"), $E106=""), "",
AND($C106="Secured",$E106=""),"others",
AND($C106="Secured",$E106=3),"others",
AND($C106="Secured",$E106=5),"BT_with_5_year_lock_in_period",
TRUE, "")</f>
        <v/>
      </c>
      <c r="H106" s="46"/>
      <c r="I106" s="59" t="str" cm="1">
        <f t="array" ref="I106">_xlfn.IFS(
AND($C106="Secured", OR($D106="HomeLoan_BT_more_than_2_Percent", $D106="HomeLoan_BT_less_than_2_Percent"), OR($E106="", $E106=0)), "Please input Year !!!",
AND($C106="Secured", OR($F106="", $F106=0)), "Please input Amount !!!",
AND($C106="Secured", $F106&lt;5000000), 1,
AND($C106="Secured", $F106&gt;=5000000), 1.1,
TRUE, "")</f>
        <v/>
      </c>
      <c r="J106" s="59" t="str" cm="1">
        <f t="array" ref="J106">IFERROR(_xlfn.IFS(
$G106="BT_with_5_year_lock_in_period", _xlfn.XLOOKUP($H106, Deviate_Table[Pricing discount], Deviate_Table[BT_with_5_year_lock_in_period]),
$G106="others", _xlfn.XLOOKUP($H106, Deviate_Table[Pricing discount], Deviate_Table[others]),
TRUE, ""), "Please input Deviate Range !!!")</f>
        <v/>
      </c>
      <c r="K106" s="49">
        <f t="shared" si="1"/>
        <v>0</v>
      </c>
      <c r="L106" s="65" cm="1">
        <f t="array" aca="1" ref="L106" ca="1">IFERROR(
_xlfn.IFS(
D106="HomeLoan_BT_less_than_2_Percent", VLOOKUP(SUMIFS($K:$K, $D:$D, "HomeLoan_BT_more_than_2_Percent", $B:$B, B106)+SUMIFS($K:$K, $D:$D, "HomeLoan_BT_less_than_2_Percent", $B:$B, B106)+SUMIFS($K:$K, $D:$D, "HomeLoan_Non_BT", $B:$B, B106)+SUMIFS($K:$K, $D:$D, "Mortgage_Power_Term", $B:$B, B106), Secured_Commission!$A:$F, 2, 1)*(K106/10^6),
D106="HomeLoan_BT_more_than_2_Percent", VLOOKUP(SUMIFS($K:$K, $D:$D, "HomeLoan_BT_more_than_2_Percent", $B:$B, B106)+SUMIFS($K:$K, $D:$D, "HomeLoan_BT_less_than_2_Percent", $B:$B, B106)+SUMIFS($K:$K, $D:$D, "HomeLoan_Non_BT", $B:$B, B106)+SUMIFS($K:$K, $D:$D, "Mortgage_Power_Term", $B:$B, B106), Secured_Commission!$A:$F, 3, 1)*(K106/10^6),
D106="HomeLoan_Non_BT", VLOOKUP(SUMIFS($K:$K, $D:$D, "HomeLoan_BT_more_than_2_Percent", $B:$B, B106)+SUMIFS($K:$K, $D:$D, "HomeLoan_BT_less_than_2_Percent", $B:$B, B106)+SUMIFS($K:$K, $D:$D, "HomeLoan_Non_BT", $B:$B, B106)+SUMIFS($K:$K, $D:$D, "Mortgage_Power_Term", $B:$B, B106), Secured_Commission!$A:$F, 4, 1)*(K106/10^6),
D106="Mortgage_Power_Term", VLOOKUP(SUMIFS($K:$K, $D:$D, "HomeLoan_BT_more_than_2_Percent", $B:$B, B106)+SUMIFS($K:$K, $D:$D, "HomeLoan_BT_less_than_2_Percent", $B:$B, B106)+SUMIFS($K:$K, $D:$D, "HomeLoan_Non_BT", $B:$B, B106)+SUMIFS($K:$K, $D:$D, "Mortgage_Power_Term", $B:$B, B106), Secured_Commission!$A:$F, 5, 1)*(K106/10^6),
D106="Personal_Cash", VLOOKUP(SUMIFS($K:$K, $D:$D, "Personal_Cash", $B:$B, B106), Unsecured_Commission!$A:$B, 2, 1)*K106,
OR(D106="MRTA_3_Percent", D106="SOMPO"), K106*0.03,
D106="MRTA_6_Percent", K106*0.06), 0)</f>
        <v>0</v>
      </c>
    </row>
    <row r="107" spans="1:12">
      <c r="A107" s="19">
        <v>102</v>
      </c>
      <c r="B107" s="46"/>
      <c r="C107" s="46"/>
      <c r="D107" s="46"/>
      <c r="E107" s="46"/>
      <c r="G107" s="58" t="str" cm="1">
        <f t="array" ref="G107">_xlfn.IFS(
AND($C107="Secured", OR($D107="HomeLoan_BT_more_than_2_Percent", $D107="HomeLoan_BT_less_than_2_Percent"), $E107=""), "",
AND($C107="Secured",$E107=""),"others",
AND($C107="Secured",$E107=3),"others",
AND($C107="Secured",$E107=5),"BT_with_5_year_lock_in_period",
TRUE, "")</f>
        <v/>
      </c>
      <c r="H107" s="46"/>
      <c r="I107" s="59" t="str" cm="1">
        <f t="array" ref="I107">_xlfn.IFS(
AND($C107="Secured", OR($D107="HomeLoan_BT_more_than_2_Percent", $D107="HomeLoan_BT_less_than_2_Percent"), OR($E107="", $E107=0)), "Please input Year !!!",
AND($C107="Secured", OR($F107="", $F107=0)), "Please input Amount !!!",
AND($C107="Secured", $F107&lt;5000000), 1,
AND($C107="Secured", $F107&gt;=5000000), 1.1,
TRUE, "")</f>
        <v/>
      </c>
      <c r="J107" s="59" t="str" cm="1">
        <f t="array" ref="J107">IFERROR(_xlfn.IFS(
$G107="BT_with_5_year_lock_in_period", _xlfn.XLOOKUP($H107, Deviate_Table[Pricing discount], Deviate_Table[BT_with_5_year_lock_in_period]),
$G107="others", _xlfn.XLOOKUP($H107, Deviate_Table[Pricing discount], Deviate_Table[others]),
TRUE, ""), "Please input Deviate Range !!!")</f>
        <v/>
      </c>
      <c r="K107" s="49">
        <f t="shared" si="1"/>
        <v>0</v>
      </c>
      <c r="L107" s="65" cm="1">
        <f t="array" aca="1" ref="L107" ca="1">IFERROR(
_xlfn.IFS(
D107="HomeLoan_BT_less_than_2_Percent", VLOOKUP(SUMIFS($K:$K, $D:$D, "HomeLoan_BT_more_than_2_Percent", $B:$B, B107)+SUMIFS($K:$K, $D:$D, "HomeLoan_BT_less_than_2_Percent", $B:$B, B107)+SUMIFS($K:$K, $D:$D, "HomeLoan_Non_BT", $B:$B, B107)+SUMIFS($K:$K, $D:$D, "Mortgage_Power_Term", $B:$B, B107), Secured_Commission!$A:$F, 2, 1)*(K107/10^6),
D107="HomeLoan_BT_more_than_2_Percent", VLOOKUP(SUMIFS($K:$K, $D:$D, "HomeLoan_BT_more_than_2_Percent", $B:$B, B107)+SUMIFS($K:$K, $D:$D, "HomeLoan_BT_less_than_2_Percent", $B:$B, B107)+SUMIFS($K:$K, $D:$D, "HomeLoan_Non_BT", $B:$B, B107)+SUMIFS($K:$K, $D:$D, "Mortgage_Power_Term", $B:$B, B107), Secured_Commission!$A:$F, 3, 1)*(K107/10^6),
D107="HomeLoan_Non_BT", VLOOKUP(SUMIFS($K:$K, $D:$D, "HomeLoan_BT_more_than_2_Percent", $B:$B, B107)+SUMIFS($K:$K, $D:$D, "HomeLoan_BT_less_than_2_Percent", $B:$B, B107)+SUMIFS($K:$K, $D:$D, "HomeLoan_Non_BT", $B:$B, B107)+SUMIFS($K:$K, $D:$D, "Mortgage_Power_Term", $B:$B, B107), Secured_Commission!$A:$F, 4, 1)*(K107/10^6),
D107="Mortgage_Power_Term", VLOOKUP(SUMIFS($K:$K, $D:$D, "HomeLoan_BT_more_than_2_Percent", $B:$B, B107)+SUMIFS($K:$K, $D:$D, "HomeLoan_BT_less_than_2_Percent", $B:$B, B107)+SUMIFS($K:$K, $D:$D, "HomeLoan_Non_BT", $B:$B, B107)+SUMIFS($K:$K, $D:$D, "Mortgage_Power_Term", $B:$B, B107), Secured_Commission!$A:$F, 5, 1)*(K107/10^6),
D107="Personal_Cash", VLOOKUP(SUMIFS($K:$K, $D:$D, "Personal_Cash", $B:$B, B107), Unsecured_Commission!$A:$B, 2, 1)*K107,
OR(D107="MRTA_3_Percent", D107="SOMPO"), K107*0.03,
D107="MRTA_6_Percent", K107*0.06), 0)</f>
        <v>0</v>
      </c>
    </row>
    <row r="108" spans="1:12">
      <c r="A108" s="19">
        <v>103</v>
      </c>
      <c r="B108" s="46"/>
      <c r="C108" s="46"/>
      <c r="D108" s="46"/>
      <c r="E108" s="46"/>
      <c r="G108" s="58" t="str" cm="1">
        <f t="array" ref="G108">_xlfn.IFS(
AND($C108="Secured", OR($D108="HomeLoan_BT_more_than_2_Percent", $D108="HomeLoan_BT_less_than_2_Percent"), $E108=""), "",
AND($C108="Secured",$E108=""),"others",
AND($C108="Secured",$E108=3),"others",
AND($C108="Secured",$E108=5),"BT_with_5_year_lock_in_period",
TRUE, "")</f>
        <v/>
      </c>
      <c r="H108" s="46"/>
      <c r="I108" s="59" t="str" cm="1">
        <f t="array" ref="I108">_xlfn.IFS(
AND($C108="Secured", OR($D108="HomeLoan_BT_more_than_2_Percent", $D108="HomeLoan_BT_less_than_2_Percent"), OR($E108="", $E108=0)), "Please input Year !!!",
AND($C108="Secured", OR($F108="", $F108=0)), "Please input Amount !!!",
AND($C108="Secured", $F108&lt;5000000), 1,
AND($C108="Secured", $F108&gt;=5000000), 1.1,
TRUE, "")</f>
        <v/>
      </c>
      <c r="J108" s="59" t="str" cm="1">
        <f t="array" ref="J108">IFERROR(_xlfn.IFS(
$G108="BT_with_5_year_lock_in_period", _xlfn.XLOOKUP($H108, Deviate_Table[Pricing discount], Deviate_Table[BT_with_5_year_lock_in_period]),
$G108="others", _xlfn.XLOOKUP($H108, Deviate_Table[Pricing discount], Deviate_Table[others]),
TRUE, ""), "Please input Deviate Range !!!")</f>
        <v/>
      </c>
      <c r="K108" s="49">
        <f t="shared" si="1"/>
        <v>0</v>
      </c>
      <c r="L108" s="65" cm="1">
        <f t="array" aca="1" ref="L108" ca="1">IFERROR(
_xlfn.IFS(
D108="HomeLoan_BT_less_than_2_Percent", VLOOKUP(SUMIFS($K:$K, $D:$D, "HomeLoan_BT_more_than_2_Percent", $B:$B, B108)+SUMIFS($K:$K, $D:$D, "HomeLoan_BT_less_than_2_Percent", $B:$B, B108)+SUMIFS($K:$K, $D:$D, "HomeLoan_Non_BT", $B:$B, B108)+SUMIFS($K:$K, $D:$D, "Mortgage_Power_Term", $B:$B, B108), Secured_Commission!$A:$F, 2, 1)*(K108/10^6),
D108="HomeLoan_BT_more_than_2_Percent", VLOOKUP(SUMIFS($K:$K, $D:$D, "HomeLoan_BT_more_than_2_Percent", $B:$B, B108)+SUMIFS($K:$K, $D:$D, "HomeLoan_BT_less_than_2_Percent", $B:$B, B108)+SUMIFS($K:$K, $D:$D, "HomeLoan_Non_BT", $B:$B, B108)+SUMIFS($K:$K, $D:$D, "Mortgage_Power_Term", $B:$B, B108), Secured_Commission!$A:$F, 3, 1)*(K108/10^6),
D108="HomeLoan_Non_BT", VLOOKUP(SUMIFS($K:$K, $D:$D, "HomeLoan_BT_more_than_2_Percent", $B:$B, B108)+SUMIFS($K:$K, $D:$D, "HomeLoan_BT_less_than_2_Percent", $B:$B, B108)+SUMIFS($K:$K, $D:$D, "HomeLoan_Non_BT", $B:$B, B108)+SUMIFS($K:$K, $D:$D, "Mortgage_Power_Term", $B:$B, B108), Secured_Commission!$A:$F, 4, 1)*(K108/10^6),
D108="Mortgage_Power_Term", VLOOKUP(SUMIFS($K:$K, $D:$D, "HomeLoan_BT_more_than_2_Percent", $B:$B, B108)+SUMIFS($K:$K, $D:$D, "HomeLoan_BT_less_than_2_Percent", $B:$B, B108)+SUMIFS($K:$K, $D:$D, "HomeLoan_Non_BT", $B:$B, B108)+SUMIFS($K:$K, $D:$D, "Mortgage_Power_Term", $B:$B, B108), Secured_Commission!$A:$F, 5, 1)*(K108/10^6),
D108="Personal_Cash", VLOOKUP(SUMIFS($K:$K, $D:$D, "Personal_Cash", $B:$B, B108), Unsecured_Commission!$A:$B, 2, 1)*K108,
OR(D108="MRTA_3_Percent", D108="SOMPO"), K108*0.03,
D108="MRTA_6_Percent", K108*0.06), 0)</f>
        <v>0</v>
      </c>
    </row>
    <row r="109" spans="1:12">
      <c r="A109" s="19">
        <v>104</v>
      </c>
      <c r="B109" s="46"/>
      <c r="C109" s="46"/>
      <c r="D109" s="46"/>
      <c r="E109" s="46"/>
      <c r="G109" s="58" t="str" cm="1">
        <f t="array" ref="G109">_xlfn.IFS(
AND($C109="Secured", OR($D109="HomeLoan_BT_more_than_2_Percent", $D109="HomeLoan_BT_less_than_2_Percent"), $E109=""), "",
AND($C109="Secured",$E109=""),"others",
AND($C109="Secured",$E109=3),"others",
AND($C109="Secured",$E109=5),"BT_with_5_year_lock_in_period",
TRUE, "")</f>
        <v/>
      </c>
      <c r="H109" s="46"/>
      <c r="I109" s="59" t="str" cm="1">
        <f t="array" ref="I109">_xlfn.IFS(
AND($C109="Secured", OR($D109="HomeLoan_BT_more_than_2_Percent", $D109="HomeLoan_BT_less_than_2_Percent"), OR($E109="", $E109=0)), "Please input Year !!!",
AND($C109="Secured", OR($F109="", $F109=0)), "Please input Amount !!!",
AND($C109="Secured", $F109&lt;5000000), 1,
AND($C109="Secured", $F109&gt;=5000000), 1.1,
TRUE, "")</f>
        <v/>
      </c>
      <c r="J109" s="59" t="str" cm="1">
        <f t="array" ref="J109">IFERROR(_xlfn.IFS(
$G109="BT_with_5_year_lock_in_period", _xlfn.XLOOKUP($H109, Deviate_Table[Pricing discount], Deviate_Table[BT_with_5_year_lock_in_period]),
$G109="others", _xlfn.XLOOKUP($H109, Deviate_Table[Pricing discount], Deviate_Table[others]),
TRUE, ""), "Please input Deviate Range !!!")</f>
        <v/>
      </c>
      <c r="K109" s="49">
        <f t="shared" si="1"/>
        <v>0</v>
      </c>
      <c r="L109" s="65" cm="1">
        <f t="array" aca="1" ref="L109" ca="1">IFERROR(
_xlfn.IFS(
D109="HomeLoan_BT_less_than_2_Percent", VLOOKUP(SUMIFS($K:$K, $D:$D, "HomeLoan_BT_more_than_2_Percent", $B:$B, B109)+SUMIFS($K:$K, $D:$D, "HomeLoan_BT_less_than_2_Percent", $B:$B, B109)+SUMIFS($K:$K, $D:$D, "HomeLoan_Non_BT", $B:$B, B109)+SUMIFS($K:$K, $D:$D, "Mortgage_Power_Term", $B:$B, B109), Secured_Commission!$A:$F, 2, 1)*(K109/10^6),
D109="HomeLoan_BT_more_than_2_Percent", VLOOKUP(SUMIFS($K:$K, $D:$D, "HomeLoan_BT_more_than_2_Percent", $B:$B, B109)+SUMIFS($K:$K, $D:$D, "HomeLoan_BT_less_than_2_Percent", $B:$B, B109)+SUMIFS($K:$K, $D:$D, "HomeLoan_Non_BT", $B:$B, B109)+SUMIFS($K:$K, $D:$D, "Mortgage_Power_Term", $B:$B, B109), Secured_Commission!$A:$F, 3, 1)*(K109/10^6),
D109="HomeLoan_Non_BT", VLOOKUP(SUMIFS($K:$K, $D:$D, "HomeLoan_BT_more_than_2_Percent", $B:$B, B109)+SUMIFS($K:$K, $D:$D, "HomeLoan_BT_less_than_2_Percent", $B:$B, B109)+SUMIFS($K:$K, $D:$D, "HomeLoan_Non_BT", $B:$B, B109)+SUMIFS($K:$K, $D:$D, "Mortgage_Power_Term", $B:$B, B109), Secured_Commission!$A:$F, 4, 1)*(K109/10^6),
D109="Mortgage_Power_Term", VLOOKUP(SUMIFS($K:$K, $D:$D, "HomeLoan_BT_more_than_2_Percent", $B:$B, B109)+SUMIFS($K:$K, $D:$D, "HomeLoan_BT_less_than_2_Percent", $B:$B, B109)+SUMIFS($K:$K, $D:$D, "HomeLoan_Non_BT", $B:$B, B109)+SUMIFS($K:$K, $D:$D, "Mortgage_Power_Term", $B:$B, B109), Secured_Commission!$A:$F, 5, 1)*(K109/10^6),
D109="Personal_Cash", VLOOKUP(SUMIFS($K:$K, $D:$D, "Personal_Cash", $B:$B, B109), Unsecured_Commission!$A:$B, 2, 1)*K109,
OR(D109="MRTA_3_Percent", D109="SOMPO"), K109*0.03,
D109="MRTA_6_Percent", K109*0.06), 0)</f>
        <v>0</v>
      </c>
    </row>
    <row r="110" spans="1:12">
      <c r="A110" s="19">
        <v>105</v>
      </c>
      <c r="B110" s="46"/>
      <c r="C110" s="46"/>
      <c r="D110" s="46"/>
      <c r="E110" s="46"/>
      <c r="G110" s="58" t="str" cm="1">
        <f t="array" ref="G110">_xlfn.IFS(
AND($C110="Secured", OR($D110="HomeLoan_BT_more_than_2_Percent", $D110="HomeLoan_BT_less_than_2_Percent"), $E110=""), "",
AND($C110="Secured",$E110=""),"others",
AND($C110="Secured",$E110=3),"others",
AND($C110="Secured",$E110=5),"BT_with_5_year_lock_in_period",
TRUE, "")</f>
        <v/>
      </c>
      <c r="H110" s="46"/>
      <c r="I110" s="59" t="str" cm="1">
        <f t="array" ref="I110">_xlfn.IFS(
AND($C110="Secured", OR($D110="HomeLoan_BT_more_than_2_Percent", $D110="HomeLoan_BT_less_than_2_Percent"), OR($E110="", $E110=0)), "Please input Year !!!",
AND($C110="Secured", OR($F110="", $F110=0)), "Please input Amount !!!",
AND($C110="Secured", $F110&lt;5000000), 1,
AND($C110="Secured", $F110&gt;=5000000), 1.1,
TRUE, "")</f>
        <v/>
      </c>
      <c r="J110" s="59" t="str" cm="1">
        <f t="array" ref="J110">IFERROR(_xlfn.IFS(
$G110="BT_with_5_year_lock_in_period", _xlfn.XLOOKUP($H110, Deviate_Table[Pricing discount], Deviate_Table[BT_with_5_year_lock_in_period]),
$G110="others", _xlfn.XLOOKUP($H110, Deviate_Table[Pricing discount], Deviate_Table[others]),
TRUE, ""), "Please input Deviate Range !!!")</f>
        <v/>
      </c>
      <c r="K110" s="49">
        <f t="shared" si="1"/>
        <v>0</v>
      </c>
      <c r="L110" s="65" cm="1">
        <f t="array" aca="1" ref="L110" ca="1">IFERROR(
_xlfn.IFS(
D110="HomeLoan_BT_less_than_2_Percent", VLOOKUP(SUMIFS($K:$K, $D:$D, "HomeLoan_BT_more_than_2_Percent", $B:$B, B110)+SUMIFS($K:$K, $D:$D, "HomeLoan_BT_less_than_2_Percent", $B:$B, B110)+SUMIFS($K:$K, $D:$D, "HomeLoan_Non_BT", $B:$B, B110)+SUMIFS($K:$K, $D:$D, "Mortgage_Power_Term", $B:$B, B110), Secured_Commission!$A:$F, 2, 1)*(K110/10^6),
D110="HomeLoan_BT_more_than_2_Percent", VLOOKUP(SUMIFS($K:$K, $D:$D, "HomeLoan_BT_more_than_2_Percent", $B:$B, B110)+SUMIFS($K:$K, $D:$D, "HomeLoan_BT_less_than_2_Percent", $B:$B, B110)+SUMIFS($K:$K, $D:$D, "HomeLoan_Non_BT", $B:$B, B110)+SUMIFS($K:$K, $D:$D, "Mortgage_Power_Term", $B:$B, B110), Secured_Commission!$A:$F, 3, 1)*(K110/10^6),
D110="HomeLoan_Non_BT", VLOOKUP(SUMIFS($K:$K, $D:$D, "HomeLoan_BT_more_than_2_Percent", $B:$B, B110)+SUMIFS($K:$K, $D:$D, "HomeLoan_BT_less_than_2_Percent", $B:$B, B110)+SUMIFS($K:$K, $D:$D, "HomeLoan_Non_BT", $B:$B, B110)+SUMIFS($K:$K, $D:$D, "Mortgage_Power_Term", $B:$B, B110), Secured_Commission!$A:$F, 4, 1)*(K110/10^6),
D110="Mortgage_Power_Term", VLOOKUP(SUMIFS($K:$K, $D:$D, "HomeLoan_BT_more_than_2_Percent", $B:$B, B110)+SUMIFS($K:$K, $D:$D, "HomeLoan_BT_less_than_2_Percent", $B:$B, B110)+SUMIFS($K:$K, $D:$D, "HomeLoan_Non_BT", $B:$B, B110)+SUMIFS($K:$K, $D:$D, "Mortgage_Power_Term", $B:$B, B110), Secured_Commission!$A:$F, 5, 1)*(K110/10^6),
D110="Personal_Cash", VLOOKUP(SUMIFS($K:$K, $D:$D, "Personal_Cash", $B:$B, B110), Unsecured_Commission!$A:$B, 2, 1)*K110,
OR(D110="MRTA_3_Percent", D110="SOMPO"), K110*0.03,
D110="MRTA_6_Percent", K110*0.06), 0)</f>
        <v>0</v>
      </c>
    </row>
    <row r="111" spans="1:12">
      <c r="A111" s="19">
        <v>106</v>
      </c>
      <c r="B111" s="46"/>
      <c r="C111" s="46"/>
      <c r="D111" s="46"/>
      <c r="E111" s="46"/>
      <c r="G111" s="58" t="str" cm="1">
        <f t="array" ref="G111">_xlfn.IFS(
AND($C111="Secured", OR($D111="HomeLoan_BT_more_than_2_Percent", $D111="HomeLoan_BT_less_than_2_Percent"), $E111=""), "",
AND($C111="Secured",$E111=""),"others",
AND($C111="Secured",$E111=3),"others",
AND($C111="Secured",$E111=5),"BT_with_5_year_lock_in_period",
TRUE, "")</f>
        <v/>
      </c>
      <c r="H111" s="46"/>
      <c r="I111" s="59" t="str" cm="1">
        <f t="array" ref="I111">_xlfn.IFS(
AND($C111="Secured", OR($D111="HomeLoan_BT_more_than_2_Percent", $D111="HomeLoan_BT_less_than_2_Percent"), OR($E111="", $E111=0)), "Please input Year !!!",
AND($C111="Secured", OR($F111="", $F111=0)), "Please input Amount !!!",
AND($C111="Secured", $F111&lt;5000000), 1,
AND($C111="Secured", $F111&gt;=5000000), 1.1,
TRUE, "")</f>
        <v/>
      </c>
      <c r="J111" s="59" t="str" cm="1">
        <f t="array" ref="J111">IFERROR(_xlfn.IFS(
$G111="BT_with_5_year_lock_in_period", _xlfn.XLOOKUP($H111, Deviate_Table[Pricing discount], Deviate_Table[BT_with_5_year_lock_in_period]),
$G111="others", _xlfn.XLOOKUP($H111, Deviate_Table[Pricing discount], Deviate_Table[others]),
TRUE, ""), "Please input Deviate Range !!!")</f>
        <v/>
      </c>
      <c r="K111" s="49">
        <f t="shared" si="1"/>
        <v>0</v>
      </c>
      <c r="L111" s="65" cm="1">
        <f t="array" aca="1" ref="L111" ca="1">IFERROR(
_xlfn.IFS(
D111="HomeLoan_BT_less_than_2_Percent", VLOOKUP(SUMIFS($K:$K, $D:$D, "HomeLoan_BT_more_than_2_Percent", $B:$B, B111)+SUMIFS($K:$K, $D:$D, "HomeLoan_BT_less_than_2_Percent", $B:$B, B111)+SUMIFS($K:$K, $D:$D, "HomeLoan_Non_BT", $B:$B, B111)+SUMIFS($K:$K, $D:$D, "Mortgage_Power_Term", $B:$B, B111), Secured_Commission!$A:$F, 2, 1)*(K111/10^6),
D111="HomeLoan_BT_more_than_2_Percent", VLOOKUP(SUMIFS($K:$K, $D:$D, "HomeLoan_BT_more_than_2_Percent", $B:$B, B111)+SUMIFS($K:$K, $D:$D, "HomeLoan_BT_less_than_2_Percent", $B:$B, B111)+SUMIFS($K:$K, $D:$D, "HomeLoan_Non_BT", $B:$B, B111)+SUMIFS($K:$K, $D:$D, "Mortgage_Power_Term", $B:$B, B111), Secured_Commission!$A:$F, 3, 1)*(K111/10^6),
D111="HomeLoan_Non_BT", VLOOKUP(SUMIFS($K:$K, $D:$D, "HomeLoan_BT_more_than_2_Percent", $B:$B, B111)+SUMIFS($K:$K, $D:$D, "HomeLoan_BT_less_than_2_Percent", $B:$B, B111)+SUMIFS($K:$K, $D:$D, "HomeLoan_Non_BT", $B:$B, B111)+SUMIFS($K:$K, $D:$D, "Mortgage_Power_Term", $B:$B, B111), Secured_Commission!$A:$F, 4, 1)*(K111/10^6),
D111="Mortgage_Power_Term", VLOOKUP(SUMIFS($K:$K, $D:$D, "HomeLoan_BT_more_than_2_Percent", $B:$B, B111)+SUMIFS($K:$K, $D:$D, "HomeLoan_BT_less_than_2_Percent", $B:$B, B111)+SUMIFS($K:$K, $D:$D, "HomeLoan_Non_BT", $B:$B, B111)+SUMIFS($K:$K, $D:$D, "Mortgage_Power_Term", $B:$B, B111), Secured_Commission!$A:$F, 5, 1)*(K111/10^6),
D111="Personal_Cash", VLOOKUP(SUMIFS($K:$K, $D:$D, "Personal_Cash", $B:$B, B111), Unsecured_Commission!$A:$B, 2, 1)*K111,
OR(D111="MRTA_3_Percent", D111="SOMPO"), K111*0.03,
D111="MRTA_6_Percent", K111*0.06), 0)</f>
        <v>0</v>
      </c>
    </row>
    <row r="112" spans="1:12">
      <c r="A112" s="19">
        <v>107</v>
      </c>
      <c r="B112" s="46"/>
      <c r="C112" s="46"/>
      <c r="D112" s="46"/>
      <c r="E112" s="46"/>
      <c r="G112" s="58" t="str" cm="1">
        <f t="array" ref="G112">_xlfn.IFS(
AND($C112="Secured", OR($D112="HomeLoan_BT_more_than_2_Percent", $D112="HomeLoan_BT_less_than_2_Percent"), $E112=""), "",
AND($C112="Secured",$E112=""),"others",
AND($C112="Secured",$E112=3),"others",
AND($C112="Secured",$E112=5),"BT_with_5_year_lock_in_period",
TRUE, "")</f>
        <v/>
      </c>
      <c r="H112" s="46"/>
      <c r="I112" s="59" t="str" cm="1">
        <f t="array" ref="I112">_xlfn.IFS(
AND($C112="Secured", OR($D112="HomeLoan_BT_more_than_2_Percent", $D112="HomeLoan_BT_less_than_2_Percent"), OR($E112="", $E112=0)), "Please input Year !!!",
AND($C112="Secured", OR($F112="", $F112=0)), "Please input Amount !!!",
AND($C112="Secured", $F112&lt;5000000), 1,
AND($C112="Secured", $F112&gt;=5000000), 1.1,
TRUE, "")</f>
        <v/>
      </c>
      <c r="J112" s="59" t="str" cm="1">
        <f t="array" ref="J112">IFERROR(_xlfn.IFS(
$G112="BT_with_5_year_lock_in_period", _xlfn.XLOOKUP($H112, Deviate_Table[Pricing discount], Deviate_Table[BT_with_5_year_lock_in_period]),
$G112="others", _xlfn.XLOOKUP($H112, Deviate_Table[Pricing discount], Deviate_Table[others]),
TRUE, ""), "Please input Deviate Range !!!")</f>
        <v/>
      </c>
      <c r="K112" s="49">
        <f t="shared" si="1"/>
        <v>0</v>
      </c>
      <c r="L112" s="65" cm="1">
        <f t="array" aca="1" ref="L112" ca="1">IFERROR(
_xlfn.IFS(
D112="HomeLoan_BT_less_than_2_Percent", VLOOKUP(SUMIFS($K:$K, $D:$D, "HomeLoan_BT_more_than_2_Percent", $B:$B, B112)+SUMIFS($K:$K, $D:$D, "HomeLoan_BT_less_than_2_Percent", $B:$B, B112)+SUMIFS($K:$K, $D:$D, "HomeLoan_Non_BT", $B:$B, B112)+SUMIFS($K:$K, $D:$D, "Mortgage_Power_Term", $B:$B, B112), Secured_Commission!$A:$F, 2, 1)*(K112/10^6),
D112="HomeLoan_BT_more_than_2_Percent", VLOOKUP(SUMIFS($K:$K, $D:$D, "HomeLoan_BT_more_than_2_Percent", $B:$B, B112)+SUMIFS($K:$K, $D:$D, "HomeLoan_BT_less_than_2_Percent", $B:$B, B112)+SUMIFS($K:$K, $D:$D, "HomeLoan_Non_BT", $B:$B, B112)+SUMIFS($K:$K, $D:$D, "Mortgage_Power_Term", $B:$B, B112), Secured_Commission!$A:$F, 3, 1)*(K112/10^6),
D112="HomeLoan_Non_BT", VLOOKUP(SUMIFS($K:$K, $D:$D, "HomeLoan_BT_more_than_2_Percent", $B:$B, B112)+SUMIFS($K:$K, $D:$D, "HomeLoan_BT_less_than_2_Percent", $B:$B, B112)+SUMIFS($K:$K, $D:$D, "HomeLoan_Non_BT", $B:$B, B112)+SUMIFS($K:$K, $D:$D, "Mortgage_Power_Term", $B:$B, B112), Secured_Commission!$A:$F, 4, 1)*(K112/10^6),
D112="Mortgage_Power_Term", VLOOKUP(SUMIFS($K:$K, $D:$D, "HomeLoan_BT_more_than_2_Percent", $B:$B, B112)+SUMIFS($K:$K, $D:$D, "HomeLoan_BT_less_than_2_Percent", $B:$B, B112)+SUMIFS($K:$K, $D:$D, "HomeLoan_Non_BT", $B:$B, B112)+SUMIFS($K:$K, $D:$D, "Mortgage_Power_Term", $B:$B, B112), Secured_Commission!$A:$F, 5, 1)*(K112/10^6),
D112="Personal_Cash", VLOOKUP(SUMIFS($K:$K, $D:$D, "Personal_Cash", $B:$B, B112), Unsecured_Commission!$A:$B, 2, 1)*K112,
OR(D112="MRTA_3_Percent", D112="SOMPO"), K112*0.03,
D112="MRTA_6_Percent", K112*0.06), 0)</f>
        <v>0</v>
      </c>
    </row>
    <row r="113" spans="1:12">
      <c r="A113" s="19">
        <v>108</v>
      </c>
      <c r="B113" s="46"/>
      <c r="C113" s="46"/>
      <c r="D113" s="46"/>
      <c r="E113" s="46"/>
      <c r="G113" s="58" t="str" cm="1">
        <f t="array" ref="G113">_xlfn.IFS(
AND($C113="Secured", OR($D113="HomeLoan_BT_more_than_2_Percent", $D113="HomeLoan_BT_less_than_2_Percent"), $E113=""), "",
AND($C113="Secured",$E113=""),"others",
AND($C113="Secured",$E113=3),"others",
AND($C113="Secured",$E113=5),"BT_with_5_year_lock_in_period",
TRUE, "")</f>
        <v/>
      </c>
      <c r="H113" s="46"/>
      <c r="I113" s="59" t="str" cm="1">
        <f t="array" ref="I113">_xlfn.IFS(
AND($C113="Secured", OR($D113="HomeLoan_BT_more_than_2_Percent", $D113="HomeLoan_BT_less_than_2_Percent"), OR($E113="", $E113=0)), "Please input Year !!!",
AND($C113="Secured", OR($F113="", $F113=0)), "Please input Amount !!!",
AND($C113="Secured", $F113&lt;5000000), 1,
AND($C113="Secured", $F113&gt;=5000000), 1.1,
TRUE, "")</f>
        <v/>
      </c>
      <c r="J113" s="59" t="str" cm="1">
        <f t="array" ref="J113">IFERROR(_xlfn.IFS(
$G113="BT_with_5_year_lock_in_period", _xlfn.XLOOKUP($H113, Deviate_Table[Pricing discount], Deviate_Table[BT_with_5_year_lock_in_period]),
$G113="others", _xlfn.XLOOKUP($H113, Deviate_Table[Pricing discount], Deviate_Table[others]),
TRUE, ""), "Please input Deviate Range !!!")</f>
        <v/>
      </c>
      <c r="K113" s="49">
        <f t="shared" si="1"/>
        <v>0</v>
      </c>
      <c r="L113" s="65" cm="1">
        <f t="array" aca="1" ref="L113" ca="1">IFERROR(
_xlfn.IFS(
D113="HomeLoan_BT_less_than_2_Percent", VLOOKUP(SUMIFS($K:$K, $D:$D, "HomeLoan_BT_more_than_2_Percent", $B:$B, B113)+SUMIFS($K:$K, $D:$D, "HomeLoan_BT_less_than_2_Percent", $B:$B, B113)+SUMIFS($K:$K, $D:$D, "HomeLoan_Non_BT", $B:$B, B113)+SUMIFS($K:$K, $D:$D, "Mortgage_Power_Term", $B:$B, B113), Secured_Commission!$A:$F, 2, 1)*(K113/10^6),
D113="HomeLoan_BT_more_than_2_Percent", VLOOKUP(SUMIFS($K:$K, $D:$D, "HomeLoan_BT_more_than_2_Percent", $B:$B, B113)+SUMIFS($K:$K, $D:$D, "HomeLoan_BT_less_than_2_Percent", $B:$B, B113)+SUMIFS($K:$K, $D:$D, "HomeLoan_Non_BT", $B:$B, B113)+SUMIFS($K:$K, $D:$D, "Mortgage_Power_Term", $B:$B, B113), Secured_Commission!$A:$F, 3, 1)*(K113/10^6),
D113="HomeLoan_Non_BT", VLOOKUP(SUMIFS($K:$K, $D:$D, "HomeLoan_BT_more_than_2_Percent", $B:$B, B113)+SUMIFS($K:$K, $D:$D, "HomeLoan_BT_less_than_2_Percent", $B:$B, B113)+SUMIFS($K:$K, $D:$D, "HomeLoan_Non_BT", $B:$B, B113)+SUMIFS($K:$K, $D:$D, "Mortgage_Power_Term", $B:$B, B113), Secured_Commission!$A:$F, 4, 1)*(K113/10^6),
D113="Mortgage_Power_Term", VLOOKUP(SUMIFS($K:$K, $D:$D, "HomeLoan_BT_more_than_2_Percent", $B:$B, B113)+SUMIFS($K:$K, $D:$D, "HomeLoan_BT_less_than_2_Percent", $B:$B, B113)+SUMIFS($K:$K, $D:$D, "HomeLoan_Non_BT", $B:$B, B113)+SUMIFS($K:$K, $D:$D, "Mortgage_Power_Term", $B:$B, B113), Secured_Commission!$A:$F, 5, 1)*(K113/10^6),
D113="Personal_Cash", VLOOKUP(SUMIFS($K:$K, $D:$D, "Personal_Cash", $B:$B, B113), Unsecured_Commission!$A:$B, 2, 1)*K113,
OR(D113="MRTA_3_Percent", D113="SOMPO"), K113*0.03,
D113="MRTA_6_Percent", K113*0.06), 0)</f>
        <v>0</v>
      </c>
    </row>
    <row r="114" spans="1:12">
      <c r="A114" s="19">
        <v>109</v>
      </c>
      <c r="B114" s="46"/>
      <c r="C114" s="46"/>
      <c r="D114" s="46"/>
      <c r="E114" s="46"/>
      <c r="G114" s="58" t="str" cm="1">
        <f t="array" ref="G114">_xlfn.IFS(
AND($C114="Secured", OR($D114="HomeLoan_BT_more_than_2_Percent", $D114="HomeLoan_BT_less_than_2_Percent"), $E114=""), "",
AND($C114="Secured",$E114=""),"others",
AND($C114="Secured",$E114=3),"others",
AND($C114="Secured",$E114=5),"BT_with_5_year_lock_in_period",
TRUE, "")</f>
        <v/>
      </c>
      <c r="H114" s="46"/>
      <c r="I114" s="59" t="str" cm="1">
        <f t="array" ref="I114">_xlfn.IFS(
AND($C114="Secured", OR($D114="HomeLoan_BT_more_than_2_Percent", $D114="HomeLoan_BT_less_than_2_Percent"), OR($E114="", $E114=0)), "Please input Year !!!",
AND($C114="Secured", OR($F114="", $F114=0)), "Please input Amount !!!",
AND($C114="Secured", $F114&lt;5000000), 1,
AND($C114="Secured", $F114&gt;=5000000), 1.1,
TRUE, "")</f>
        <v/>
      </c>
      <c r="J114" s="59" t="str" cm="1">
        <f t="array" ref="J114">IFERROR(_xlfn.IFS(
$G114="BT_with_5_year_lock_in_period", _xlfn.XLOOKUP($H114, Deviate_Table[Pricing discount], Deviate_Table[BT_with_5_year_lock_in_period]),
$G114="others", _xlfn.XLOOKUP($H114, Deviate_Table[Pricing discount], Deviate_Table[others]),
TRUE, ""), "Please input Deviate Range !!!")</f>
        <v/>
      </c>
      <c r="K114" s="49">
        <f t="shared" si="1"/>
        <v>0</v>
      </c>
      <c r="L114" s="65" cm="1">
        <f t="array" aca="1" ref="L114" ca="1">IFERROR(
_xlfn.IFS(
D114="HomeLoan_BT_less_than_2_Percent", VLOOKUP(SUMIFS($K:$K, $D:$D, "HomeLoan_BT_more_than_2_Percent", $B:$B, B114)+SUMIFS($K:$K, $D:$D, "HomeLoan_BT_less_than_2_Percent", $B:$B, B114)+SUMIFS($K:$K, $D:$D, "HomeLoan_Non_BT", $B:$B, B114)+SUMIFS($K:$K, $D:$D, "Mortgage_Power_Term", $B:$B, B114), Secured_Commission!$A:$F, 2, 1)*(K114/10^6),
D114="HomeLoan_BT_more_than_2_Percent", VLOOKUP(SUMIFS($K:$K, $D:$D, "HomeLoan_BT_more_than_2_Percent", $B:$B, B114)+SUMIFS($K:$K, $D:$D, "HomeLoan_BT_less_than_2_Percent", $B:$B, B114)+SUMIFS($K:$K, $D:$D, "HomeLoan_Non_BT", $B:$B, B114)+SUMIFS($K:$K, $D:$D, "Mortgage_Power_Term", $B:$B, B114), Secured_Commission!$A:$F, 3, 1)*(K114/10^6),
D114="HomeLoan_Non_BT", VLOOKUP(SUMIFS($K:$K, $D:$D, "HomeLoan_BT_more_than_2_Percent", $B:$B, B114)+SUMIFS($K:$K, $D:$D, "HomeLoan_BT_less_than_2_Percent", $B:$B, B114)+SUMIFS($K:$K, $D:$D, "HomeLoan_Non_BT", $B:$B, B114)+SUMIFS($K:$K, $D:$D, "Mortgage_Power_Term", $B:$B, B114), Secured_Commission!$A:$F, 4, 1)*(K114/10^6),
D114="Mortgage_Power_Term", VLOOKUP(SUMIFS($K:$K, $D:$D, "HomeLoan_BT_more_than_2_Percent", $B:$B, B114)+SUMIFS($K:$K, $D:$D, "HomeLoan_BT_less_than_2_Percent", $B:$B, B114)+SUMIFS($K:$K, $D:$D, "HomeLoan_Non_BT", $B:$B, B114)+SUMIFS($K:$K, $D:$D, "Mortgage_Power_Term", $B:$B, B114), Secured_Commission!$A:$F, 5, 1)*(K114/10^6),
D114="Personal_Cash", VLOOKUP(SUMIFS($K:$K, $D:$D, "Personal_Cash", $B:$B, B114), Unsecured_Commission!$A:$B, 2, 1)*K114,
OR(D114="MRTA_3_Percent", D114="SOMPO"), K114*0.03,
D114="MRTA_6_Percent", K114*0.06), 0)</f>
        <v>0</v>
      </c>
    </row>
    <row r="115" spans="1:12">
      <c r="A115" s="19">
        <v>110</v>
      </c>
      <c r="B115" s="46"/>
      <c r="C115" s="46"/>
      <c r="D115" s="46"/>
      <c r="E115" s="46"/>
      <c r="G115" s="58" t="str" cm="1">
        <f t="array" ref="G115">_xlfn.IFS(
AND($C115="Secured", OR($D115="HomeLoan_BT_more_than_2_Percent", $D115="HomeLoan_BT_less_than_2_Percent"), $E115=""), "",
AND($C115="Secured",$E115=""),"others",
AND($C115="Secured",$E115=3),"others",
AND($C115="Secured",$E115=5),"BT_with_5_year_lock_in_period",
TRUE, "")</f>
        <v/>
      </c>
      <c r="H115" s="46"/>
      <c r="I115" s="59" t="str" cm="1">
        <f t="array" ref="I115">_xlfn.IFS(
AND($C115="Secured", OR($D115="HomeLoan_BT_more_than_2_Percent", $D115="HomeLoan_BT_less_than_2_Percent"), OR($E115="", $E115=0)), "Please input Year !!!",
AND($C115="Secured", OR($F115="", $F115=0)), "Please input Amount !!!",
AND($C115="Secured", $F115&lt;5000000), 1,
AND($C115="Secured", $F115&gt;=5000000), 1.1,
TRUE, "")</f>
        <v/>
      </c>
      <c r="J115" s="59" t="str" cm="1">
        <f t="array" ref="J115">IFERROR(_xlfn.IFS(
$G115="BT_with_5_year_lock_in_period", _xlfn.XLOOKUP($H115, Deviate_Table[Pricing discount], Deviate_Table[BT_with_5_year_lock_in_period]),
$G115="others", _xlfn.XLOOKUP($H115, Deviate_Table[Pricing discount], Deviate_Table[others]),
TRUE, ""), "Please input Deviate Range !!!")</f>
        <v/>
      </c>
      <c r="K115" s="49">
        <f t="shared" si="1"/>
        <v>0</v>
      </c>
      <c r="L115" s="65" cm="1">
        <f t="array" aca="1" ref="L115" ca="1">IFERROR(
_xlfn.IFS(
D115="HomeLoan_BT_less_than_2_Percent", VLOOKUP(SUMIFS($K:$K, $D:$D, "HomeLoan_BT_more_than_2_Percent", $B:$B, B115)+SUMIFS($K:$K, $D:$D, "HomeLoan_BT_less_than_2_Percent", $B:$B, B115)+SUMIFS($K:$K, $D:$D, "HomeLoan_Non_BT", $B:$B, B115)+SUMIFS($K:$K, $D:$D, "Mortgage_Power_Term", $B:$B, B115), Secured_Commission!$A:$F, 2, 1)*(K115/10^6),
D115="HomeLoan_BT_more_than_2_Percent", VLOOKUP(SUMIFS($K:$K, $D:$D, "HomeLoan_BT_more_than_2_Percent", $B:$B, B115)+SUMIFS($K:$K, $D:$D, "HomeLoan_BT_less_than_2_Percent", $B:$B, B115)+SUMIFS($K:$K, $D:$D, "HomeLoan_Non_BT", $B:$B, B115)+SUMIFS($K:$K, $D:$D, "Mortgage_Power_Term", $B:$B, B115), Secured_Commission!$A:$F, 3, 1)*(K115/10^6),
D115="HomeLoan_Non_BT", VLOOKUP(SUMIFS($K:$K, $D:$D, "HomeLoan_BT_more_than_2_Percent", $B:$B, B115)+SUMIFS($K:$K, $D:$D, "HomeLoan_BT_less_than_2_Percent", $B:$B, B115)+SUMIFS($K:$K, $D:$D, "HomeLoan_Non_BT", $B:$B, B115)+SUMIFS($K:$K, $D:$D, "Mortgage_Power_Term", $B:$B, B115), Secured_Commission!$A:$F, 4, 1)*(K115/10^6),
D115="Mortgage_Power_Term", VLOOKUP(SUMIFS($K:$K, $D:$D, "HomeLoan_BT_more_than_2_Percent", $B:$B, B115)+SUMIFS($K:$K, $D:$D, "HomeLoan_BT_less_than_2_Percent", $B:$B, B115)+SUMIFS($K:$K, $D:$D, "HomeLoan_Non_BT", $B:$B, B115)+SUMIFS($K:$K, $D:$D, "Mortgage_Power_Term", $B:$B, B115), Secured_Commission!$A:$F, 5, 1)*(K115/10^6),
D115="Personal_Cash", VLOOKUP(SUMIFS($K:$K, $D:$D, "Personal_Cash", $B:$B, B115), Unsecured_Commission!$A:$B, 2, 1)*K115,
OR(D115="MRTA_3_Percent", D115="SOMPO"), K115*0.03,
D115="MRTA_6_Percent", K115*0.06), 0)</f>
        <v>0</v>
      </c>
    </row>
    <row r="116" spans="1:12">
      <c r="A116" s="19">
        <v>111</v>
      </c>
      <c r="B116" s="46"/>
      <c r="C116" s="46"/>
      <c r="D116" s="46"/>
      <c r="E116" s="46"/>
      <c r="G116" s="58" t="str" cm="1">
        <f t="array" ref="G116">_xlfn.IFS(
AND($C116="Secured", OR($D116="HomeLoan_BT_more_than_2_Percent", $D116="HomeLoan_BT_less_than_2_Percent"), $E116=""), "",
AND($C116="Secured",$E116=""),"others",
AND($C116="Secured",$E116=3),"others",
AND($C116="Secured",$E116=5),"BT_with_5_year_lock_in_period",
TRUE, "")</f>
        <v/>
      </c>
      <c r="H116" s="46"/>
      <c r="I116" s="59" t="str" cm="1">
        <f t="array" ref="I116">_xlfn.IFS(
AND($C116="Secured", OR($D116="HomeLoan_BT_more_than_2_Percent", $D116="HomeLoan_BT_less_than_2_Percent"), OR($E116="", $E116=0)), "Please input Year !!!",
AND($C116="Secured", OR($F116="", $F116=0)), "Please input Amount !!!",
AND($C116="Secured", $F116&lt;5000000), 1,
AND($C116="Secured", $F116&gt;=5000000), 1.1,
TRUE, "")</f>
        <v/>
      </c>
      <c r="J116" s="59" t="str" cm="1">
        <f t="array" ref="J116">IFERROR(_xlfn.IFS(
$G116="BT_with_5_year_lock_in_period", _xlfn.XLOOKUP($H116, Deviate_Table[Pricing discount], Deviate_Table[BT_with_5_year_lock_in_period]),
$G116="others", _xlfn.XLOOKUP($H116, Deviate_Table[Pricing discount], Deviate_Table[others]),
TRUE, ""), "Please input Deviate Range !!!")</f>
        <v/>
      </c>
      <c r="K116" s="49">
        <f t="shared" si="1"/>
        <v>0</v>
      </c>
      <c r="L116" s="65" cm="1">
        <f t="array" aca="1" ref="L116" ca="1">IFERROR(
_xlfn.IFS(
D116="HomeLoan_BT_less_than_2_Percent", VLOOKUP(SUMIFS($K:$K, $D:$D, "HomeLoan_BT_more_than_2_Percent", $B:$B, B116)+SUMIFS($K:$K, $D:$D, "HomeLoan_BT_less_than_2_Percent", $B:$B, B116)+SUMIFS($K:$K, $D:$D, "HomeLoan_Non_BT", $B:$B, B116)+SUMIFS($K:$K, $D:$D, "Mortgage_Power_Term", $B:$B, B116), Secured_Commission!$A:$F, 2, 1)*(K116/10^6),
D116="HomeLoan_BT_more_than_2_Percent", VLOOKUP(SUMIFS($K:$K, $D:$D, "HomeLoan_BT_more_than_2_Percent", $B:$B, B116)+SUMIFS($K:$K, $D:$D, "HomeLoan_BT_less_than_2_Percent", $B:$B, B116)+SUMIFS($K:$K, $D:$D, "HomeLoan_Non_BT", $B:$B, B116)+SUMIFS($K:$K, $D:$D, "Mortgage_Power_Term", $B:$B, B116), Secured_Commission!$A:$F, 3, 1)*(K116/10^6),
D116="HomeLoan_Non_BT", VLOOKUP(SUMIFS($K:$K, $D:$D, "HomeLoan_BT_more_than_2_Percent", $B:$B, B116)+SUMIFS($K:$K, $D:$D, "HomeLoan_BT_less_than_2_Percent", $B:$B, B116)+SUMIFS($K:$K, $D:$D, "HomeLoan_Non_BT", $B:$B, B116)+SUMIFS($K:$K, $D:$D, "Mortgage_Power_Term", $B:$B, B116), Secured_Commission!$A:$F, 4, 1)*(K116/10^6),
D116="Mortgage_Power_Term", VLOOKUP(SUMIFS($K:$K, $D:$D, "HomeLoan_BT_more_than_2_Percent", $B:$B, B116)+SUMIFS($K:$K, $D:$D, "HomeLoan_BT_less_than_2_Percent", $B:$B, B116)+SUMIFS($K:$K, $D:$D, "HomeLoan_Non_BT", $B:$B, B116)+SUMIFS($K:$K, $D:$D, "Mortgage_Power_Term", $B:$B, B116), Secured_Commission!$A:$F, 5, 1)*(K116/10^6),
D116="Personal_Cash", VLOOKUP(SUMIFS($K:$K, $D:$D, "Personal_Cash", $B:$B, B116), Unsecured_Commission!$A:$B, 2, 1)*K116,
OR(D116="MRTA_3_Percent", D116="SOMPO"), K116*0.03,
D116="MRTA_6_Percent", K116*0.06), 0)</f>
        <v>0</v>
      </c>
    </row>
    <row r="117" spans="1:12">
      <c r="A117" s="19">
        <v>112</v>
      </c>
      <c r="B117" s="46"/>
      <c r="C117" s="46"/>
      <c r="D117" s="46"/>
      <c r="E117" s="46"/>
      <c r="G117" s="58" t="str" cm="1">
        <f t="array" ref="G117">_xlfn.IFS(
AND($C117="Secured", OR($D117="HomeLoan_BT_more_than_2_Percent", $D117="HomeLoan_BT_less_than_2_Percent"), $E117=""), "",
AND($C117="Secured",$E117=""),"others",
AND($C117="Secured",$E117=3),"others",
AND($C117="Secured",$E117=5),"BT_with_5_year_lock_in_period",
TRUE, "")</f>
        <v/>
      </c>
      <c r="H117" s="46"/>
      <c r="I117" s="59" t="str" cm="1">
        <f t="array" ref="I117">_xlfn.IFS(
AND($C117="Secured", OR($D117="HomeLoan_BT_more_than_2_Percent", $D117="HomeLoan_BT_less_than_2_Percent"), OR($E117="", $E117=0)), "Please input Year !!!",
AND($C117="Secured", OR($F117="", $F117=0)), "Please input Amount !!!",
AND($C117="Secured", $F117&lt;5000000), 1,
AND($C117="Secured", $F117&gt;=5000000), 1.1,
TRUE, "")</f>
        <v/>
      </c>
      <c r="J117" s="59" t="str" cm="1">
        <f t="array" ref="J117">IFERROR(_xlfn.IFS(
$G117="BT_with_5_year_lock_in_period", _xlfn.XLOOKUP($H117, Deviate_Table[Pricing discount], Deviate_Table[BT_with_5_year_lock_in_period]),
$G117="others", _xlfn.XLOOKUP($H117, Deviate_Table[Pricing discount], Deviate_Table[others]),
TRUE, ""), "Please input Deviate Range !!!")</f>
        <v/>
      </c>
      <c r="K117" s="49">
        <f t="shared" si="1"/>
        <v>0</v>
      </c>
      <c r="L117" s="65" cm="1">
        <f t="array" aca="1" ref="L117" ca="1">IFERROR(
_xlfn.IFS(
D117="HomeLoan_BT_less_than_2_Percent", VLOOKUP(SUMIFS($K:$K, $D:$D, "HomeLoan_BT_more_than_2_Percent", $B:$B, B117)+SUMIFS($K:$K, $D:$D, "HomeLoan_BT_less_than_2_Percent", $B:$B, B117)+SUMIFS($K:$K, $D:$D, "HomeLoan_Non_BT", $B:$B, B117)+SUMIFS($K:$K, $D:$D, "Mortgage_Power_Term", $B:$B, B117), Secured_Commission!$A:$F, 2, 1)*(K117/10^6),
D117="HomeLoan_BT_more_than_2_Percent", VLOOKUP(SUMIFS($K:$K, $D:$D, "HomeLoan_BT_more_than_2_Percent", $B:$B, B117)+SUMIFS($K:$K, $D:$D, "HomeLoan_BT_less_than_2_Percent", $B:$B, B117)+SUMIFS($K:$K, $D:$D, "HomeLoan_Non_BT", $B:$B, B117)+SUMIFS($K:$K, $D:$D, "Mortgage_Power_Term", $B:$B, B117), Secured_Commission!$A:$F, 3, 1)*(K117/10^6),
D117="HomeLoan_Non_BT", VLOOKUP(SUMIFS($K:$K, $D:$D, "HomeLoan_BT_more_than_2_Percent", $B:$B, B117)+SUMIFS($K:$K, $D:$D, "HomeLoan_BT_less_than_2_Percent", $B:$B, B117)+SUMIFS($K:$K, $D:$D, "HomeLoan_Non_BT", $B:$B, B117)+SUMIFS($K:$K, $D:$D, "Mortgage_Power_Term", $B:$B, B117), Secured_Commission!$A:$F, 4, 1)*(K117/10^6),
D117="Mortgage_Power_Term", VLOOKUP(SUMIFS($K:$K, $D:$D, "HomeLoan_BT_more_than_2_Percent", $B:$B, B117)+SUMIFS($K:$K, $D:$D, "HomeLoan_BT_less_than_2_Percent", $B:$B, B117)+SUMIFS($K:$K, $D:$D, "HomeLoan_Non_BT", $B:$B, B117)+SUMIFS($K:$K, $D:$D, "Mortgage_Power_Term", $B:$B, B117), Secured_Commission!$A:$F, 5, 1)*(K117/10^6),
D117="Personal_Cash", VLOOKUP(SUMIFS($K:$K, $D:$D, "Personal_Cash", $B:$B, B117), Unsecured_Commission!$A:$B, 2, 1)*K117,
OR(D117="MRTA_3_Percent", D117="SOMPO"), K117*0.03,
D117="MRTA_6_Percent", K117*0.06), 0)</f>
        <v>0</v>
      </c>
    </row>
    <row r="118" spans="1:12">
      <c r="A118" s="19">
        <v>113</v>
      </c>
      <c r="B118" s="46"/>
      <c r="C118" s="46"/>
      <c r="D118" s="46"/>
      <c r="E118" s="46"/>
      <c r="G118" s="58" t="str" cm="1">
        <f t="array" ref="G118">_xlfn.IFS(
AND($C118="Secured", OR($D118="HomeLoan_BT_more_than_2_Percent", $D118="HomeLoan_BT_less_than_2_Percent"), $E118=""), "",
AND($C118="Secured",$E118=""),"others",
AND($C118="Secured",$E118=3),"others",
AND($C118="Secured",$E118=5),"BT_with_5_year_lock_in_period",
TRUE, "")</f>
        <v/>
      </c>
      <c r="H118" s="46"/>
      <c r="I118" s="59" t="str" cm="1">
        <f t="array" ref="I118">_xlfn.IFS(
AND($C118="Secured", OR($D118="HomeLoan_BT_more_than_2_Percent", $D118="HomeLoan_BT_less_than_2_Percent"), OR($E118="", $E118=0)), "Please input Year !!!",
AND($C118="Secured", OR($F118="", $F118=0)), "Please input Amount !!!",
AND($C118="Secured", $F118&lt;5000000), 1,
AND($C118="Secured", $F118&gt;=5000000), 1.1,
TRUE, "")</f>
        <v/>
      </c>
      <c r="J118" s="59" t="str" cm="1">
        <f t="array" ref="J118">IFERROR(_xlfn.IFS(
$G118="BT_with_5_year_lock_in_period", _xlfn.XLOOKUP($H118, Deviate_Table[Pricing discount], Deviate_Table[BT_with_5_year_lock_in_period]),
$G118="others", _xlfn.XLOOKUP($H118, Deviate_Table[Pricing discount], Deviate_Table[others]),
TRUE, ""), "Please input Deviate Range !!!")</f>
        <v/>
      </c>
      <c r="K118" s="49">
        <f t="shared" si="1"/>
        <v>0</v>
      </c>
      <c r="L118" s="65" cm="1">
        <f t="array" aca="1" ref="L118" ca="1">IFERROR(
_xlfn.IFS(
D118="HomeLoan_BT_less_than_2_Percent", VLOOKUP(SUMIFS($K:$K, $D:$D, "HomeLoan_BT_more_than_2_Percent", $B:$B, B118)+SUMIFS($K:$K, $D:$D, "HomeLoan_BT_less_than_2_Percent", $B:$B, B118)+SUMIFS($K:$K, $D:$D, "HomeLoan_Non_BT", $B:$B, B118)+SUMIFS($K:$K, $D:$D, "Mortgage_Power_Term", $B:$B, B118), Secured_Commission!$A:$F, 2, 1)*(K118/10^6),
D118="HomeLoan_BT_more_than_2_Percent", VLOOKUP(SUMIFS($K:$K, $D:$D, "HomeLoan_BT_more_than_2_Percent", $B:$B, B118)+SUMIFS($K:$K, $D:$D, "HomeLoan_BT_less_than_2_Percent", $B:$B, B118)+SUMIFS($K:$K, $D:$D, "HomeLoan_Non_BT", $B:$B, B118)+SUMIFS($K:$K, $D:$D, "Mortgage_Power_Term", $B:$B, B118), Secured_Commission!$A:$F, 3, 1)*(K118/10^6),
D118="HomeLoan_Non_BT", VLOOKUP(SUMIFS($K:$K, $D:$D, "HomeLoan_BT_more_than_2_Percent", $B:$B, B118)+SUMIFS($K:$K, $D:$D, "HomeLoan_BT_less_than_2_Percent", $B:$B, B118)+SUMIFS($K:$K, $D:$D, "HomeLoan_Non_BT", $B:$B, B118)+SUMIFS($K:$K, $D:$D, "Mortgage_Power_Term", $B:$B, B118), Secured_Commission!$A:$F, 4, 1)*(K118/10^6),
D118="Mortgage_Power_Term", VLOOKUP(SUMIFS($K:$K, $D:$D, "HomeLoan_BT_more_than_2_Percent", $B:$B, B118)+SUMIFS($K:$K, $D:$D, "HomeLoan_BT_less_than_2_Percent", $B:$B, B118)+SUMIFS($K:$K, $D:$D, "HomeLoan_Non_BT", $B:$B, B118)+SUMIFS($K:$K, $D:$D, "Mortgage_Power_Term", $B:$B, B118), Secured_Commission!$A:$F, 5, 1)*(K118/10^6),
D118="Personal_Cash", VLOOKUP(SUMIFS($K:$K, $D:$D, "Personal_Cash", $B:$B, B118), Unsecured_Commission!$A:$B, 2, 1)*K118,
OR(D118="MRTA_3_Percent", D118="SOMPO"), K118*0.03,
D118="MRTA_6_Percent", K118*0.06), 0)</f>
        <v>0</v>
      </c>
    </row>
    <row r="119" spans="1:12">
      <c r="A119" s="19">
        <v>114</v>
      </c>
      <c r="B119" s="46"/>
      <c r="C119" s="46"/>
      <c r="D119" s="46"/>
      <c r="E119" s="46"/>
      <c r="G119" s="58" t="str" cm="1">
        <f t="array" ref="G119">_xlfn.IFS(
AND($C119="Secured", OR($D119="HomeLoan_BT_more_than_2_Percent", $D119="HomeLoan_BT_less_than_2_Percent"), $E119=""), "",
AND($C119="Secured",$E119=""),"others",
AND($C119="Secured",$E119=3),"others",
AND($C119="Secured",$E119=5),"BT_with_5_year_lock_in_period",
TRUE, "")</f>
        <v/>
      </c>
      <c r="H119" s="46"/>
      <c r="I119" s="59" t="str" cm="1">
        <f t="array" ref="I119">_xlfn.IFS(
AND($C119="Secured", OR($D119="HomeLoan_BT_more_than_2_Percent", $D119="HomeLoan_BT_less_than_2_Percent"), OR($E119="", $E119=0)), "Please input Year !!!",
AND($C119="Secured", OR($F119="", $F119=0)), "Please input Amount !!!",
AND($C119="Secured", $F119&lt;5000000), 1,
AND($C119="Secured", $F119&gt;=5000000), 1.1,
TRUE, "")</f>
        <v/>
      </c>
      <c r="J119" s="59" t="str" cm="1">
        <f t="array" ref="J119">IFERROR(_xlfn.IFS(
$G119="BT_with_5_year_lock_in_period", _xlfn.XLOOKUP($H119, Deviate_Table[Pricing discount], Deviate_Table[BT_with_5_year_lock_in_period]),
$G119="others", _xlfn.XLOOKUP($H119, Deviate_Table[Pricing discount], Deviate_Table[others]),
TRUE, ""), "Please input Deviate Range !!!")</f>
        <v/>
      </c>
      <c r="K119" s="49">
        <f t="shared" si="1"/>
        <v>0</v>
      </c>
      <c r="L119" s="65" cm="1">
        <f t="array" aca="1" ref="L119" ca="1">IFERROR(
_xlfn.IFS(
D119="HomeLoan_BT_less_than_2_Percent", VLOOKUP(SUMIFS($K:$K, $D:$D, "HomeLoan_BT_more_than_2_Percent", $B:$B, B119)+SUMIFS($K:$K, $D:$D, "HomeLoan_BT_less_than_2_Percent", $B:$B, B119)+SUMIFS($K:$K, $D:$D, "HomeLoan_Non_BT", $B:$B, B119)+SUMIFS($K:$K, $D:$D, "Mortgage_Power_Term", $B:$B, B119), Secured_Commission!$A:$F, 2, 1)*(K119/10^6),
D119="HomeLoan_BT_more_than_2_Percent", VLOOKUP(SUMIFS($K:$K, $D:$D, "HomeLoan_BT_more_than_2_Percent", $B:$B, B119)+SUMIFS($K:$K, $D:$D, "HomeLoan_BT_less_than_2_Percent", $B:$B, B119)+SUMIFS($K:$K, $D:$D, "HomeLoan_Non_BT", $B:$B, B119)+SUMIFS($K:$K, $D:$D, "Mortgage_Power_Term", $B:$B, B119), Secured_Commission!$A:$F, 3, 1)*(K119/10^6),
D119="HomeLoan_Non_BT", VLOOKUP(SUMIFS($K:$K, $D:$D, "HomeLoan_BT_more_than_2_Percent", $B:$B, B119)+SUMIFS($K:$K, $D:$D, "HomeLoan_BT_less_than_2_Percent", $B:$B, B119)+SUMIFS($K:$K, $D:$D, "HomeLoan_Non_BT", $B:$B, B119)+SUMIFS($K:$K, $D:$D, "Mortgage_Power_Term", $B:$B, B119), Secured_Commission!$A:$F, 4, 1)*(K119/10^6),
D119="Mortgage_Power_Term", VLOOKUP(SUMIFS($K:$K, $D:$D, "HomeLoan_BT_more_than_2_Percent", $B:$B, B119)+SUMIFS($K:$K, $D:$D, "HomeLoan_BT_less_than_2_Percent", $B:$B, B119)+SUMIFS($K:$K, $D:$D, "HomeLoan_Non_BT", $B:$B, B119)+SUMIFS($K:$K, $D:$D, "Mortgage_Power_Term", $B:$B, B119), Secured_Commission!$A:$F, 5, 1)*(K119/10^6),
D119="Personal_Cash", VLOOKUP(SUMIFS($K:$K, $D:$D, "Personal_Cash", $B:$B, B119), Unsecured_Commission!$A:$B, 2, 1)*K119,
OR(D119="MRTA_3_Percent", D119="SOMPO"), K119*0.03,
D119="MRTA_6_Percent", K119*0.06), 0)</f>
        <v>0</v>
      </c>
    </row>
    <row r="120" spans="1:12">
      <c r="A120" s="19">
        <v>115</v>
      </c>
      <c r="B120" s="46"/>
      <c r="C120" s="46"/>
      <c r="D120" s="46"/>
      <c r="E120" s="46"/>
      <c r="G120" s="58" t="str" cm="1">
        <f t="array" ref="G120">_xlfn.IFS(
AND($C120="Secured", OR($D120="HomeLoan_BT_more_than_2_Percent", $D120="HomeLoan_BT_less_than_2_Percent"), $E120=""), "",
AND($C120="Secured",$E120=""),"others",
AND($C120="Secured",$E120=3),"others",
AND($C120="Secured",$E120=5),"BT_with_5_year_lock_in_period",
TRUE, "")</f>
        <v/>
      </c>
      <c r="H120" s="46"/>
      <c r="I120" s="59" t="str" cm="1">
        <f t="array" ref="I120">_xlfn.IFS(
AND($C120="Secured", OR($D120="HomeLoan_BT_more_than_2_Percent", $D120="HomeLoan_BT_less_than_2_Percent"), OR($E120="", $E120=0)), "Please input Year !!!",
AND($C120="Secured", OR($F120="", $F120=0)), "Please input Amount !!!",
AND($C120="Secured", $F120&lt;5000000), 1,
AND($C120="Secured", $F120&gt;=5000000), 1.1,
TRUE, "")</f>
        <v/>
      </c>
      <c r="J120" s="59" t="str" cm="1">
        <f t="array" ref="J120">IFERROR(_xlfn.IFS(
$G120="BT_with_5_year_lock_in_period", _xlfn.XLOOKUP($H120, Deviate_Table[Pricing discount], Deviate_Table[BT_with_5_year_lock_in_period]),
$G120="others", _xlfn.XLOOKUP($H120, Deviate_Table[Pricing discount], Deviate_Table[others]),
TRUE, ""), "Please input Deviate Range !!!")</f>
        <v/>
      </c>
      <c r="K120" s="49">
        <f t="shared" si="1"/>
        <v>0</v>
      </c>
      <c r="L120" s="65" cm="1">
        <f t="array" aca="1" ref="L120" ca="1">IFERROR(
_xlfn.IFS(
D120="HomeLoan_BT_less_than_2_Percent", VLOOKUP(SUMIFS($K:$K, $D:$D, "HomeLoan_BT_more_than_2_Percent", $B:$B, B120)+SUMIFS($K:$K, $D:$D, "HomeLoan_BT_less_than_2_Percent", $B:$B, B120)+SUMIFS($K:$K, $D:$D, "HomeLoan_Non_BT", $B:$B, B120)+SUMIFS($K:$K, $D:$D, "Mortgage_Power_Term", $B:$B, B120), Secured_Commission!$A:$F, 2, 1)*(K120/10^6),
D120="HomeLoan_BT_more_than_2_Percent", VLOOKUP(SUMIFS($K:$K, $D:$D, "HomeLoan_BT_more_than_2_Percent", $B:$B, B120)+SUMIFS($K:$K, $D:$D, "HomeLoan_BT_less_than_2_Percent", $B:$B, B120)+SUMIFS($K:$K, $D:$D, "HomeLoan_Non_BT", $B:$B, B120)+SUMIFS($K:$K, $D:$D, "Mortgage_Power_Term", $B:$B, B120), Secured_Commission!$A:$F, 3, 1)*(K120/10^6),
D120="HomeLoan_Non_BT", VLOOKUP(SUMIFS($K:$K, $D:$D, "HomeLoan_BT_more_than_2_Percent", $B:$B, B120)+SUMIFS($K:$K, $D:$D, "HomeLoan_BT_less_than_2_Percent", $B:$B, B120)+SUMIFS($K:$K, $D:$D, "HomeLoan_Non_BT", $B:$B, B120)+SUMIFS($K:$K, $D:$D, "Mortgage_Power_Term", $B:$B, B120), Secured_Commission!$A:$F, 4, 1)*(K120/10^6),
D120="Mortgage_Power_Term", VLOOKUP(SUMIFS($K:$K, $D:$D, "HomeLoan_BT_more_than_2_Percent", $B:$B, B120)+SUMIFS($K:$K, $D:$D, "HomeLoan_BT_less_than_2_Percent", $B:$B, B120)+SUMIFS($K:$K, $D:$D, "HomeLoan_Non_BT", $B:$B, B120)+SUMIFS($K:$K, $D:$D, "Mortgage_Power_Term", $B:$B, B120), Secured_Commission!$A:$F, 5, 1)*(K120/10^6),
D120="Personal_Cash", VLOOKUP(SUMIFS($K:$K, $D:$D, "Personal_Cash", $B:$B, B120), Unsecured_Commission!$A:$B, 2, 1)*K120,
OR(D120="MRTA_3_Percent", D120="SOMPO"), K120*0.03,
D120="MRTA_6_Percent", K120*0.06), 0)</f>
        <v>0</v>
      </c>
    </row>
    <row r="121" spans="1:12">
      <c r="A121" s="19">
        <v>116</v>
      </c>
      <c r="B121" s="46"/>
      <c r="C121" s="46"/>
      <c r="D121" s="46"/>
      <c r="E121" s="46"/>
      <c r="G121" s="58" t="str" cm="1">
        <f t="array" ref="G121">_xlfn.IFS(
AND($C121="Secured", OR($D121="HomeLoan_BT_more_than_2_Percent", $D121="HomeLoan_BT_less_than_2_Percent"), $E121=""), "",
AND($C121="Secured",$E121=""),"others",
AND($C121="Secured",$E121=3),"others",
AND($C121="Secured",$E121=5),"BT_with_5_year_lock_in_period",
TRUE, "")</f>
        <v/>
      </c>
      <c r="H121" s="46"/>
      <c r="I121" s="59" t="str" cm="1">
        <f t="array" ref="I121">_xlfn.IFS(
AND($C121="Secured", OR($D121="HomeLoan_BT_more_than_2_Percent", $D121="HomeLoan_BT_less_than_2_Percent"), OR($E121="", $E121=0)), "Please input Year !!!",
AND($C121="Secured", OR($F121="", $F121=0)), "Please input Amount !!!",
AND($C121="Secured", $F121&lt;5000000), 1,
AND($C121="Secured", $F121&gt;=5000000), 1.1,
TRUE, "")</f>
        <v/>
      </c>
      <c r="J121" s="59" t="str" cm="1">
        <f t="array" ref="J121">IFERROR(_xlfn.IFS(
$G121="BT_with_5_year_lock_in_period", _xlfn.XLOOKUP($H121, Deviate_Table[Pricing discount], Deviate_Table[BT_with_5_year_lock_in_period]),
$G121="others", _xlfn.XLOOKUP($H121, Deviate_Table[Pricing discount], Deviate_Table[others]),
TRUE, ""), "Please input Deviate Range !!!")</f>
        <v/>
      </c>
      <c r="K121" s="49">
        <f t="shared" si="1"/>
        <v>0</v>
      </c>
      <c r="L121" s="65" cm="1">
        <f t="array" aca="1" ref="L121" ca="1">IFERROR(
_xlfn.IFS(
D121="HomeLoan_BT_less_than_2_Percent", VLOOKUP(SUMIFS($K:$K, $D:$D, "HomeLoan_BT_more_than_2_Percent", $B:$B, B121)+SUMIFS($K:$K, $D:$D, "HomeLoan_BT_less_than_2_Percent", $B:$B, B121)+SUMIFS($K:$K, $D:$D, "HomeLoan_Non_BT", $B:$B, B121)+SUMIFS($K:$K, $D:$D, "Mortgage_Power_Term", $B:$B, B121), Secured_Commission!$A:$F, 2, 1)*(K121/10^6),
D121="HomeLoan_BT_more_than_2_Percent", VLOOKUP(SUMIFS($K:$K, $D:$D, "HomeLoan_BT_more_than_2_Percent", $B:$B, B121)+SUMIFS($K:$K, $D:$D, "HomeLoan_BT_less_than_2_Percent", $B:$B, B121)+SUMIFS($K:$K, $D:$D, "HomeLoan_Non_BT", $B:$B, B121)+SUMIFS($K:$K, $D:$D, "Mortgage_Power_Term", $B:$B, B121), Secured_Commission!$A:$F, 3, 1)*(K121/10^6),
D121="HomeLoan_Non_BT", VLOOKUP(SUMIFS($K:$K, $D:$D, "HomeLoan_BT_more_than_2_Percent", $B:$B, B121)+SUMIFS($K:$K, $D:$D, "HomeLoan_BT_less_than_2_Percent", $B:$B, B121)+SUMIFS($K:$K, $D:$D, "HomeLoan_Non_BT", $B:$B, B121)+SUMIFS($K:$K, $D:$D, "Mortgage_Power_Term", $B:$B, B121), Secured_Commission!$A:$F, 4, 1)*(K121/10^6),
D121="Mortgage_Power_Term", VLOOKUP(SUMIFS($K:$K, $D:$D, "HomeLoan_BT_more_than_2_Percent", $B:$B, B121)+SUMIFS($K:$K, $D:$D, "HomeLoan_BT_less_than_2_Percent", $B:$B, B121)+SUMIFS($K:$K, $D:$D, "HomeLoan_Non_BT", $B:$B, B121)+SUMIFS($K:$K, $D:$D, "Mortgage_Power_Term", $B:$B, B121), Secured_Commission!$A:$F, 5, 1)*(K121/10^6),
D121="Personal_Cash", VLOOKUP(SUMIFS($K:$K, $D:$D, "Personal_Cash", $B:$B, B121), Unsecured_Commission!$A:$B, 2, 1)*K121,
OR(D121="MRTA_3_Percent", D121="SOMPO"), K121*0.03,
D121="MRTA_6_Percent", K121*0.06), 0)</f>
        <v>0</v>
      </c>
    </row>
    <row r="122" spans="1:12">
      <c r="A122" s="19">
        <v>117</v>
      </c>
      <c r="B122" s="46"/>
      <c r="C122" s="46"/>
      <c r="D122" s="46"/>
      <c r="E122" s="46"/>
      <c r="G122" s="58" t="str" cm="1">
        <f t="array" ref="G122">_xlfn.IFS(
AND($C122="Secured", OR($D122="HomeLoan_BT_more_than_2_Percent", $D122="HomeLoan_BT_less_than_2_Percent"), $E122=""), "",
AND($C122="Secured",$E122=""),"others",
AND($C122="Secured",$E122=3),"others",
AND($C122="Secured",$E122=5),"BT_with_5_year_lock_in_period",
TRUE, "")</f>
        <v/>
      </c>
      <c r="H122" s="46"/>
      <c r="I122" s="59" t="str" cm="1">
        <f t="array" ref="I122">_xlfn.IFS(
AND($C122="Secured", OR($D122="HomeLoan_BT_more_than_2_Percent", $D122="HomeLoan_BT_less_than_2_Percent"), OR($E122="", $E122=0)), "Please input Year !!!",
AND($C122="Secured", OR($F122="", $F122=0)), "Please input Amount !!!",
AND($C122="Secured", $F122&lt;5000000), 1,
AND($C122="Secured", $F122&gt;=5000000), 1.1,
TRUE, "")</f>
        <v/>
      </c>
      <c r="J122" s="59" t="str" cm="1">
        <f t="array" ref="J122">IFERROR(_xlfn.IFS(
$G122="BT_with_5_year_lock_in_period", _xlfn.XLOOKUP($H122, Deviate_Table[Pricing discount], Deviate_Table[BT_with_5_year_lock_in_period]),
$G122="others", _xlfn.XLOOKUP($H122, Deviate_Table[Pricing discount], Deviate_Table[others]),
TRUE, ""), "Please input Deviate Range !!!")</f>
        <v/>
      </c>
      <c r="K122" s="49">
        <f t="shared" si="1"/>
        <v>0</v>
      </c>
      <c r="L122" s="65" cm="1">
        <f t="array" aca="1" ref="L122" ca="1">IFERROR(
_xlfn.IFS(
D122="HomeLoan_BT_less_than_2_Percent", VLOOKUP(SUMIFS($K:$K, $D:$D, "HomeLoan_BT_more_than_2_Percent", $B:$B, B122)+SUMIFS($K:$K, $D:$D, "HomeLoan_BT_less_than_2_Percent", $B:$B, B122)+SUMIFS($K:$K, $D:$D, "HomeLoan_Non_BT", $B:$B, B122)+SUMIFS($K:$K, $D:$D, "Mortgage_Power_Term", $B:$B, B122), Secured_Commission!$A:$F, 2, 1)*(K122/10^6),
D122="HomeLoan_BT_more_than_2_Percent", VLOOKUP(SUMIFS($K:$K, $D:$D, "HomeLoan_BT_more_than_2_Percent", $B:$B, B122)+SUMIFS($K:$K, $D:$D, "HomeLoan_BT_less_than_2_Percent", $B:$B, B122)+SUMIFS($K:$K, $D:$D, "HomeLoan_Non_BT", $B:$B, B122)+SUMIFS($K:$K, $D:$D, "Mortgage_Power_Term", $B:$B, B122), Secured_Commission!$A:$F, 3, 1)*(K122/10^6),
D122="HomeLoan_Non_BT", VLOOKUP(SUMIFS($K:$K, $D:$D, "HomeLoan_BT_more_than_2_Percent", $B:$B, B122)+SUMIFS($K:$K, $D:$D, "HomeLoan_BT_less_than_2_Percent", $B:$B, B122)+SUMIFS($K:$K, $D:$D, "HomeLoan_Non_BT", $B:$B, B122)+SUMIFS($K:$K, $D:$D, "Mortgage_Power_Term", $B:$B, B122), Secured_Commission!$A:$F, 4, 1)*(K122/10^6),
D122="Mortgage_Power_Term", VLOOKUP(SUMIFS($K:$K, $D:$D, "HomeLoan_BT_more_than_2_Percent", $B:$B, B122)+SUMIFS($K:$K, $D:$D, "HomeLoan_BT_less_than_2_Percent", $B:$B, B122)+SUMIFS($K:$K, $D:$D, "HomeLoan_Non_BT", $B:$B, B122)+SUMIFS($K:$K, $D:$D, "Mortgage_Power_Term", $B:$B, B122), Secured_Commission!$A:$F, 5, 1)*(K122/10^6),
D122="Personal_Cash", VLOOKUP(SUMIFS($K:$K, $D:$D, "Personal_Cash", $B:$B, B122), Unsecured_Commission!$A:$B, 2, 1)*K122,
OR(D122="MRTA_3_Percent", D122="SOMPO"), K122*0.03,
D122="MRTA_6_Percent", K122*0.06), 0)</f>
        <v>0</v>
      </c>
    </row>
    <row r="123" spans="1:12">
      <c r="A123" s="19">
        <v>118</v>
      </c>
      <c r="B123" s="46"/>
      <c r="C123" s="46"/>
      <c r="D123" s="46"/>
      <c r="E123" s="46"/>
      <c r="G123" s="58" t="str" cm="1">
        <f t="array" ref="G123">_xlfn.IFS(
AND($C123="Secured", OR($D123="HomeLoan_BT_more_than_2_Percent", $D123="HomeLoan_BT_less_than_2_Percent"), $E123=""), "",
AND($C123="Secured",$E123=""),"others",
AND($C123="Secured",$E123=3),"others",
AND($C123="Secured",$E123=5),"BT_with_5_year_lock_in_period",
TRUE, "")</f>
        <v/>
      </c>
      <c r="H123" s="46"/>
      <c r="I123" s="59" t="str" cm="1">
        <f t="array" ref="I123">_xlfn.IFS(
AND($C123="Secured", OR($D123="HomeLoan_BT_more_than_2_Percent", $D123="HomeLoan_BT_less_than_2_Percent"), OR($E123="", $E123=0)), "Please input Year !!!",
AND($C123="Secured", OR($F123="", $F123=0)), "Please input Amount !!!",
AND($C123="Secured", $F123&lt;5000000), 1,
AND($C123="Secured", $F123&gt;=5000000), 1.1,
TRUE, "")</f>
        <v/>
      </c>
      <c r="J123" s="59" t="str" cm="1">
        <f t="array" ref="J123">IFERROR(_xlfn.IFS(
$G123="BT_with_5_year_lock_in_period", _xlfn.XLOOKUP($H123, Deviate_Table[Pricing discount], Deviate_Table[BT_with_5_year_lock_in_period]),
$G123="others", _xlfn.XLOOKUP($H123, Deviate_Table[Pricing discount], Deviate_Table[others]),
TRUE, ""), "Please input Deviate Range !!!")</f>
        <v/>
      </c>
      <c r="K123" s="49">
        <f t="shared" si="1"/>
        <v>0</v>
      </c>
      <c r="L123" s="65" cm="1">
        <f t="array" aca="1" ref="L123" ca="1">IFERROR(
_xlfn.IFS(
D123="HomeLoan_BT_less_than_2_Percent", VLOOKUP(SUMIFS($K:$K, $D:$D, "HomeLoan_BT_more_than_2_Percent", $B:$B, B123)+SUMIFS($K:$K, $D:$D, "HomeLoan_BT_less_than_2_Percent", $B:$B, B123)+SUMIFS($K:$K, $D:$D, "HomeLoan_Non_BT", $B:$B, B123)+SUMIFS($K:$K, $D:$D, "Mortgage_Power_Term", $B:$B, B123), Secured_Commission!$A:$F, 2, 1)*(K123/10^6),
D123="HomeLoan_BT_more_than_2_Percent", VLOOKUP(SUMIFS($K:$K, $D:$D, "HomeLoan_BT_more_than_2_Percent", $B:$B, B123)+SUMIFS($K:$K, $D:$D, "HomeLoan_BT_less_than_2_Percent", $B:$B, B123)+SUMIFS($K:$K, $D:$D, "HomeLoan_Non_BT", $B:$B, B123)+SUMIFS($K:$K, $D:$D, "Mortgage_Power_Term", $B:$B, B123), Secured_Commission!$A:$F, 3, 1)*(K123/10^6),
D123="HomeLoan_Non_BT", VLOOKUP(SUMIFS($K:$K, $D:$D, "HomeLoan_BT_more_than_2_Percent", $B:$B, B123)+SUMIFS($K:$K, $D:$D, "HomeLoan_BT_less_than_2_Percent", $B:$B, B123)+SUMIFS($K:$K, $D:$D, "HomeLoan_Non_BT", $B:$B, B123)+SUMIFS($K:$K, $D:$D, "Mortgage_Power_Term", $B:$B, B123), Secured_Commission!$A:$F, 4, 1)*(K123/10^6),
D123="Mortgage_Power_Term", VLOOKUP(SUMIFS($K:$K, $D:$D, "HomeLoan_BT_more_than_2_Percent", $B:$B, B123)+SUMIFS($K:$K, $D:$D, "HomeLoan_BT_less_than_2_Percent", $B:$B, B123)+SUMIFS($K:$K, $D:$D, "HomeLoan_Non_BT", $B:$B, B123)+SUMIFS($K:$K, $D:$D, "Mortgage_Power_Term", $B:$B, B123), Secured_Commission!$A:$F, 5, 1)*(K123/10^6),
D123="Personal_Cash", VLOOKUP(SUMIFS($K:$K, $D:$D, "Personal_Cash", $B:$B, B123), Unsecured_Commission!$A:$B, 2, 1)*K123,
OR(D123="MRTA_3_Percent", D123="SOMPO"), K123*0.03,
D123="MRTA_6_Percent", K123*0.06), 0)</f>
        <v>0</v>
      </c>
    </row>
    <row r="124" spans="1:12">
      <c r="A124" s="19">
        <v>119</v>
      </c>
      <c r="B124" s="46"/>
      <c r="C124" s="46"/>
      <c r="D124" s="46"/>
      <c r="E124" s="46"/>
      <c r="G124" s="58" t="str" cm="1">
        <f t="array" ref="G124">_xlfn.IFS(
AND($C124="Secured", OR($D124="HomeLoan_BT_more_than_2_Percent", $D124="HomeLoan_BT_less_than_2_Percent"), $E124=""), "",
AND($C124="Secured",$E124=""),"others",
AND($C124="Secured",$E124=3),"others",
AND($C124="Secured",$E124=5),"BT_with_5_year_lock_in_period",
TRUE, "")</f>
        <v/>
      </c>
      <c r="H124" s="46"/>
      <c r="I124" s="59" t="str" cm="1">
        <f t="array" ref="I124">_xlfn.IFS(
AND($C124="Secured", OR($D124="HomeLoan_BT_more_than_2_Percent", $D124="HomeLoan_BT_less_than_2_Percent"), OR($E124="", $E124=0)), "Please input Year !!!",
AND($C124="Secured", OR($F124="", $F124=0)), "Please input Amount !!!",
AND($C124="Secured", $F124&lt;5000000), 1,
AND($C124="Secured", $F124&gt;=5000000), 1.1,
TRUE, "")</f>
        <v/>
      </c>
      <c r="J124" s="59" t="str" cm="1">
        <f t="array" ref="J124">IFERROR(_xlfn.IFS(
$G124="BT_with_5_year_lock_in_period", _xlfn.XLOOKUP($H124, Deviate_Table[Pricing discount], Deviate_Table[BT_with_5_year_lock_in_period]),
$G124="others", _xlfn.XLOOKUP($H124, Deviate_Table[Pricing discount], Deviate_Table[others]),
TRUE, ""), "Please input Deviate Range !!!")</f>
        <v/>
      </c>
      <c r="K124" s="49">
        <f t="shared" si="1"/>
        <v>0</v>
      </c>
      <c r="L124" s="65" cm="1">
        <f t="array" aca="1" ref="L124" ca="1">IFERROR(
_xlfn.IFS(
D124="HomeLoan_BT_less_than_2_Percent", VLOOKUP(SUMIFS($K:$K, $D:$D, "HomeLoan_BT_more_than_2_Percent", $B:$B, B124)+SUMIFS($K:$K, $D:$D, "HomeLoan_BT_less_than_2_Percent", $B:$B, B124)+SUMIFS($K:$K, $D:$D, "HomeLoan_Non_BT", $B:$B, B124)+SUMIFS($K:$K, $D:$D, "Mortgage_Power_Term", $B:$B, B124), Secured_Commission!$A:$F, 2, 1)*(K124/10^6),
D124="HomeLoan_BT_more_than_2_Percent", VLOOKUP(SUMIFS($K:$K, $D:$D, "HomeLoan_BT_more_than_2_Percent", $B:$B, B124)+SUMIFS($K:$K, $D:$D, "HomeLoan_BT_less_than_2_Percent", $B:$B, B124)+SUMIFS($K:$K, $D:$D, "HomeLoan_Non_BT", $B:$B, B124)+SUMIFS($K:$K, $D:$D, "Mortgage_Power_Term", $B:$B, B124), Secured_Commission!$A:$F, 3, 1)*(K124/10^6),
D124="HomeLoan_Non_BT", VLOOKUP(SUMIFS($K:$K, $D:$D, "HomeLoan_BT_more_than_2_Percent", $B:$B, B124)+SUMIFS($K:$K, $D:$D, "HomeLoan_BT_less_than_2_Percent", $B:$B, B124)+SUMIFS($K:$K, $D:$D, "HomeLoan_Non_BT", $B:$B, B124)+SUMIFS($K:$K, $D:$D, "Mortgage_Power_Term", $B:$B, B124), Secured_Commission!$A:$F, 4, 1)*(K124/10^6),
D124="Mortgage_Power_Term", VLOOKUP(SUMIFS($K:$K, $D:$D, "HomeLoan_BT_more_than_2_Percent", $B:$B, B124)+SUMIFS($K:$K, $D:$D, "HomeLoan_BT_less_than_2_Percent", $B:$B, B124)+SUMIFS($K:$K, $D:$D, "HomeLoan_Non_BT", $B:$B, B124)+SUMIFS($K:$K, $D:$D, "Mortgage_Power_Term", $B:$B, B124), Secured_Commission!$A:$F, 5, 1)*(K124/10^6),
D124="Personal_Cash", VLOOKUP(SUMIFS($K:$K, $D:$D, "Personal_Cash", $B:$B, B124), Unsecured_Commission!$A:$B, 2, 1)*K124,
OR(D124="MRTA_3_Percent", D124="SOMPO"), K124*0.03,
D124="MRTA_6_Percent", K124*0.06), 0)</f>
        <v>0</v>
      </c>
    </row>
    <row r="125" spans="1:12">
      <c r="A125" s="19">
        <v>120</v>
      </c>
      <c r="B125" s="46"/>
      <c r="C125" s="46"/>
      <c r="D125" s="46"/>
      <c r="E125" s="46"/>
      <c r="G125" s="58" t="str" cm="1">
        <f t="array" ref="G125">_xlfn.IFS(
AND($C125="Secured", OR($D125="HomeLoan_BT_more_than_2_Percent", $D125="HomeLoan_BT_less_than_2_Percent"), $E125=""), "",
AND($C125="Secured",$E125=""),"others",
AND($C125="Secured",$E125=3),"others",
AND($C125="Secured",$E125=5),"BT_with_5_year_lock_in_period",
TRUE, "")</f>
        <v/>
      </c>
      <c r="H125" s="46"/>
      <c r="I125" s="59" t="str" cm="1">
        <f t="array" ref="I125">_xlfn.IFS(
AND($C125="Secured", OR($D125="HomeLoan_BT_more_than_2_Percent", $D125="HomeLoan_BT_less_than_2_Percent"), OR($E125="", $E125=0)), "Please input Year !!!",
AND($C125="Secured", OR($F125="", $F125=0)), "Please input Amount !!!",
AND($C125="Secured", $F125&lt;5000000), 1,
AND($C125="Secured", $F125&gt;=5000000), 1.1,
TRUE, "")</f>
        <v/>
      </c>
      <c r="J125" s="59" t="str" cm="1">
        <f t="array" ref="J125">IFERROR(_xlfn.IFS(
$G125="BT_with_5_year_lock_in_period", _xlfn.XLOOKUP($H125, Deviate_Table[Pricing discount], Deviate_Table[BT_with_5_year_lock_in_period]),
$G125="others", _xlfn.XLOOKUP($H125, Deviate_Table[Pricing discount], Deviate_Table[others]),
TRUE, ""), "Please input Deviate Range !!!")</f>
        <v/>
      </c>
      <c r="K125" s="49">
        <f t="shared" si="1"/>
        <v>0</v>
      </c>
      <c r="L125" s="65" cm="1">
        <f t="array" aca="1" ref="L125" ca="1">IFERROR(
_xlfn.IFS(
D125="HomeLoan_BT_less_than_2_Percent", VLOOKUP(SUMIFS($K:$K, $D:$D, "HomeLoan_BT_more_than_2_Percent", $B:$B, B125)+SUMIFS($K:$K, $D:$D, "HomeLoan_BT_less_than_2_Percent", $B:$B, B125)+SUMIFS($K:$K, $D:$D, "HomeLoan_Non_BT", $B:$B, B125)+SUMIFS($K:$K, $D:$D, "Mortgage_Power_Term", $B:$B, B125), Secured_Commission!$A:$F, 2, 1)*(K125/10^6),
D125="HomeLoan_BT_more_than_2_Percent", VLOOKUP(SUMIFS($K:$K, $D:$D, "HomeLoan_BT_more_than_2_Percent", $B:$B, B125)+SUMIFS($K:$K, $D:$D, "HomeLoan_BT_less_than_2_Percent", $B:$B, B125)+SUMIFS($K:$K, $D:$D, "HomeLoan_Non_BT", $B:$B, B125)+SUMIFS($K:$K, $D:$D, "Mortgage_Power_Term", $B:$B, B125), Secured_Commission!$A:$F, 3, 1)*(K125/10^6),
D125="HomeLoan_Non_BT", VLOOKUP(SUMIFS($K:$K, $D:$D, "HomeLoan_BT_more_than_2_Percent", $B:$B, B125)+SUMIFS($K:$K, $D:$D, "HomeLoan_BT_less_than_2_Percent", $B:$B, B125)+SUMIFS($K:$K, $D:$D, "HomeLoan_Non_BT", $B:$B, B125)+SUMIFS($K:$K, $D:$D, "Mortgage_Power_Term", $B:$B, B125), Secured_Commission!$A:$F, 4, 1)*(K125/10^6),
D125="Mortgage_Power_Term", VLOOKUP(SUMIFS($K:$K, $D:$D, "HomeLoan_BT_more_than_2_Percent", $B:$B, B125)+SUMIFS($K:$K, $D:$D, "HomeLoan_BT_less_than_2_Percent", $B:$B, B125)+SUMIFS($K:$K, $D:$D, "HomeLoan_Non_BT", $B:$B, B125)+SUMIFS($K:$K, $D:$D, "Mortgage_Power_Term", $B:$B, B125), Secured_Commission!$A:$F, 5, 1)*(K125/10^6),
D125="Personal_Cash", VLOOKUP(SUMIFS($K:$K, $D:$D, "Personal_Cash", $B:$B, B125), Unsecured_Commission!$A:$B, 2, 1)*K125,
OR(D125="MRTA_3_Percent", D125="SOMPO"), K125*0.03,
D125="MRTA_6_Percent", K125*0.06), 0)</f>
        <v>0</v>
      </c>
    </row>
    <row r="126" spans="1:12">
      <c r="A126" s="19">
        <v>121</v>
      </c>
      <c r="B126" s="46"/>
      <c r="C126" s="46"/>
      <c r="D126" s="46"/>
      <c r="E126" s="46"/>
      <c r="G126" s="58" t="str" cm="1">
        <f t="array" ref="G126">_xlfn.IFS(
AND($C126="Secured", OR($D126="HomeLoan_BT_more_than_2_Percent", $D126="HomeLoan_BT_less_than_2_Percent"), $E126=""), "",
AND($C126="Secured",$E126=""),"others",
AND($C126="Secured",$E126=3),"others",
AND($C126="Secured",$E126=5),"BT_with_5_year_lock_in_period",
TRUE, "")</f>
        <v/>
      </c>
      <c r="H126" s="46"/>
      <c r="I126" s="59" t="str" cm="1">
        <f t="array" ref="I126">_xlfn.IFS(
AND($C126="Secured", OR($D126="HomeLoan_BT_more_than_2_Percent", $D126="HomeLoan_BT_less_than_2_Percent"), OR($E126="", $E126=0)), "Please input Year !!!",
AND($C126="Secured", OR($F126="", $F126=0)), "Please input Amount !!!",
AND($C126="Secured", $F126&lt;5000000), 1,
AND($C126="Secured", $F126&gt;=5000000), 1.1,
TRUE, "")</f>
        <v/>
      </c>
      <c r="J126" s="59" t="str" cm="1">
        <f t="array" ref="J126">IFERROR(_xlfn.IFS(
$G126="BT_with_5_year_lock_in_period", _xlfn.XLOOKUP($H126, Deviate_Table[Pricing discount], Deviate_Table[BT_with_5_year_lock_in_period]),
$G126="others", _xlfn.XLOOKUP($H126, Deviate_Table[Pricing discount], Deviate_Table[others]),
TRUE, ""), "Please input Deviate Range !!!")</f>
        <v/>
      </c>
      <c r="K126" s="49">
        <f t="shared" si="1"/>
        <v>0</v>
      </c>
      <c r="L126" s="65" cm="1">
        <f t="array" aca="1" ref="L126" ca="1">IFERROR(
_xlfn.IFS(
D126="HomeLoan_BT_less_than_2_Percent", VLOOKUP(SUMIFS($K:$K, $D:$D, "HomeLoan_BT_more_than_2_Percent", $B:$B, B126)+SUMIFS($K:$K, $D:$D, "HomeLoan_BT_less_than_2_Percent", $B:$B, B126)+SUMIFS($K:$K, $D:$D, "HomeLoan_Non_BT", $B:$B, B126)+SUMIFS($K:$K, $D:$D, "Mortgage_Power_Term", $B:$B, B126), Secured_Commission!$A:$F, 2, 1)*(K126/10^6),
D126="HomeLoan_BT_more_than_2_Percent", VLOOKUP(SUMIFS($K:$K, $D:$D, "HomeLoan_BT_more_than_2_Percent", $B:$B, B126)+SUMIFS($K:$K, $D:$D, "HomeLoan_BT_less_than_2_Percent", $B:$B, B126)+SUMIFS($K:$K, $D:$D, "HomeLoan_Non_BT", $B:$B, B126)+SUMIFS($K:$K, $D:$D, "Mortgage_Power_Term", $B:$B, B126), Secured_Commission!$A:$F, 3, 1)*(K126/10^6),
D126="HomeLoan_Non_BT", VLOOKUP(SUMIFS($K:$K, $D:$D, "HomeLoan_BT_more_than_2_Percent", $B:$B, B126)+SUMIFS($K:$K, $D:$D, "HomeLoan_BT_less_than_2_Percent", $B:$B, B126)+SUMIFS($K:$K, $D:$D, "HomeLoan_Non_BT", $B:$B, B126)+SUMIFS($K:$K, $D:$D, "Mortgage_Power_Term", $B:$B, B126), Secured_Commission!$A:$F, 4, 1)*(K126/10^6),
D126="Mortgage_Power_Term", VLOOKUP(SUMIFS($K:$K, $D:$D, "HomeLoan_BT_more_than_2_Percent", $B:$B, B126)+SUMIFS($K:$K, $D:$D, "HomeLoan_BT_less_than_2_Percent", $B:$B, B126)+SUMIFS($K:$K, $D:$D, "HomeLoan_Non_BT", $B:$B, B126)+SUMIFS($K:$K, $D:$D, "Mortgage_Power_Term", $B:$B, B126), Secured_Commission!$A:$F, 5, 1)*(K126/10^6),
D126="Personal_Cash", VLOOKUP(SUMIFS($K:$K, $D:$D, "Personal_Cash", $B:$B, B126), Unsecured_Commission!$A:$B, 2, 1)*K126,
OR(D126="MRTA_3_Percent", D126="SOMPO"), K126*0.03,
D126="MRTA_6_Percent", K126*0.06), 0)</f>
        <v>0</v>
      </c>
    </row>
    <row r="127" spans="1:12">
      <c r="A127" s="19">
        <v>122</v>
      </c>
      <c r="B127" s="46"/>
      <c r="C127" s="46"/>
      <c r="D127" s="46"/>
      <c r="E127" s="46"/>
      <c r="G127" s="58" t="str" cm="1">
        <f t="array" ref="G127">_xlfn.IFS(
AND($C127="Secured", OR($D127="HomeLoan_BT_more_than_2_Percent", $D127="HomeLoan_BT_less_than_2_Percent"), $E127=""), "",
AND($C127="Secured",$E127=""),"others",
AND($C127="Secured",$E127=3),"others",
AND($C127="Secured",$E127=5),"BT_with_5_year_lock_in_period",
TRUE, "")</f>
        <v/>
      </c>
      <c r="H127" s="46"/>
      <c r="I127" s="59" t="str" cm="1">
        <f t="array" ref="I127">_xlfn.IFS(
AND($C127="Secured", OR($D127="HomeLoan_BT_more_than_2_Percent", $D127="HomeLoan_BT_less_than_2_Percent"), OR($E127="", $E127=0)), "Please input Year !!!",
AND($C127="Secured", OR($F127="", $F127=0)), "Please input Amount !!!",
AND($C127="Secured", $F127&lt;5000000), 1,
AND($C127="Secured", $F127&gt;=5000000), 1.1,
TRUE, "")</f>
        <v/>
      </c>
      <c r="J127" s="59" t="str" cm="1">
        <f t="array" ref="J127">IFERROR(_xlfn.IFS(
$G127="BT_with_5_year_lock_in_period", _xlfn.XLOOKUP($H127, Deviate_Table[Pricing discount], Deviate_Table[BT_with_5_year_lock_in_period]),
$G127="others", _xlfn.XLOOKUP($H127, Deviate_Table[Pricing discount], Deviate_Table[others]),
TRUE, ""), "Please input Deviate Range !!!")</f>
        <v/>
      </c>
      <c r="K127" s="49">
        <f t="shared" si="1"/>
        <v>0</v>
      </c>
      <c r="L127" s="65" cm="1">
        <f t="array" aca="1" ref="L127" ca="1">IFERROR(
_xlfn.IFS(
D127="HomeLoan_BT_less_than_2_Percent", VLOOKUP(SUMIFS($K:$K, $D:$D, "HomeLoan_BT_more_than_2_Percent", $B:$B, B127)+SUMIFS($K:$K, $D:$D, "HomeLoan_BT_less_than_2_Percent", $B:$B, B127)+SUMIFS($K:$K, $D:$D, "HomeLoan_Non_BT", $B:$B, B127)+SUMIFS($K:$K, $D:$D, "Mortgage_Power_Term", $B:$B, B127), Secured_Commission!$A:$F, 2, 1)*(K127/10^6),
D127="HomeLoan_BT_more_than_2_Percent", VLOOKUP(SUMIFS($K:$K, $D:$D, "HomeLoan_BT_more_than_2_Percent", $B:$B, B127)+SUMIFS($K:$K, $D:$D, "HomeLoan_BT_less_than_2_Percent", $B:$B, B127)+SUMIFS($K:$K, $D:$D, "HomeLoan_Non_BT", $B:$B, B127)+SUMIFS($K:$K, $D:$D, "Mortgage_Power_Term", $B:$B, B127), Secured_Commission!$A:$F, 3, 1)*(K127/10^6),
D127="HomeLoan_Non_BT", VLOOKUP(SUMIFS($K:$K, $D:$D, "HomeLoan_BT_more_than_2_Percent", $B:$B, B127)+SUMIFS($K:$K, $D:$D, "HomeLoan_BT_less_than_2_Percent", $B:$B, B127)+SUMIFS($K:$K, $D:$D, "HomeLoan_Non_BT", $B:$B, B127)+SUMIFS($K:$K, $D:$D, "Mortgage_Power_Term", $B:$B, B127), Secured_Commission!$A:$F, 4, 1)*(K127/10^6),
D127="Mortgage_Power_Term", VLOOKUP(SUMIFS($K:$K, $D:$D, "HomeLoan_BT_more_than_2_Percent", $B:$B, B127)+SUMIFS($K:$K, $D:$D, "HomeLoan_BT_less_than_2_Percent", $B:$B, B127)+SUMIFS($K:$K, $D:$D, "HomeLoan_Non_BT", $B:$B, B127)+SUMIFS($K:$K, $D:$D, "Mortgage_Power_Term", $B:$B, B127), Secured_Commission!$A:$F, 5, 1)*(K127/10^6),
D127="Personal_Cash", VLOOKUP(SUMIFS($K:$K, $D:$D, "Personal_Cash", $B:$B, B127), Unsecured_Commission!$A:$B, 2, 1)*K127,
OR(D127="MRTA_3_Percent", D127="SOMPO"), K127*0.03,
D127="MRTA_6_Percent", K127*0.06), 0)</f>
        <v>0</v>
      </c>
    </row>
    <row r="128" spans="1:12">
      <c r="A128" s="19">
        <v>123</v>
      </c>
      <c r="B128" s="46"/>
      <c r="C128" s="46"/>
      <c r="D128" s="46"/>
      <c r="E128" s="46"/>
      <c r="G128" s="58" t="str" cm="1">
        <f t="array" ref="G128">_xlfn.IFS(
AND($C128="Secured", OR($D128="HomeLoan_BT_more_than_2_Percent", $D128="HomeLoan_BT_less_than_2_Percent"), $E128=""), "",
AND($C128="Secured",$E128=""),"others",
AND($C128="Secured",$E128=3),"others",
AND($C128="Secured",$E128=5),"BT_with_5_year_lock_in_period",
TRUE, "")</f>
        <v/>
      </c>
      <c r="H128" s="46"/>
      <c r="I128" s="59" t="str" cm="1">
        <f t="array" ref="I128">_xlfn.IFS(
AND($C128="Secured", OR($D128="HomeLoan_BT_more_than_2_Percent", $D128="HomeLoan_BT_less_than_2_Percent"), OR($E128="", $E128=0)), "Please input Year !!!",
AND($C128="Secured", OR($F128="", $F128=0)), "Please input Amount !!!",
AND($C128="Secured", $F128&lt;5000000), 1,
AND($C128="Secured", $F128&gt;=5000000), 1.1,
TRUE, "")</f>
        <v/>
      </c>
      <c r="J128" s="59" t="str" cm="1">
        <f t="array" ref="J128">IFERROR(_xlfn.IFS(
$G128="BT_with_5_year_lock_in_period", _xlfn.XLOOKUP($H128, Deviate_Table[Pricing discount], Deviate_Table[BT_with_5_year_lock_in_period]),
$G128="others", _xlfn.XLOOKUP($H128, Deviate_Table[Pricing discount], Deviate_Table[others]),
TRUE, ""), "Please input Deviate Range !!!")</f>
        <v/>
      </c>
      <c r="K128" s="49">
        <f t="shared" si="1"/>
        <v>0</v>
      </c>
      <c r="L128" s="65" cm="1">
        <f t="array" aca="1" ref="L128" ca="1">IFERROR(
_xlfn.IFS(
D128="HomeLoan_BT_less_than_2_Percent", VLOOKUP(SUMIFS($K:$K, $D:$D, "HomeLoan_BT_more_than_2_Percent", $B:$B, B128)+SUMIFS($K:$K, $D:$D, "HomeLoan_BT_less_than_2_Percent", $B:$B, B128)+SUMIFS($K:$K, $D:$D, "HomeLoan_Non_BT", $B:$B, B128)+SUMIFS($K:$K, $D:$D, "Mortgage_Power_Term", $B:$B, B128), Secured_Commission!$A:$F, 2, 1)*(K128/10^6),
D128="HomeLoan_BT_more_than_2_Percent", VLOOKUP(SUMIFS($K:$K, $D:$D, "HomeLoan_BT_more_than_2_Percent", $B:$B, B128)+SUMIFS($K:$K, $D:$D, "HomeLoan_BT_less_than_2_Percent", $B:$B, B128)+SUMIFS($K:$K, $D:$D, "HomeLoan_Non_BT", $B:$B, B128)+SUMIFS($K:$K, $D:$D, "Mortgage_Power_Term", $B:$B, B128), Secured_Commission!$A:$F, 3, 1)*(K128/10^6),
D128="HomeLoan_Non_BT", VLOOKUP(SUMIFS($K:$K, $D:$D, "HomeLoan_BT_more_than_2_Percent", $B:$B, B128)+SUMIFS($K:$K, $D:$D, "HomeLoan_BT_less_than_2_Percent", $B:$B, B128)+SUMIFS($K:$K, $D:$D, "HomeLoan_Non_BT", $B:$B, B128)+SUMIFS($K:$K, $D:$D, "Mortgage_Power_Term", $B:$B, B128), Secured_Commission!$A:$F, 4, 1)*(K128/10^6),
D128="Mortgage_Power_Term", VLOOKUP(SUMIFS($K:$K, $D:$D, "HomeLoan_BT_more_than_2_Percent", $B:$B, B128)+SUMIFS($K:$K, $D:$D, "HomeLoan_BT_less_than_2_Percent", $B:$B, B128)+SUMIFS($K:$K, $D:$D, "HomeLoan_Non_BT", $B:$B, B128)+SUMIFS($K:$K, $D:$D, "Mortgage_Power_Term", $B:$B, B128), Secured_Commission!$A:$F, 5, 1)*(K128/10^6),
D128="Personal_Cash", VLOOKUP(SUMIFS($K:$K, $D:$D, "Personal_Cash", $B:$B, B128), Unsecured_Commission!$A:$B, 2, 1)*K128,
OR(D128="MRTA_3_Percent", D128="SOMPO"), K128*0.03,
D128="MRTA_6_Percent", K128*0.06), 0)</f>
        <v>0</v>
      </c>
    </row>
    <row r="129" spans="1:12">
      <c r="A129" s="19">
        <v>124</v>
      </c>
      <c r="B129" s="46"/>
      <c r="C129" s="46"/>
      <c r="D129" s="46"/>
      <c r="E129" s="46"/>
      <c r="G129" s="58" t="str" cm="1">
        <f t="array" ref="G129">_xlfn.IFS(
AND($C129="Secured", OR($D129="HomeLoan_BT_more_than_2_Percent", $D129="HomeLoan_BT_less_than_2_Percent"), $E129=""), "",
AND($C129="Secured",$E129=""),"others",
AND($C129="Secured",$E129=3),"others",
AND($C129="Secured",$E129=5),"BT_with_5_year_lock_in_period",
TRUE, "")</f>
        <v/>
      </c>
      <c r="H129" s="46"/>
      <c r="I129" s="59" t="str" cm="1">
        <f t="array" ref="I129">_xlfn.IFS(
AND($C129="Secured", OR($D129="HomeLoan_BT_more_than_2_Percent", $D129="HomeLoan_BT_less_than_2_Percent"), OR($E129="", $E129=0)), "Please input Year !!!",
AND($C129="Secured", OR($F129="", $F129=0)), "Please input Amount !!!",
AND($C129="Secured", $F129&lt;5000000), 1,
AND($C129="Secured", $F129&gt;=5000000), 1.1,
TRUE, "")</f>
        <v/>
      </c>
      <c r="J129" s="59" t="str" cm="1">
        <f t="array" ref="J129">IFERROR(_xlfn.IFS(
$G129="BT_with_5_year_lock_in_period", _xlfn.XLOOKUP($H129, Deviate_Table[Pricing discount], Deviate_Table[BT_with_5_year_lock_in_period]),
$G129="others", _xlfn.XLOOKUP($H129, Deviate_Table[Pricing discount], Deviate_Table[others]),
TRUE, ""), "Please input Deviate Range !!!")</f>
        <v/>
      </c>
      <c r="K129" s="49">
        <f t="shared" si="1"/>
        <v>0</v>
      </c>
      <c r="L129" s="65" cm="1">
        <f t="array" aca="1" ref="L129" ca="1">IFERROR(
_xlfn.IFS(
D129="HomeLoan_BT_less_than_2_Percent", VLOOKUP(SUMIFS($K:$K, $D:$D, "HomeLoan_BT_more_than_2_Percent", $B:$B, B129)+SUMIFS($K:$K, $D:$D, "HomeLoan_BT_less_than_2_Percent", $B:$B, B129)+SUMIFS($K:$K, $D:$D, "HomeLoan_Non_BT", $B:$B, B129)+SUMIFS($K:$K, $D:$D, "Mortgage_Power_Term", $B:$B, B129), Secured_Commission!$A:$F, 2, 1)*(K129/10^6),
D129="HomeLoan_BT_more_than_2_Percent", VLOOKUP(SUMIFS($K:$K, $D:$D, "HomeLoan_BT_more_than_2_Percent", $B:$B, B129)+SUMIFS($K:$K, $D:$D, "HomeLoan_BT_less_than_2_Percent", $B:$B, B129)+SUMIFS($K:$K, $D:$D, "HomeLoan_Non_BT", $B:$B, B129)+SUMIFS($K:$K, $D:$D, "Mortgage_Power_Term", $B:$B, B129), Secured_Commission!$A:$F, 3, 1)*(K129/10^6),
D129="HomeLoan_Non_BT", VLOOKUP(SUMIFS($K:$K, $D:$D, "HomeLoan_BT_more_than_2_Percent", $B:$B, B129)+SUMIFS($K:$K, $D:$D, "HomeLoan_BT_less_than_2_Percent", $B:$B, B129)+SUMIFS($K:$K, $D:$D, "HomeLoan_Non_BT", $B:$B, B129)+SUMIFS($K:$K, $D:$D, "Mortgage_Power_Term", $B:$B, B129), Secured_Commission!$A:$F, 4, 1)*(K129/10^6),
D129="Mortgage_Power_Term", VLOOKUP(SUMIFS($K:$K, $D:$D, "HomeLoan_BT_more_than_2_Percent", $B:$B, B129)+SUMIFS($K:$K, $D:$D, "HomeLoan_BT_less_than_2_Percent", $B:$B, B129)+SUMIFS($K:$K, $D:$D, "HomeLoan_Non_BT", $B:$B, B129)+SUMIFS($K:$K, $D:$D, "Mortgage_Power_Term", $B:$B, B129), Secured_Commission!$A:$F, 5, 1)*(K129/10^6),
D129="Personal_Cash", VLOOKUP(SUMIFS($K:$K, $D:$D, "Personal_Cash", $B:$B, B129), Unsecured_Commission!$A:$B, 2, 1)*K129,
OR(D129="MRTA_3_Percent", D129="SOMPO"), K129*0.03,
D129="MRTA_6_Percent", K129*0.06), 0)</f>
        <v>0</v>
      </c>
    </row>
    <row r="130" spans="1:12">
      <c r="A130" s="19">
        <v>125</v>
      </c>
      <c r="B130" s="46"/>
      <c r="C130" s="46"/>
      <c r="D130" s="46"/>
      <c r="E130" s="46"/>
      <c r="G130" s="58" t="str" cm="1">
        <f t="array" ref="G130">_xlfn.IFS(
AND($C130="Secured", OR($D130="HomeLoan_BT_more_than_2_Percent", $D130="HomeLoan_BT_less_than_2_Percent"), $E130=""), "",
AND($C130="Secured",$E130=""),"others",
AND($C130="Secured",$E130=3),"others",
AND($C130="Secured",$E130=5),"BT_with_5_year_lock_in_period",
TRUE, "")</f>
        <v/>
      </c>
      <c r="H130" s="46"/>
      <c r="I130" s="59" t="str" cm="1">
        <f t="array" ref="I130">_xlfn.IFS(
AND($C130="Secured", OR($D130="HomeLoan_BT_more_than_2_Percent", $D130="HomeLoan_BT_less_than_2_Percent"), OR($E130="", $E130=0)), "Please input Year !!!",
AND($C130="Secured", OR($F130="", $F130=0)), "Please input Amount !!!",
AND($C130="Secured", $F130&lt;5000000), 1,
AND($C130="Secured", $F130&gt;=5000000), 1.1,
TRUE, "")</f>
        <v/>
      </c>
      <c r="J130" s="59" t="str" cm="1">
        <f t="array" ref="J130">IFERROR(_xlfn.IFS(
$G130="BT_with_5_year_lock_in_period", _xlfn.XLOOKUP($H130, Deviate_Table[Pricing discount], Deviate_Table[BT_with_5_year_lock_in_period]),
$G130="others", _xlfn.XLOOKUP($H130, Deviate_Table[Pricing discount], Deviate_Table[others]),
TRUE, ""), "Please input Deviate Range !!!")</f>
        <v/>
      </c>
      <c r="K130" s="49">
        <f t="shared" si="1"/>
        <v>0</v>
      </c>
      <c r="L130" s="65" cm="1">
        <f t="array" aca="1" ref="L130" ca="1">IFERROR(
_xlfn.IFS(
D130="HomeLoan_BT_less_than_2_Percent", VLOOKUP(SUMIFS($K:$K, $D:$D, "HomeLoan_BT_more_than_2_Percent", $B:$B, B130)+SUMIFS($K:$K, $D:$D, "HomeLoan_BT_less_than_2_Percent", $B:$B, B130)+SUMIFS($K:$K, $D:$D, "HomeLoan_Non_BT", $B:$B, B130)+SUMIFS($K:$K, $D:$D, "Mortgage_Power_Term", $B:$B, B130), Secured_Commission!$A:$F, 2, 1)*(K130/10^6),
D130="HomeLoan_BT_more_than_2_Percent", VLOOKUP(SUMIFS($K:$K, $D:$D, "HomeLoan_BT_more_than_2_Percent", $B:$B, B130)+SUMIFS($K:$K, $D:$D, "HomeLoan_BT_less_than_2_Percent", $B:$B, B130)+SUMIFS($K:$K, $D:$D, "HomeLoan_Non_BT", $B:$B, B130)+SUMIFS($K:$K, $D:$D, "Mortgage_Power_Term", $B:$B, B130), Secured_Commission!$A:$F, 3, 1)*(K130/10^6),
D130="HomeLoan_Non_BT", VLOOKUP(SUMIFS($K:$K, $D:$D, "HomeLoan_BT_more_than_2_Percent", $B:$B, B130)+SUMIFS($K:$K, $D:$D, "HomeLoan_BT_less_than_2_Percent", $B:$B, B130)+SUMIFS($K:$K, $D:$D, "HomeLoan_Non_BT", $B:$B, B130)+SUMIFS($K:$K, $D:$D, "Mortgage_Power_Term", $B:$B, B130), Secured_Commission!$A:$F, 4, 1)*(K130/10^6),
D130="Mortgage_Power_Term", VLOOKUP(SUMIFS($K:$K, $D:$D, "HomeLoan_BT_more_than_2_Percent", $B:$B, B130)+SUMIFS($K:$K, $D:$D, "HomeLoan_BT_less_than_2_Percent", $B:$B, B130)+SUMIFS($K:$K, $D:$D, "HomeLoan_Non_BT", $B:$B, B130)+SUMIFS($K:$K, $D:$D, "Mortgage_Power_Term", $B:$B, B130), Secured_Commission!$A:$F, 5, 1)*(K130/10^6),
D130="Personal_Cash", VLOOKUP(SUMIFS($K:$K, $D:$D, "Personal_Cash", $B:$B, B130), Unsecured_Commission!$A:$B, 2, 1)*K130,
OR(D130="MRTA_3_Percent", D130="SOMPO"), K130*0.03,
D130="MRTA_6_Percent", K130*0.06), 0)</f>
        <v>0</v>
      </c>
    </row>
    <row r="131" spans="1:12">
      <c r="A131" s="19">
        <v>126</v>
      </c>
      <c r="B131" s="46"/>
      <c r="C131" s="46"/>
      <c r="D131" s="46"/>
      <c r="E131" s="46"/>
      <c r="G131" s="58" t="str" cm="1">
        <f t="array" ref="G131">_xlfn.IFS(
AND($C131="Secured", OR($D131="HomeLoan_BT_more_than_2_Percent", $D131="HomeLoan_BT_less_than_2_Percent"), $E131=""), "",
AND($C131="Secured",$E131=""),"others",
AND($C131="Secured",$E131=3),"others",
AND($C131="Secured",$E131=5),"BT_with_5_year_lock_in_period",
TRUE, "")</f>
        <v/>
      </c>
      <c r="H131" s="46"/>
      <c r="I131" s="59" t="str" cm="1">
        <f t="array" ref="I131">_xlfn.IFS(
AND($C131="Secured", OR($D131="HomeLoan_BT_more_than_2_Percent", $D131="HomeLoan_BT_less_than_2_Percent"), OR($E131="", $E131=0)), "Please input Year !!!",
AND($C131="Secured", OR($F131="", $F131=0)), "Please input Amount !!!",
AND($C131="Secured", $F131&lt;5000000), 1,
AND($C131="Secured", $F131&gt;=5000000), 1.1,
TRUE, "")</f>
        <v/>
      </c>
      <c r="J131" s="59" t="str" cm="1">
        <f t="array" ref="J131">IFERROR(_xlfn.IFS(
$G131="BT_with_5_year_lock_in_period", _xlfn.XLOOKUP($H131, Deviate_Table[Pricing discount], Deviate_Table[BT_with_5_year_lock_in_period]),
$G131="others", _xlfn.XLOOKUP($H131, Deviate_Table[Pricing discount], Deviate_Table[others]),
TRUE, ""), "Please input Deviate Range !!!")</f>
        <v/>
      </c>
      <c r="K131" s="49">
        <f t="shared" si="1"/>
        <v>0</v>
      </c>
      <c r="L131" s="65" cm="1">
        <f t="array" aca="1" ref="L131" ca="1">IFERROR(
_xlfn.IFS(
D131="HomeLoan_BT_less_than_2_Percent", VLOOKUP(SUMIFS($K:$K, $D:$D, "HomeLoan_BT_more_than_2_Percent", $B:$B, B131)+SUMIFS($K:$K, $D:$D, "HomeLoan_BT_less_than_2_Percent", $B:$B, B131)+SUMIFS($K:$K, $D:$D, "HomeLoan_Non_BT", $B:$B, B131)+SUMIFS($K:$K, $D:$D, "Mortgage_Power_Term", $B:$B, B131), Secured_Commission!$A:$F, 2, 1)*(K131/10^6),
D131="HomeLoan_BT_more_than_2_Percent", VLOOKUP(SUMIFS($K:$K, $D:$D, "HomeLoan_BT_more_than_2_Percent", $B:$B, B131)+SUMIFS($K:$K, $D:$D, "HomeLoan_BT_less_than_2_Percent", $B:$B, B131)+SUMIFS($K:$K, $D:$D, "HomeLoan_Non_BT", $B:$B, B131)+SUMIFS($K:$K, $D:$D, "Mortgage_Power_Term", $B:$B, B131), Secured_Commission!$A:$F, 3, 1)*(K131/10^6),
D131="HomeLoan_Non_BT", VLOOKUP(SUMIFS($K:$K, $D:$D, "HomeLoan_BT_more_than_2_Percent", $B:$B, B131)+SUMIFS($K:$K, $D:$D, "HomeLoan_BT_less_than_2_Percent", $B:$B, B131)+SUMIFS($K:$K, $D:$D, "HomeLoan_Non_BT", $B:$B, B131)+SUMIFS($K:$K, $D:$D, "Mortgage_Power_Term", $B:$B, B131), Secured_Commission!$A:$F, 4, 1)*(K131/10^6),
D131="Mortgage_Power_Term", VLOOKUP(SUMIFS($K:$K, $D:$D, "HomeLoan_BT_more_than_2_Percent", $B:$B, B131)+SUMIFS($K:$K, $D:$D, "HomeLoan_BT_less_than_2_Percent", $B:$B, B131)+SUMIFS($K:$K, $D:$D, "HomeLoan_Non_BT", $B:$B, B131)+SUMIFS($K:$K, $D:$D, "Mortgage_Power_Term", $B:$B, B131), Secured_Commission!$A:$F, 5, 1)*(K131/10^6),
D131="Personal_Cash", VLOOKUP(SUMIFS($K:$K, $D:$D, "Personal_Cash", $B:$B, B131), Unsecured_Commission!$A:$B, 2, 1)*K131,
OR(D131="MRTA_3_Percent", D131="SOMPO"), K131*0.03,
D131="MRTA_6_Percent", K131*0.06), 0)</f>
        <v>0</v>
      </c>
    </row>
    <row r="132" spans="1:12">
      <c r="A132" s="19">
        <v>127</v>
      </c>
      <c r="B132" s="46"/>
      <c r="C132" s="46"/>
      <c r="D132" s="46"/>
      <c r="E132" s="46"/>
      <c r="G132" s="58" t="str" cm="1">
        <f t="array" ref="G132">_xlfn.IFS(
AND($C132="Secured", OR($D132="HomeLoan_BT_more_than_2_Percent", $D132="HomeLoan_BT_less_than_2_Percent"), $E132=""), "",
AND($C132="Secured",$E132=""),"others",
AND($C132="Secured",$E132=3),"others",
AND($C132="Secured",$E132=5),"BT_with_5_year_lock_in_period",
TRUE, "")</f>
        <v/>
      </c>
      <c r="H132" s="46"/>
      <c r="I132" s="59" t="str" cm="1">
        <f t="array" ref="I132">_xlfn.IFS(
AND($C132="Secured", OR($D132="HomeLoan_BT_more_than_2_Percent", $D132="HomeLoan_BT_less_than_2_Percent"), OR($E132="", $E132=0)), "Please input Year !!!",
AND($C132="Secured", OR($F132="", $F132=0)), "Please input Amount !!!",
AND($C132="Secured", $F132&lt;5000000), 1,
AND($C132="Secured", $F132&gt;=5000000), 1.1,
TRUE, "")</f>
        <v/>
      </c>
      <c r="J132" s="59" t="str" cm="1">
        <f t="array" ref="J132">IFERROR(_xlfn.IFS(
$G132="BT_with_5_year_lock_in_period", _xlfn.XLOOKUP($H132, Deviate_Table[Pricing discount], Deviate_Table[BT_with_5_year_lock_in_period]),
$G132="others", _xlfn.XLOOKUP($H132, Deviate_Table[Pricing discount], Deviate_Table[others]),
TRUE, ""), "Please input Deviate Range !!!")</f>
        <v/>
      </c>
      <c r="K132" s="49">
        <f t="shared" si="1"/>
        <v>0</v>
      </c>
      <c r="L132" s="65" cm="1">
        <f t="array" aca="1" ref="L132" ca="1">IFERROR(
_xlfn.IFS(
D132="HomeLoan_BT_less_than_2_Percent", VLOOKUP(SUMIFS($K:$K, $D:$D, "HomeLoan_BT_more_than_2_Percent", $B:$B, B132)+SUMIFS($K:$K, $D:$D, "HomeLoan_BT_less_than_2_Percent", $B:$B, B132)+SUMIFS($K:$K, $D:$D, "HomeLoan_Non_BT", $B:$B, B132)+SUMIFS($K:$K, $D:$D, "Mortgage_Power_Term", $B:$B, B132), Secured_Commission!$A:$F, 2, 1)*(K132/10^6),
D132="HomeLoan_BT_more_than_2_Percent", VLOOKUP(SUMIFS($K:$K, $D:$D, "HomeLoan_BT_more_than_2_Percent", $B:$B, B132)+SUMIFS($K:$K, $D:$D, "HomeLoan_BT_less_than_2_Percent", $B:$B, B132)+SUMIFS($K:$K, $D:$D, "HomeLoan_Non_BT", $B:$B, B132)+SUMIFS($K:$K, $D:$D, "Mortgage_Power_Term", $B:$B, B132), Secured_Commission!$A:$F, 3, 1)*(K132/10^6),
D132="HomeLoan_Non_BT", VLOOKUP(SUMIFS($K:$K, $D:$D, "HomeLoan_BT_more_than_2_Percent", $B:$B, B132)+SUMIFS($K:$K, $D:$D, "HomeLoan_BT_less_than_2_Percent", $B:$B, B132)+SUMIFS($K:$K, $D:$D, "HomeLoan_Non_BT", $B:$B, B132)+SUMIFS($K:$K, $D:$D, "Mortgage_Power_Term", $B:$B, B132), Secured_Commission!$A:$F, 4, 1)*(K132/10^6),
D132="Mortgage_Power_Term", VLOOKUP(SUMIFS($K:$K, $D:$D, "HomeLoan_BT_more_than_2_Percent", $B:$B, B132)+SUMIFS($K:$K, $D:$D, "HomeLoan_BT_less_than_2_Percent", $B:$B, B132)+SUMIFS($K:$K, $D:$D, "HomeLoan_Non_BT", $B:$B, B132)+SUMIFS($K:$K, $D:$D, "Mortgage_Power_Term", $B:$B, B132), Secured_Commission!$A:$F, 5, 1)*(K132/10^6),
D132="Personal_Cash", VLOOKUP(SUMIFS($K:$K, $D:$D, "Personal_Cash", $B:$B, B132), Unsecured_Commission!$A:$B, 2, 1)*K132,
OR(D132="MRTA_3_Percent", D132="SOMPO"), K132*0.03,
D132="MRTA_6_Percent", K132*0.06), 0)</f>
        <v>0</v>
      </c>
    </row>
    <row r="133" spans="1:12">
      <c r="A133" s="19">
        <v>128</v>
      </c>
      <c r="B133" s="46"/>
      <c r="C133" s="46"/>
      <c r="D133" s="46"/>
      <c r="E133" s="46"/>
      <c r="G133" s="58" t="str" cm="1">
        <f t="array" ref="G133">_xlfn.IFS(
AND($C133="Secured", OR($D133="HomeLoan_BT_more_than_2_Percent", $D133="HomeLoan_BT_less_than_2_Percent"), $E133=""), "",
AND($C133="Secured",$E133=""),"others",
AND($C133="Secured",$E133=3),"others",
AND($C133="Secured",$E133=5),"BT_with_5_year_lock_in_period",
TRUE, "")</f>
        <v/>
      </c>
      <c r="H133" s="46"/>
      <c r="I133" s="59" t="str" cm="1">
        <f t="array" ref="I133">_xlfn.IFS(
AND($C133="Secured", OR($D133="HomeLoan_BT_more_than_2_Percent", $D133="HomeLoan_BT_less_than_2_Percent"), OR($E133="", $E133=0)), "Please input Year !!!",
AND($C133="Secured", OR($F133="", $F133=0)), "Please input Amount !!!",
AND($C133="Secured", $F133&lt;5000000), 1,
AND($C133="Secured", $F133&gt;=5000000), 1.1,
TRUE, "")</f>
        <v/>
      </c>
      <c r="J133" s="59" t="str" cm="1">
        <f t="array" ref="J133">IFERROR(_xlfn.IFS(
$G133="BT_with_5_year_lock_in_period", _xlfn.XLOOKUP($H133, Deviate_Table[Pricing discount], Deviate_Table[BT_with_5_year_lock_in_period]),
$G133="others", _xlfn.XLOOKUP($H133, Deviate_Table[Pricing discount], Deviate_Table[others]),
TRUE, ""), "Please input Deviate Range !!!")</f>
        <v/>
      </c>
      <c r="K133" s="49">
        <f t="shared" si="1"/>
        <v>0</v>
      </c>
      <c r="L133" s="65" cm="1">
        <f t="array" aca="1" ref="L133" ca="1">IFERROR(
_xlfn.IFS(
D133="HomeLoan_BT_less_than_2_Percent", VLOOKUP(SUMIFS($K:$K, $D:$D, "HomeLoan_BT_more_than_2_Percent", $B:$B, B133)+SUMIFS($K:$K, $D:$D, "HomeLoan_BT_less_than_2_Percent", $B:$B, B133)+SUMIFS($K:$K, $D:$D, "HomeLoan_Non_BT", $B:$B, B133)+SUMIFS($K:$K, $D:$D, "Mortgage_Power_Term", $B:$B, B133), Secured_Commission!$A:$F, 2, 1)*(K133/10^6),
D133="HomeLoan_BT_more_than_2_Percent", VLOOKUP(SUMIFS($K:$K, $D:$D, "HomeLoan_BT_more_than_2_Percent", $B:$B, B133)+SUMIFS($K:$K, $D:$D, "HomeLoan_BT_less_than_2_Percent", $B:$B, B133)+SUMIFS($K:$K, $D:$D, "HomeLoan_Non_BT", $B:$B, B133)+SUMIFS($K:$K, $D:$D, "Mortgage_Power_Term", $B:$B, B133), Secured_Commission!$A:$F, 3, 1)*(K133/10^6),
D133="HomeLoan_Non_BT", VLOOKUP(SUMIFS($K:$K, $D:$D, "HomeLoan_BT_more_than_2_Percent", $B:$B, B133)+SUMIFS($K:$K, $D:$D, "HomeLoan_BT_less_than_2_Percent", $B:$B, B133)+SUMIFS($K:$K, $D:$D, "HomeLoan_Non_BT", $B:$B, B133)+SUMIFS($K:$K, $D:$D, "Mortgage_Power_Term", $B:$B, B133), Secured_Commission!$A:$F, 4, 1)*(K133/10^6),
D133="Mortgage_Power_Term", VLOOKUP(SUMIFS($K:$K, $D:$D, "HomeLoan_BT_more_than_2_Percent", $B:$B, B133)+SUMIFS($K:$K, $D:$D, "HomeLoan_BT_less_than_2_Percent", $B:$B, B133)+SUMIFS($K:$K, $D:$D, "HomeLoan_Non_BT", $B:$B, B133)+SUMIFS($K:$K, $D:$D, "Mortgage_Power_Term", $B:$B, B133), Secured_Commission!$A:$F, 5, 1)*(K133/10^6),
D133="Personal_Cash", VLOOKUP(SUMIFS($K:$K, $D:$D, "Personal_Cash", $B:$B, B133), Unsecured_Commission!$A:$B, 2, 1)*K133,
OR(D133="MRTA_3_Percent", D133="SOMPO"), K133*0.03,
D133="MRTA_6_Percent", K133*0.06), 0)</f>
        <v>0</v>
      </c>
    </row>
    <row r="134" spans="1:12">
      <c r="A134" s="19">
        <v>129</v>
      </c>
      <c r="B134" s="46"/>
      <c r="C134" s="46"/>
      <c r="D134" s="46"/>
      <c r="E134" s="46"/>
      <c r="G134" s="58" t="str" cm="1">
        <f t="array" ref="G134">_xlfn.IFS(
AND($C134="Secured", OR($D134="HomeLoan_BT_more_than_2_Percent", $D134="HomeLoan_BT_less_than_2_Percent"), $E134=""), "",
AND($C134="Secured",$E134=""),"others",
AND($C134="Secured",$E134=3),"others",
AND($C134="Secured",$E134=5),"BT_with_5_year_lock_in_period",
TRUE, "")</f>
        <v/>
      </c>
      <c r="H134" s="46"/>
      <c r="I134" s="59" t="str" cm="1">
        <f t="array" ref="I134">_xlfn.IFS(
AND($C134="Secured", OR($D134="HomeLoan_BT_more_than_2_Percent", $D134="HomeLoan_BT_less_than_2_Percent"), OR($E134="", $E134=0)), "Please input Year !!!",
AND($C134="Secured", OR($F134="", $F134=0)), "Please input Amount !!!",
AND($C134="Secured", $F134&lt;5000000), 1,
AND($C134="Secured", $F134&gt;=5000000), 1.1,
TRUE, "")</f>
        <v/>
      </c>
      <c r="J134" s="59" t="str" cm="1">
        <f t="array" ref="J134">IFERROR(_xlfn.IFS(
$G134="BT_with_5_year_lock_in_period", _xlfn.XLOOKUP($H134, Deviate_Table[Pricing discount], Deviate_Table[BT_with_5_year_lock_in_period]),
$G134="others", _xlfn.XLOOKUP($H134, Deviate_Table[Pricing discount], Deviate_Table[others]),
TRUE, ""), "Please input Deviate Range !!!")</f>
        <v/>
      </c>
      <c r="K134" s="49">
        <f t="shared" si="1"/>
        <v>0</v>
      </c>
      <c r="L134" s="65" cm="1">
        <f t="array" aca="1" ref="L134" ca="1">IFERROR(
_xlfn.IFS(
D134="HomeLoan_BT_less_than_2_Percent", VLOOKUP(SUMIFS($K:$K, $D:$D, "HomeLoan_BT_more_than_2_Percent", $B:$B, B134)+SUMIFS($K:$K, $D:$D, "HomeLoan_BT_less_than_2_Percent", $B:$B, B134)+SUMIFS($K:$K, $D:$D, "HomeLoan_Non_BT", $B:$B, B134)+SUMIFS($K:$K, $D:$D, "Mortgage_Power_Term", $B:$B, B134), Secured_Commission!$A:$F, 2, 1)*(K134/10^6),
D134="HomeLoan_BT_more_than_2_Percent", VLOOKUP(SUMIFS($K:$K, $D:$D, "HomeLoan_BT_more_than_2_Percent", $B:$B, B134)+SUMIFS($K:$K, $D:$D, "HomeLoan_BT_less_than_2_Percent", $B:$B, B134)+SUMIFS($K:$K, $D:$D, "HomeLoan_Non_BT", $B:$B, B134)+SUMIFS($K:$K, $D:$D, "Mortgage_Power_Term", $B:$B, B134), Secured_Commission!$A:$F, 3, 1)*(K134/10^6),
D134="HomeLoan_Non_BT", VLOOKUP(SUMIFS($K:$K, $D:$D, "HomeLoan_BT_more_than_2_Percent", $B:$B, B134)+SUMIFS($K:$K, $D:$D, "HomeLoan_BT_less_than_2_Percent", $B:$B, B134)+SUMIFS($K:$K, $D:$D, "HomeLoan_Non_BT", $B:$B, B134)+SUMIFS($K:$K, $D:$D, "Mortgage_Power_Term", $B:$B, B134), Secured_Commission!$A:$F, 4, 1)*(K134/10^6),
D134="Mortgage_Power_Term", VLOOKUP(SUMIFS($K:$K, $D:$D, "HomeLoan_BT_more_than_2_Percent", $B:$B, B134)+SUMIFS($K:$K, $D:$D, "HomeLoan_BT_less_than_2_Percent", $B:$B, B134)+SUMIFS($K:$K, $D:$D, "HomeLoan_Non_BT", $B:$B, B134)+SUMIFS($K:$K, $D:$D, "Mortgage_Power_Term", $B:$B, B134), Secured_Commission!$A:$F, 5, 1)*(K134/10^6),
D134="Personal_Cash", VLOOKUP(SUMIFS($K:$K, $D:$D, "Personal_Cash", $B:$B, B134), Unsecured_Commission!$A:$B, 2, 1)*K134,
OR(D134="MRTA_3_Percent", D134="SOMPO"), K134*0.03,
D134="MRTA_6_Percent", K134*0.06), 0)</f>
        <v>0</v>
      </c>
    </row>
    <row r="135" spans="1:12">
      <c r="A135" s="19">
        <v>130</v>
      </c>
      <c r="B135" s="46"/>
      <c r="C135" s="46"/>
      <c r="D135" s="46"/>
      <c r="E135" s="46"/>
      <c r="G135" s="58" t="str" cm="1">
        <f t="array" ref="G135">_xlfn.IFS(
AND($C135="Secured", OR($D135="HomeLoan_BT_more_than_2_Percent", $D135="HomeLoan_BT_less_than_2_Percent"), $E135=""), "",
AND($C135="Secured",$E135=""),"others",
AND($C135="Secured",$E135=3),"others",
AND($C135="Secured",$E135=5),"BT_with_5_year_lock_in_period",
TRUE, "")</f>
        <v/>
      </c>
      <c r="H135" s="46"/>
      <c r="I135" s="59" t="str" cm="1">
        <f t="array" ref="I135">_xlfn.IFS(
AND($C135="Secured", OR($D135="HomeLoan_BT_more_than_2_Percent", $D135="HomeLoan_BT_less_than_2_Percent"), OR($E135="", $E135=0)), "Please input Year !!!",
AND($C135="Secured", OR($F135="", $F135=0)), "Please input Amount !!!",
AND($C135="Secured", $F135&lt;5000000), 1,
AND($C135="Secured", $F135&gt;=5000000), 1.1,
TRUE, "")</f>
        <v/>
      </c>
      <c r="J135" s="59" t="str" cm="1">
        <f t="array" ref="J135">IFERROR(_xlfn.IFS(
$G135="BT_with_5_year_lock_in_period", _xlfn.XLOOKUP($H135, Deviate_Table[Pricing discount], Deviate_Table[BT_with_5_year_lock_in_period]),
$G135="others", _xlfn.XLOOKUP($H135, Deviate_Table[Pricing discount], Deviate_Table[others]),
TRUE, ""), "Please input Deviate Range !!!")</f>
        <v/>
      </c>
      <c r="K135" s="49">
        <f t="shared" ref="K135:K198" si="2">IF($C135="Secured",IFERROR($F135*$I135*$J135, ""), $F135)</f>
        <v>0</v>
      </c>
      <c r="L135" s="65" cm="1">
        <f t="array" aca="1" ref="L135" ca="1">IFERROR(
_xlfn.IFS(
D135="HomeLoan_BT_less_than_2_Percent", VLOOKUP(SUMIFS($K:$K, $D:$D, "HomeLoan_BT_more_than_2_Percent", $B:$B, B135)+SUMIFS($K:$K, $D:$D, "HomeLoan_BT_less_than_2_Percent", $B:$B, B135)+SUMIFS($K:$K, $D:$D, "HomeLoan_Non_BT", $B:$B, B135)+SUMIFS($K:$K, $D:$D, "Mortgage_Power_Term", $B:$B, B135), Secured_Commission!$A:$F, 2, 1)*(K135/10^6),
D135="HomeLoan_BT_more_than_2_Percent", VLOOKUP(SUMIFS($K:$K, $D:$D, "HomeLoan_BT_more_than_2_Percent", $B:$B, B135)+SUMIFS($K:$K, $D:$D, "HomeLoan_BT_less_than_2_Percent", $B:$B, B135)+SUMIFS($K:$K, $D:$D, "HomeLoan_Non_BT", $B:$B, B135)+SUMIFS($K:$K, $D:$D, "Mortgage_Power_Term", $B:$B, B135), Secured_Commission!$A:$F, 3, 1)*(K135/10^6),
D135="HomeLoan_Non_BT", VLOOKUP(SUMIFS($K:$K, $D:$D, "HomeLoan_BT_more_than_2_Percent", $B:$B, B135)+SUMIFS($K:$K, $D:$D, "HomeLoan_BT_less_than_2_Percent", $B:$B, B135)+SUMIFS($K:$K, $D:$D, "HomeLoan_Non_BT", $B:$B, B135)+SUMIFS($K:$K, $D:$D, "Mortgage_Power_Term", $B:$B, B135), Secured_Commission!$A:$F, 4, 1)*(K135/10^6),
D135="Mortgage_Power_Term", VLOOKUP(SUMIFS($K:$K, $D:$D, "HomeLoan_BT_more_than_2_Percent", $B:$B, B135)+SUMIFS($K:$K, $D:$D, "HomeLoan_BT_less_than_2_Percent", $B:$B, B135)+SUMIFS($K:$K, $D:$D, "HomeLoan_Non_BT", $B:$B, B135)+SUMIFS($K:$K, $D:$D, "Mortgage_Power_Term", $B:$B, B135), Secured_Commission!$A:$F, 5, 1)*(K135/10^6),
D135="Personal_Cash", VLOOKUP(SUMIFS($K:$K, $D:$D, "Personal_Cash", $B:$B, B135), Unsecured_Commission!$A:$B, 2, 1)*K135,
OR(D135="MRTA_3_Percent", D135="SOMPO"), K135*0.03,
D135="MRTA_6_Percent", K135*0.06), 0)</f>
        <v>0</v>
      </c>
    </row>
    <row r="136" spans="1:12">
      <c r="A136" s="19">
        <v>131</v>
      </c>
      <c r="B136" s="46"/>
      <c r="C136" s="46"/>
      <c r="D136" s="46"/>
      <c r="E136" s="46"/>
      <c r="G136" s="58" t="str" cm="1">
        <f t="array" ref="G136">_xlfn.IFS(
AND($C136="Secured", OR($D136="HomeLoan_BT_more_than_2_Percent", $D136="HomeLoan_BT_less_than_2_Percent"), $E136=""), "",
AND($C136="Secured",$E136=""),"others",
AND($C136="Secured",$E136=3),"others",
AND($C136="Secured",$E136=5),"BT_with_5_year_lock_in_period",
TRUE, "")</f>
        <v/>
      </c>
      <c r="H136" s="46"/>
      <c r="I136" s="59" t="str" cm="1">
        <f t="array" ref="I136">_xlfn.IFS(
AND($C136="Secured", OR($D136="HomeLoan_BT_more_than_2_Percent", $D136="HomeLoan_BT_less_than_2_Percent"), OR($E136="", $E136=0)), "Please input Year !!!",
AND($C136="Secured", OR($F136="", $F136=0)), "Please input Amount !!!",
AND($C136="Secured", $F136&lt;5000000), 1,
AND($C136="Secured", $F136&gt;=5000000), 1.1,
TRUE, "")</f>
        <v/>
      </c>
      <c r="J136" s="59" t="str" cm="1">
        <f t="array" ref="J136">IFERROR(_xlfn.IFS(
$G136="BT_with_5_year_lock_in_period", _xlfn.XLOOKUP($H136, Deviate_Table[Pricing discount], Deviate_Table[BT_with_5_year_lock_in_period]),
$G136="others", _xlfn.XLOOKUP($H136, Deviate_Table[Pricing discount], Deviate_Table[others]),
TRUE, ""), "Please input Deviate Range !!!")</f>
        <v/>
      </c>
      <c r="K136" s="49">
        <f t="shared" si="2"/>
        <v>0</v>
      </c>
      <c r="L136" s="65" cm="1">
        <f t="array" aca="1" ref="L136" ca="1">IFERROR(
_xlfn.IFS(
D136="HomeLoan_BT_less_than_2_Percent", VLOOKUP(SUMIFS($K:$K, $D:$D, "HomeLoan_BT_more_than_2_Percent", $B:$B, B136)+SUMIFS($K:$K, $D:$D, "HomeLoan_BT_less_than_2_Percent", $B:$B, B136)+SUMIFS($K:$K, $D:$D, "HomeLoan_Non_BT", $B:$B, B136)+SUMIFS($K:$K, $D:$D, "Mortgage_Power_Term", $B:$B, B136), Secured_Commission!$A:$F, 2, 1)*(K136/10^6),
D136="HomeLoan_BT_more_than_2_Percent", VLOOKUP(SUMIFS($K:$K, $D:$D, "HomeLoan_BT_more_than_2_Percent", $B:$B, B136)+SUMIFS($K:$K, $D:$D, "HomeLoan_BT_less_than_2_Percent", $B:$B, B136)+SUMIFS($K:$K, $D:$D, "HomeLoan_Non_BT", $B:$B, B136)+SUMIFS($K:$K, $D:$D, "Mortgage_Power_Term", $B:$B, B136), Secured_Commission!$A:$F, 3, 1)*(K136/10^6),
D136="HomeLoan_Non_BT", VLOOKUP(SUMIFS($K:$K, $D:$D, "HomeLoan_BT_more_than_2_Percent", $B:$B, B136)+SUMIFS($K:$K, $D:$D, "HomeLoan_BT_less_than_2_Percent", $B:$B, B136)+SUMIFS($K:$K, $D:$D, "HomeLoan_Non_BT", $B:$B, B136)+SUMIFS($K:$K, $D:$D, "Mortgage_Power_Term", $B:$B, B136), Secured_Commission!$A:$F, 4, 1)*(K136/10^6),
D136="Mortgage_Power_Term", VLOOKUP(SUMIFS($K:$K, $D:$D, "HomeLoan_BT_more_than_2_Percent", $B:$B, B136)+SUMIFS($K:$K, $D:$D, "HomeLoan_BT_less_than_2_Percent", $B:$B, B136)+SUMIFS($K:$K, $D:$D, "HomeLoan_Non_BT", $B:$B, B136)+SUMIFS($K:$K, $D:$D, "Mortgage_Power_Term", $B:$B, B136), Secured_Commission!$A:$F, 5, 1)*(K136/10^6),
D136="Personal_Cash", VLOOKUP(SUMIFS($K:$K, $D:$D, "Personal_Cash", $B:$B, B136), Unsecured_Commission!$A:$B, 2, 1)*K136,
OR(D136="MRTA_3_Percent", D136="SOMPO"), K136*0.03,
D136="MRTA_6_Percent", K136*0.06), 0)</f>
        <v>0</v>
      </c>
    </row>
    <row r="137" spans="1:12">
      <c r="A137" s="19">
        <v>132</v>
      </c>
      <c r="B137" s="46"/>
      <c r="C137" s="46"/>
      <c r="D137" s="46"/>
      <c r="E137" s="46"/>
      <c r="G137" s="58" t="str" cm="1">
        <f t="array" ref="G137">_xlfn.IFS(
AND($C137="Secured", OR($D137="HomeLoan_BT_more_than_2_Percent", $D137="HomeLoan_BT_less_than_2_Percent"), $E137=""), "",
AND($C137="Secured",$E137=""),"others",
AND($C137="Secured",$E137=3),"others",
AND($C137="Secured",$E137=5),"BT_with_5_year_lock_in_period",
TRUE, "")</f>
        <v/>
      </c>
      <c r="H137" s="46"/>
      <c r="I137" s="59" t="str" cm="1">
        <f t="array" ref="I137">_xlfn.IFS(
AND($C137="Secured", OR($D137="HomeLoan_BT_more_than_2_Percent", $D137="HomeLoan_BT_less_than_2_Percent"), OR($E137="", $E137=0)), "Please input Year !!!",
AND($C137="Secured", OR($F137="", $F137=0)), "Please input Amount !!!",
AND($C137="Secured", $F137&lt;5000000), 1,
AND($C137="Secured", $F137&gt;=5000000), 1.1,
TRUE, "")</f>
        <v/>
      </c>
      <c r="J137" s="59" t="str" cm="1">
        <f t="array" ref="J137">IFERROR(_xlfn.IFS(
$G137="BT_with_5_year_lock_in_period", _xlfn.XLOOKUP($H137, Deviate_Table[Pricing discount], Deviate_Table[BT_with_5_year_lock_in_period]),
$G137="others", _xlfn.XLOOKUP($H137, Deviate_Table[Pricing discount], Deviate_Table[others]),
TRUE, ""), "Please input Deviate Range !!!")</f>
        <v/>
      </c>
      <c r="K137" s="49">
        <f t="shared" si="2"/>
        <v>0</v>
      </c>
      <c r="L137" s="65" cm="1">
        <f t="array" aca="1" ref="L137" ca="1">IFERROR(
_xlfn.IFS(
D137="HomeLoan_BT_less_than_2_Percent", VLOOKUP(SUMIFS($K:$K, $D:$D, "HomeLoan_BT_more_than_2_Percent", $B:$B, B137)+SUMIFS($K:$K, $D:$D, "HomeLoan_BT_less_than_2_Percent", $B:$B, B137)+SUMIFS($K:$K, $D:$D, "HomeLoan_Non_BT", $B:$B, B137)+SUMIFS($K:$K, $D:$D, "Mortgage_Power_Term", $B:$B, B137), Secured_Commission!$A:$F, 2, 1)*(K137/10^6),
D137="HomeLoan_BT_more_than_2_Percent", VLOOKUP(SUMIFS($K:$K, $D:$D, "HomeLoan_BT_more_than_2_Percent", $B:$B, B137)+SUMIFS($K:$K, $D:$D, "HomeLoan_BT_less_than_2_Percent", $B:$B, B137)+SUMIFS($K:$K, $D:$D, "HomeLoan_Non_BT", $B:$B, B137)+SUMIFS($K:$K, $D:$D, "Mortgage_Power_Term", $B:$B, B137), Secured_Commission!$A:$F, 3, 1)*(K137/10^6),
D137="HomeLoan_Non_BT", VLOOKUP(SUMIFS($K:$K, $D:$D, "HomeLoan_BT_more_than_2_Percent", $B:$B, B137)+SUMIFS($K:$K, $D:$D, "HomeLoan_BT_less_than_2_Percent", $B:$B, B137)+SUMIFS($K:$K, $D:$D, "HomeLoan_Non_BT", $B:$B, B137)+SUMIFS($K:$K, $D:$D, "Mortgage_Power_Term", $B:$B, B137), Secured_Commission!$A:$F, 4, 1)*(K137/10^6),
D137="Mortgage_Power_Term", VLOOKUP(SUMIFS($K:$K, $D:$D, "HomeLoan_BT_more_than_2_Percent", $B:$B, B137)+SUMIFS($K:$K, $D:$D, "HomeLoan_BT_less_than_2_Percent", $B:$B, B137)+SUMIFS($K:$K, $D:$D, "HomeLoan_Non_BT", $B:$B, B137)+SUMIFS($K:$K, $D:$D, "Mortgage_Power_Term", $B:$B, B137), Secured_Commission!$A:$F, 5, 1)*(K137/10^6),
D137="Personal_Cash", VLOOKUP(SUMIFS($K:$K, $D:$D, "Personal_Cash", $B:$B, B137), Unsecured_Commission!$A:$B, 2, 1)*K137,
OR(D137="MRTA_3_Percent", D137="SOMPO"), K137*0.03,
D137="MRTA_6_Percent", K137*0.06), 0)</f>
        <v>0</v>
      </c>
    </row>
    <row r="138" spans="1:12">
      <c r="A138" s="19">
        <v>133</v>
      </c>
      <c r="B138" s="46"/>
      <c r="C138" s="46"/>
      <c r="D138" s="46"/>
      <c r="E138" s="46"/>
      <c r="G138" s="58" t="str" cm="1">
        <f t="array" ref="G138">_xlfn.IFS(
AND($C138="Secured", OR($D138="HomeLoan_BT_more_than_2_Percent", $D138="HomeLoan_BT_less_than_2_Percent"), $E138=""), "",
AND($C138="Secured",$E138=""),"others",
AND($C138="Secured",$E138=3),"others",
AND($C138="Secured",$E138=5),"BT_with_5_year_lock_in_period",
TRUE, "")</f>
        <v/>
      </c>
      <c r="H138" s="46"/>
      <c r="I138" s="59" t="str" cm="1">
        <f t="array" ref="I138">_xlfn.IFS(
AND($C138="Secured", OR($D138="HomeLoan_BT_more_than_2_Percent", $D138="HomeLoan_BT_less_than_2_Percent"), OR($E138="", $E138=0)), "Please input Year !!!",
AND($C138="Secured", OR($F138="", $F138=0)), "Please input Amount !!!",
AND($C138="Secured", $F138&lt;5000000), 1,
AND($C138="Secured", $F138&gt;=5000000), 1.1,
TRUE, "")</f>
        <v/>
      </c>
      <c r="J138" s="59" t="str" cm="1">
        <f t="array" ref="J138">IFERROR(_xlfn.IFS(
$G138="BT_with_5_year_lock_in_period", _xlfn.XLOOKUP($H138, Deviate_Table[Pricing discount], Deviate_Table[BT_with_5_year_lock_in_period]),
$G138="others", _xlfn.XLOOKUP($H138, Deviate_Table[Pricing discount], Deviate_Table[others]),
TRUE, ""), "Please input Deviate Range !!!")</f>
        <v/>
      </c>
      <c r="K138" s="49">
        <f t="shared" si="2"/>
        <v>0</v>
      </c>
      <c r="L138" s="65" cm="1">
        <f t="array" aca="1" ref="L138" ca="1">IFERROR(
_xlfn.IFS(
D138="HomeLoan_BT_less_than_2_Percent", VLOOKUP(SUMIFS($K:$K, $D:$D, "HomeLoan_BT_more_than_2_Percent", $B:$B, B138)+SUMIFS($K:$K, $D:$D, "HomeLoan_BT_less_than_2_Percent", $B:$B, B138)+SUMIFS($K:$K, $D:$D, "HomeLoan_Non_BT", $B:$B, B138)+SUMIFS($K:$K, $D:$D, "Mortgage_Power_Term", $B:$B, B138), Secured_Commission!$A:$F, 2, 1)*(K138/10^6),
D138="HomeLoan_BT_more_than_2_Percent", VLOOKUP(SUMIFS($K:$K, $D:$D, "HomeLoan_BT_more_than_2_Percent", $B:$B, B138)+SUMIFS($K:$K, $D:$D, "HomeLoan_BT_less_than_2_Percent", $B:$B, B138)+SUMIFS($K:$K, $D:$D, "HomeLoan_Non_BT", $B:$B, B138)+SUMIFS($K:$K, $D:$D, "Mortgage_Power_Term", $B:$B, B138), Secured_Commission!$A:$F, 3, 1)*(K138/10^6),
D138="HomeLoan_Non_BT", VLOOKUP(SUMIFS($K:$K, $D:$D, "HomeLoan_BT_more_than_2_Percent", $B:$B, B138)+SUMIFS($K:$K, $D:$D, "HomeLoan_BT_less_than_2_Percent", $B:$B, B138)+SUMIFS($K:$K, $D:$D, "HomeLoan_Non_BT", $B:$B, B138)+SUMIFS($K:$K, $D:$D, "Mortgage_Power_Term", $B:$B, B138), Secured_Commission!$A:$F, 4, 1)*(K138/10^6),
D138="Mortgage_Power_Term", VLOOKUP(SUMIFS($K:$K, $D:$D, "HomeLoan_BT_more_than_2_Percent", $B:$B, B138)+SUMIFS($K:$K, $D:$D, "HomeLoan_BT_less_than_2_Percent", $B:$B, B138)+SUMIFS($K:$K, $D:$D, "HomeLoan_Non_BT", $B:$B, B138)+SUMIFS($K:$K, $D:$D, "Mortgage_Power_Term", $B:$B, B138), Secured_Commission!$A:$F, 5, 1)*(K138/10^6),
D138="Personal_Cash", VLOOKUP(SUMIFS($K:$K, $D:$D, "Personal_Cash", $B:$B, B138), Unsecured_Commission!$A:$B, 2, 1)*K138,
OR(D138="MRTA_3_Percent", D138="SOMPO"), K138*0.03,
D138="MRTA_6_Percent", K138*0.06), 0)</f>
        <v>0</v>
      </c>
    </row>
    <row r="139" spans="1:12">
      <c r="A139" s="19">
        <v>134</v>
      </c>
      <c r="B139" s="46"/>
      <c r="C139" s="46"/>
      <c r="D139" s="46"/>
      <c r="E139" s="46"/>
      <c r="G139" s="58" t="str" cm="1">
        <f t="array" ref="G139">_xlfn.IFS(
AND($C139="Secured", OR($D139="HomeLoan_BT_more_than_2_Percent", $D139="HomeLoan_BT_less_than_2_Percent"), $E139=""), "",
AND($C139="Secured",$E139=""),"others",
AND($C139="Secured",$E139=3),"others",
AND($C139="Secured",$E139=5),"BT_with_5_year_lock_in_period",
TRUE, "")</f>
        <v/>
      </c>
      <c r="H139" s="46"/>
      <c r="I139" s="59" t="str" cm="1">
        <f t="array" ref="I139">_xlfn.IFS(
AND($C139="Secured", OR($D139="HomeLoan_BT_more_than_2_Percent", $D139="HomeLoan_BT_less_than_2_Percent"), OR($E139="", $E139=0)), "Please input Year !!!",
AND($C139="Secured", OR($F139="", $F139=0)), "Please input Amount !!!",
AND($C139="Secured", $F139&lt;5000000), 1,
AND($C139="Secured", $F139&gt;=5000000), 1.1,
TRUE, "")</f>
        <v/>
      </c>
      <c r="J139" s="59" t="str" cm="1">
        <f t="array" ref="J139">IFERROR(_xlfn.IFS(
$G139="BT_with_5_year_lock_in_period", _xlfn.XLOOKUP($H139, Deviate_Table[Pricing discount], Deviate_Table[BT_with_5_year_lock_in_period]),
$G139="others", _xlfn.XLOOKUP($H139, Deviate_Table[Pricing discount], Deviate_Table[others]),
TRUE, ""), "Please input Deviate Range !!!")</f>
        <v/>
      </c>
      <c r="K139" s="49">
        <f t="shared" si="2"/>
        <v>0</v>
      </c>
      <c r="L139" s="65" cm="1">
        <f t="array" aca="1" ref="L139" ca="1">IFERROR(
_xlfn.IFS(
D139="HomeLoan_BT_less_than_2_Percent", VLOOKUP(SUMIFS($K:$K, $D:$D, "HomeLoan_BT_more_than_2_Percent", $B:$B, B139)+SUMIFS($K:$K, $D:$D, "HomeLoan_BT_less_than_2_Percent", $B:$B, B139)+SUMIFS($K:$K, $D:$D, "HomeLoan_Non_BT", $B:$B, B139)+SUMIFS($K:$K, $D:$D, "Mortgage_Power_Term", $B:$B, B139), Secured_Commission!$A:$F, 2, 1)*(K139/10^6),
D139="HomeLoan_BT_more_than_2_Percent", VLOOKUP(SUMIFS($K:$K, $D:$D, "HomeLoan_BT_more_than_2_Percent", $B:$B, B139)+SUMIFS($K:$K, $D:$D, "HomeLoan_BT_less_than_2_Percent", $B:$B, B139)+SUMIFS($K:$K, $D:$D, "HomeLoan_Non_BT", $B:$B, B139)+SUMIFS($K:$K, $D:$D, "Mortgage_Power_Term", $B:$B, B139), Secured_Commission!$A:$F, 3, 1)*(K139/10^6),
D139="HomeLoan_Non_BT", VLOOKUP(SUMIFS($K:$K, $D:$D, "HomeLoan_BT_more_than_2_Percent", $B:$B, B139)+SUMIFS($K:$K, $D:$D, "HomeLoan_BT_less_than_2_Percent", $B:$B, B139)+SUMIFS($K:$K, $D:$D, "HomeLoan_Non_BT", $B:$B, B139)+SUMIFS($K:$K, $D:$D, "Mortgage_Power_Term", $B:$B, B139), Secured_Commission!$A:$F, 4, 1)*(K139/10^6),
D139="Mortgage_Power_Term", VLOOKUP(SUMIFS($K:$K, $D:$D, "HomeLoan_BT_more_than_2_Percent", $B:$B, B139)+SUMIFS($K:$K, $D:$D, "HomeLoan_BT_less_than_2_Percent", $B:$B, B139)+SUMIFS($K:$K, $D:$D, "HomeLoan_Non_BT", $B:$B, B139)+SUMIFS($K:$K, $D:$D, "Mortgage_Power_Term", $B:$B, B139), Secured_Commission!$A:$F, 5, 1)*(K139/10^6),
D139="Personal_Cash", VLOOKUP(SUMIFS($K:$K, $D:$D, "Personal_Cash", $B:$B, B139), Unsecured_Commission!$A:$B, 2, 1)*K139,
OR(D139="MRTA_3_Percent", D139="SOMPO"), K139*0.03,
D139="MRTA_6_Percent", K139*0.06), 0)</f>
        <v>0</v>
      </c>
    </row>
    <row r="140" spans="1:12">
      <c r="A140" s="19">
        <v>135</v>
      </c>
      <c r="B140" s="46"/>
      <c r="C140" s="46"/>
      <c r="D140" s="46"/>
      <c r="E140" s="46"/>
      <c r="G140" s="58" t="str" cm="1">
        <f t="array" ref="G140">_xlfn.IFS(
AND($C140="Secured", OR($D140="HomeLoan_BT_more_than_2_Percent", $D140="HomeLoan_BT_less_than_2_Percent"), $E140=""), "",
AND($C140="Secured",$E140=""),"others",
AND($C140="Secured",$E140=3),"others",
AND($C140="Secured",$E140=5),"BT_with_5_year_lock_in_period",
TRUE, "")</f>
        <v/>
      </c>
      <c r="H140" s="46"/>
      <c r="I140" s="59" t="str" cm="1">
        <f t="array" ref="I140">_xlfn.IFS(
AND($C140="Secured", OR($D140="HomeLoan_BT_more_than_2_Percent", $D140="HomeLoan_BT_less_than_2_Percent"), OR($E140="", $E140=0)), "Please input Year !!!",
AND($C140="Secured", OR($F140="", $F140=0)), "Please input Amount !!!",
AND($C140="Secured", $F140&lt;5000000), 1,
AND($C140="Secured", $F140&gt;=5000000), 1.1,
TRUE, "")</f>
        <v/>
      </c>
      <c r="J140" s="59" t="str" cm="1">
        <f t="array" ref="J140">IFERROR(_xlfn.IFS(
$G140="BT_with_5_year_lock_in_period", _xlfn.XLOOKUP($H140, Deviate_Table[Pricing discount], Deviate_Table[BT_with_5_year_lock_in_period]),
$G140="others", _xlfn.XLOOKUP($H140, Deviate_Table[Pricing discount], Deviate_Table[others]),
TRUE, ""), "Please input Deviate Range !!!")</f>
        <v/>
      </c>
      <c r="K140" s="49">
        <f t="shared" si="2"/>
        <v>0</v>
      </c>
      <c r="L140" s="65" cm="1">
        <f t="array" aca="1" ref="L140" ca="1">IFERROR(
_xlfn.IFS(
D140="HomeLoan_BT_less_than_2_Percent", VLOOKUP(SUMIFS($K:$K, $D:$D, "HomeLoan_BT_more_than_2_Percent", $B:$B, B140)+SUMIFS($K:$K, $D:$D, "HomeLoan_BT_less_than_2_Percent", $B:$B, B140)+SUMIFS($K:$K, $D:$D, "HomeLoan_Non_BT", $B:$B, B140)+SUMIFS($K:$K, $D:$D, "Mortgage_Power_Term", $B:$B, B140), Secured_Commission!$A:$F, 2, 1)*(K140/10^6),
D140="HomeLoan_BT_more_than_2_Percent", VLOOKUP(SUMIFS($K:$K, $D:$D, "HomeLoan_BT_more_than_2_Percent", $B:$B, B140)+SUMIFS($K:$K, $D:$D, "HomeLoan_BT_less_than_2_Percent", $B:$B, B140)+SUMIFS($K:$K, $D:$D, "HomeLoan_Non_BT", $B:$B, B140)+SUMIFS($K:$K, $D:$D, "Mortgage_Power_Term", $B:$B, B140), Secured_Commission!$A:$F, 3, 1)*(K140/10^6),
D140="HomeLoan_Non_BT", VLOOKUP(SUMIFS($K:$K, $D:$D, "HomeLoan_BT_more_than_2_Percent", $B:$B, B140)+SUMIFS($K:$K, $D:$D, "HomeLoan_BT_less_than_2_Percent", $B:$B, B140)+SUMIFS($K:$K, $D:$D, "HomeLoan_Non_BT", $B:$B, B140)+SUMIFS($K:$K, $D:$D, "Mortgage_Power_Term", $B:$B, B140), Secured_Commission!$A:$F, 4, 1)*(K140/10^6),
D140="Mortgage_Power_Term", VLOOKUP(SUMIFS($K:$K, $D:$D, "HomeLoan_BT_more_than_2_Percent", $B:$B, B140)+SUMIFS($K:$K, $D:$D, "HomeLoan_BT_less_than_2_Percent", $B:$B, B140)+SUMIFS($K:$K, $D:$D, "HomeLoan_Non_BT", $B:$B, B140)+SUMIFS($K:$K, $D:$D, "Mortgage_Power_Term", $B:$B, B140), Secured_Commission!$A:$F, 5, 1)*(K140/10^6),
D140="Personal_Cash", VLOOKUP(SUMIFS($K:$K, $D:$D, "Personal_Cash", $B:$B, B140), Unsecured_Commission!$A:$B, 2, 1)*K140,
OR(D140="MRTA_3_Percent", D140="SOMPO"), K140*0.03,
D140="MRTA_6_Percent", K140*0.06), 0)</f>
        <v>0</v>
      </c>
    </row>
    <row r="141" spans="1:12">
      <c r="A141" s="19">
        <v>136</v>
      </c>
      <c r="B141" s="46"/>
      <c r="C141" s="46"/>
      <c r="D141" s="46"/>
      <c r="E141" s="46"/>
      <c r="G141" s="58" t="str" cm="1">
        <f t="array" ref="G141">_xlfn.IFS(
AND($C141="Secured", OR($D141="HomeLoan_BT_more_than_2_Percent", $D141="HomeLoan_BT_less_than_2_Percent"), $E141=""), "",
AND($C141="Secured",$E141=""),"others",
AND($C141="Secured",$E141=3),"others",
AND($C141="Secured",$E141=5),"BT_with_5_year_lock_in_period",
TRUE, "")</f>
        <v/>
      </c>
      <c r="H141" s="46"/>
      <c r="I141" s="59" t="str" cm="1">
        <f t="array" ref="I141">_xlfn.IFS(
AND($C141="Secured", OR($D141="HomeLoan_BT_more_than_2_Percent", $D141="HomeLoan_BT_less_than_2_Percent"), OR($E141="", $E141=0)), "Please input Year !!!",
AND($C141="Secured", OR($F141="", $F141=0)), "Please input Amount !!!",
AND($C141="Secured", $F141&lt;5000000), 1,
AND($C141="Secured", $F141&gt;=5000000), 1.1,
TRUE, "")</f>
        <v/>
      </c>
      <c r="J141" s="59" t="str" cm="1">
        <f t="array" ref="J141">IFERROR(_xlfn.IFS(
$G141="BT_with_5_year_lock_in_period", _xlfn.XLOOKUP($H141, Deviate_Table[Pricing discount], Deviate_Table[BT_with_5_year_lock_in_period]),
$G141="others", _xlfn.XLOOKUP($H141, Deviate_Table[Pricing discount], Deviate_Table[others]),
TRUE, ""), "Please input Deviate Range !!!")</f>
        <v/>
      </c>
      <c r="K141" s="49">
        <f t="shared" si="2"/>
        <v>0</v>
      </c>
      <c r="L141" s="65" cm="1">
        <f t="array" aca="1" ref="L141" ca="1">IFERROR(
_xlfn.IFS(
D141="HomeLoan_BT_less_than_2_Percent", VLOOKUP(SUMIFS($K:$K, $D:$D, "HomeLoan_BT_more_than_2_Percent", $B:$B, B141)+SUMIFS($K:$K, $D:$D, "HomeLoan_BT_less_than_2_Percent", $B:$B, B141)+SUMIFS($K:$K, $D:$D, "HomeLoan_Non_BT", $B:$B, B141)+SUMIFS($K:$K, $D:$D, "Mortgage_Power_Term", $B:$B, B141), Secured_Commission!$A:$F, 2, 1)*(K141/10^6),
D141="HomeLoan_BT_more_than_2_Percent", VLOOKUP(SUMIFS($K:$K, $D:$D, "HomeLoan_BT_more_than_2_Percent", $B:$B, B141)+SUMIFS($K:$K, $D:$D, "HomeLoan_BT_less_than_2_Percent", $B:$B, B141)+SUMIFS($K:$K, $D:$D, "HomeLoan_Non_BT", $B:$B, B141)+SUMIFS($K:$K, $D:$D, "Mortgage_Power_Term", $B:$B, B141), Secured_Commission!$A:$F, 3, 1)*(K141/10^6),
D141="HomeLoan_Non_BT", VLOOKUP(SUMIFS($K:$K, $D:$D, "HomeLoan_BT_more_than_2_Percent", $B:$B, B141)+SUMIFS($K:$K, $D:$D, "HomeLoan_BT_less_than_2_Percent", $B:$B, B141)+SUMIFS($K:$K, $D:$D, "HomeLoan_Non_BT", $B:$B, B141)+SUMIFS($K:$K, $D:$D, "Mortgage_Power_Term", $B:$B, B141), Secured_Commission!$A:$F, 4, 1)*(K141/10^6),
D141="Mortgage_Power_Term", VLOOKUP(SUMIFS($K:$K, $D:$D, "HomeLoan_BT_more_than_2_Percent", $B:$B, B141)+SUMIFS($K:$K, $D:$D, "HomeLoan_BT_less_than_2_Percent", $B:$B, B141)+SUMIFS($K:$K, $D:$D, "HomeLoan_Non_BT", $B:$B, B141)+SUMIFS($K:$K, $D:$D, "Mortgage_Power_Term", $B:$B, B141), Secured_Commission!$A:$F, 5, 1)*(K141/10^6),
D141="Personal_Cash", VLOOKUP(SUMIFS($K:$K, $D:$D, "Personal_Cash", $B:$B, B141), Unsecured_Commission!$A:$B, 2, 1)*K141,
OR(D141="MRTA_3_Percent", D141="SOMPO"), K141*0.03,
D141="MRTA_6_Percent", K141*0.06), 0)</f>
        <v>0</v>
      </c>
    </row>
    <row r="142" spans="1:12">
      <c r="A142" s="19">
        <v>137</v>
      </c>
      <c r="B142" s="46"/>
      <c r="C142" s="46"/>
      <c r="D142" s="46"/>
      <c r="E142" s="46"/>
      <c r="G142" s="58" t="str" cm="1">
        <f t="array" ref="G142">_xlfn.IFS(
AND($C142="Secured", OR($D142="HomeLoan_BT_more_than_2_Percent", $D142="HomeLoan_BT_less_than_2_Percent"), $E142=""), "",
AND($C142="Secured",$E142=""),"others",
AND($C142="Secured",$E142=3),"others",
AND($C142="Secured",$E142=5),"BT_with_5_year_lock_in_period",
TRUE, "")</f>
        <v/>
      </c>
      <c r="H142" s="46"/>
      <c r="I142" s="59" t="str" cm="1">
        <f t="array" ref="I142">_xlfn.IFS(
AND($C142="Secured", OR($D142="HomeLoan_BT_more_than_2_Percent", $D142="HomeLoan_BT_less_than_2_Percent"), OR($E142="", $E142=0)), "Please input Year !!!",
AND($C142="Secured", OR($F142="", $F142=0)), "Please input Amount !!!",
AND($C142="Secured", $F142&lt;5000000), 1,
AND($C142="Secured", $F142&gt;=5000000), 1.1,
TRUE, "")</f>
        <v/>
      </c>
      <c r="J142" s="59" t="str" cm="1">
        <f t="array" ref="J142">IFERROR(_xlfn.IFS(
$G142="BT_with_5_year_lock_in_period", _xlfn.XLOOKUP($H142, Deviate_Table[Pricing discount], Deviate_Table[BT_with_5_year_lock_in_period]),
$G142="others", _xlfn.XLOOKUP($H142, Deviate_Table[Pricing discount], Deviate_Table[others]),
TRUE, ""), "Please input Deviate Range !!!")</f>
        <v/>
      </c>
      <c r="K142" s="49">
        <f t="shared" si="2"/>
        <v>0</v>
      </c>
      <c r="L142" s="65" cm="1">
        <f t="array" aca="1" ref="L142" ca="1">IFERROR(
_xlfn.IFS(
D142="HomeLoan_BT_less_than_2_Percent", VLOOKUP(SUMIFS($K:$K, $D:$D, "HomeLoan_BT_more_than_2_Percent", $B:$B, B142)+SUMIFS($K:$K, $D:$D, "HomeLoan_BT_less_than_2_Percent", $B:$B, B142)+SUMIFS($K:$K, $D:$D, "HomeLoan_Non_BT", $B:$B, B142)+SUMIFS($K:$K, $D:$D, "Mortgage_Power_Term", $B:$B, B142), Secured_Commission!$A:$F, 2, 1)*(K142/10^6),
D142="HomeLoan_BT_more_than_2_Percent", VLOOKUP(SUMIFS($K:$K, $D:$D, "HomeLoan_BT_more_than_2_Percent", $B:$B, B142)+SUMIFS($K:$K, $D:$D, "HomeLoan_BT_less_than_2_Percent", $B:$B, B142)+SUMIFS($K:$K, $D:$D, "HomeLoan_Non_BT", $B:$B, B142)+SUMIFS($K:$K, $D:$D, "Mortgage_Power_Term", $B:$B, B142), Secured_Commission!$A:$F, 3, 1)*(K142/10^6),
D142="HomeLoan_Non_BT", VLOOKUP(SUMIFS($K:$K, $D:$D, "HomeLoan_BT_more_than_2_Percent", $B:$B, B142)+SUMIFS($K:$K, $D:$D, "HomeLoan_BT_less_than_2_Percent", $B:$B, B142)+SUMIFS($K:$K, $D:$D, "HomeLoan_Non_BT", $B:$B, B142)+SUMIFS($K:$K, $D:$D, "Mortgage_Power_Term", $B:$B, B142), Secured_Commission!$A:$F, 4, 1)*(K142/10^6),
D142="Mortgage_Power_Term", VLOOKUP(SUMIFS($K:$K, $D:$D, "HomeLoan_BT_more_than_2_Percent", $B:$B, B142)+SUMIFS($K:$K, $D:$D, "HomeLoan_BT_less_than_2_Percent", $B:$B, B142)+SUMIFS($K:$K, $D:$D, "HomeLoan_Non_BT", $B:$B, B142)+SUMIFS($K:$K, $D:$D, "Mortgage_Power_Term", $B:$B, B142), Secured_Commission!$A:$F, 5, 1)*(K142/10^6),
D142="Personal_Cash", VLOOKUP(SUMIFS($K:$K, $D:$D, "Personal_Cash", $B:$B, B142), Unsecured_Commission!$A:$B, 2, 1)*K142,
OR(D142="MRTA_3_Percent", D142="SOMPO"), K142*0.03,
D142="MRTA_6_Percent", K142*0.06), 0)</f>
        <v>0</v>
      </c>
    </row>
    <row r="143" spans="1:12">
      <c r="A143" s="19">
        <v>138</v>
      </c>
      <c r="B143" s="46"/>
      <c r="C143" s="46"/>
      <c r="D143" s="46"/>
      <c r="E143" s="46"/>
      <c r="G143" s="58" t="str" cm="1">
        <f t="array" ref="G143">_xlfn.IFS(
AND($C143="Secured", OR($D143="HomeLoan_BT_more_than_2_Percent", $D143="HomeLoan_BT_less_than_2_Percent"), $E143=""), "",
AND($C143="Secured",$E143=""),"others",
AND($C143="Secured",$E143=3),"others",
AND($C143="Secured",$E143=5),"BT_with_5_year_lock_in_period",
TRUE, "")</f>
        <v/>
      </c>
      <c r="H143" s="46"/>
      <c r="I143" s="59" t="str" cm="1">
        <f t="array" ref="I143">_xlfn.IFS(
AND($C143="Secured", OR($D143="HomeLoan_BT_more_than_2_Percent", $D143="HomeLoan_BT_less_than_2_Percent"), OR($E143="", $E143=0)), "Please input Year !!!",
AND($C143="Secured", OR($F143="", $F143=0)), "Please input Amount !!!",
AND($C143="Secured", $F143&lt;5000000), 1,
AND($C143="Secured", $F143&gt;=5000000), 1.1,
TRUE, "")</f>
        <v/>
      </c>
      <c r="J143" s="59" t="str" cm="1">
        <f t="array" ref="J143">IFERROR(_xlfn.IFS(
$G143="BT_with_5_year_lock_in_period", _xlfn.XLOOKUP($H143, Deviate_Table[Pricing discount], Deviate_Table[BT_with_5_year_lock_in_period]),
$G143="others", _xlfn.XLOOKUP($H143, Deviate_Table[Pricing discount], Deviate_Table[others]),
TRUE, ""), "Please input Deviate Range !!!")</f>
        <v/>
      </c>
      <c r="K143" s="49">
        <f t="shared" si="2"/>
        <v>0</v>
      </c>
      <c r="L143" s="65" cm="1">
        <f t="array" aca="1" ref="L143" ca="1">IFERROR(
_xlfn.IFS(
D143="HomeLoan_BT_less_than_2_Percent", VLOOKUP(SUMIFS($K:$K, $D:$D, "HomeLoan_BT_more_than_2_Percent", $B:$B, B143)+SUMIFS($K:$K, $D:$D, "HomeLoan_BT_less_than_2_Percent", $B:$B, B143)+SUMIFS($K:$K, $D:$D, "HomeLoan_Non_BT", $B:$B, B143)+SUMIFS($K:$K, $D:$D, "Mortgage_Power_Term", $B:$B, B143), Secured_Commission!$A:$F, 2, 1)*(K143/10^6),
D143="HomeLoan_BT_more_than_2_Percent", VLOOKUP(SUMIFS($K:$K, $D:$D, "HomeLoan_BT_more_than_2_Percent", $B:$B, B143)+SUMIFS($K:$K, $D:$D, "HomeLoan_BT_less_than_2_Percent", $B:$B, B143)+SUMIFS($K:$K, $D:$D, "HomeLoan_Non_BT", $B:$B, B143)+SUMIFS($K:$K, $D:$D, "Mortgage_Power_Term", $B:$B, B143), Secured_Commission!$A:$F, 3, 1)*(K143/10^6),
D143="HomeLoan_Non_BT", VLOOKUP(SUMIFS($K:$K, $D:$D, "HomeLoan_BT_more_than_2_Percent", $B:$B, B143)+SUMIFS($K:$K, $D:$D, "HomeLoan_BT_less_than_2_Percent", $B:$B, B143)+SUMIFS($K:$K, $D:$D, "HomeLoan_Non_BT", $B:$B, B143)+SUMIFS($K:$K, $D:$D, "Mortgage_Power_Term", $B:$B, B143), Secured_Commission!$A:$F, 4, 1)*(K143/10^6),
D143="Mortgage_Power_Term", VLOOKUP(SUMIFS($K:$K, $D:$D, "HomeLoan_BT_more_than_2_Percent", $B:$B, B143)+SUMIFS($K:$K, $D:$D, "HomeLoan_BT_less_than_2_Percent", $B:$B, B143)+SUMIFS($K:$K, $D:$D, "HomeLoan_Non_BT", $B:$B, B143)+SUMIFS($K:$K, $D:$D, "Mortgage_Power_Term", $B:$B, B143), Secured_Commission!$A:$F, 5, 1)*(K143/10^6),
D143="Personal_Cash", VLOOKUP(SUMIFS($K:$K, $D:$D, "Personal_Cash", $B:$B, B143), Unsecured_Commission!$A:$B, 2, 1)*K143,
OR(D143="MRTA_3_Percent", D143="SOMPO"), K143*0.03,
D143="MRTA_6_Percent", K143*0.06), 0)</f>
        <v>0</v>
      </c>
    </row>
    <row r="144" spans="1:12">
      <c r="A144" s="19">
        <v>139</v>
      </c>
      <c r="B144" s="46"/>
      <c r="C144" s="46"/>
      <c r="D144" s="46"/>
      <c r="E144" s="46"/>
      <c r="G144" s="58" t="str" cm="1">
        <f t="array" ref="G144">_xlfn.IFS(
AND($C144="Secured", OR($D144="HomeLoan_BT_more_than_2_Percent", $D144="HomeLoan_BT_less_than_2_Percent"), $E144=""), "",
AND($C144="Secured",$E144=""),"others",
AND($C144="Secured",$E144=3),"others",
AND($C144="Secured",$E144=5),"BT_with_5_year_lock_in_period",
TRUE, "")</f>
        <v/>
      </c>
      <c r="H144" s="46"/>
      <c r="I144" s="59" t="str" cm="1">
        <f t="array" ref="I144">_xlfn.IFS(
AND($C144="Secured", OR($D144="HomeLoan_BT_more_than_2_Percent", $D144="HomeLoan_BT_less_than_2_Percent"), OR($E144="", $E144=0)), "Please input Year !!!",
AND($C144="Secured", OR($F144="", $F144=0)), "Please input Amount !!!",
AND($C144="Secured", $F144&lt;5000000), 1,
AND($C144="Secured", $F144&gt;=5000000), 1.1,
TRUE, "")</f>
        <v/>
      </c>
      <c r="J144" s="59" t="str" cm="1">
        <f t="array" ref="J144">IFERROR(_xlfn.IFS(
$G144="BT_with_5_year_lock_in_period", _xlfn.XLOOKUP($H144, Deviate_Table[Pricing discount], Deviate_Table[BT_with_5_year_lock_in_period]),
$G144="others", _xlfn.XLOOKUP($H144, Deviate_Table[Pricing discount], Deviate_Table[others]),
TRUE, ""), "Please input Deviate Range !!!")</f>
        <v/>
      </c>
      <c r="K144" s="49">
        <f t="shared" si="2"/>
        <v>0</v>
      </c>
      <c r="L144" s="65" cm="1">
        <f t="array" aca="1" ref="L144" ca="1">IFERROR(
_xlfn.IFS(
D144="HomeLoan_BT_less_than_2_Percent", VLOOKUP(SUMIFS($K:$K, $D:$D, "HomeLoan_BT_more_than_2_Percent", $B:$B, B144)+SUMIFS($K:$K, $D:$D, "HomeLoan_BT_less_than_2_Percent", $B:$B, B144)+SUMIFS($K:$K, $D:$D, "HomeLoan_Non_BT", $B:$B, B144)+SUMIFS($K:$K, $D:$D, "Mortgage_Power_Term", $B:$B, B144), Secured_Commission!$A:$F, 2, 1)*(K144/10^6),
D144="HomeLoan_BT_more_than_2_Percent", VLOOKUP(SUMIFS($K:$K, $D:$D, "HomeLoan_BT_more_than_2_Percent", $B:$B, B144)+SUMIFS($K:$K, $D:$D, "HomeLoan_BT_less_than_2_Percent", $B:$B, B144)+SUMIFS($K:$K, $D:$D, "HomeLoan_Non_BT", $B:$B, B144)+SUMIFS($K:$K, $D:$D, "Mortgage_Power_Term", $B:$B, B144), Secured_Commission!$A:$F, 3, 1)*(K144/10^6),
D144="HomeLoan_Non_BT", VLOOKUP(SUMIFS($K:$K, $D:$D, "HomeLoan_BT_more_than_2_Percent", $B:$B, B144)+SUMIFS($K:$K, $D:$D, "HomeLoan_BT_less_than_2_Percent", $B:$B, B144)+SUMIFS($K:$K, $D:$D, "HomeLoan_Non_BT", $B:$B, B144)+SUMIFS($K:$K, $D:$D, "Mortgage_Power_Term", $B:$B, B144), Secured_Commission!$A:$F, 4, 1)*(K144/10^6),
D144="Mortgage_Power_Term", VLOOKUP(SUMIFS($K:$K, $D:$D, "HomeLoan_BT_more_than_2_Percent", $B:$B, B144)+SUMIFS($K:$K, $D:$D, "HomeLoan_BT_less_than_2_Percent", $B:$B, B144)+SUMIFS($K:$K, $D:$D, "HomeLoan_Non_BT", $B:$B, B144)+SUMIFS($K:$K, $D:$D, "Mortgage_Power_Term", $B:$B, B144), Secured_Commission!$A:$F, 5, 1)*(K144/10^6),
D144="Personal_Cash", VLOOKUP(SUMIFS($K:$K, $D:$D, "Personal_Cash", $B:$B, B144), Unsecured_Commission!$A:$B, 2, 1)*K144,
OR(D144="MRTA_3_Percent", D144="SOMPO"), K144*0.03,
D144="MRTA_6_Percent", K144*0.06), 0)</f>
        <v>0</v>
      </c>
    </row>
    <row r="145" spans="1:12">
      <c r="A145" s="19">
        <v>140</v>
      </c>
      <c r="B145" s="46"/>
      <c r="C145" s="46"/>
      <c r="D145" s="46"/>
      <c r="E145" s="46"/>
      <c r="G145" s="58" t="str" cm="1">
        <f t="array" ref="G145">_xlfn.IFS(
AND($C145="Secured", OR($D145="HomeLoan_BT_more_than_2_Percent", $D145="HomeLoan_BT_less_than_2_Percent"), $E145=""), "",
AND($C145="Secured",$E145=""),"others",
AND($C145="Secured",$E145=3),"others",
AND($C145="Secured",$E145=5),"BT_with_5_year_lock_in_period",
TRUE, "")</f>
        <v/>
      </c>
      <c r="H145" s="46"/>
      <c r="I145" s="59" t="str" cm="1">
        <f t="array" ref="I145">_xlfn.IFS(
AND($C145="Secured", OR($D145="HomeLoan_BT_more_than_2_Percent", $D145="HomeLoan_BT_less_than_2_Percent"), OR($E145="", $E145=0)), "Please input Year !!!",
AND($C145="Secured", OR($F145="", $F145=0)), "Please input Amount !!!",
AND($C145="Secured", $F145&lt;5000000), 1,
AND($C145="Secured", $F145&gt;=5000000), 1.1,
TRUE, "")</f>
        <v/>
      </c>
      <c r="J145" s="59" t="str" cm="1">
        <f t="array" ref="J145">IFERROR(_xlfn.IFS(
$G145="BT_with_5_year_lock_in_period", _xlfn.XLOOKUP($H145, Deviate_Table[Pricing discount], Deviate_Table[BT_with_5_year_lock_in_period]),
$G145="others", _xlfn.XLOOKUP($H145, Deviate_Table[Pricing discount], Deviate_Table[others]),
TRUE, ""), "Please input Deviate Range !!!")</f>
        <v/>
      </c>
      <c r="K145" s="49">
        <f t="shared" si="2"/>
        <v>0</v>
      </c>
      <c r="L145" s="65" cm="1">
        <f t="array" aca="1" ref="L145" ca="1">IFERROR(
_xlfn.IFS(
D145="HomeLoan_BT_less_than_2_Percent", VLOOKUP(SUMIFS($K:$K, $D:$D, "HomeLoan_BT_more_than_2_Percent", $B:$B, B145)+SUMIFS($K:$K, $D:$D, "HomeLoan_BT_less_than_2_Percent", $B:$B, B145)+SUMIFS($K:$K, $D:$D, "HomeLoan_Non_BT", $B:$B, B145)+SUMIFS($K:$K, $D:$D, "Mortgage_Power_Term", $B:$B, B145), Secured_Commission!$A:$F, 2, 1)*(K145/10^6),
D145="HomeLoan_BT_more_than_2_Percent", VLOOKUP(SUMIFS($K:$K, $D:$D, "HomeLoan_BT_more_than_2_Percent", $B:$B, B145)+SUMIFS($K:$K, $D:$D, "HomeLoan_BT_less_than_2_Percent", $B:$B, B145)+SUMIFS($K:$K, $D:$D, "HomeLoan_Non_BT", $B:$B, B145)+SUMIFS($K:$K, $D:$D, "Mortgage_Power_Term", $B:$B, B145), Secured_Commission!$A:$F, 3, 1)*(K145/10^6),
D145="HomeLoan_Non_BT", VLOOKUP(SUMIFS($K:$K, $D:$D, "HomeLoan_BT_more_than_2_Percent", $B:$B, B145)+SUMIFS($K:$K, $D:$D, "HomeLoan_BT_less_than_2_Percent", $B:$B, B145)+SUMIFS($K:$K, $D:$D, "HomeLoan_Non_BT", $B:$B, B145)+SUMIFS($K:$K, $D:$D, "Mortgage_Power_Term", $B:$B, B145), Secured_Commission!$A:$F, 4, 1)*(K145/10^6),
D145="Mortgage_Power_Term", VLOOKUP(SUMIFS($K:$K, $D:$D, "HomeLoan_BT_more_than_2_Percent", $B:$B, B145)+SUMIFS($K:$K, $D:$D, "HomeLoan_BT_less_than_2_Percent", $B:$B, B145)+SUMIFS($K:$K, $D:$D, "HomeLoan_Non_BT", $B:$B, B145)+SUMIFS($K:$K, $D:$D, "Mortgage_Power_Term", $B:$B, B145), Secured_Commission!$A:$F, 5, 1)*(K145/10^6),
D145="Personal_Cash", VLOOKUP(SUMIFS($K:$K, $D:$D, "Personal_Cash", $B:$B, B145), Unsecured_Commission!$A:$B, 2, 1)*K145,
OR(D145="MRTA_3_Percent", D145="SOMPO"), K145*0.03,
D145="MRTA_6_Percent", K145*0.06), 0)</f>
        <v>0</v>
      </c>
    </row>
    <row r="146" spans="1:12">
      <c r="A146" s="19">
        <v>141</v>
      </c>
      <c r="B146" s="46"/>
      <c r="C146" s="46"/>
      <c r="D146" s="46"/>
      <c r="E146" s="46"/>
      <c r="G146" s="58" t="str" cm="1">
        <f t="array" ref="G146">_xlfn.IFS(
AND($C146="Secured", OR($D146="HomeLoan_BT_more_than_2_Percent", $D146="HomeLoan_BT_less_than_2_Percent"), $E146=""), "",
AND($C146="Secured",$E146=""),"others",
AND($C146="Secured",$E146=3),"others",
AND($C146="Secured",$E146=5),"BT_with_5_year_lock_in_period",
TRUE, "")</f>
        <v/>
      </c>
      <c r="H146" s="46"/>
      <c r="I146" s="59" t="str" cm="1">
        <f t="array" ref="I146">_xlfn.IFS(
AND($C146="Secured", OR($D146="HomeLoan_BT_more_than_2_Percent", $D146="HomeLoan_BT_less_than_2_Percent"), OR($E146="", $E146=0)), "Please input Year !!!",
AND($C146="Secured", OR($F146="", $F146=0)), "Please input Amount !!!",
AND($C146="Secured", $F146&lt;5000000), 1,
AND($C146="Secured", $F146&gt;=5000000), 1.1,
TRUE, "")</f>
        <v/>
      </c>
      <c r="J146" s="59" t="str" cm="1">
        <f t="array" ref="J146">IFERROR(_xlfn.IFS(
$G146="BT_with_5_year_lock_in_period", _xlfn.XLOOKUP($H146, Deviate_Table[Pricing discount], Deviate_Table[BT_with_5_year_lock_in_period]),
$G146="others", _xlfn.XLOOKUP($H146, Deviate_Table[Pricing discount], Deviate_Table[others]),
TRUE, ""), "Please input Deviate Range !!!")</f>
        <v/>
      </c>
      <c r="K146" s="49">
        <f t="shared" si="2"/>
        <v>0</v>
      </c>
      <c r="L146" s="65" cm="1">
        <f t="array" aca="1" ref="L146" ca="1">IFERROR(
_xlfn.IFS(
D146="HomeLoan_BT_less_than_2_Percent", VLOOKUP(SUMIFS($K:$K, $D:$D, "HomeLoan_BT_more_than_2_Percent", $B:$B, B146)+SUMIFS($K:$K, $D:$D, "HomeLoan_BT_less_than_2_Percent", $B:$B, B146)+SUMIFS($K:$K, $D:$D, "HomeLoan_Non_BT", $B:$B, B146)+SUMIFS($K:$K, $D:$D, "Mortgage_Power_Term", $B:$B, B146), Secured_Commission!$A:$F, 2, 1)*(K146/10^6),
D146="HomeLoan_BT_more_than_2_Percent", VLOOKUP(SUMIFS($K:$K, $D:$D, "HomeLoan_BT_more_than_2_Percent", $B:$B, B146)+SUMIFS($K:$K, $D:$D, "HomeLoan_BT_less_than_2_Percent", $B:$B, B146)+SUMIFS($K:$K, $D:$D, "HomeLoan_Non_BT", $B:$B, B146)+SUMIFS($K:$K, $D:$D, "Mortgage_Power_Term", $B:$B, B146), Secured_Commission!$A:$F, 3, 1)*(K146/10^6),
D146="HomeLoan_Non_BT", VLOOKUP(SUMIFS($K:$K, $D:$D, "HomeLoan_BT_more_than_2_Percent", $B:$B, B146)+SUMIFS($K:$K, $D:$D, "HomeLoan_BT_less_than_2_Percent", $B:$B, B146)+SUMIFS($K:$K, $D:$D, "HomeLoan_Non_BT", $B:$B, B146)+SUMIFS($K:$K, $D:$D, "Mortgage_Power_Term", $B:$B, B146), Secured_Commission!$A:$F, 4, 1)*(K146/10^6),
D146="Mortgage_Power_Term", VLOOKUP(SUMIFS($K:$K, $D:$D, "HomeLoan_BT_more_than_2_Percent", $B:$B, B146)+SUMIFS($K:$K, $D:$D, "HomeLoan_BT_less_than_2_Percent", $B:$B, B146)+SUMIFS($K:$K, $D:$D, "HomeLoan_Non_BT", $B:$B, B146)+SUMIFS($K:$K, $D:$D, "Mortgage_Power_Term", $B:$B, B146), Secured_Commission!$A:$F, 5, 1)*(K146/10^6),
D146="Personal_Cash", VLOOKUP(SUMIFS($K:$K, $D:$D, "Personal_Cash", $B:$B, B146), Unsecured_Commission!$A:$B, 2, 1)*K146,
OR(D146="MRTA_3_Percent", D146="SOMPO"), K146*0.03,
D146="MRTA_6_Percent", K146*0.06), 0)</f>
        <v>0</v>
      </c>
    </row>
    <row r="147" spans="1:12">
      <c r="A147" s="19">
        <v>142</v>
      </c>
      <c r="B147" s="46"/>
      <c r="C147" s="46"/>
      <c r="D147" s="46"/>
      <c r="E147" s="46"/>
      <c r="G147" s="58" t="str" cm="1">
        <f t="array" ref="G147">_xlfn.IFS(
AND($C147="Secured", OR($D147="HomeLoan_BT_more_than_2_Percent", $D147="HomeLoan_BT_less_than_2_Percent"), $E147=""), "",
AND($C147="Secured",$E147=""),"others",
AND($C147="Secured",$E147=3),"others",
AND($C147="Secured",$E147=5),"BT_with_5_year_lock_in_period",
TRUE, "")</f>
        <v/>
      </c>
      <c r="H147" s="46"/>
      <c r="I147" s="59" t="str" cm="1">
        <f t="array" ref="I147">_xlfn.IFS(
AND($C147="Secured", OR($D147="HomeLoan_BT_more_than_2_Percent", $D147="HomeLoan_BT_less_than_2_Percent"), OR($E147="", $E147=0)), "Please input Year !!!",
AND($C147="Secured", OR($F147="", $F147=0)), "Please input Amount !!!",
AND($C147="Secured", $F147&lt;5000000), 1,
AND($C147="Secured", $F147&gt;=5000000), 1.1,
TRUE, "")</f>
        <v/>
      </c>
      <c r="J147" s="59" t="str" cm="1">
        <f t="array" ref="J147">IFERROR(_xlfn.IFS(
$G147="BT_with_5_year_lock_in_period", _xlfn.XLOOKUP($H147, Deviate_Table[Pricing discount], Deviate_Table[BT_with_5_year_lock_in_period]),
$G147="others", _xlfn.XLOOKUP($H147, Deviate_Table[Pricing discount], Deviate_Table[others]),
TRUE, ""), "Please input Deviate Range !!!")</f>
        <v/>
      </c>
      <c r="K147" s="49">
        <f t="shared" si="2"/>
        <v>0</v>
      </c>
      <c r="L147" s="65" cm="1">
        <f t="array" aca="1" ref="L147" ca="1">IFERROR(
_xlfn.IFS(
D147="HomeLoan_BT_less_than_2_Percent", VLOOKUP(SUMIFS($K:$K, $D:$D, "HomeLoan_BT_more_than_2_Percent", $B:$B, B147)+SUMIFS($K:$K, $D:$D, "HomeLoan_BT_less_than_2_Percent", $B:$B, B147)+SUMIFS($K:$K, $D:$D, "HomeLoan_Non_BT", $B:$B, B147)+SUMIFS($K:$K, $D:$D, "Mortgage_Power_Term", $B:$B, B147), Secured_Commission!$A:$F, 2, 1)*(K147/10^6),
D147="HomeLoan_BT_more_than_2_Percent", VLOOKUP(SUMIFS($K:$K, $D:$D, "HomeLoan_BT_more_than_2_Percent", $B:$B, B147)+SUMIFS($K:$K, $D:$D, "HomeLoan_BT_less_than_2_Percent", $B:$B, B147)+SUMIFS($K:$K, $D:$D, "HomeLoan_Non_BT", $B:$B, B147)+SUMIFS($K:$K, $D:$D, "Mortgage_Power_Term", $B:$B, B147), Secured_Commission!$A:$F, 3, 1)*(K147/10^6),
D147="HomeLoan_Non_BT", VLOOKUP(SUMIFS($K:$K, $D:$D, "HomeLoan_BT_more_than_2_Percent", $B:$B, B147)+SUMIFS($K:$K, $D:$D, "HomeLoan_BT_less_than_2_Percent", $B:$B, B147)+SUMIFS($K:$K, $D:$D, "HomeLoan_Non_BT", $B:$B, B147)+SUMIFS($K:$K, $D:$D, "Mortgage_Power_Term", $B:$B, B147), Secured_Commission!$A:$F, 4, 1)*(K147/10^6),
D147="Mortgage_Power_Term", VLOOKUP(SUMIFS($K:$K, $D:$D, "HomeLoan_BT_more_than_2_Percent", $B:$B, B147)+SUMIFS($K:$K, $D:$D, "HomeLoan_BT_less_than_2_Percent", $B:$B, B147)+SUMIFS($K:$K, $D:$D, "HomeLoan_Non_BT", $B:$B, B147)+SUMIFS($K:$K, $D:$D, "Mortgage_Power_Term", $B:$B, B147), Secured_Commission!$A:$F, 5, 1)*(K147/10^6),
D147="Personal_Cash", VLOOKUP(SUMIFS($K:$K, $D:$D, "Personal_Cash", $B:$B, B147), Unsecured_Commission!$A:$B, 2, 1)*K147,
OR(D147="MRTA_3_Percent", D147="SOMPO"), K147*0.03,
D147="MRTA_6_Percent", K147*0.06), 0)</f>
        <v>0</v>
      </c>
    </row>
    <row r="148" spans="1:12">
      <c r="A148" s="19">
        <v>143</v>
      </c>
      <c r="B148" s="46"/>
      <c r="C148" s="46"/>
      <c r="D148" s="46"/>
      <c r="E148" s="46"/>
      <c r="G148" s="58" t="str" cm="1">
        <f t="array" ref="G148">_xlfn.IFS(
AND($C148="Secured", OR($D148="HomeLoan_BT_more_than_2_Percent", $D148="HomeLoan_BT_less_than_2_Percent"), $E148=""), "",
AND($C148="Secured",$E148=""),"others",
AND($C148="Secured",$E148=3),"others",
AND($C148="Secured",$E148=5),"BT_with_5_year_lock_in_period",
TRUE, "")</f>
        <v/>
      </c>
      <c r="H148" s="46"/>
      <c r="I148" s="59" t="str" cm="1">
        <f t="array" ref="I148">_xlfn.IFS(
AND($C148="Secured", OR($D148="HomeLoan_BT_more_than_2_Percent", $D148="HomeLoan_BT_less_than_2_Percent"), OR($E148="", $E148=0)), "Please input Year !!!",
AND($C148="Secured", OR($F148="", $F148=0)), "Please input Amount !!!",
AND($C148="Secured", $F148&lt;5000000), 1,
AND($C148="Secured", $F148&gt;=5000000), 1.1,
TRUE, "")</f>
        <v/>
      </c>
      <c r="J148" s="59" t="str" cm="1">
        <f t="array" ref="J148">IFERROR(_xlfn.IFS(
$G148="BT_with_5_year_lock_in_period", _xlfn.XLOOKUP($H148, Deviate_Table[Pricing discount], Deviate_Table[BT_with_5_year_lock_in_period]),
$G148="others", _xlfn.XLOOKUP($H148, Deviate_Table[Pricing discount], Deviate_Table[others]),
TRUE, ""), "Please input Deviate Range !!!")</f>
        <v/>
      </c>
      <c r="K148" s="49">
        <f t="shared" si="2"/>
        <v>0</v>
      </c>
      <c r="L148" s="65" cm="1">
        <f t="array" aca="1" ref="L148" ca="1">IFERROR(
_xlfn.IFS(
D148="HomeLoan_BT_less_than_2_Percent", VLOOKUP(SUMIFS($K:$K, $D:$D, "HomeLoan_BT_more_than_2_Percent", $B:$B, B148)+SUMIFS($K:$K, $D:$D, "HomeLoan_BT_less_than_2_Percent", $B:$B, B148)+SUMIFS($K:$K, $D:$D, "HomeLoan_Non_BT", $B:$B, B148)+SUMIFS($K:$K, $D:$D, "Mortgage_Power_Term", $B:$B, B148), Secured_Commission!$A:$F, 2, 1)*(K148/10^6),
D148="HomeLoan_BT_more_than_2_Percent", VLOOKUP(SUMIFS($K:$K, $D:$D, "HomeLoan_BT_more_than_2_Percent", $B:$B, B148)+SUMIFS($K:$K, $D:$D, "HomeLoan_BT_less_than_2_Percent", $B:$B, B148)+SUMIFS($K:$K, $D:$D, "HomeLoan_Non_BT", $B:$B, B148)+SUMIFS($K:$K, $D:$D, "Mortgage_Power_Term", $B:$B, B148), Secured_Commission!$A:$F, 3, 1)*(K148/10^6),
D148="HomeLoan_Non_BT", VLOOKUP(SUMIFS($K:$K, $D:$D, "HomeLoan_BT_more_than_2_Percent", $B:$B, B148)+SUMIFS($K:$K, $D:$D, "HomeLoan_BT_less_than_2_Percent", $B:$B, B148)+SUMIFS($K:$K, $D:$D, "HomeLoan_Non_BT", $B:$B, B148)+SUMIFS($K:$K, $D:$D, "Mortgage_Power_Term", $B:$B, B148), Secured_Commission!$A:$F, 4, 1)*(K148/10^6),
D148="Mortgage_Power_Term", VLOOKUP(SUMIFS($K:$K, $D:$D, "HomeLoan_BT_more_than_2_Percent", $B:$B, B148)+SUMIFS($K:$K, $D:$D, "HomeLoan_BT_less_than_2_Percent", $B:$B, B148)+SUMIFS($K:$K, $D:$D, "HomeLoan_Non_BT", $B:$B, B148)+SUMIFS($K:$K, $D:$D, "Mortgage_Power_Term", $B:$B, B148), Secured_Commission!$A:$F, 5, 1)*(K148/10^6),
D148="Personal_Cash", VLOOKUP(SUMIFS($K:$K, $D:$D, "Personal_Cash", $B:$B, B148), Unsecured_Commission!$A:$B, 2, 1)*K148,
OR(D148="MRTA_3_Percent", D148="SOMPO"), K148*0.03,
D148="MRTA_6_Percent", K148*0.06), 0)</f>
        <v>0</v>
      </c>
    </row>
    <row r="149" spans="1:12">
      <c r="A149" s="19">
        <v>144</v>
      </c>
      <c r="B149" s="46"/>
      <c r="C149" s="46"/>
      <c r="D149" s="46"/>
      <c r="E149" s="46"/>
      <c r="G149" s="58" t="str" cm="1">
        <f t="array" ref="G149">_xlfn.IFS(
AND($C149="Secured", OR($D149="HomeLoan_BT_more_than_2_Percent", $D149="HomeLoan_BT_less_than_2_Percent"), $E149=""), "",
AND($C149="Secured",$E149=""),"others",
AND($C149="Secured",$E149=3),"others",
AND($C149="Secured",$E149=5),"BT_with_5_year_lock_in_period",
TRUE, "")</f>
        <v/>
      </c>
      <c r="H149" s="46"/>
      <c r="I149" s="59" t="str" cm="1">
        <f t="array" ref="I149">_xlfn.IFS(
AND($C149="Secured", OR($D149="HomeLoan_BT_more_than_2_Percent", $D149="HomeLoan_BT_less_than_2_Percent"), OR($E149="", $E149=0)), "Please input Year !!!",
AND($C149="Secured", OR($F149="", $F149=0)), "Please input Amount !!!",
AND($C149="Secured", $F149&lt;5000000), 1,
AND($C149="Secured", $F149&gt;=5000000), 1.1,
TRUE, "")</f>
        <v/>
      </c>
      <c r="J149" s="59" t="str" cm="1">
        <f t="array" ref="J149">IFERROR(_xlfn.IFS(
$G149="BT_with_5_year_lock_in_period", _xlfn.XLOOKUP($H149, Deviate_Table[Pricing discount], Deviate_Table[BT_with_5_year_lock_in_period]),
$G149="others", _xlfn.XLOOKUP($H149, Deviate_Table[Pricing discount], Deviate_Table[others]),
TRUE, ""), "Please input Deviate Range !!!")</f>
        <v/>
      </c>
      <c r="K149" s="49">
        <f t="shared" si="2"/>
        <v>0</v>
      </c>
      <c r="L149" s="65" cm="1">
        <f t="array" aca="1" ref="L149" ca="1">IFERROR(
_xlfn.IFS(
D149="HomeLoan_BT_less_than_2_Percent", VLOOKUP(SUMIFS($K:$K, $D:$D, "HomeLoan_BT_more_than_2_Percent", $B:$B, B149)+SUMIFS($K:$K, $D:$D, "HomeLoan_BT_less_than_2_Percent", $B:$B, B149)+SUMIFS($K:$K, $D:$D, "HomeLoan_Non_BT", $B:$B, B149)+SUMIFS($K:$K, $D:$D, "Mortgage_Power_Term", $B:$B, B149), Secured_Commission!$A:$F, 2, 1)*(K149/10^6),
D149="HomeLoan_BT_more_than_2_Percent", VLOOKUP(SUMIFS($K:$K, $D:$D, "HomeLoan_BT_more_than_2_Percent", $B:$B, B149)+SUMIFS($K:$K, $D:$D, "HomeLoan_BT_less_than_2_Percent", $B:$B, B149)+SUMIFS($K:$K, $D:$D, "HomeLoan_Non_BT", $B:$B, B149)+SUMIFS($K:$K, $D:$D, "Mortgage_Power_Term", $B:$B, B149), Secured_Commission!$A:$F, 3, 1)*(K149/10^6),
D149="HomeLoan_Non_BT", VLOOKUP(SUMIFS($K:$K, $D:$D, "HomeLoan_BT_more_than_2_Percent", $B:$B, B149)+SUMIFS($K:$K, $D:$D, "HomeLoan_BT_less_than_2_Percent", $B:$B, B149)+SUMIFS($K:$K, $D:$D, "HomeLoan_Non_BT", $B:$B, B149)+SUMIFS($K:$K, $D:$D, "Mortgage_Power_Term", $B:$B, B149), Secured_Commission!$A:$F, 4, 1)*(K149/10^6),
D149="Mortgage_Power_Term", VLOOKUP(SUMIFS($K:$K, $D:$D, "HomeLoan_BT_more_than_2_Percent", $B:$B, B149)+SUMIFS($K:$K, $D:$D, "HomeLoan_BT_less_than_2_Percent", $B:$B, B149)+SUMIFS($K:$K, $D:$D, "HomeLoan_Non_BT", $B:$B, B149)+SUMIFS($K:$K, $D:$D, "Mortgage_Power_Term", $B:$B, B149), Secured_Commission!$A:$F, 5, 1)*(K149/10^6),
D149="Personal_Cash", VLOOKUP(SUMIFS($K:$K, $D:$D, "Personal_Cash", $B:$B, B149), Unsecured_Commission!$A:$B, 2, 1)*K149,
OR(D149="MRTA_3_Percent", D149="SOMPO"), K149*0.03,
D149="MRTA_6_Percent", K149*0.06), 0)</f>
        <v>0</v>
      </c>
    </row>
    <row r="150" spans="1:12">
      <c r="A150" s="19">
        <v>145</v>
      </c>
      <c r="B150" s="46"/>
      <c r="C150" s="46"/>
      <c r="D150" s="46"/>
      <c r="E150" s="46"/>
      <c r="G150" s="58" t="str" cm="1">
        <f t="array" ref="G150">_xlfn.IFS(
AND($C150="Secured", OR($D150="HomeLoan_BT_more_than_2_Percent", $D150="HomeLoan_BT_less_than_2_Percent"), $E150=""), "",
AND($C150="Secured",$E150=""),"others",
AND($C150="Secured",$E150=3),"others",
AND($C150="Secured",$E150=5),"BT_with_5_year_lock_in_period",
TRUE, "")</f>
        <v/>
      </c>
      <c r="H150" s="46"/>
      <c r="I150" s="59" t="str" cm="1">
        <f t="array" ref="I150">_xlfn.IFS(
AND($C150="Secured", OR($D150="HomeLoan_BT_more_than_2_Percent", $D150="HomeLoan_BT_less_than_2_Percent"), OR($E150="", $E150=0)), "Please input Year !!!",
AND($C150="Secured", OR($F150="", $F150=0)), "Please input Amount !!!",
AND($C150="Secured", $F150&lt;5000000), 1,
AND($C150="Secured", $F150&gt;=5000000), 1.1,
TRUE, "")</f>
        <v/>
      </c>
      <c r="J150" s="59" t="str" cm="1">
        <f t="array" ref="J150">IFERROR(_xlfn.IFS(
$G150="BT_with_5_year_lock_in_period", _xlfn.XLOOKUP($H150, Deviate_Table[Pricing discount], Deviate_Table[BT_with_5_year_lock_in_period]),
$G150="others", _xlfn.XLOOKUP($H150, Deviate_Table[Pricing discount], Deviate_Table[others]),
TRUE, ""), "Please input Deviate Range !!!")</f>
        <v/>
      </c>
      <c r="K150" s="49">
        <f t="shared" si="2"/>
        <v>0</v>
      </c>
      <c r="L150" s="65" cm="1">
        <f t="array" aca="1" ref="L150" ca="1">IFERROR(
_xlfn.IFS(
D150="HomeLoan_BT_less_than_2_Percent", VLOOKUP(SUMIFS($K:$K, $D:$D, "HomeLoan_BT_more_than_2_Percent", $B:$B, B150)+SUMIFS($K:$K, $D:$D, "HomeLoan_BT_less_than_2_Percent", $B:$B, B150)+SUMIFS($K:$K, $D:$D, "HomeLoan_Non_BT", $B:$B, B150)+SUMIFS($K:$K, $D:$D, "Mortgage_Power_Term", $B:$B, B150), Secured_Commission!$A:$F, 2, 1)*(K150/10^6),
D150="HomeLoan_BT_more_than_2_Percent", VLOOKUP(SUMIFS($K:$K, $D:$D, "HomeLoan_BT_more_than_2_Percent", $B:$B, B150)+SUMIFS($K:$K, $D:$D, "HomeLoan_BT_less_than_2_Percent", $B:$B, B150)+SUMIFS($K:$K, $D:$D, "HomeLoan_Non_BT", $B:$B, B150)+SUMIFS($K:$K, $D:$D, "Mortgage_Power_Term", $B:$B, B150), Secured_Commission!$A:$F, 3, 1)*(K150/10^6),
D150="HomeLoan_Non_BT", VLOOKUP(SUMIFS($K:$K, $D:$D, "HomeLoan_BT_more_than_2_Percent", $B:$B, B150)+SUMIFS($K:$K, $D:$D, "HomeLoan_BT_less_than_2_Percent", $B:$B, B150)+SUMIFS($K:$K, $D:$D, "HomeLoan_Non_BT", $B:$B, B150)+SUMIFS($K:$K, $D:$D, "Mortgage_Power_Term", $B:$B, B150), Secured_Commission!$A:$F, 4, 1)*(K150/10^6),
D150="Mortgage_Power_Term", VLOOKUP(SUMIFS($K:$K, $D:$D, "HomeLoan_BT_more_than_2_Percent", $B:$B, B150)+SUMIFS($K:$K, $D:$D, "HomeLoan_BT_less_than_2_Percent", $B:$B, B150)+SUMIFS($K:$K, $D:$D, "HomeLoan_Non_BT", $B:$B, B150)+SUMIFS($K:$K, $D:$D, "Mortgage_Power_Term", $B:$B, B150), Secured_Commission!$A:$F, 5, 1)*(K150/10^6),
D150="Personal_Cash", VLOOKUP(SUMIFS($K:$K, $D:$D, "Personal_Cash", $B:$B, B150), Unsecured_Commission!$A:$B, 2, 1)*K150,
OR(D150="MRTA_3_Percent", D150="SOMPO"), K150*0.03,
D150="MRTA_6_Percent", K150*0.06), 0)</f>
        <v>0</v>
      </c>
    </row>
    <row r="151" spans="1:12">
      <c r="A151" s="19">
        <v>146</v>
      </c>
      <c r="B151" s="46"/>
      <c r="C151" s="46"/>
      <c r="D151" s="46"/>
      <c r="E151" s="46"/>
      <c r="G151" s="58" t="str" cm="1">
        <f t="array" ref="G151">_xlfn.IFS(
AND($C151="Secured", OR($D151="HomeLoan_BT_more_than_2_Percent", $D151="HomeLoan_BT_less_than_2_Percent"), $E151=""), "",
AND($C151="Secured",$E151=""),"others",
AND($C151="Secured",$E151=3),"others",
AND($C151="Secured",$E151=5),"BT_with_5_year_lock_in_period",
TRUE, "")</f>
        <v/>
      </c>
      <c r="H151" s="46"/>
      <c r="I151" s="59" t="str" cm="1">
        <f t="array" ref="I151">_xlfn.IFS(
AND($C151="Secured", OR($D151="HomeLoan_BT_more_than_2_Percent", $D151="HomeLoan_BT_less_than_2_Percent"), OR($E151="", $E151=0)), "Please input Year !!!",
AND($C151="Secured", OR($F151="", $F151=0)), "Please input Amount !!!",
AND($C151="Secured", $F151&lt;5000000), 1,
AND($C151="Secured", $F151&gt;=5000000), 1.1,
TRUE, "")</f>
        <v/>
      </c>
      <c r="J151" s="59" t="str" cm="1">
        <f t="array" ref="J151">IFERROR(_xlfn.IFS(
$G151="BT_with_5_year_lock_in_period", _xlfn.XLOOKUP($H151, Deviate_Table[Pricing discount], Deviate_Table[BT_with_5_year_lock_in_period]),
$G151="others", _xlfn.XLOOKUP($H151, Deviate_Table[Pricing discount], Deviate_Table[others]),
TRUE, ""), "Please input Deviate Range !!!")</f>
        <v/>
      </c>
      <c r="K151" s="49">
        <f t="shared" si="2"/>
        <v>0</v>
      </c>
      <c r="L151" s="65" cm="1">
        <f t="array" aca="1" ref="L151" ca="1">IFERROR(
_xlfn.IFS(
D151="HomeLoan_BT_less_than_2_Percent", VLOOKUP(SUMIFS($K:$K, $D:$D, "HomeLoan_BT_more_than_2_Percent", $B:$B, B151)+SUMIFS($K:$K, $D:$D, "HomeLoan_BT_less_than_2_Percent", $B:$B, B151)+SUMIFS($K:$K, $D:$D, "HomeLoan_Non_BT", $B:$B, B151)+SUMIFS($K:$K, $D:$D, "Mortgage_Power_Term", $B:$B, B151), Secured_Commission!$A:$F, 2, 1)*(K151/10^6),
D151="HomeLoan_BT_more_than_2_Percent", VLOOKUP(SUMIFS($K:$K, $D:$D, "HomeLoan_BT_more_than_2_Percent", $B:$B, B151)+SUMIFS($K:$K, $D:$D, "HomeLoan_BT_less_than_2_Percent", $B:$B, B151)+SUMIFS($K:$K, $D:$D, "HomeLoan_Non_BT", $B:$B, B151)+SUMIFS($K:$K, $D:$D, "Mortgage_Power_Term", $B:$B, B151), Secured_Commission!$A:$F, 3, 1)*(K151/10^6),
D151="HomeLoan_Non_BT", VLOOKUP(SUMIFS($K:$K, $D:$D, "HomeLoan_BT_more_than_2_Percent", $B:$B, B151)+SUMIFS($K:$K, $D:$D, "HomeLoan_BT_less_than_2_Percent", $B:$B, B151)+SUMIFS($K:$K, $D:$D, "HomeLoan_Non_BT", $B:$B, B151)+SUMIFS($K:$K, $D:$D, "Mortgage_Power_Term", $B:$B, B151), Secured_Commission!$A:$F, 4, 1)*(K151/10^6),
D151="Mortgage_Power_Term", VLOOKUP(SUMIFS($K:$K, $D:$D, "HomeLoan_BT_more_than_2_Percent", $B:$B, B151)+SUMIFS($K:$K, $D:$D, "HomeLoan_BT_less_than_2_Percent", $B:$B, B151)+SUMIFS($K:$K, $D:$D, "HomeLoan_Non_BT", $B:$B, B151)+SUMIFS($K:$K, $D:$D, "Mortgage_Power_Term", $B:$B, B151), Secured_Commission!$A:$F, 5, 1)*(K151/10^6),
D151="Personal_Cash", VLOOKUP(SUMIFS($K:$K, $D:$D, "Personal_Cash", $B:$B, B151), Unsecured_Commission!$A:$B, 2, 1)*K151,
OR(D151="MRTA_3_Percent", D151="SOMPO"), K151*0.03,
D151="MRTA_6_Percent", K151*0.06), 0)</f>
        <v>0</v>
      </c>
    </row>
    <row r="152" spans="1:12">
      <c r="A152" s="19">
        <v>147</v>
      </c>
      <c r="B152" s="46"/>
      <c r="C152" s="46"/>
      <c r="D152" s="46"/>
      <c r="E152" s="46"/>
      <c r="G152" s="58" t="str" cm="1">
        <f t="array" ref="G152">_xlfn.IFS(
AND($C152="Secured", OR($D152="HomeLoan_BT_more_than_2_Percent", $D152="HomeLoan_BT_less_than_2_Percent"), $E152=""), "",
AND($C152="Secured",$E152=""),"others",
AND($C152="Secured",$E152=3),"others",
AND($C152="Secured",$E152=5),"BT_with_5_year_lock_in_period",
TRUE, "")</f>
        <v/>
      </c>
      <c r="H152" s="46"/>
      <c r="I152" s="59" t="str" cm="1">
        <f t="array" ref="I152">_xlfn.IFS(
AND($C152="Secured", OR($D152="HomeLoan_BT_more_than_2_Percent", $D152="HomeLoan_BT_less_than_2_Percent"), OR($E152="", $E152=0)), "Please input Year !!!",
AND($C152="Secured", OR($F152="", $F152=0)), "Please input Amount !!!",
AND($C152="Secured", $F152&lt;5000000), 1,
AND($C152="Secured", $F152&gt;=5000000), 1.1,
TRUE, "")</f>
        <v/>
      </c>
      <c r="J152" s="59" t="str" cm="1">
        <f t="array" ref="J152">IFERROR(_xlfn.IFS(
$G152="BT_with_5_year_lock_in_period", _xlfn.XLOOKUP($H152, Deviate_Table[Pricing discount], Deviate_Table[BT_with_5_year_lock_in_period]),
$G152="others", _xlfn.XLOOKUP($H152, Deviate_Table[Pricing discount], Deviate_Table[others]),
TRUE, ""), "Please input Deviate Range !!!")</f>
        <v/>
      </c>
      <c r="K152" s="49">
        <f t="shared" si="2"/>
        <v>0</v>
      </c>
      <c r="L152" s="65" cm="1">
        <f t="array" aca="1" ref="L152" ca="1">IFERROR(
_xlfn.IFS(
D152="HomeLoan_BT_less_than_2_Percent", VLOOKUP(SUMIFS($K:$K, $D:$D, "HomeLoan_BT_more_than_2_Percent", $B:$B, B152)+SUMIFS($K:$K, $D:$D, "HomeLoan_BT_less_than_2_Percent", $B:$B, B152)+SUMIFS($K:$K, $D:$D, "HomeLoan_Non_BT", $B:$B, B152)+SUMIFS($K:$K, $D:$D, "Mortgage_Power_Term", $B:$B, B152), Secured_Commission!$A:$F, 2, 1)*(K152/10^6),
D152="HomeLoan_BT_more_than_2_Percent", VLOOKUP(SUMIFS($K:$K, $D:$D, "HomeLoan_BT_more_than_2_Percent", $B:$B, B152)+SUMIFS($K:$K, $D:$D, "HomeLoan_BT_less_than_2_Percent", $B:$B, B152)+SUMIFS($K:$K, $D:$D, "HomeLoan_Non_BT", $B:$B, B152)+SUMIFS($K:$K, $D:$D, "Mortgage_Power_Term", $B:$B, B152), Secured_Commission!$A:$F, 3, 1)*(K152/10^6),
D152="HomeLoan_Non_BT", VLOOKUP(SUMIFS($K:$K, $D:$D, "HomeLoan_BT_more_than_2_Percent", $B:$B, B152)+SUMIFS($K:$K, $D:$D, "HomeLoan_BT_less_than_2_Percent", $B:$B, B152)+SUMIFS($K:$K, $D:$D, "HomeLoan_Non_BT", $B:$B, B152)+SUMIFS($K:$K, $D:$D, "Mortgage_Power_Term", $B:$B, B152), Secured_Commission!$A:$F, 4, 1)*(K152/10^6),
D152="Mortgage_Power_Term", VLOOKUP(SUMIFS($K:$K, $D:$D, "HomeLoan_BT_more_than_2_Percent", $B:$B, B152)+SUMIFS($K:$K, $D:$D, "HomeLoan_BT_less_than_2_Percent", $B:$B, B152)+SUMIFS($K:$K, $D:$D, "HomeLoan_Non_BT", $B:$B, B152)+SUMIFS($K:$K, $D:$D, "Mortgage_Power_Term", $B:$B, B152), Secured_Commission!$A:$F, 5, 1)*(K152/10^6),
D152="Personal_Cash", VLOOKUP(SUMIFS($K:$K, $D:$D, "Personal_Cash", $B:$B, B152), Unsecured_Commission!$A:$B, 2, 1)*K152,
OR(D152="MRTA_3_Percent", D152="SOMPO"), K152*0.03,
D152="MRTA_6_Percent", K152*0.06), 0)</f>
        <v>0</v>
      </c>
    </row>
    <row r="153" spans="1:12">
      <c r="A153" s="19">
        <v>148</v>
      </c>
      <c r="B153" s="46"/>
      <c r="C153" s="46"/>
      <c r="D153" s="46"/>
      <c r="E153" s="46"/>
      <c r="G153" s="58" t="str" cm="1">
        <f t="array" ref="G153">_xlfn.IFS(
AND($C153="Secured", OR($D153="HomeLoan_BT_more_than_2_Percent", $D153="HomeLoan_BT_less_than_2_Percent"), $E153=""), "",
AND($C153="Secured",$E153=""),"others",
AND($C153="Secured",$E153=3),"others",
AND($C153="Secured",$E153=5),"BT_with_5_year_lock_in_period",
TRUE, "")</f>
        <v/>
      </c>
      <c r="H153" s="46"/>
      <c r="I153" s="59" t="str" cm="1">
        <f t="array" ref="I153">_xlfn.IFS(
AND($C153="Secured", OR($D153="HomeLoan_BT_more_than_2_Percent", $D153="HomeLoan_BT_less_than_2_Percent"), OR($E153="", $E153=0)), "Please input Year !!!",
AND($C153="Secured", OR($F153="", $F153=0)), "Please input Amount !!!",
AND($C153="Secured", $F153&lt;5000000), 1,
AND($C153="Secured", $F153&gt;=5000000), 1.1,
TRUE, "")</f>
        <v/>
      </c>
      <c r="J153" s="59" t="str" cm="1">
        <f t="array" ref="J153">IFERROR(_xlfn.IFS(
$G153="BT_with_5_year_lock_in_period", _xlfn.XLOOKUP($H153, Deviate_Table[Pricing discount], Deviate_Table[BT_with_5_year_lock_in_period]),
$G153="others", _xlfn.XLOOKUP($H153, Deviate_Table[Pricing discount], Deviate_Table[others]),
TRUE, ""), "Please input Deviate Range !!!")</f>
        <v/>
      </c>
      <c r="K153" s="49">
        <f t="shared" si="2"/>
        <v>0</v>
      </c>
      <c r="L153" s="65" cm="1">
        <f t="array" aca="1" ref="L153" ca="1">IFERROR(
_xlfn.IFS(
D153="HomeLoan_BT_less_than_2_Percent", VLOOKUP(SUMIFS($K:$K, $D:$D, "HomeLoan_BT_more_than_2_Percent", $B:$B, B153)+SUMIFS($K:$K, $D:$D, "HomeLoan_BT_less_than_2_Percent", $B:$B, B153)+SUMIFS($K:$K, $D:$D, "HomeLoan_Non_BT", $B:$B, B153)+SUMIFS($K:$K, $D:$D, "Mortgage_Power_Term", $B:$B, B153), Secured_Commission!$A:$F, 2, 1)*(K153/10^6),
D153="HomeLoan_BT_more_than_2_Percent", VLOOKUP(SUMIFS($K:$K, $D:$D, "HomeLoan_BT_more_than_2_Percent", $B:$B, B153)+SUMIFS($K:$K, $D:$D, "HomeLoan_BT_less_than_2_Percent", $B:$B, B153)+SUMIFS($K:$K, $D:$D, "HomeLoan_Non_BT", $B:$B, B153)+SUMIFS($K:$K, $D:$D, "Mortgage_Power_Term", $B:$B, B153), Secured_Commission!$A:$F, 3, 1)*(K153/10^6),
D153="HomeLoan_Non_BT", VLOOKUP(SUMIFS($K:$K, $D:$D, "HomeLoan_BT_more_than_2_Percent", $B:$B, B153)+SUMIFS($K:$K, $D:$D, "HomeLoan_BT_less_than_2_Percent", $B:$B, B153)+SUMIFS($K:$K, $D:$D, "HomeLoan_Non_BT", $B:$B, B153)+SUMIFS($K:$K, $D:$D, "Mortgage_Power_Term", $B:$B, B153), Secured_Commission!$A:$F, 4, 1)*(K153/10^6),
D153="Mortgage_Power_Term", VLOOKUP(SUMIFS($K:$K, $D:$D, "HomeLoan_BT_more_than_2_Percent", $B:$B, B153)+SUMIFS($K:$K, $D:$D, "HomeLoan_BT_less_than_2_Percent", $B:$B, B153)+SUMIFS($K:$K, $D:$D, "HomeLoan_Non_BT", $B:$B, B153)+SUMIFS($K:$K, $D:$D, "Mortgage_Power_Term", $B:$B, B153), Secured_Commission!$A:$F, 5, 1)*(K153/10^6),
D153="Personal_Cash", VLOOKUP(SUMIFS($K:$K, $D:$D, "Personal_Cash", $B:$B, B153), Unsecured_Commission!$A:$B, 2, 1)*K153,
OR(D153="MRTA_3_Percent", D153="SOMPO"), K153*0.03,
D153="MRTA_6_Percent", K153*0.06), 0)</f>
        <v>0</v>
      </c>
    </row>
    <row r="154" spans="1:12">
      <c r="A154" s="19">
        <v>149</v>
      </c>
      <c r="B154" s="46"/>
      <c r="C154" s="46"/>
      <c r="D154" s="46"/>
      <c r="E154" s="46"/>
      <c r="G154" s="58" t="str" cm="1">
        <f t="array" ref="G154">_xlfn.IFS(
AND($C154="Secured", OR($D154="HomeLoan_BT_more_than_2_Percent", $D154="HomeLoan_BT_less_than_2_Percent"), $E154=""), "",
AND($C154="Secured",$E154=""),"others",
AND($C154="Secured",$E154=3),"others",
AND($C154="Secured",$E154=5),"BT_with_5_year_lock_in_period",
TRUE, "")</f>
        <v/>
      </c>
      <c r="H154" s="46"/>
      <c r="I154" s="59" t="str" cm="1">
        <f t="array" ref="I154">_xlfn.IFS(
AND($C154="Secured", OR($D154="HomeLoan_BT_more_than_2_Percent", $D154="HomeLoan_BT_less_than_2_Percent"), OR($E154="", $E154=0)), "Please input Year !!!",
AND($C154="Secured", OR($F154="", $F154=0)), "Please input Amount !!!",
AND($C154="Secured", $F154&lt;5000000), 1,
AND($C154="Secured", $F154&gt;=5000000), 1.1,
TRUE, "")</f>
        <v/>
      </c>
      <c r="J154" s="59" t="str" cm="1">
        <f t="array" ref="J154">IFERROR(_xlfn.IFS(
$G154="BT_with_5_year_lock_in_period", _xlfn.XLOOKUP($H154, Deviate_Table[Pricing discount], Deviate_Table[BT_with_5_year_lock_in_period]),
$G154="others", _xlfn.XLOOKUP($H154, Deviate_Table[Pricing discount], Deviate_Table[others]),
TRUE, ""), "Please input Deviate Range !!!")</f>
        <v/>
      </c>
      <c r="K154" s="49">
        <f t="shared" si="2"/>
        <v>0</v>
      </c>
      <c r="L154" s="65" cm="1">
        <f t="array" aca="1" ref="L154" ca="1">IFERROR(
_xlfn.IFS(
D154="HomeLoan_BT_less_than_2_Percent", VLOOKUP(SUMIFS($K:$K, $D:$D, "HomeLoan_BT_more_than_2_Percent", $B:$B, B154)+SUMIFS($K:$K, $D:$D, "HomeLoan_BT_less_than_2_Percent", $B:$B, B154)+SUMIFS($K:$K, $D:$D, "HomeLoan_Non_BT", $B:$B, B154)+SUMIFS($K:$K, $D:$D, "Mortgage_Power_Term", $B:$B, B154), Secured_Commission!$A:$F, 2, 1)*(K154/10^6),
D154="HomeLoan_BT_more_than_2_Percent", VLOOKUP(SUMIFS($K:$K, $D:$D, "HomeLoan_BT_more_than_2_Percent", $B:$B, B154)+SUMIFS($K:$K, $D:$D, "HomeLoan_BT_less_than_2_Percent", $B:$B, B154)+SUMIFS($K:$K, $D:$D, "HomeLoan_Non_BT", $B:$B, B154)+SUMIFS($K:$K, $D:$D, "Mortgage_Power_Term", $B:$B, B154), Secured_Commission!$A:$F, 3, 1)*(K154/10^6),
D154="HomeLoan_Non_BT", VLOOKUP(SUMIFS($K:$K, $D:$D, "HomeLoan_BT_more_than_2_Percent", $B:$B, B154)+SUMIFS($K:$K, $D:$D, "HomeLoan_BT_less_than_2_Percent", $B:$B, B154)+SUMIFS($K:$K, $D:$D, "HomeLoan_Non_BT", $B:$B, B154)+SUMIFS($K:$K, $D:$D, "Mortgage_Power_Term", $B:$B, B154), Secured_Commission!$A:$F, 4, 1)*(K154/10^6),
D154="Mortgage_Power_Term", VLOOKUP(SUMIFS($K:$K, $D:$D, "HomeLoan_BT_more_than_2_Percent", $B:$B, B154)+SUMIFS($K:$K, $D:$D, "HomeLoan_BT_less_than_2_Percent", $B:$B, B154)+SUMIFS($K:$K, $D:$D, "HomeLoan_Non_BT", $B:$B, B154)+SUMIFS($K:$K, $D:$D, "Mortgage_Power_Term", $B:$B, B154), Secured_Commission!$A:$F, 5, 1)*(K154/10^6),
D154="Personal_Cash", VLOOKUP(SUMIFS($K:$K, $D:$D, "Personal_Cash", $B:$B, B154), Unsecured_Commission!$A:$B, 2, 1)*K154,
OR(D154="MRTA_3_Percent", D154="SOMPO"), K154*0.03,
D154="MRTA_6_Percent", K154*0.06), 0)</f>
        <v>0</v>
      </c>
    </row>
    <row r="155" spans="1:12">
      <c r="A155" s="19">
        <v>150</v>
      </c>
      <c r="B155" s="46"/>
      <c r="C155" s="46"/>
      <c r="D155" s="46"/>
      <c r="E155" s="46"/>
      <c r="G155" s="58" t="str" cm="1">
        <f t="array" ref="G155">_xlfn.IFS(
AND($C155="Secured", OR($D155="HomeLoan_BT_more_than_2_Percent", $D155="HomeLoan_BT_less_than_2_Percent"), $E155=""), "",
AND($C155="Secured",$E155=""),"others",
AND($C155="Secured",$E155=3),"others",
AND($C155="Secured",$E155=5),"BT_with_5_year_lock_in_period",
TRUE, "")</f>
        <v/>
      </c>
      <c r="H155" s="46"/>
      <c r="I155" s="59" t="str" cm="1">
        <f t="array" ref="I155">_xlfn.IFS(
AND($C155="Secured", OR($D155="HomeLoan_BT_more_than_2_Percent", $D155="HomeLoan_BT_less_than_2_Percent"), OR($E155="", $E155=0)), "Please input Year !!!",
AND($C155="Secured", OR($F155="", $F155=0)), "Please input Amount !!!",
AND($C155="Secured", $F155&lt;5000000), 1,
AND($C155="Secured", $F155&gt;=5000000), 1.1,
TRUE, "")</f>
        <v/>
      </c>
      <c r="J155" s="59" t="str" cm="1">
        <f t="array" ref="J155">IFERROR(_xlfn.IFS(
$G155="BT_with_5_year_lock_in_period", _xlfn.XLOOKUP($H155, Deviate_Table[Pricing discount], Deviate_Table[BT_with_5_year_lock_in_period]),
$G155="others", _xlfn.XLOOKUP($H155, Deviate_Table[Pricing discount], Deviate_Table[others]),
TRUE, ""), "Please input Deviate Range !!!")</f>
        <v/>
      </c>
      <c r="K155" s="49">
        <f t="shared" si="2"/>
        <v>0</v>
      </c>
      <c r="L155" s="65" cm="1">
        <f t="array" aca="1" ref="L155" ca="1">IFERROR(
_xlfn.IFS(
D155="HomeLoan_BT_less_than_2_Percent", VLOOKUP(SUMIFS($K:$K, $D:$D, "HomeLoan_BT_more_than_2_Percent", $B:$B, B155)+SUMIFS($K:$K, $D:$D, "HomeLoan_BT_less_than_2_Percent", $B:$B, B155)+SUMIFS($K:$K, $D:$D, "HomeLoan_Non_BT", $B:$B, B155)+SUMIFS($K:$K, $D:$D, "Mortgage_Power_Term", $B:$B, B155), Secured_Commission!$A:$F, 2, 1)*(K155/10^6),
D155="HomeLoan_BT_more_than_2_Percent", VLOOKUP(SUMIFS($K:$K, $D:$D, "HomeLoan_BT_more_than_2_Percent", $B:$B, B155)+SUMIFS($K:$K, $D:$D, "HomeLoan_BT_less_than_2_Percent", $B:$B, B155)+SUMIFS($K:$K, $D:$D, "HomeLoan_Non_BT", $B:$B, B155)+SUMIFS($K:$K, $D:$D, "Mortgage_Power_Term", $B:$B, B155), Secured_Commission!$A:$F, 3, 1)*(K155/10^6),
D155="HomeLoan_Non_BT", VLOOKUP(SUMIFS($K:$K, $D:$D, "HomeLoan_BT_more_than_2_Percent", $B:$B, B155)+SUMIFS($K:$K, $D:$D, "HomeLoan_BT_less_than_2_Percent", $B:$B, B155)+SUMIFS($K:$K, $D:$D, "HomeLoan_Non_BT", $B:$B, B155)+SUMIFS($K:$K, $D:$D, "Mortgage_Power_Term", $B:$B, B155), Secured_Commission!$A:$F, 4, 1)*(K155/10^6),
D155="Mortgage_Power_Term", VLOOKUP(SUMIFS($K:$K, $D:$D, "HomeLoan_BT_more_than_2_Percent", $B:$B, B155)+SUMIFS($K:$K, $D:$D, "HomeLoan_BT_less_than_2_Percent", $B:$B, B155)+SUMIFS($K:$K, $D:$D, "HomeLoan_Non_BT", $B:$B, B155)+SUMIFS($K:$K, $D:$D, "Mortgage_Power_Term", $B:$B, B155), Secured_Commission!$A:$F, 5, 1)*(K155/10^6),
D155="Personal_Cash", VLOOKUP(SUMIFS($K:$K, $D:$D, "Personal_Cash", $B:$B, B155), Unsecured_Commission!$A:$B, 2, 1)*K155,
OR(D155="MRTA_3_Percent", D155="SOMPO"), K155*0.03,
D155="MRTA_6_Percent", K155*0.06), 0)</f>
        <v>0</v>
      </c>
    </row>
    <row r="156" spans="1:12">
      <c r="A156" s="19">
        <v>151</v>
      </c>
      <c r="B156" s="46"/>
      <c r="C156" s="46"/>
      <c r="D156" s="46"/>
      <c r="E156" s="46"/>
      <c r="G156" s="58" t="str" cm="1">
        <f t="array" ref="G156">_xlfn.IFS(
AND($C156="Secured", OR($D156="HomeLoan_BT_more_than_2_Percent", $D156="HomeLoan_BT_less_than_2_Percent"), $E156=""), "",
AND($C156="Secured",$E156=""),"others",
AND($C156="Secured",$E156=3),"others",
AND($C156="Secured",$E156=5),"BT_with_5_year_lock_in_period",
TRUE, "")</f>
        <v/>
      </c>
      <c r="H156" s="46"/>
      <c r="I156" s="59" t="str" cm="1">
        <f t="array" ref="I156">_xlfn.IFS(
AND($C156="Secured", OR($D156="HomeLoan_BT_more_than_2_Percent", $D156="HomeLoan_BT_less_than_2_Percent"), OR($E156="", $E156=0)), "Please input Year !!!",
AND($C156="Secured", OR($F156="", $F156=0)), "Please input Amount !!!",
AND($C156="Secured", $F156&lt;5000000), 1,
AND($C156="Secured", $F156&gt;=5000000), 1.1,
TRUE, "")</f>
        <v/>
      </c>
      <c r="J156" s="59" t="str" cm="1">
        <f t="array" ref="J156">IFERROR(_xlfn.IFS(
$G156="BT_with_5_year_lock_in_period", _xlfn.XLOOKUP($H156, Deviate_Table[Pricing discount], Deviate_Table[BT_with_5_year_lock_in_period]),
$G156="others", _xlfn.XLOOKUP($H156, Deviate_Table[Pricing discount], Deviate_Table[others]),
TRUE, ""), "Please input Deviate Range !!!")</f>
        <v/>
      </c>
      <c r="K156" s="49">
        <f t="shared" si="2"/>
        <v>0</v>
      </c>
      <c r="L156" s="65" cm="1">
        <f t="array" aca="1" ref="L156" ca="1">IFERROR(
_xlfn.IFS(
D156="HomeLoan_BT_less_than_2_Percent", VLOOKUP(SUMIFS($K:$K, $D:$D, "HomeLoan_BT_more_than_2_Percent", $B:$B, B156)+SUMIFS($K:$K, $D:$D, "HomeLoan_BT_less_than_2_Percent", $B:$B, B156)+SUMIFS($K:$K, $D:$D, "HomeLoan_Non_BT", $B:$B, B156)+SUMIFS($K:$K, $D:$D, "Mortgage_Power_Term", $B:$B, B156), Secured_Commission!$A:$F, 2, 1)*(K156/10^6),
D156="HomeLoan_BT_more_than_2_Percent", VLOOKUP(SUMIFS($K:$K, $D:$D, "HomeLoan_BT_more_than_2_Percent", $B:$B, B156)+SUMIFS($K:$K, $D:$D, "HomeLoan_BT_less_than_2_Percent", $B:$B, B156)+SUMIFS($K:$K, $D:$D, "HomeLoan_Non_BT", $B:$B, B156)+SUMIFS($K:$K, $D:$D, "Mortgage_Power_Term", $B:$B, B156), Secured_Commission!$A:$F, 3, 1)*(K156/10^6),
D156="HomeLoan_Non_BT", VLOOKUP(SUMIFS($K:$K, $D:$D, "HomeLoan_BT_more_than_2_Percent", $B:$B, B156)+SUMIFS($K:$K, $D:$D, "HomeLoan_BT_less_than_2_Percent", $B:$B, B156)+SUMIFS($K:$K, $D:$D, "HomeLoan_Non_BT", $B:$B, B156)+SUMIFS($K:$K, $D:$D, "Mortgage_Power_Term", $B:$B, B156), Secured_Commission!$A:$F, 4, 1)*(K156/10^6),
D156="Mortgage_Power_Term", VLOOKUP(SUMIFS($K:$K, $D:$D, "HomeLoan_BT_more_than_2_Percent", $B:$B, B156)+SUMIFS($K:$K, $D:$D, "HomeLoan_BT_less_than_2_Percent", $B:$B, B156)+SUMIFS($K:$K, $D:$D, "HomeLoan_Non_BT", $B:$B, B156)+SUMIFS($K:$K, $D:$D, "Mortgage_Power_Term", $B:$B, B156), Secured_Commission!$A:$F, 5, 1)*(K156/10^6),
D156="Personal_Cash", VLOOKUP(SUMIFS($K:$K, $D:$D, "Personal_Cash", $B:$B, B156), Unsecured_Commission!$A:$B, 2, 1)*K156,
OR(D156="MRTA_3_Percent", D156="SOMPO"), K156*0.03,
D156="MRTA_6_Percent", K156*0.06), 0)</f>
        <v>0</v>
      </c>
    </row>
    <row r="157" spans="1:12">
      <c r="A157" s="19">
        <v>152</v>
      </c>
      <c r="B157" s="46"/>
      <c r="C157" s="46"/>
      <c r="D157" s="46"/>
      <c r="E157" s="46"/>
      <c r="G157" s="58" t="str" cm="1">
        <f t="array" ref="G157">_xlfn.IFS(
AND($C157="Secured", OR($D157="HomeLoan_BT_more_than_2_Percent", $D157="HomeLoan_BT_less_than_2_Percent"), $E157=""), "",
AND($C157="Secured",$E157=""),"others",
AND($C157="Secured",$E157=3),"others",
AND($C157="Secured",$E157=5),"BT_with_5_year_lock_in_period",
TRUE, "")</f>
        <v/>
      </c>
      <c r="H157" s="46"/>
      <c r="I157" s="59" t="str" cm="1">
        <f t="array" ref="I157">_xlfn.IFS(
AND($C157="Secured", OR($D157="HomeLoan_BT_more_than_2_Percent", $D157="HomeLoan_BT_less_than_2_Percent"), OR($E157="", $E157=0)), "Please input Year !!!",
AND($C157="Secured", OR($F157="", $F157=0)), "Please input Amount !!!",
AND($C157="Secured", $F157&lt;5000000), 1,
AND($C157="Secured", $F157&gt;=5000000), 1.1,
TRUE, "")</f>
        <v/>
      </c>
      <c r="J157" s="59" t="str" cm="1">
        <f t="array" ref="J157">IFERROR(_xlfn.IFS(
$G157="BT_with_5_year_lock_in_period", _xlfn.XLOOKUP($H157, Deviate_Table[Pricing discount], Deviate_Table[BT_with_5_year_lock_in_period]),
$G157="others", _xlfn.XLOOKUP($H157, Deviate_Table[Pricing discount], Deviate_Table[others]),
TRUE, ""), "Please input Deviate Range !!!")</f>
        <v/>
      </c>
      <c r="K157" s="49">
        <f t="shared" si="2"/>
        <v>0</v>
      </c>
      <c r="L157" s="65" cm="1">
        <f t="array" aca="1" ref="L157" ca="1">IFERROR(
_xlfn.IFS(
D157="HomeLoan_BT_less_than_2_Percent", VLOOKUP(SUMIFS($K:$K, $D:$D, "HomeLoan_BT_more_than_2_Percent", $B:$B, B157)+SUMIFS($K:$K, $D:$D, "HomeLoan_BT_less_than_2_Percent", $B:$B, B157)+SUMIFS($K:$K, $D:$D, "HomeLoan_Non_BT", $B:$B, B157)+SUMIFS($K:$K, $D:$D, "Mortgage_Power_Term", $B:$B, B157), Secured_Commission!$A:$F, 2, 1)*(K157/10^6),
D157="HomeLoan_BT_more_than_2_Percent", VLOOKUP(SUMIFS($K:$K, $D:$D, "HomeLoan_BT_more_than_2_Percent", $B:$B, B157)+SUMIFS($K:$K, $D:$D, "HomeLoan_BT_less_than_2_Percent", $B:$B, B157)+SUMIFS($K:$K, $D:$D, "HomeLoan_Non_BT", $B:$B, B157)+SUMIFS($K:$K, $D:$D, "Mortgage_Power_Term", $B:$B, B157), Secured_Commission!$A:$F, 3, 1)*(K157/10^6),
D157="HomeLoan_Non_BT", VLOOKUP(SUMIFS($K:$K, $D:$D, "HomeLoan_BT_more_than_2_Percent", $B:$B, B157)+SUMIFS($K:$K, $D:$D, "HomeLoan_BT_less_than_2_Percent", $B:$B, B157)+SUMIFS($K:$K, $D:$D, "HomeLoan_Non_BT", $B:$B, B157)+SUMIFS($K:$K, $D:$D, "Mortgage_Power_Term", $B:$B, B157), Secured_Commission!$A:$F, 4, 1)*(K157/10^6),
D157="Mortgage_Power_Term", VLOOKUP(SUMIFS($K:$K, $D:$D, "HomeLoan_BT_more_than_2_Percent", $B:$B, B157)+SUMIFS($K:$K, $D:$D, "HomeLoan_BT_less_than_2_Percent", $B:$B, B157)+SUMIFS($K:$K, $D:$D, "HomeLoan_Non_BT", $B:$B, B157)+SUMIFS($K:$K, $D:$D, "Mortgage_Power_Term", $B:$B, B157), Secured_Commission!$A:$F, 5, 1)*(K157/10^6),
D157="Personal_Cash", VLOOKUP(SUMIFS($K:$K, $D:$D, "Personal_Cash", $B:$B, B157), Unsecured_Commission!$A:$B, 2, 1)*K157,
OR(D157="MRTA_3_Percent", D157="SOMPO"), K157*0.03,
D157="MRTA_6_Percent", K157*0.06), 0)</f>
        <v>0</v>
      </c>
    </row>
    <row r="158" spans="1:12">
      <c r="A158" s="19">
        <v>153</v>
      </c>
      <c r="B158" s="46"/>
      <c r="C158" s="46"/>
      <c r="D158" s="46"/>
      <c r="E158" s="46"/>
      <c r="G158" s="58" t="str" cm="1">
        <f t="array" ref="G158">_xlfn.IFS(
AND($C158="Secured", OR($D158="HomeLoan_BT_more_than_2_Percent", $D158="HomeLoan_BT_less_than_2_Percent"), $E158=""), "",
AND($C158="Secured",$E158=""),"others",
AND($C158="Secured",$E158=3),"others",
AND($C158="Secured",$E158=5),"BT_with_5_year_lock_in_period",
TRUE, "")</f>
        <v/>
      </c>
      <c r="H158" s="46"/>
      <c r="I158" s="59" t="str" cm="1">
        <f t="array" ref="I158">_xlfn.IFS(
AND($C158="Secured", OR($D158="HomeLoan_BT_more_than_2_Percent", $D158="HomeLoan_BT_less_than_2_Percent"), OR($E158="", $E158=0)), "Please input Year !!!",
AND($C158="Secured", OR($F158="", $F158=0)), "Please input Amount !!!",
AND($C158="Secured", $F158&lt;5000000), 1,
AND($C158="Secured", $F158&gt;=5000000), 1.1,
TRUE, "")</f>
        <v/>
      </c>
      <c r="J158" s="59" t="str" cm="1">
        <f t="array" ref="J158">IFERROR(_xlfn.IFS(
$G158="BT_with_5_year_lock_in_period", _xlfn.XLOOKUP($H158, Deviate_Table[Pricing discount], Deviate_Table[BT_with_5_year_lock_in_period]),
$G158="others", _xlfn.XLOOKUP($H158, Deviate_Table[Pricing discount], Deviate_Table[others]),
TRUE, ""), "Please input Deviate Range !!!")</f>
        <v/>
      </c>
      <c r="K158" s="49">
        <f t="shared" si="2"/>
        <v>0</v>
      </c>
      <c r="L158" s="65" cm="1">
        <f t="array" aca="1" ref="L158" ca="1">IFERROR(
_xlfn.IFS(
D158="HomeLoan_BT_less_than_2_Percent", VLOOKUP(SUMIFS($K:$K, $D:$D, "HomeLoan_BT_more_than_2_Percent", $B:$B, B158)+SUMIFS($K:$K, $D:$D, "HomeLoan_BT_less_than_2_Percent", $B:$B, B158)+SUMIFS($K:$K, $D:$D, "HomeLoan_Non_BT", $B:$B, B158)+SUMIFS($K:$K, $D:$D, "Mortgage_Power_Term", $B:$B, B158), Secured_Commission!$A:$F, 2, 1)*(K158/10^6),
D158="HomeLoan_BT_more_than_2_Percent", VLOOKUP(SUMIFS($K:$K, $D:$D, "HomeLoan_BT_more_than_2_Percent", $B:$B, B158)+SUMIFS($K:$K, $D:$D, "HomeLoan_BT_less_than_2_Percent", $B:$B, B158)+SUMIFS($K:$K, $D:$D, "HomeLoan_Non_BT", $B:$B, B158)+SUMIFS($K:$K, $D:$D, "Mortgage_Power_Term", $B:$B, B158), Secured_Commission!$A:$F, 3, 1)*(K158/10^6),
D158="HomeLoan_Non_BT", VLOOKUP(SUMIFS($K:$K, $D:$D, "HomeLoan_BT_more_than_2_Percent", $B:$B, B158)+SUMIFS($K:$K, $D:$D, "HomeLoan_BT_less_than_2_Percent", $B:$B, B158)+SUMIFS($K:$K, $D:$D, "HomeLoan_Non_BT", $B:$B, B158)+SUMIFS($K:$K, $D:$D, "Mortgage_Power_Term", $B:$B, B158), Secured_Commission!$A:$F, 4, 1)*(K158/10^6),
D158="Mortgage_Power_Term", VLOOKUP(SUMIFS($K:$K, $D:$D, "HomeLoan_BT_more_than_2_Percent", $B:$B, B158)+SUMIFS($K:$K, $D:$D, "HomeLoan_BT_less_than_2_Percent", $B:$B, B158)+SUMIFS($K:$K, $D:$D, "HomeLoan_Non_BT", $B:$B, B158)+SUMIFS($K:$K, $D:$D, "Mortgage_Power_Term", $B:$B, B158), Secured_Commission!$A:$F, 5, 1)*(K158/10^6),
D158="Personal_Cash", VLOOKUP(SUMIFS($K:$K, $D:$D, "Personal_Cash", $B:$B, B158), Unsecured_Commission!$A:$B, 2, 1)*K158,
OR(D158="MRTA_3_Percent", D158="SOMPO"), K158*0.03,
D158="MRTA_6_Percent", K158*0.06), 0)</f>
        <v>0</v>
      </c>
    </row>
    <row r="159" spans="1:12">
      <c r="A159" s="19">
        <v>154</v>
      </c>
      <c r="B159" s="46"/>
      <c r="C159" s="46"/>
      <c r="D159" s="46"/>
      <c r="E159" s="46"/>
      <c r="G159" s="58" t="str" cm="1">
        <f t="array" ref="G159">_xlfn.IFS(
AND($C159="Secured", OR($D159="HomeLoan_BT_more_than_2_Percent", $D159="HomeLoan_BT_less_than_2_Percent"), $E159=""), "",
AND($C159="Secured",$E159=""),"others",
AND($C159="Secured",$E159=3),"others",
AND($C159="Secured",$E159=5),"BT_with_5_year_lock_in_period",
TRUE, "")</f>
        <v/>
      </c>
      <c r="H159" s="46"/>
      <c r="I159" s="59" t="str" cm="1">
        <f t="array" ref="I159">_xlfn.IFS(
AND($C159="Secured", OR($D159="HomeLoan_BT_more_than_2_Percent", $D159="HomeLoan_BT_less_than_2_Percent"), OR($E159="", $E159=0)), "Please input Year !!!",
AND($C159="Secured", OR($F159="", $F159=0)), "Please input Amount !!!",
AND($C159="Secured", $F159&lt;5000000), 1,
AND($C159="Secured", $F159&gt;=5000000), 1.1,
TRUE, "")</f>
        <v/>
      </c>
      <c r="J159" s="59" t="str" cm="1">
        <f t="array" ref="J159">IFERROR(_xlfn.IFS(
$G159="BT_with_5_year_lock_in_period", _xlfn.XLOOKUP($H159, Deviate_Table[Pricing discount], Deviate_Table[BT_with_5_year_lock_in_period]),
$G159="others", _xlfn.XLOOKUP($H159, Deviate_Table[Pricing discount], Deviate_Table[others]),
TRUE, ""), "Please input Deviate Range !!!")</f>
        <v/>
      </c>
      <c r="K159" s="49">
        <f t="shared" si="2"/>
        <v>0</v>
      </c>
      <c r="L159" s="65" cm="1">
        <f t="array" aca="1" ref="L159" ca="1">IFERROR(
_xlfn.IFS(
D159="HomeLoan_BT_less_than_2_Percent", VLOOKUP(SUMIFS($K:$K, $D:$D, "HomeLoan_BT_more_than_2_Percent", $B:$B, B159)+SUMIFS($K:$K, $D:$D, "HomeLoan_BT_less_than_2_Percent", $B:$B, B159)+SUMIFS($K:$K, $D:$D, "HomeLoan_Non_BT", $B:$B, B159)+SUMIFS($K:$K, $D:$D, "Mortgage_Power_Term", $B:$B, B159), Secured_Commission!$A:$F, 2, 1)*(K159/10^6),
D159="HomeLoan_BT_more_than_2_Percent", VLOOKUP(SUMIFS($K:$K, $D:$D, "HomeLoan_BT_more_than_2_Percent", $B:$B, B159)+SUMIFS($K:$K, $D:$D, "HomeLoan_BT_less_than_2_Percent", $B:$B, B159)+SUMIFS($K:$K, $D:$D, "HomeLoan_Non_BT", $B:$B, B159)+SUMIFS($K:$K, $D:$D, "Mortgage_Power_Term", $B:$B, B159), Secured_Commission!$A:$F, 3, 1)*(K159/10^6),
D159="HomeLoan_Non_BT", VLOOKUP(SUMIFS($K:$K, $D:$D, "HomeLoan_BT_more_than_2_Percent", $B:$B, B159)+SUMIFS($K:$K, $D:$D, "HomeLoan_BT_less_than_2_Percent", $B:$B, B159)+SUMIFS($K:$K, $D:$D, "HomeLoan_Non_BT", $B:$B, B159)+SUMIFS($K:$K, $D:$D, "Mortgage_Power_Term", $B:$B, B159), Secured_Commission!$A:$F, 4, 1)*(K159/10^6),
D159="Mortgage_Power_Term", VLOOKUP(SUMIFS($K:$K, $D:$D, "HomeLoan_BT_more_than_2_Percent", $B:$B, B159)+SUMIFS($K:$K, $D:$D, "HomeLoan_BT_less_than_2_Percent", $B:$B, B159)+SUMIFS($K:$K, $D:$D, "HomeLoan_Non_BT", $B:$B, B159)+SUMIFS($K:$K, $D:$D, "Mortgage_Power_Term", $B:$B, B159), Secured_Commission!$A:$F, 5, 1)*(K159/10^6),
D159="Personal_Cash", VLOOKUP(SUMIFS($K:$K, $D:$D, "Personal_Cash", $B:$B, B159), Unsecured_Commission!$A:$B, 2, 1)*K159,
OR(D159="MRTA_3_Percent", D159="SOMPO"), K159*0.03,
D159="MRTA_6_Percent", K159*0.06), 0)</f>
        <v>0</v>
      </c>
    </row>
    <row r="160" spans="1:12">
      <c r="A160" s="19">
        <v>155</v>
      </c>
      <c r="B160" s="46"/>
      <c r="C160" s="46"/>
      <c r="D160" s="46"/>
      <c r="E160" s="46"/>
      <c r="G160" s="58" t="str" cm="1">
        <f t="array" ref="G160">_xlfn.IFS(
AND($C160="Secured", OR($D160="HomeLoan_BT_more_than_2_Percent", $D160="HomeLoan_BT_less_than_2_Percent"), $E160=""), "",
AND($C160="Secured",$E160=""),"others",
AND($C160="Secured",$E160=3),"others",
AND($C160="Secured",$E160=5),"BT_with_5_year_lock_in_period",
TRUE, "")</f>
        <v/>
      </c>
      <c r="H160" s="46"/>
      <c r="I160" s="59" t="str" cm="1">
        <f t="array" ref="I160">_xlfn.IFS(
AND($C160="Secured", OR($D160="HomeLoan_BT_more_than_2_Percent", $D160="HomeLoan_BT_less_than_2_Percent"), OR($E160="", $E160=0)), "Please input Year !!!",
AND($C160="Secured", OR($F160="", $F160=0)), "Please input Amount !!!",
AND($C160="Secured", $F160&lt;5000000), 1,
AND($C160="Secured", $F160&gt;=5000000), 1.1,
TRUE, "")</f>
        <v/>
      </c>
      <c r="J160" s="59" t="str" cm="1">
        <f t="array" ref="J160">IFERROR(_xlfn.IFS(
$G160="BT_with_5_year_lock_in_period", _xlfn.XLOOKUP($H160, Deviate_Table[Pricing discount], Deviate_Table[BT_with_5_year_lock_in_period]),
$G160="others", _xlfn.XLOOKUP($H160, Deviate_Table[Pricing discount], Deviate_Table[others]),
TRUE, ""), "Please input Deviate Range !!!")</f>
        <v/>
      </c>
      <c r="K160" s="49">
        <f t="shared" si="2"/>
        <v>0</v>
      </c>
      <c r="L160" s="65" cm="1">
        <f t="array" aca="1" ref="L160" ca="1">IFERROR(
_xlfn.IFS(
D160="HomeLoan_BT_less_than_2_Percent", VLOOKUP(SUMIFS($K:$K, $D:$D, "HomeLoan_BT_more_than_2_Percent", $B:$B, B160)+SUMIFS($K:$K, $D:$D, "HomeLoan_BT_less_than_2_Percent", $B:$B, B160)+SUMIFS($K:$K, $D:$D, "HomeLoan_Non_BT", $B:$B, B160)+SUMIFS($K:$K, $D:$D, "Mortgage_Power_Term", $B:$B, B160), Secured_Commission!$A:$F, 2, 1)*(K160/10^6),
D160="HomeLoan_BT_more_than_2_Percent", VLOOKUP(SUMIFS($K:$K, $D:$D, "HomeLoan_BT_more_than_2_Percent", $B:$B, B160)+SUMIFS($K:$K, $D:$D, "HomeLoan_BT_less_than_2_Percent", $B:$B, B160)+SUMIFS($K:$K, $D:$D, "HomeLoan_Non_BT", $B:$B, B160)+SUMIFS($K:$K, $D:$D, "Mortgage_Power_Term", $B:$B, B160), Secured_Commission!$A:$F, 3, 1)*(K160/10^6),
D160="HomeLoan_Non_BT", VLOOKUP(SUMIFS($K:$K, $D:$D, "HomeLoan_BT_more_than_2_Percent", $B:$B, B160)+SUMIFS($K:$K, $D:$D, "HomeLoan_BT_less_than_2_Percent", $B:$B, B160)+SUMIFS($K:$K, $D:$D, "HomeLoan_Non_BT", $B:$B, B160)+SUMIFS($K:$K, $D:$D, "Mortgage_Power_Term", $B:$B, B160), Secured_Commission!$A:$F, 4, 1)*(K160/10^6),
D160="Mortgage_Power_Term", VLOOKUP(SUMIFS($K:$K, $D:$D, "HomeLoan_BT_more_than_2_Percent", $B:$B, B160)+SUMIFS($K:$K, $D:$D, "HomeLoan_BT_less_than_2_Percent", $B:$B, B160)+SUMIFS($K:$K, $D:$D, "HomeLoan_Non_BT", $B:$B, B160)+SUMIFS($K:$K, $D:$D, "Mortgage_Power_Term", $B:$B, B160), Secured_Commission!$A:$F, 5, 1)*(K160/10^6),
D160="Personal_Cash", VLOOKUP(SUMIFS($K:$K, $D:$D, "Personal_Cash", $B:$B, B160), Unsecured_Commission!$A:$B, 2, 1)*K160,
OR(D160="MRTA_3_Percent", D160="SOMPO"), K160*0.03,
D160="MRTA_6_Percent", K160*0.06), 0)</f>
        <v>0</v>
      </c>
    </row>
    <row r="161" spans="1:12">
      <c r="A161" s="19">
        <v>156</v>
      </c>
      <c r="B161" s="46"/>
      <c r="C161" s="46"/>
      <c r="D161" s="46"/>
      <c r="E161" s="46"/>
      <c r="G161" s="58" t="str" cm="1">
        <f t="array" ref="G161">_xlfn.IFS(
AND($C161="Secured", OR($D161="HomeLoan_BT_more_than_2_Percent", $D161="HomeLoan_BT_less_than_2_Percent"), $E161=""), "",
AND($C161="Secured",$E161=""),"others",
AND($C161="Secured",$E161=3),"others",
AND($C161="Secured",$E161=5),"BT_with_5_year_lock_in_period",
TRUE, "")</f>
        <v/>
      </c>
      <c r="H161" s="46"/>
      <c r="I161" s="59" t="str" cm="1">
        <f t="array" ref="I161">_xlfn.IFS(
AND($C161="Secured", OR($D161="HomeLoan_BT_more_than_2_Percent", $D161="HomeLoan_BT_less_than_2_Percent"), OR($E161="", $E161=0)), "Please input Year !!!",
AND($C161="Secured", OR($F161="", $F161=0)), "Please input Amount !!!",
AND($C161="Secured", $F161&lt;5000000), 1,
AND($C161="Secured", $F161&gt;=5000000), 1.1,
TRUE, "")</f>
        <v/>
      </c>
      <c r="J161" s="59" t="str" cm="1">
        <f t="array" ref="J161">IFERROR(_xlfn.IFS(
$G161="BT_with_5_year_lock_in_period", _xlfn.XLOOKUP($H161, Deviate_Table[Pricing discount], Deviate_Table[BT_with_5_year_lock_in_period]),
$G161="others", _xlfn.XLOOKUP($H161, Deviate_Table[Pricing discount], Deviate_Table[others]),
TRUE, ""), "Please input Deviate Range !!!")</f>
        <v/>
      </c>
      <c r="K161" s="49">
        <f t="shared" si="2"/>
        <v>0</v>
      </c>
      <c r="L161" s="65" cm="1">
        <f t="array" aca="1" ref="L161" ca="1">IFERROR(
_xlfn.IFS(
D161="HomeLoan_BT_less_than_2_Percent", VLOOKUP(SUMIFS($K:$K, $D:$D, "HomeLoan_BT_more_than_2_Percent", $B:$B, B161)+SUMIFS($K:$K, $D:$D, "HomeLoan_BT_less_than_2_Percent", $B:$B, B161)+SUMIFS($K:$K, $D:$D, "HomeLoan_Non_BT", $B:$B, B161)+SUMIFS($K:$K, $D:$D, "Mortgage_Power_Term", $B:$B, B161), Secured_Commission!$A:$F, 2, 1)*(K161/10^6),
D161="HomeLoan_BT_more_than_2_Percent", VLOOKUP(SUMIFS($K:$K, $D:$D, "HomeLoan_BT_more_than_2_Percent", $B:$B, B161)+SUMIFS($K:$K, $D:$D, "HomeLoan_BT_less_than_2_Percent", $B:$B, B161)+SUMIFS($K:$K, $D:$D, "HomeLoan_Non_BT", $B:$B, B161)+SUMIFS($K:$K, $D:$D, "Mortgage_Power_Term", $B:$B, B161), Secured_Commission!$A:$F, 3, 1)*(K161/10^6),
D161="HomeLoan_Non_BT", VLOOKUP(SUMIFS($K:$K, $D:$D, "HomeLoan_BT_more_than_2_Percent", $B:$B, B161)+SUMIFS($K:$K, $D:$D, "HomeLoan_BT_less_than_2_Percent", $B:$B, B161)+SUMIFS($K:$K, $D:$D, "HomeLoan_Non_BT", $B:$B, B161)+SUMIFS($K:$K, $D:$D, "Mortgage_Power_Term", $B:$B, B161), Secured_Commission!$A:$F, 4, 1)*(K161/10^6),
D161="Mortgage_Power_Term", VLOOKUP(SUMIFS($K:$K, $D:$D, "HomeLoan_BT_more_than_2_Percent", $B:$B, B161)+SUMIFS($K:$K, $D:$D, "HomeLoan_BT_less_than_2_Percent", $B:$B, B161)+SUMIFS($K:$K, $D:$D, "HomeLoan_Non_BT", $B:$B, B161)+SUMIFS($K:$K, $D:$D, "Mortgage_Power_Term", $B:$B, B161), Secured_Commission!$A:$F, 5, 1)*(K161/10^6),
D161="Personal_Cash", VLOOKUP(SUMIFS($K:$K, $D:$D, "Personal_Cash", $B:$B, B161), Unsecured_Commission!$A:$B, 2, 1)*K161,
OR(D161="MRTA_3_Percent", D161="SOMPO"), K161*0.03,
D161="MRTA_6_Percent", K161*0.06), 0)</f>
        <v>0</v>
      </c>
    </row>
    <row r="162" spans="1:12">
      <c r="A162" s="19">
        <v>157</v>
      </c>
      <c r="B162" s="46"/>
      <c r="C162" s="46"/>
      <c r="D162" s="46"/>
      <c r="E162" s="46"/>
      <c r="G162" s="58" t="str" cm="1">
        <f t="array" ref="G162">_xlfn.IFS(
AND($C162="Secured", OR($D162="HomeLoan_BT_more_than_2_Percent", $D162="HomeLoan_BT_less_than_2_Percent"), $E162=""), "",
AND($C162="Secured",$E162=""),"others",
AND($C162="Secured",$E162=3),"others",
AND($C162="Secured",$E162=5),"BT_with_5_year_lock_in_period",
TRUE, "")</f>
        <v/>
      </c>
      <c r="H162" s="46"/>
      <c r="I162" s="59" t="str" cm="1">
        <f t="array" ref="I162">_xlfn.IFS(
AND($C162="Secured", OR($D162="HomeLoan_BT_more_than_2_Percent", $D162="HomeLoan_BT_less_than_2_Percent"), OR($E162="", $E162=0)), "Please input Year !!!",
AND($C162="Secured", OR($F162="", $F162=0)), "Please input Amount !!!",
AND($C162="Secured", $F162&lt;5000000), 1,
AND($C162="Secured", $F162&gt;=5000000), 1.1,
TRUE, "")</f>
        <v/>
      </c>
      <c r="J162" s="59" t="str" cm="1">
        <f t="array" ref="J162">IFERROR(_xlfn.IFS(
$G162="BT_with_5_year_lock_in_period", _xlfn.XLOOKUP($H162, Deviate_Table[Pricing discount], Deviate_Table[BT_with_5_year_lock_in_period]),
$G162="others", _xlfn.XLOOKUP($H162, Deviate_Table[Pricing discount], Deviate_Table[others]),
TRUE, ""), "Please input Deviate Range !!!")</f>
        <v/>
      </c>
      <c r="K162" s="49">
        <f t="shared" si="2"/>
        <v>0</v>
      </c>
      <c r="L162" s="65" cm="1">
        <f t="array" aca="1" ref="L162" ca="1">IFERROR(
_xlfn.IFS(
D162="HomeLoan_BT_less_than_2_Percent", VLOOKUP(SUMIFS($K:$K, $D:$D, "HomeLoan_BT_more_than_2_Percent", $B:$B, B162)+SUMIFS($K:$K, $D:$D, "HomeLoan_BT_less_than_2_Percent", $B:$B, B162)+SUMIFS($K:$K, $D:$D, "HomeLoan_Non_BT", $B:$B, B162)+SUMIFS($K:$K, $D:$D, "Mortgage_Power_Term", $B:$B, B162), Secured_Commission!$A:$F, 2, 1)*(K162/10^6),
D162="HomeLoan_BT_more_than_2_Percent", VLOOKUP(SUMIFS($K:$K, $D:$D, "HomeLoan_BT_more_than_2_Percent", $B:$B, B162)+SUMIFS($K:$K, $D:$D, "HomeLoan_BT_less_than_2_Percent", $B:$B, B162)+SUMIFS($K:$K, $D:$D, "HomeLoan_Non_BT", $B:$B, B162)+SUMIFS($K:$K, $D:$D, "Mortgage_Power_Term", $B:$B, B162), Secured_Commission!$A:$F, 3, 1)*(K162/10^6),
D162="HomeLoan_Non_BT", VLOOKUP(SUMIFS($K:$K, $D:$D, "HomeLoan_BT_more_than_2_Percent", $B:$B, B162)+SUMIFS($K:$K, $D:$D, "HomeLoan_BT_less_than_2_Percent", $B:$B, B162)+SUMIFS($K:$K, $D:$D, "HomeLoan_Non_BT", $B:$B, B162)+SUMIFS($K:$K, $D:$D, "Mortgage_Power_Term", $B:$B, B162), Secured_Commission!$A:$F, 4, 1)*(K162/10^6),
D162="Mortgage_Power_Term", VLOOKUP(SUMIFS($K:$K, $D:$D, "HomeLoan_BT_more_than_2_Percent", $B:$B, B162)+SUMIFS($K:$K, $D:$D, "HomeLoan_BT_less_than_2_Percent", $B:$B, B162)+SUMIFS($K:$K, $D:$D, "HomeLoan_Non_BT", $B:$B, B162)+SUMIFS($K:$K, $D:$D, "Mortgage_Power_Term", $B:$B, B162), Secured_Commission!$A:$F, 5, 1)*(K162/10^6),
D162="Personal_Cash", VLOOKUP(SUMIFS($K:$K, $D:$D, "Personal_Cash", $B:$B, B162), Unsecured_Commission!$A:$B, 2, 1)*K162,
OR(D162="MRTA_3_Percent", D162="SOMPO"), K162*0.03,
D162="MRTA_6_Percent", K162*0.06), 0)</f>
        <v>0</v>
      </c>
    </row>
    <row r="163" spans="1:12">
      <c r="A163" s="19">
        <v>158</v>
      </c>
      <c r="B163" s="46"/>
      <c r="C163" s="46"/>
      <c r="D163" s="46"/>
      <c r="E163" s="46"/>
      <c r="G163" s="58" t="str" cm="1">
        <f t="array" ref="G163">_xlfn.IFS(
AND($C163="Secured", OR($D163="HomeLoan_BT_more_than_2_Percent", $D163="HomeLoan_BT_less_than_2_Percent"), $E163=""), "",
AND($C163="Secured",$E163=""),"others",
AND($C163="Secured",$E163=3),"others",
AND($C163="Secured",$E163=5),"BT_with_5_year_lock_in_period",
TRUE, "")</f>
        <v/>
      </c>
      <c r="H163" s="46"/>
      <c r="I163" s="59" t="str" cm="1">
        <f t="array" ref="I163">_xlfn.IFS(
AND($C163="Secured", OR($D163="HomeLoan_BT_more_than_2_Percent", $D163="HomeLoan_BT_less_than_2_Percent"), OR($E163="", $E163=0)), "Please input Year !!!",
AND($C163="Secured", OR($F163="", $F163=0)), "Please input Amount !!!",
AND($C163="Secured", $F163&lt;5000000), 1,
AND($C163="Secured", $F163&gt;=5000000), 1.1,
TRUE, "")</f>
        <v/>
      </c>
      <c r="J163" s="59" t="str" cm="1">
        <f t="array" ref="J163">IFERROR(_xlfn.IFS(
$G163="BT_with_5_year_lock_in_period", _xlfn.XLOOKUP($H163, Deviate_Table[Pricing discount], Deviate_Table[BT_with_5_year_lock_in_period]),
$G163="others", _xlfn.XLOOKUP($H163, Deviate_Table[Pricing discount], Deviate_Table[others]),
TRUE, ""), "Please input Deviate Range !!!")</f>
        <v/>
      </c>
      <c r="K163" s="49">
        <f t="shared" si="2"/>
        <v>0</v>
      </c>
      <c r="L163" s="65" cm="1">
        <f t="array" aca="1" ref="L163" ca="1">IFERROR(
_xlfn.IFS(
D163="HomeLoan_BT_less_than_2_Percent", VLOOKUP(SUMIFS($K:$K, $D:$D, "HomeLoan_BT_more_than_2_Percent", $B:$B, B163)+SUMIFS($K:$K, $D:$D, "HomeLoan_BT_less_than_2_Percent", $B:$B, B163)+SUMIFS($K:$K, $D:$D, "HomeLoan_Non_BT", $B:$B, B163)+SUMIFS($K:$K, $D:$D, "Mortgage_Power_Term", $B:$B, B163), Secured_Commission!$A:$F, 2, 1)*(K163/10^6),
D163="HomeLoan_BT_more_than_2_Percent", VLOOKUP(SUMIFS($K:$K, $D:$D, "HomeLoan_BT_more_than_2_Percent", $B:$B, B163)+SUMIFS($K:$K, $D:$D, "HomeLoan_BT_less_than_2_Percent", $B:$B, B163)+SUMIFS($K:$K, $D:$D, "HomeLoan_Non_BT", $B:$B, B163)+SUMIFS($K:$K, $D:$D, "Mortgage_Power_Term", $B:$B, B163), Secured_Commission!$A:$F, 3, 1)*(K163/10^6),
D163="HomeLoan_Non_BT", VLOOKUP(SUMIFS($K:$K, $D:$D, "HomeLoan_BT_more_than_2_Percent", $B:$B, B163)+SUMIFS($K:$K, $D:$D, "HomeLoan_BT_less_than_2_Percent", $B:$B, B163)+SUMIFS($K:$K, $D:$D, "HomeLoan_Non_BT", $B:$B, B163)+SUMIFS($K:$K, $D:$D, "Mortgage_Power_Term", $B:$B, B163), Secured_Commission!$A:$F, 4, 1)*(K163/10^6),
D163="Mortgage_Power_Term", VLOOKUP(SUMIFS($K:$K, $D:$D, "HomeLoan_BT_more_than_2_Percent", $B:$B, B163)+SUMIFS($K:$K, $D:$D, "HomeLoan_BT_less_than_2_Percent", $B:$B, B163)+SUMIFS($K:$K, $D:$D, "HomeLoan_Non_BT", $B:$B, B163)+SUMIFS($K:$K, $D:$D, "Mortgage_Power_Term", $B:$B, B163), Secured_Commission!$A:$F, 5, 1)*(K163/10^6),
D163="Personal_Cash", VLOOKUP(SUMIFS($K:$K, $D:$D, "Personal_Cash", $B:$B, B163), Unsecured_Commission!$A:$B, 2, 1)*K163,
OR(D163="MRTA_3_Percent", D163="SOMPO"), K163*0.03,
D163="MRTA_6_Percent", K163*0.06), 0)</f>
        <v>0</v>
      </c>
    </row>
    <row r="164" spans="1:12">
      <c r="A164" s="19">
        <v>159</v>
      </c>
      <c r="B164" s="46"/>
      <c r="C164" s="46"/>
      <c r="D164" s="46"/>
      <c r="E164" s="46"/>
      <c r="G164" s="58" t="str" cm="1">
        <f t="array" ref="G164">_xlfn.IFS(
AND($C164="Secured", OR($D164="HomeLoan_BT_more_than_2_Percent", $D164="HomeLoan_BT_less_than_2_Percent"), $E164=""), "",
AND($C164="Secured",$E164=""),"others",
AND($C164="Secured",$E164=3),"others",
AND($C164="Secured",$E164=5),"BT_with_5_year_lock_in_period",
TRUE, "")</f>
        <v/>
      </c>
      <c r="H164" s="46"/>
      <c r="I164" s="59" t="str" cm="1">
        <f t="array" ref="I164">_xlfn.IFS(
AND($C164="Secured", OR($D164="HomeLoan_BT_more_than_2_Percent", $D164="HomeLoan_BT_less_than_2_Percent"), OR($E164="", $E164=0)), "Please input Year !!!",
AND($C164="Secured", OR($F164="", $F164=0)), "Please input Amount !!!",
AND($C164="Secured", $F164&lt;5000000), 1,
AND($C164="Secured", $F164&gt;=5000000), 1.1,
TRUE, "")</f>
        <v/>
      </c>
      <c r="J164" s="59" t="str" cm="1">
        <f t="array" ref="J164">IFERROR(_xlfn.IFS(
$G164="BT_with_5_year_lock_in_period", _xlfn.XLOOKUP($H164, Deviate_Table[Pricing discount], Deviate_Table[BT_with_5_year_lock_in_period]),
$G164="others", _xlfn.XLOOKUP($H164, Deviate_Table[Pricing discount], Deviate_Table[others]),
TRUE, ""), "Please input Deviate Range !!!")</f>
        <v/>
      </c>
      <c r="K164" s="49">
        <f t="shared" si="2"/>
        <v>0</v>
      </c>
      <c r="L164" s="65" cm="1">
        <f t="array" aca="1" ref="L164" ca="1">IFERROR(
_xlfn.IFS(
D164="HomeLoan_BT_less_than_2_Percent", VLOOKUP(SUMIFS($K:$K, $D:$D, "HomeLoan_BT_more_than_2_Percent", $B:$B, B164)+SUMIFS($K:$K, $D:$D, "HomeLoan_BT_less_than_2_Percent", $B:$B, B164)+SUMIFS($K:$K, $D:$D, "HomeLoan_Non_BT", $B:$B, B164)+SUMIFS($K:$K, $D:$D, "Mortgage_Power_Term", $B:$B, B164), Secured_Commission!$A:$F, 2, 1)*(K164/10^6),
D164="HomeLoan_BT_more_than_2_Percent", VLOOKUP(SUMIFS($K:$K, $D:$D, "HomeLoan_BT_more_than_2_Percent", $B:$B, B164)+SUMIFS($K:$K, $D:$D, "HomeLoan_BT_less_than_2_Percent", $B:$B, B164)+SUMIFS($K:$K, $D:$D, "HomeLoan_Non_BT", $B:$B, B164)+SUMIFS($K:$K, $D:$D, "Mortgage_Power_Term", $B:$B, B164), Secured_Commission!$A:$F, 3, 1)*(K164/10^6),
D164="HomeLoan_Non_BT", VLOOKUP(SUMIFS($K:$K, $D:$D, "HomeLoan_BT_more_than_2_Percent", $B:$B, B164)+SUMIFS($K:$K, $D:$D, "HomeLoan_BT_less_than_2_Percent", $B:$B, B164)+SUMIFS($K:$K, $D:$D, "HomeLoan_Non_BT", $B:$B, B164)+SUMIFS($K:$K, $D:$D, "Mortgage_Power_Term", $B:$B, B164), Secured_Commission!$A:$F, 4, 1)*(K164/10^6),
D164="Mortgage_Power_Term", VLOOKUP(SUMIFS($K:$K, $D:$D, "HomeLoan_BT_more_than_2_Percent", $B:$B, B164)+SUMIFS($K:$K, $D:$D, "HomeLoan_BT_less_than_2_Percent", $B:$B, B164)+SUMIFS($K:$K, $D:$D, "HomeLoan_Non_BT", $B:$B, B164)+SUMIFS($K:$K, $D:$D, "Mortgage_Power_Term", $B:$B, B164), Secured_Commission!$A:$F, 5, 1)*(K164/10^6),
D164="Personal_Cash", VLOOKUP(SUMIFS($K:$K, $D:$D, "Personal_Cash", $B:$B, B164), Unsecured_Commission!$A:$B, 2, 1)*K164,
OR(D164="MRTA_3_Percent", D164="SOMPO"), K164*0.03,
D164="MRTA_6_Percent", K164*0.06), 0)</f>
        <v>0</v>
      </c>
    </row>
    <row r="165" spans="1:12">
      <c r="A165" s="19">
        <v>160</v>
      </c>
      <c r="B165" s="46"/>
      <c r="C165" s="46"/>
      <c r="D165" s="46"/>
      <c r="E165" s="46"/>
      <c r="G165" s="58" t="str" cm="1">
        <f t="array" ref="G165">_xlfn.IFS(
AND($C165="Secured", OR($D165="HomeLoan_BT_more_than_2_Percent", $D165="HomeLoan_BT_less_than_2_Percent"), $E165=""), "",
AND($C165="Secured",$E165=""),"others",
AND($C165="Secured",$E165=3),"others",
AND($C165="Secured",$E165=5),"BT_with_5_year_lock_in_period",
TRUE, "")</f>
        <v/>
      </c>
      <c r="H165" s="46"/>
      <c r="I165" s="59" t="str" cm="1">
        <f t="array" ref="I165">_xlfn.IFS(
AND($C165="Secured", OR($D165="HomeLoan_BT_more_than_2_Percent", $D165="HomeLoan_BT_less_than_2_Percent"), OR($E165="", $E165=0)), "Please input Year !!!",
AND($C165="Secured", OR($F165="", $F165=0)), "Please input Amount !!!",
AND($C165="Secured", $F165&lt;5000000), 1,
AND($C165="Secured", $F165&gt;=5000000), 1.1,
TRUE, "")</f>
        <v/>
      </c>
      <c r="J165" s="59" t="str" cm="1">
        <f t="array" ref="J165">IFERROR(_xlfn.IFS(
$G165="BT_with_5_year_lock_in_period", _xlfn.XLOOKUP($H165, Deviate_Table[Pricing discount], Deviate_Table[BT_with_5_year_lock_in_period]),
$G165="others", _xlfn.XLOOKUP($H165, Deviate_Table[Pricing discount], Deviate_Table[others]),
TRUE, ""), "Please input Deviate Range !!!")</f>
        <v/>
      </c>
      <c r="K165" s="49">
        <f t="shared" si="2"/>
        <v>0</v>
      </c>
      <c r="L165" s="65" cm="1">
        <f t="array" aca="1" ref="L165" ca="1">IFERROR(
_xlfn.IFS(
D165="HomeLoan_BT_less_than_2_Percent", VLOOKUP(SUMIFS($K:$K, $D:$D, "HomeLoan_BT_more_than_2_Percent", $B:$B, B165)+SUMIFS($K:$K, $D:$D, "HomeLoan_BT_less_than_2_Percent", $B:$B, B165)+SUMIFS($K:$K, $D:$D, "HomeLoan_Non_BT", $B:$B, B165)+SUMIFS($K:$K, $D:$D, "Mortgage_Power_Term", $B:$B, B165), Secured_Commission!$A:$F, 2, 1)*(K165/10^6),
D165="HomeLoan_BT_more_than_2_Percent", VLOOKUP(SUMIFS($K:$K, $D:$D, "HomeLoan_BT_more_than_2_Percent", $B:$B, B165)+SUMIFS($K:$K, $D:$D, "HomeLoan_BT_less_than_2_Percent", $B:$B, B165)+SUMIFS($K:$K, $D:$D, "HomeLoan_Non_BT", $B:$B, B165)+SUMIFS($K:$K, $D:$D, "Mortgage_Power_Term", $B:$B, B165), Secured_Commission!$A:$F, 3, 1)*(K165/10^6),
D165="HomeLoan_Non_BT", VLOOKUP(SUMIFS($K:$K, $D:$D, "HomeLoan_BT_more_than_2_Percent", $B:$B, B165)+SUMIFS($K:$K, $D:$D, "HomeLoan_BT_less_than_2_Percent", $B:$B, B165)+SUMIFS($K:$K, $D:$D, "HomeLoan_Non_BT", $B:$B, B165)+SUMIFS($K:$K, $D:$D, "Mortgage_Power_Term", $B:$B, B165), Secured_Commission!$A:$F, 4, 1)*(K165/10^6),
D165="Mortgage_Power_Term", VLOOKUP(SUMIFS($K:$K, $D:$D, "HomeLoan_BT_more_than_2_Percent", $B:$B, B165)+SUMIFS($K:$K, $D:$D, "HomeLoan_BT_less_than_2_Percent", $B:$B, B165)+SUMIFS($K:$K, $D:$D, "HomeLoan_Non_BT", $B:$B, B165)+SUMIFS($K:$K, $D:$D, "Mortgage_Power_Term", $B:$B, B165), Secured_Commission!$A:$F, 5, 1)*(K165/10^6),
D165="Personal_Cash", VLOOKUP(SUMIFS($K:$K, $D:$D, "Personal_Cash", $B:$B, B165), Unsecured_Commission!$A:$B, 2, 1)*K165,
OR(D165="MRTA_3_Percent", D165="SOMPO"), K165*0.03,
D165="MRTA_6_Percent", K165*0.06), 0)</f>
        <v>0</v>
      </c>
    </row>
    <row r="166" spans="1:12">
      <c r="A166" s="19">
        <v>161</v>
      </c>
      <c r="B166" s="46"/>
      <c r="C166" s="46"/>
      <c r="D166" s="46"/>
      <c r="E166" s="46"/>
      <c r="G166" s="58" t="str" cm="1">
        <f t="array" ref="G166">_xlfn.IFS(
AND($C166="Secured", OR($D166="HomeLoan_BT_more_than_2_Percent", $D166="HomeLoan_BT_less_than_2_Percent"), $E166=""), "",
AND($C166="Secured",$E166=""),"others",
AND($C166="Secured",$E166=3),"others",
AND($C166="Secured",$E166=5),"BT_with_5_year_lock_in_period",
TRUE, "")</f>
        <v/>
      </c>
      <c r="H166" s="46"/>
      <c r="I166" s="59" t="str" cm="1">
        <f t="array" ref="I166">_xlfn.IFS(
AND($C166="Secured", OR($D166="HomeLoan_BT_more_than_2_Percent", $D166="HomeLoan_BT_less_than_2_Percent"), OR($E166="", $E166=0)), "Please input Year !!!",
AND($C166="Secured", OR($F166="", $F166=0)), "Please input Amount !!!",
AND($C166="Secured", $F166&lt;5000000), 1,
AND($C166="Secured", $F166&gt;=5000000), 1.1,
TRUE, "")</f>
        <v/>
      </c>
      <c r="J166" s="59" t="str" cm="1">
        <f t="array" ref="J166">IFERROR(_xlfn.IFS(
$G166="BT_with_5_year_lock_in_period", _xlfn.XLOOKUP($H166, Deviate_Table[Pricing discount], Deviate_Table[BT_with_5_year_lock_in_period]),
$G166="others", _xlfn.XLOOKUP($H166, Deviate_Table[Pricing discount], Deviate_Table[others]),
TRUE, ""), "Please input Deviate Range !!!")</f>
        <v/>
      </c>
      <c r="K166" s="49">
        <f t="shared" si="2"/>
        <v>0</v>
      </c>
      <c r="L166" s="65" cm="1">
        <f t="array" aca="1" ref="L166" ca="1">IFERROR(
_xlfn.IFS(
D166="HomeLoan_BT_less_than_2_Percent", VLOOKUP(SUMIFS($K:$K, $D:$D, "HomeLoan_BT_more_than_2_Percent", $B:$B, B166)+SUMIFS($K:$K, $D:$D, "HomeLoan_BT_less_than_2_Percent", $B:$B, B166)+SUMIFS($K:$K, $D:$D, "HomeLoan_Non_BT", $B:$B, B166)+SUMIFS($K:$K, $D:$D, "Mortgage_Power_Term", $B:$B, B166), Secured_Commission!$A:$F, 2, 1)*(K166/10^6),
D166="HomeLoan_BT_more_than_2_Percent", VLOOKUP(SUMIFS($K:$K, $D:$D, "HomeLoan_BT_more_than_2_Percent", $B:$B, B166)+SUMIFS($K:$K, $D:$D, "HomeLoan_BT_less_than_2_Percent", $B:$B, B166)+SUMIFS($K:$K, $D:$D, "HomeLoan_Non_BT", $B:$B, B166)+SUMIFS($K:$K, $D:$D, "Mortgage_Power_Term", $B:$B, B166), Secured_Commission!$A:$F, 3, 1)*(K166/10^6),
D166="HomeLoan_Non_BT", VLOOKUP(SUMIFS($K:$K, $D:$D, "HomeLoan_BT_more_than_2_Percent", $B:$B, B166)+SUMIFS($K:$K, $D:$D, "HomeLoan_BT_less_than_2_Percent", $B:$B, B166)+SUMIFS($K:$K, $D:$D, "HomeLoan_Non_BT", $B:$B, B166)+SUMIFS($K:$K, $D:$D, "Mortgage_Power_Term", $B:$B, B166), Secured_Commission!$A:$F, 4, 1)*(K166/10^6),
D166="Mortgage_Power_Term", VLOOKUP(SUMIFS($K:$K, $D:$D, "HomeLoan_BT_more_than_2_Percent", $B:$B, B166)+SUMIFS($K:$K, $D:$D, "HomeLoan_BT_less_than_2_Percent", $B:$B, B166)+SUMIFS($K:$K, $D:$D, "HomeLoan_Non_BT", $B:$B, B166)+SUMIFS($K:$K, $D:$D, "Mortgage_Power_Term", $B:$B, B166), Secured_Commission!$A:$F, 5, 1)*(K166/10^6),
D166="Personal_Cash", VLOOKUP(SUMIFS($K:$K, $D:$D, "Personal_Cash", $B:$B, B166), Unsecured_Commission!$A:$B, 2, 1)*K166,
OR(D166="MRTA_3_Percent", D166="SOMPO"), K166*0.03,
D166="MRTA_6_Percent", K166*0.06), 0)</f>
        <v>0</v>
      </c>
    </row>
    <row r="167" spans="1:12">
      <c r="A167" s="19">
        <v>162</v>
      </c>
      <c r="B167" s="46"/>
      <c r="C167" s="46"/>
      <c r="D167" s="46"/>
      <c r="E167" s="46"/>
      <c r="G167" s="58" t="str" cm="1">
        <f t="array" ref="G167">_xlfn.IFS(
AND($C167="Secured", OR($D167="HomeLoan_BT_more_than_2_Percent", $D167="HomeLoan_BT_less_than_2_Percent"), $E167=""), "",
AND($C167="Secured",$E167=""),"others",
AND($C167="Secured",$E167=3),"others",
AND($C167="Secured",$E167=5),"BT_with_5_year_lock_in_period",
TRUE, "")</f>
        <v/>
      </c>
      <c r="H167" s="46"/>
      <c r="I167" s="59" t="str" cm="1">
        <f t="array" ref="I167">_xlfn.IFS(
AND($C167="Secured", OR($D167="HomeLoan_BT_more_than_2_Percent", $D167="HomeLoan_BT_less_than_2_Percent"), OR($E167="", $E167=0)), "Please input Year !!!",
AND($C167="Secured", OR($F167="", $F167=0)), "Please input Amount !!!",
AND($C167="Secured", $F167&lt;5000000), 1,
AND($C167="Secured", $F167&gt;=5000000), 1.1,
TRUE, "")</f>
        <v/>
      </c>
      <c r="J167" s="59" t="str" cm="1">
        <f t="array" ref="J167">IFERROR(_xlfn.IFS(
$G167="BT_with_5_year_lock_in_period", _xlfn.XLOOKUP($H167, Deviate_Table[Pricing discount], Deviate_Table[BT_with_5_year_lock_in_period]),
$G167="others", _xlfn.XLOOKUP($H167, Deviate_Table[Pricing discount], Deviate_Table[others]),
TRUE, ""), "Please input Deviate Range !!!")</f>
        <v/>
      </c>
      <c r="K167" s="49">
        <f t="shared" si="2"/>
        <v>0</v>
      </c>
      <c r="L167" s="65" cm="1">
        <f t="array" aca="1" ref="L167" ca="1">IFERROR(
_xlfn.IFS(
D167="HomeLoan_BT_less_than_2_Percent", VLOOKUP(SUMIFS($K:$K, $D:$D, "HomeLoan_BT_more_than_2_Percent", $B:$B, B167)+SUMIFS($K:$K, $D:$D, "HomeLoan_BT_less_than_2_Percent", $B:$B, B167)+SUMIFS($K:$K, $D:$D, "HomeLoan_Non_BT", $B:$B, B167)+SUMIFS($K:$K, $D:$D, "Mortgage_Power_Term", $B:$B, B167), Secured_Commission!$A:$F, 2, 1)*(K167/10^6),
D167="HomeLoan_BT_more_than_2_Percent", VLOOKUP(SUMIFS($K:$K, $D:$D, "HomeLoan_BT_more_than_2_Percent", $B:$B, B167)+SUMIFS($K:$K, $D:$D, "HomeLoan_BT_less_than_2_Percent", $B:$B, B167)+SUMIFS($K:$K, $D:$D, "HomeLoan_Non_BT", $B:$B, B167)+SUMIFS($K:$K, $D:$D, "Mortgage_Power_Term", $B:$B, B167), Secured_Commission!$A:$F, 3, 1)*(K167/10^6),
D167="HomeLoan_Non_BT", VLOOKUP(SUMIFS($K:$K, $D:$D, "HomeLoan_BT_more_than_2_Percent", $B:$B, B167)+SUMIFS($K:$K, $D:$D, "HomeLoan_BT_less_than_2_Percent", $B:$B, B167)+SUMIFS($K:$K, $D:$D, "HomeLoan_Non_BT", $B:$B, B167)+SUMIFS($K:$K, $D:$D, "Mortgage_Power_Term", $B:$B, B167), Secured_Commission!$A:$F, 4, 1)*(K167/10^6),
D167="Mortgage_Power_Term", VLOOKUP(SUMIFS($K:$K, $D:$D, "HomeLoan_BT_more_than_2_Percent", $B:$B, B167)+SUMIFS($K:$K, $D:$D, "HomeLoan_BT_less_than_2_Percent", $B:$B, B167)+SUMIFS($K:$K, $D:$D, "HomeLoan_Non_BT", $B:$B, B167)+SUMIFS($K:$K, $D:$D, "Mortgage_Power_Term", $B:$B, B167), Secured_Commission!$A:$F, 5, 1)*(K167/10^6),
D167="Personal_Cash", VLOOKUP(SUMIFS($K:$K, $D:$D, "Personal_Cash", $B:$B, B167), Unsecured_Commission!$A:$B, 2, 1)*K167,
OR(D167="MRTA_3_Percent", D167="SOMPO"), K167*0.03,
D167="MRTA_6_Percent", K167*0.06), 0)</f>
        <v>0</v>
      </c>
    </row>
    <row r="168" spans="1:12">
      <c r="A168" s="19">
        <v>163</v>
      </c>
      <c r="B168" s="46"/>
      <c r="C168" s="46"/>
      <c r="D168" s="46"/>
      <c r="E168" s="46"/>
      <c r="G168" s="58" t="str" cm="1">
        <f t="array" ref="G168">_xlfn.IFS(
AND($C168="Secured", OR($D168="HomeLoan_BT_more_than_2_Percent", $D168="HomeLoan_BT_less_than_2_Percent"), $E168=""), "",
AND($C168="Secured",$E168=""),"others",
AND($C168="Secured",$E168=3),"others",
AND($C168="Secured",$E168=5),"BT_with_5_year_lock_in_period",
TRUE, "")</f>
        <v/>
      </c>
      <c r="H168" s="46"/>
      <c r="I168" s="59" t="str" cm="1">
        <f t="array" ref="I168">_xlfn.IFS(
AND($C168="Secured", OR($D168="HomeLoan_BT_more_than_2_Percent", $D168="HomeLoan_BT_less_than_2_Percent"), OR($E168="", $E168=0)), "Please input Year !!!",
AND($C168="Secured", OR($F168="", $F168=0)), "Please input Amount !!!",
AND($C168="Secured", $F168&lt;5000000), 1,
AND($C168="Secured", $F168&gt;=5000000), 1.1,
TRUE, "")</f>
        <v/>
      </c>
      <c r="J168" s="59" t="str" cm="1">
        <f t="array" ref="J168">IFERROR(_xlfn.IFS(
$G168="BT_with_5_year_lock_in_period", _xlfn.XLOOKUP($H168, Deviate_Table[Pricing discount], Deviate_Table[BT_with_5_year_lock_in_period]),
$G168="others", _xlfn.XLOOKUP($H168, Deviate_Table[Pricing discount], Deviate_Table[others]),
TRUE, ""), "Please input Deviate Range !!!")</f>
        <v/>
      </c>
      <c r="K168" s="49">
        <f t="shared" si="2"/>
        <v>0</v>
      </c>
      <c r="L168" s="65" cm="1">
        <f t="array" aca="1" ref="L168" ca="1">IFERROR(
_xlfn.IFS(
D168="HomeLoan_BT_less_than_2_Percent", VLOOKUP(SUMIFS($K:$K, $D:$D, "HomeLoan_BT_more_than_2_Percent", $B:$B, B168)+SUMIFS($K:$K, $D:$D, "HomeLoan_BT_less_than_2_Percent", $B:$B, B168)+SUMIFS($K:$K, $D:$D, "HomeLoan_Non_BT", $B:$B, B168)+SUMIFS($K:$K, $D:$D, "Mortgage_Power_Term", $B:$B, B168), Secured_Commission!$A:$F, 2, 1)*(K168/10^6),
D168="HomeLoan_BT_more_than_2_Percent", VLOOKUP(SUMIFS($K:$K, $D:$D, "HomeLoan_BT_more_than_2_Percent", $B:$B, B168)+SUMIFS($K:$K, $D:$D, "HomeLoan_BT_less_than_2_Percent", $B:$B, B168)+SUMIFS($K:$K, $D:$D, "HomeLoan_Non_BT", $B:$B, B168)+SUMIFS($K:$K, $D:$D, "Mortgage_Power_Term", $B:$B, B168), Secured_Commission!$A:$F, 3, 1)*(K168/10^6),
D168="HomeLoan_Non_BT", VLOOKUP(SUMIFS($K:$K, $D:$D, "HomeLoan_BT_more_than_2_Percent", $B:$B, B168)+SUMIFS($K:$K, $D:$D, "HomeLoan_BT_less_than_2_Percent", $B:$B, B168)+SUMIFS($K:$K, $D:$D, "HomeLoan_Non_BT", $B:$B, B168)+SUMIFS($K:$K, $D:$D, "Mortgage_Power_Term", $B:$B, B168), Secured_Commission!$A:$F, 4, 1)*(K168/10^6),
D168="Mortgage_Power_Term", VLOOKUP(SUMIFS($K:$K, $D:$D, "HomeLoan_BT_more_than_2_Percent", $B:$B, B168)+SUMIFS($K:$K, $D:$D, "HomeLoan_BT_less_than_2_Percent", $B:$B, B168)+SUMIFS($K:$K, $D:$D, "HomeLoan_Non_BT", $B:$B, B168)+SUMIFS($K:$K, $D:$D, "Mortgage_Power_Term", $B:$B, B168), Secured_Commission!$A:$F, 5, 1)*(K168/10^6),
D168="Personal_Cash", VLOOKUP(SUMIFS($K:$K, $D:$D, "Personal_Cash", $B:$B, B168), Unsecured_Commission!$A:$B, 2, 1)*K168,
OR(D168="MRTA_3_Percent", D168="SOMPO"), K168*0.03,
D168="MRTA_6_Percent", K168*0.06), 0)</f>
        <v>0</v>
      </c>
    </row>
    <row r="169" spans="1:12">
      <c r="A169" s="19">
        <v>164</v>
      </c>
      <c r="B169" s="46"/>
      <c r="C169" s="46"/>
      <c r="D169" s="46"/>
      <c r="E169" s="46"/>
      <c r="G169" s="58" t="str" cm="1">
        <f t="array" ref="G169">_xlfn.IFS(
AND($C169="Secured", OR($D169="HomeLoan_BT_more_than_2_Percent", $D169="HomeLoan_BT_less_than_2_Percent"), $E169=""), "",
AND($C169="Secured",$E169=""),"others",
AND($C169="Secured",$E169=3),"others",
AND($C169="Secured",$E169=5),"BT_with_5_year_lock_in_period",
TRUE, "")</f>
        <v/>
      </c>
      <c r="H169" s="46"/>
      <c r="I169" s="59" t="str" cm="1">
        <f t="array" ref="I169">_xlfn.IFS(
AND($C169="Secured", OR($D169="HomeLoan_BT_more_than_2_Percent", $D169="HomeLoan_BT_less_than_2_Percent"), OR($E169="", $E169=0)), "Please input Year !!!",
AND($C169="Secured", OR($F169="", $F169=0)), "Please input Amount !!!",
AND($C169="Secured", $F169&lt;5000000), 1,
AND($C169="Secured", $F169&gt;=5000000), 1.1,
TRUE, "")</f>
        <v/>
      </c>
      <c r="J169" s="59" t="str" cm="1">
        <f t="array" ref="J169">IFERROR(_xlfn.IFS(
$G169="BT_with_5_year_lock_in_period", _xlfn.XLOOKUP($H169, Deviate_Table[Pricing discount], Deviate_Table[BT_with_5_year_lock_in_period]),
$G169="others", _xlfn.XLOOKUP($H169, Deviate_Table[Pricing discount], Deviate_Table[others]),
TRUE, ""), "Please input Deviate Range !!!")</f>
        <v/>
      </c>
      <c r="K169" s="49">
        <f t="shared" si="2"/>
        <v>0</v>
      </c>
      <c r="L169" s="65" cm="1">
        <f t="array" aca="1" ref="L169" ca="1">IFERROR(
_xlfn.IFS(
D169="HomeLoan_BT_less_than_2_Percent", VLOOKUP(SUMIFS($K:$K, $D:$D, "HomeLoan_BT_more_than_2_Percent", $B:$B, B169)+SUMIFS($K:$K, $D:$D, "HomeLoan_BT_less_than_2_Percent", $B:$B, B169)+SUMIFS($K:$K, $D:$D, "HomeLoan_Non_BT", $B:$B, B169)+SUMIFS($K:$K, $D:$D, "Mortgage_Power_Term", $B:$B, B169), Secured_Commission!$A:$F, 2, 1)*(K169/10^6),
D169="HomeLoan_BT_more_than_2_Percent", VLOOKUP(SUMIFS($K:$K, $D:$D, "HomeLoan_BT_more_than_2_Percent", $B:$B, B169)+SUMIFS($K:$K, $D:$D, "HomeLoan_BT_less_than_2_Percent", $B:$B, B169)+SUMIFS($K:$K, $D:$D, "HomeLoan_Non_BT", $B:$B, B169)+SUMIFS($K:$K, $D:$D, "Mortgage_Power_Term", $B:$B, B169), Secured_Commission!$A:$F, 3, 1)*(K169/10^6),
D169="HomeLoan_Non_BT", VLOOKUP(SUMIFS($K:$K, $D:$D, "HomeLoan_BT_more_than_2_Percent", $B:$B, B169)+SUMIFS($K:$K, $D:$D, "HomeLoan_BT_less_than_2_Percent", $B:$B, B169)+SUMIFS($K:$K, $D:$D, "HomeLoan_Non_BT", $B:$B, B169)+SUMIFS($K:$K, $D:$D, "Mortgage_Power_Term", $B:$B, B169), Secured_Commission!$A:$F, 4, 1)*(K169/10^6),
D169="Mortgage_Power_Term", VLOOKUP(SUMIFS($K:$K, $D:$D, "HomeLoan_BT_more_than_2_Percent", $B:$B, B169)+SUMIFS($K:$K, $D:$D, "HomeLoan_BT_less_than_2_Percent", $B:$B, B169)+SUMIFS($K:$K, $D:$D, "HomeLoan_Non_BT", $B:$B, B169)+SUMIFS($K:$K, $D:$D, "Mortgage_Power_Term", $B:$B, B169), Secured_Commission!$A:$F, 5, 1)*(K169/10^6),
D169="Personal_Cash", VLOOKUP(SUMIFS($K:$K, $D:$D, "Personal_Cash", $B:$B, B169), Unsecured_Commission!$A:$B, 2, 1)*K169,
OR(D169="MRTA_3_Percent", D169="SOMPO"), K169*0.03,
D169="MRTA_6_Percent", K169*0.06), 0)</f>
        <v>0</v>
      </c>
    </row>
    <row r="170" spans="1:12">
      <c r="A170" s="19">
        <v>165</v>
      </c>
      <c r="B170" s="46"/>
      <c r="C170" s="46"/>
      <c r="D170" s="46"/>
      <c r="E170" s="46"/>
      <c r="G170" s="58" t="str" cm="1">
        <f t="array" ref="G170">_xlfn.IFS(
AND($C170="Secured", OR($D170="HomeLoan_BT_more_than_2_Percent", $D170="HomeLoan_BT_less_than_2_Percent"), $E170=""), "",
AND($C170="Secured",$E170=""),"others",
AND($C170="Secured",$E170=3),"others",
AND($C170="Secured",$E170=5),"BT_with_5_year_lock_in_period",
TRUE, "")</f>
        <v/>
      </c>
      <c r="H170" s="46"/>
      <c r="I170" s="59" t="str" cm="1">
        <f t="array" ref="I170">_xlfn.IFS(
AND($C170="Secured", OR($D170="HomeLoan_BT_more_than_2_Percent", $D170="HomeLoan_BT_less_than_2_Percent"), OR($E170="", $E170=0)), "Please input Year !!!",
AND($C170="Secured", OR($F170="", $F170=0)), "Please input Amount !!!",
AND($C170="Secured", $F170&lt;5000000), 1,
AND($C170="Secured", $F170&gt;=5000000), 1.1,
TRUE, "")</f>
        <v/>
      </c>
      <c r="J170" s="59" t="str" cm="1">
        <f t="array" ref="J170">IFERROR(_xlfn.IFS(
$G170="BT_with_5_year_lock_in_period", _xlfn.XLOOKUP($H170, Deviate_Table[Pricing discount], Deviate_Table[BT_with_5_year_lock_in_period]),
$G170="others", _xlfn.XLOOKUP($H170, Deviate_Table[Pricing discount], Deviate_Table[others]),
TRUE, ""), "Please input Deviate Range !!!")</f>
        <v/>
      </c>
      <c r="K170" s="49">
        <f t="shared" si="2"/>
        <v>0</v>
      </c>
      <c r="L170" s="65" cm="1">
        <f t="array" aca="1" ref="L170" ca="1">IFERROR(
_xlfn.IFS(
D170="HomeLoan_BT_less_than_2_Percent", VLOOKUP(SUMIFS($K:$K, $D:$D, "HomeLoan_BT_more_than_2_Percent", $B:$B, B170)+SUMIFS($K:$K, $D:$D, "HomeLoan_BT_less_than_2_Percent", $B:$B, B170)+SUMIFS($K:$K, $D:$D, "HomeLoan_Non_BT", $B:$B, B170)+SUMIFS($K:$K, $D:$D, "Mortgage_Power_Term", $B:$B, B170), Secured_Commission!$A:$F, 2, 1)*(K170/10^6),
D170="HomeLoan_BT_more_than_2_Percent", VLOOKUP(SUMIFS($K:$K, $D:$D, "HomeLoan_BT_more_than_2_Percent", $B:$B, B170)+SUMIFS($K:$K, $D:$D, "HomeLoan_BT_less_than_2_Percent", $B:$B, B170)+SUMIFS($K:$K, $D:$D, "HomeLoan_Non_BT", $B:$B, B170)+SUMIFS($K:$K, $D:$D, "Mortgage_Power_Term", $B:$B, B170), Secured_Commission!$A:$F, 3, 1)*(K170/10^6),
D170="HomeLoan_Non_BT", VLOOKUP(SUMIFS($K:$K, $D:$D, "HomeLoan_BT_more_than_2_Percent", $B:$B, B170)+SUMIFS($K:$K, $D:$D, "HomeLoan_BT_less_than_2_Percent", $B:$B, B170)+SUMIFS($K:$K, $D:$D, "HomeLoan_Non_BT", $B:$B, B170)+SUMIFS($K:$K, $D:$D, "Mortgage_Power_Term", $B:$B, B170), Secured_Commission!$A:$F, 4, 1)*(K170/10^6),
D170="Mortgage_Power_Term", VLOOKUP(SUMIFS($K:$K, $D:$D, "HomeLoan_BT_more_than_2_Percent", $B:$B, B170)+SUMIFS($K:$K, $D:$D, "HomeLoan_BT_less_than_2_Percent", $B:$B, B170)+SUMIFS($K:$K, $D:$D, "HomeLoan_Non_BT", $B:$B, B170)+SUMIFS($K:$K, $D:$D, "Mortgage_Power_Term", $B:$B, B170), Secured_Commission!$A:$F, 5, 1)*(K170/10^6),
D170="Personal_Cash", VLOOKUP(SUMIFS($K:$K, $D:$D, "Personal_Cash", $B:$B, B170), Unsecured_Commission!$A:$B, 2, 1)*K170,
OR(D170="MRTA_3_Percent", D170="SOMPO"), K170*0.03,
D170="MRTA_6_Percent", K170*0.06), 0)</f>
        <v>0</v>
      </c>
    </row>
    <row r="171" spans="1:12">
      <c r="A171" s="19">
        <v>166</v>
      </c>
      <c r="B171" s="46"/>
      <c r="C171" s="46"/>
      <c r="D171" s="46"/>
      <c r="E171" s="46"/>
      <c r="G171" s="58" t="str" cm="1">
        <f t="array" ref="G171">_xlfn.IFS(
AND($C171="Secured", OR($D171="HomeLoan_BT_more_than_2_Percent", $D171="HomeLoan_BT_less_than_2_Percent"), $E171=""), "",
AND($C171="Secured",$E171=""),"others",
AND($C171="Secured",$E171=3),"others",
AND($C171="Secured",$E171=5),"BT_with_5_year_lock_in_period",
TRUE, "")</f>
        <v/>
      </c>
      <c r="H171" s="46"/>
      <c r="I171" s="59" t="str" cm="1">
        <f t="array" ref="I171">_xlfn.IFS(
AND($C171="Secured", OR($D171="HomeLoan_BT_more_than_2_Percent", $D171="HomeLoan_BT_less_than_2_Percent"), OR($E171="", $E171=0)), "Please input Year !!!",
AND($C171="Secured", OR($F171="", $F171=0)), "Please input Amount !!!",
AND($C171="Secured", $F171&lt;5000000), 1,
AND($C171="Secured", $F171&gt;=5000000), 1.1,
TRUE, "")</f>
        <v/>
      </c>
      <c r="J171" s="59" t="str" cm="1">
        <f t="array" ref="J171">IFERROR(_xlfn.IFS(
$G171="BT_with_5_year_lock_in_period", _xlfn.XLOOKUP($H171, Deviate_Table[Pricing discount], Deviate_Table[BT_with_5_year_lock_in_period]),
$G171="others", _xlfn.XLOOKUP($H171, Deviate_Table[Pricing discount], Deviate_Table[others]),
TRUE, ""), "Please input Deviate Range !!!")</f>
        <v/>
      </c>
      <c r="K171" s="49">
        <f t="shared" si="2"/>
        <v>0</v>
      </c>
      <c r="L171" s="65" cm="1">
        <f t="array" aca="1" ref="L171" ca="1">IFERROR(
_xlfn.IFS(
D171="HomeLoan_BT_less_than_2_Percent", VLOOKUP(SUMIFS($K:$K, $D:$D, "HomeLoan_BT_more_than_2_Percent", $B:$B, B171)+SUMIFS($K:$K, $D:$D, "HomeLoan_BT_less_than_2_Percent", $B:$B, B171)+SUMIFS($K:$K, $D:$D, "HomeLoan_Non_BT", $B:$B, B171)+SUMIFS($K:$K, $D:$D, "Mortgage_Power_Term", $B:$B, B171), Secured_Commission!$A:$F, 2, 1)*(K171/10^6),
D171="HomeLoan_BT_more_than_2_Percent", VLOOKUP(SUMIFS($K:$K, $D:$D, "HomeLoan_BT_more_than_2_Percent", $B:$B, B171)+SUMIFS($K:$K, $D:$D, "HomeLoan_BT_less_than_2_Percent", $B:$B, B171)+SUMIFS($K:$K, $D:$D, "HomeLoan_Non_BT", $B:$B, B171)+SUMIFS($K:$K, $D:$D, "Mortgage_Power_Term", $B:$B, B171), Secured_Commission!$A:$F, 3, 1)*(K171/10^6),
D171="HomeLoan_Non_BT", VLOOKUP(SUMIFS($K:$K, $D:$D, "HomeLoan_BT_more_than_2_Percent", $B:$B, B171)+SUMIFS($K:$K, $D:$D, "HomeLoan_BT_less_than_2_Percent", $B:$B, B171)+SUMIFS($K:$K, $D:$D, "HomeLoan_Non_BT", $B:$B, B171)+SUMIFS($K:$K, $D:$D, "Mortgage_Power_Term", $B:$B, B171), Secured_Commission!$A:$F, 4, 1)*(K171/10^6),
D171="Mortgage_Power_Term", VLOOKUP(SUMIFS($K:$K, $D:$D, "HomeLoan_BT_more_than_2_Percent", $B:$B, B171)+SUMIFS($K:$K, $D:$D, "HomeLoan_BT_less_than_2_Percent", $B:$B, B171)+SUMIFS($K:$K, $D:$D, "HomeLoan_Non_BT", $B:$B, B171)+SUMIFS($K:$K, $D:$D, "Mortgage_Power_Term", $B:$B, B171), Secured_Commission!$A:$F, 5, 1)*(K171/10^6),
D171="Personal_Cash", VLOOKUP(SUMIFS($K:$K, $D:$D, "Personal_Cash", $B:$B, B171), Unsecured_Commission!$A:$B, 2, 1)*K171,
OR(D171="MRTA_3_Percent", D171="SOMPO"), K171*0.03,
D171="MRTA_6_Percent", K171*0.06), 0)</f>
        <v>0</v>
      </c>
    </row>
    <row r="172" spans="1:12">
      <c r="A172" s="19">
        <v>167</v>
      </c>
      <c r="B172" s="46"/>
      <c r="C172" s="46"/>
      <c r="D172" s="46"/>
      <c r="E172" s="46"/>
      <c r="G172" s="58" t="str" cm="1">
        <f t="array" ref="G172">_xlfn.IFS(
AND($C172="Secured", OR($D172="HomeLoan_BT_more_than_2_Percent", $D172="HomeLoan_BT_less_than_2_Percent"), $E172=""), "",
AND($C172="Secured",$E172=""),"others",
AND($C172="Secured",$E172=3),"others",
AND($C172="Secured",$E172=5),"BT_with_5_year_lock_in_period",
TRUE, "")</f>
        <v/>
      </c>
      <c r="H172" s="46"/>
      <c r="I172" s="59" t="str" cm="1">
        <f t="array" ref="I172">_xlfn.IFS(
AND($C172="Secured", OR($D172="HomeLoan_BT_more_than_2_Percent", $D172="HomeLoan_BT_less_than_2_Percent"), OR($E172="", $E172=0)), "Please input Year !!!",
AND($C172="Secured", OR($F172="", $F172=0)), "Please input Amount !!!",
AND($C172="Secured", $F172&lt;5000000), 1,
AND($C172="Secured", $F172&gt;=5000000), 1.1,
TRUE, "")</f>
        <v/>
      </c>
      <c r="J172" s="59" t="str" cm="1">
        <f t="array" ref="J172">IFERROR(_xlfn.IFS(
$G172="BT_with_5_year_lock_in_period", _xlfn.XLOOKUP($H172, Deviate_Table[Pricing discount], Deviate_Table[BT_with_5_year_lock_in_period]),
$G172="others", _xlfn.XLOOKUP($H172, Deviate_Table[Pricing discount], Deviate_Table[others]),
TRUE, ""), "Please input Deviate Range !!!")</f>
        <v/>
      </c>
      <c r="K172" s="49">
        <f t="shared" si="2"/>
        <v>0</v>
      </c>
      <c r="L172" s="65" cm="1">
        <f t="array" aca="1" ref="L172" ca="1">IFERROR(
_xlfn.IFS(
D172="HomeLoan_BT_less_than_2_Percent", VLOOKUP(SUMIFS($K:$K, $D:$D, "HomeLoan_BT_more_than_2_Percent", $B:$B, B172)+SUMIFS($K:$K, $D:$D, "HomeLoan_BT_less_than_2_Percent", $B:$B, B172)+SUMIFS($K:$K, $D:$D, "HomeLoan_Non_BT", $B:$B, B172)+SUMIFS($K:$K, $D:$D, "Mortgage_Power_Term", $B:$B, B172), Secured_Commission!$A:$F, 2, 1)*(K172/10^6),
D172="HomeLoan_BT_more_than_2_Percent", VLOOKUP(SUMIFS($K:$K, $D:$D, "HomeLoan_BT_more_than_2_Percent", $B:$B, B172)+SUMIFS($K:$K, $D:$D, "HomeLoan_BT_less_than_2_Percent", $B:$B, B172)+SUMIFS($K:$K, $D:$D, "HomeLoan_Non_BT", $B:$B, B172)+SUMIFS($K:$K, $D:$D, "Mortgage_Power_Term", $B:$B, B172), Secured_Commission!$A:$F, 3, 1)*(K172/10^6),
D172="HomeLoan_Non_BT", VLOOKUP(SUMIFS($K:$K, $D:$D, "HomeLoan_BT_more_than_2_Percent", $B:$B, B172)+SUMIFS($K:$K, $D:$D, "HomeLoan_BT_less_than_2_Percent", $B:$B, B172)+SUMIFS($K:$K, $D:$D, "HomeLoan_Non_BT", $B:$B, B172)+SUMIFS($K:$K, $D:$D, "Mortgage_Power_Term", $B:$B, B172), Secured_Commission!$A:$F, 4, 1)*(K172/10^6),
D172="Mortgage_Power_Term", VLOOKUP(SUMIFS($K:$K, $D:$D, "HomeLoan_BT_more_than_2_Percent", $B:$B, B172)+SUMIFS($K:$K, $D:$D, "HomeLoan_BT_less_than_2_Percent", $B:$B, B172)+SUMIFS($K:$K, $D:$D, "HomeLoan_Non_BT", $B:$B, B172)+SUMIFS($K:$K, $D:$D, "Mortgage_Power_Term", $B:$B, B172), Secured_Commission!$A:$F, 5, 1)*(K172/10^6),
D172="Personal_Cash", VLOOKUP(SUMIFS($K:$K, $D:$D, "Personal_Cash", $B:$B, B172), Unsecured_Commission!$A:$B, 2, 1)*K172,
OR(D172="MRTA_3_Percent", D172="SOMPO"), K172*0.03,
D172="MRTA_6_Percent", K172*0.06), 0)</f>
        <v>0</v>
      </c>
    </row>
    <row r="173" spans="1:12">
      <c r="A173" s="19">
        <v>168</v>
      </c>
      <c r="B173" s="46"/>
      <c r="C173" s="46"/>
      <c r="D173" s="46"/>
      <c r="E173" s="46"/>
      <c r="G173" s="58" t="str" cm="1">
        <f t="array" ref="G173">_xlfn.IFS(
AND($C173="Secured", OR($D173="HomeLoan_BT_more_than_2_Percent", $D173="HomeLoan_BT_less_than_2_Percent"), $E173=""), "",
AND($C173="Secured",$E173=""),"others",
AND($C173="Secured",$E173=3),"others",
AND($C173="Secured",$E173=5),"BT_with_5_year_lock_in_period",
TRUE, "")</f>
        <v/>
      </c>
      <c r="H173" s="46"/>
      <c r="I173" s="59" t="str" cm="1">
        <f t="array" ref="I173">_xlfn.IFS(
AND($C173="Secured", OR($D173="HomeLoan_BT_more_than_2_Percent", $D173="HomeLoan_BT_less_than_2_Percent"), OR($E173="", $E173=0)), "Please input Year !!!",
AND($C173="Secured", OR($F173="", $F173=0)), "Please input Amount !!!",
AND($C173="Secured", $F173&lt;5000000), 1,
AND($C173="Secured", $F173&gt;=5000000), 1.1,
TRUE, "")</f>
        <v/>
      </c>
      <c r="J173" s="59" t="str" cm="1">
        <f t="array" ref="J173">IFERROR(_xlfn.IFS(
$G173="BT_with_5_year_lock_in_period", _xlfn.XLOOKUP($H173, Deviate_Table[Pricing discount], Deviate_Table[BT_with_5_year_lock_in_period]),
$G173="others", _xlfn.XLOOKUP($H173, Deviate_Table[Pricing discount], Deviate_Table[others]),
TRUE, ""), "Please input Deviate Range !!!")</f>
        <v/>
      </c>
      <c r="K173" s="49">
        <f t="shared" si="2"/>
        <v>0</v>
      </c>
      <c r="L173" s="65" cm="1">
        <f t="array" aca="1" ref="L173" ca="1">IFERROR(
_xlfn.IFS(
D173="HomeLoan_BT_less_than_2_Percent", VLOOKUP(SUMIFS($K:$K, $D:$D, "HomeLoan_BT_more_than_2_Percent", $B:$B, B173)+SUMIFS($K:$K, $D:$D, "HomeLoan_BT_less_than_2_Percent", $B:$B, B173)+SUMIFS($K:$K, $D:$D, "HomeLoan_Non_BT", $B:$B, B173)+SUMIFS($K:$K, $D:$D, "Mortgage_Power_Term", $B:$B, B173), Secured_Commission!$A:$F, 2, 1)*(K173/10^6),
D173="HomeLoan_BT_more_than_2_Percent", VLOOKUP(SUMIFS($K:$K, $D:$D, "HomeLoan_BT_more_than_2_Percent", $B:$B, B173)+SUMIFS($K:$K, $D:$D, "HomeLoan_BT_less_than_2_Percent", $B:$B, B173)+SUMIFS($K:$K, $D:$D, "HomeLoan_Non_BT", $B:$B, B173)+SUMIFS($K:$K, $D:$D, "Mortgage_Power_Term", $B:$B, B173), Secured_Commission!$A:$F, 3, 1)*(K173/10^6),
D173="HomeLoan_Non_BT", VLOOKUP(SUMIFS($K:$K, $D:$D, "HomeLoan_BT_more_than_2_Percent", $B:$B, B173)+SUMIFS($K:$K, $D:$D, "HomeLoan_BT_less_than_2_Percent", $B:$B, B173)+SUMIFS($K:$K, $D:$D, "HomeLoan_Non_BT", $B:$B, B173)+SUMIFS($K:$K, $D:$D, "Mortgage_Power_Term", $B:$B, B173), Secured_Commission!$A:$F, 4, 1)*(K173/10^6),
D173="Mortgage_Power_Term", VLOOKUP(SUMIFS($K:$K, $D:$D, "HomeLoan_BT_more_than_2_Percent", $B:$B, B173)+SUMIFS($K:$K, $D:$D, "HomeLoan_BT_less_than_2_Percent", $B:$B, B173)+SUMIFS($K:$K, $D:$D, "HomeLoan_Non_BT", $B:$B, B173)+SUMIFS($K:$K, $D:$D, "Mortgage_Power_Term", $B:$B, B173), Secured_Commission!$A:$F, 5, 1)*(K173/10^6),
D173="Personal_Cash", VLOOKUP(SUMIFS($K:$K, $D:$D, "Personal_Cash", $B:$B, B173), Unsecured_Commission!$A:$B, 2, 1)*K173,
OR(D173="MRTA_3_Percent", D173="SOMPO"), K173*0.03,
D173="MRTA_6_Percent", K173*0.06), 0)</f>
        <v>0</v>
      </c>
    </row>
    <row r="174" spans="1:12">
      <c r="A174" s="19">
        <v>169</v>
      </c>
      <c r="B174" s="46"/>
      <c r="C174" s="46"/>
      <c r="D174" s="46"/>
      <c r="E174" s="46"/>
      <c r="G174" s="58" t="str" cm="1">
        <f t="array" ref="G174">_xlfn.IFS(
AND($C174="Secured", OR($D174="HomeLoan_BT_more_than_2_Percent", $D174="HomeLoan_BT_less_than_2_Percent"), $E174=""), "",
AND($C174="Secured",$E174=""),"others",
AND($C174="Secured",$E174=3),"others",
AND($C174="Secured",$E174=5),"BT_with_5_year_lock_in_period",
TRUE, "")</f>
        <v/>
      </c>
      <c r="H174" s="46"/>
      <c r="I174" s="59" t="str" cm="1">
        <f t="array" ref="I174">_xlfn.IFS(
AND($C174="Secured", OR($D174="HomeLoan_BT_more_than_2_Percent", $D174="HomeLoan_BT_less_than_2_Percent"), OR($E174="", $E174=0)), "Please input Year !!!",
AND($C174="Secured", OR($F174="", $F174=0)), "Please input Amount !!!",
AND($C174="Secured", $F174&lt;5000000), 1,
AND($C174="Secured", $F174&gt;=5000000), 1.1,
TRUE, "")</f>
        <v/>
      </c>
      <c r="J174" s="59" t="str" cm="1">
        <f t="array" ref="J174">IFERROR(_xlfn.IFS(
$G174="BT_with_5_year_lock_in_period", _xlfn.XLOOKUP($H174, Deviate_Table[Pricing discount], Deviate_Table[BT_with_5_year_lock_in_period]),
$G174="others", _xlfn.XLOOKUP($H174, Deviate_Table[Pricing discount], Deviate_Table[others]),
TRUE, ""), "Please input Deviate Range !!!")</f>
        <v/>
      </c>
      <c r="K174" s="49">
        <f t="shared" si="2"/>
        <v>0</v>
      </c>
      <c r="L174" s="65" cm="1">
        <f t="array" aca="1" ref="L174" ca="1">IFERROR(
_xlfn.IFS(
D174="HomeLoan_BT_less_than_2_Percent", VLOOKUP(SUMIFS($K:$K, $D:$D, "HomeLoan_BT_more_than_2_Percent", $B:$B, B174)+SUMIFS($K:$K, $D:$D, "HomeLoan_BT_less_than_2_Percent", $B:$B, B174)+SUMIFS($K:$K, $D:$D, "HomeLoan_Non_BT", $B:$B, B174)+SUMIFS($K:$K, $D:$D, "Mortgage_Power_Term", $B:$B, B174), Secured_Commission!$A:$F, 2, 1)*(K174/10^6),
D174="HomeLoan_BT_more_than_2_Percent", VLOOKUP(SUMIFS($K:$K, $D:$D, "HomeLoan_BT_more_than_2_Percent", $B:$B, B174)+SUMIFS($K:$K, $D:$D, "HomeLoan_BT_less_than_2_Percent", $B:$B, B174)+SUMIFS($K:$K, $D:$D, "HomeLoan_Non_BT", $B:$B, B174)+SUMIFS($K:$K, $D:$D, "Mortgage_Power_Term", $B:$B, B174), Secured_Commission!$A:$F, 3, 1)*(K174/10^6),
D174="HomeLoan_Non_BT", VLOOKUP(SUMIFS($K:$K, $D:$D, "HomeLoan_BT_more_than_2_Percent", $B:$B, B174)+SUMIFS($K:$K, $D:$D, "HomeLoan_BT_less_than_2_Percent", $B:$B, B174)+SUMIFS($K:$K, $D:$D, "HomeLoan_Non_BT", $B:$B, B174)+SUMIFS($K:$K, $D:$D, "Mortgage_Power_Term", $B:$B, B174), Secured_Commission!$A:$F, 4, 1)*(K174/10^6),
D174="Mortgage_Power_Term", VLOOKUP(SUMIFS($K:$K, $D:$D, "HomeLoan_BT_more_than_2_Percent", $B:$B, B174)+SUMIFS($K:$K, $D:$D, "HomeLoan_BT_less_than_2_Percent", $B:$B, B174)+SUMIFS($K:$K, $D:$D, "HomeLoan_Non_BT", $B:$B, B174)+SUMIFS($K:$K, $D:$D, "Mortgage_Power_Term", $B:$B, B174), Secured_Commission!$A:$F, 5, 1)*(K174/10^6),
D174="Personal_Cash", VLOOKUP(SUMIFS($K:$K, $D:$D, "Personal_Cash", $B:$B, B174), Unsecured_Commission!$A:$B, 2, 1)*K174,
OR(D174="MRTA_3_Percent", D174="SOMPO"), K174*0.03,
D174="MRTA_6_Percent", K174*0.06), 0)</f>
        <v>0</v>
      </c>
    </row>
    <row r="175" spans="1:12">
      <c r="A175" s="19">
        <v>170</v>
      </c>
      <c r="B175" s="46"/>
      <c r="C175" s="46"/>
      <c r="D175" s="46"/>
      <c r="E175" s="46"/>
      <c r="G175" s="58" t="str" cm="1">
        <f t="array" ref="G175">_xlfn.IFS(
AND($C175="Secured", OR($D175="HomeLoan_BT_more_than_2_Percent", $D175="HomeLoan_BT_less_than_2_Percent"), $E175=""), "",
AND($C175="Secured",$E175=""),"others",
AND($C175="Secured",$E175=3),"others",
AND($C175="Secured",$E175=5),"BT_with_5_year_lock_in_period",
TRUE, "")</f>
        <v/>
      </c>
      <c r="H175" s="46"/>
      <c r="I175" s="59" t="str" cm="1">
        <f t="array" ref="I175">_xlfn.IFS(
AND($C175="Secured", OR($D175="HomeLoan_BT_more_than_2_Percent", $D175="HomeLoan_BT_less_than_2_Percent"), OR($E175="", $E175=0)), "Please input Year !!!",
AND($C175="Secured", OR($F175="", $F175=0)), "Please input Amount !!!",
AND($C175="Secured", $F175&lt;5000000), 1,
AND($C175="Secured", $F175&gt;=5000000), 1.1,
TRUE, "")</f>
        <v/>
      </c>
      <c r="J175" s="59" t="str" cm="1">
        <f t="array" ref="J175">IFERROR(_xlfn.IFS(
$G175="BT_with_5_year_lock_in_period", _xlfn.XLOOKUP($H175, Deviate_Table[Pricing discount], Deviate_Table[BT_with_5_year_lock_in_period]),
$G175="others", _xlfn.XLOOKUP($H175, Deviate_Table[Pricing discount], Deviate_Table[others]),
TRUE, ""), "Please input Deviate Range !!!")</f>
        <v/>
      </c>
      <c r="K175" s="49">
        <f t="shared" si="2"/>
        <v>0</v>
      </c>
      <c r="L175" s="65" cm="1">
        <f t="array" aca="1" ref="L175" ca="1">IFERROR(
_xlfn.IFS(
D175="HomeLoan_BT_less_than_2_Percent", VLOOKUP(SUMIFS($K:$K, $D:$D, "HomeLoan_BT_more_than_2_Percent", $B:$B, B175)+SUMIFS($K:$K, $D:$D, "HomeLoan_BT_less_than_2_Percent", $B:$B, B175)+SUMIFS($K:$K, $D:$D, "HomeLoan_Non_BT", $B:$B, B175)+SUMIFS($K:$K, $D:$D, "Mortgage_Power_Term", $B:$B, B175), Secured_Commission!$A:$F, 2, 1)*(K175/10^6),
D175="HomeLoan_BT_more_than_2_Percent", VLOOKUP(SUMIFS($K:$K, $D:$D, "HomeLoan_BT_more_than_2_Percent", $B:$B, B175)+SUMIFS($K:$K, $D:$D, "HomeLoan_BT_less_than_2_Percent", $B:$B, B175)+SUMIFS($K:$K, $D:$D, "HomeLoan_Non_BT", $B:$B, B175)+SUMIFS($K:$K, $D:$D, "Mortgage_Power_Term", $B:$B, B175), Secured_Commission!$A:$F, 3, 1)*(K175/10^6),
D175="HomeLoan_Non_BT", VLOOKUP(SUMIFS($K:$K, $D:$D, "HomeLoan_BT_more_than_2_Percent", $B:$B, B175)+SUMIFS($K:$K, $D:$D, "HomeLoan_BT_less_than_2_Percent", $B:$B, B175)+SUMIFS($K:$K, $D:$D, "HomeLoan_Non_BT", $B:$B, B175)+SUMIFS($K:$K, $D:$D, "Mortgage_Power_Term", $B:$B, B175), Secured_Commission!$A:$F, 4, 1)*(K175/10^6),
D175="Mortgage_Power_Term", VLOOKUP(SUMIFS($K:$K, $D:$D, "HomeLoan_BT_more_than_2_Percent", $B:$B, B175)+SUMIFS($K:$K, $D:$D, "HomeLoan_BT_less_than_2_Percent", $B:$B, B175)+SUMIFS($K:$K, $D:$D, "HomeLoan_Non_BT", $B:$B, B175)+SUMIFS($K:$K, $D:$D, "Mortgage_Power_Term", $B:$B, B175), Secured_Commission!$A:$F, 5, 1)*(K175/10^6),
D175="Personal_Cash", VLOOKUP(SUMIFS($K:$K, $D:$D, "Personal_Cash", $B:$B, B175), Unsecured_Commission!$A:$B, 2, 1)*K175,
OR(D175="MRTA_3_Percent", D175="SOMPO"), K175*0.03,
D175="MRTA_6_Percent", K175*0.06), 0)</f>
        <v>0</v>
      </c>
    </row>
    <row r="176" spans="1:12">
      <c r="A176" s="19">
        <v>171</v>
      </c>
      <c r="B176" s="46"/>
      <c r="C176" s="46"/>
      <c r="D176" s="46"/>
      <c r="E176" s="46"/>
      <c r="G176" s="58" t="str" cm="1">
        <f t="array" ref="G176">_xlfn.IFS(
AND($C176="Secured", OR($D176="HomeLoan_BT_more_than_2_Percent", $D176="HomeLoan_BT_less_than_2_Percent"), $E176=""), "",
AND($C176="Secured",$E176=""),"others",
AND($C176="Secured",$E176=3),"others",
AND($C176="Secured",$E176=5),"BT_with_5_year_lock_in_period",
TRUE, "")</f>
        <v/>
      </c>
      <c r="H176" s="46"/>
      <c r="I176" s="59" t="str" cm="1">
        <f t="array" ref="I176">_xlfn.IFS(
AND($C176="Secured", OR($D176="HomeLoan_BT_more_than_2_Percent", $D176="HomeLoan_BT_less_than_2_Percent"), OR($E176="", $E176=0)), "Please input Year !!!",
AND($C176="Secured", OR($F176="", $F176=0)), "Please input Amount !!!",
AND($C176="Secured", $F176&lt;5000000), 1,
AND($C176="Secured", $F176&gt;=5000000), 1.1,
TRUE, "")</f>
        <v/>
      </c>
      <c r="J176" s="59" t="str" cm="1">
        <f t="array" ref="J176">IFERROR(_xlfn.IFS(
$G176="BT_with_5_year_lock_in_period", _xlfn.XLOOKUP($H176, Deviate_Table[Pricing discount], Deviate_Table[BT_with_5_year_lock_in_period]),
$G176="others", _xlfn.XLOOKUP($H176, Deviate_Table[Pricing discount], Deviate_Table[others]),
TRUE, ""), "Please input Deviate Range !!!")</f>
        <v/>
      </c>
      <c r="K176" s="49">
        <f t="shared" si="2"/>
        <v>0</v>
      </c>
      <c r="L176" s="65" cm="1">
        <f t="array" aca="1" ref="L176" ca="1">IFERROR(
_xlfn.IFS(
D176="HomeLoan_BT_less_than_2_Percent", VLOOKUP(SUMIFS($K:$K, $D:$D, "HomeLoan_BT_more_than_2_Percent", $B:$B, B176)+SUMIFS($K:$K, $D:$D, "HomeLoan_BT_less_than_2_Percent", $B:$B, B176)+SUMIFS($K:$K, $D:$D, "HomeLoan_Non_BT", $B:$B, B176)+SUMIFS($K:$K, $D:$D, "Mortgage_Power_Term", $B:$B, B176), Secured_Commission!$A:$F, 2, 1)*(K176/10^6),
D176="HomeLoan_BT_more_than_2_Percent", VLOOKUP(SUMIFS($K:$K, $D:$D, "HomeLoan_BT_more_than_2_Percent", $B:$B, B176)+SUMIFS($K:$K, $D:$D, "HomeLoan_BT_less_than_2_Percent", $B:$B, B176)+SUMIFS($K:$K, $D:$D, "HomeLoan_Non_BT", $B:$B, B176)+SUMIFS($K:$K, $D:$D, "Mortgage_Power_Term", $B:$B, B176), Secured_Commission!$A:$F, 3, 1)*(K176/10^6),
D176="HomeLoan_Non_BT", VLOOKUP(SUMIFS($K:$K, $D:$D, "HomeLoan_BT_more_than_2_Percent", $B:$B, B176)+SUMIFS($K:$K, $D:$D, "HomeLoan_BT_less_than_2_Percent", $B:$B, B176)+SUMIFS($K:$K, $D:$D, "HomeLoan_Non_BT", $B:$B, B176)+SUMIFS($K:$K, $D:$D, "Mortgage_Power_Term", $B:$B, B176), Secured_Commission!$A:$F, 4, 1)*(K176/10^6),
D176="Mortgage_Power_Term", VLOOKUP(SUMIFS($K:$K, $D:$D, "HomeLoan_BT_more_than_2_Percent", $B:$B, B176)+SUMIFS($K:$K, $D:$D, "HomeLoan_BT_less_than_2_Percent", $B:$B, B176)+SUMIFS($K:$K, $D:$D, "HomeLoan_Non_BT", $B:$B, B176)+SUMIFS($K:$K, $D:$D, "Mortgage_Power_Term", $B:$B, B176), Secured_Commission!$A:$F, 5, 1)*(K176/10^6),
D176="Personal_Cash", VLOOKUP(SUMIFS($K:$K, $D:$D, "Personal_Cash", $B:$B, B176), Unsecured_Commission!$A:$B, 2, 1)*K176,
OR(D176="MRTA_3_Percent", D176="SOMPO"), K176*0.03,
D176="MRTA_6_Percent", K176*0.06), 0)</f>
        <v>0</v>
      </c>
    </row>
    <row r="177" spans="1:12">
      <c r="A177" s="19">
        <v>172</v>
      </c>
      <c r="B177" s="46"/>
      <c r="C177" s="46"/>
      <c r="D177" s="46"/>
      <c r="E177" s="46"/>
      <c r="G177" s="58" t="str" cm="1">
        <f t="array" ref="G177">_xlfn.IFS(
AND($C177="Secured", OR($D177="HomeLoan_BT_more_than_2_Percent", $D177="HomeLoan_BT_less_than_2_Percent"), $E177=""), "",
AND($C177="Secured",$E177=""),"others",
AND($C177="Secured",$E177=3),"others",
AND($C177="Secured",$E177=5),"BT_with_5_year_lock_in_period",
TRUE, "")</f>
        <v/>
      </c>
      <c r="H177" s="46"/>
      <c r="I177" s="59" t="str" cm="1">
        <f t="array" ref="I177">_xlfn.IFS(
AND($C177="Secured", OR($D177="HomeLoan_BT_more_than_2_Percent", $D177="HomeLoan_BT_less_than_2_Percent"), OR($E177="", $E177=0)), "Please input Year !!!",
AND($C177="Secured", OR($F177="", $F177=0)), "Please input Amount !!!",
AND($C177="Secured", $F177&lt;5000000), 1,
AND($C177="Secured", $F177&gt;=5000000), 1.1,
TRUE, "")</f>
        <v/>
      </c>
      <c r="J177" s="59" t="str" cm="1">
        <f t="array" ref="J177">IFERROR(_xlfn.IFS(
$G177="BT_with_5_year_lock_in_period", _xlfn.XLOOKUP($H177, Deviate_Table[Pricing discount], Deviate_Table[BT_with_5_year_lock_in_period]),
$G177="others", _xlfn.XLOOKUP($H177, Deviate_Table[Pricing discount], Deviate_Table[others]),
TRUE, ""), "Please input Deviate Range !!!")</f>
        <v/>
      </c>
      <c r="K177" s="49">
        <f t="shared" si="2"/>
        <v>0</v>
      </c>
      <c r="L177" s="65" cm="1">
        <f t="array" aca="1" ref="L177" ca="1">IFERROR(
_xlfn.IFS(
D177="HomeLoan_BT_less_than_2_Percent", VLOOKUP(SUMIFS($K:$K, $D:$D, "HomeLoan_BT_more_than_2_Percent", $B:$B, B177)+SUMIFS($K:$K, $D:$D, "HomeLoan_BT_less_than_2_Percent", $B:$B, B177)+SUMIFS($K:$K, $D:$D, "HomeLoan_Non_BT", $B:$B, B177)+SUMIFS($K:$K, $D:$D, "Mortgage_Power_Term", $B:$B, B177), Secured_Commission!$A:$F, 2, 1)*(K177/10^6),
D177="HomeLoan_BT_more_than_2_Percent", VLOOKUP(SUMIFS($K:$K, $D:$D, "HomeLoan_BT_more_than_2_Percent", $B:$B, B177)+SUMIFS($K:$K, $D:$D, "HomeLoan_BT_less_than_2_Percent", $B:$B, B177)+SUMIFS($K:$K, $D:$D, "HomeLoan_Non_BT", $B:$B, B177)+SUMIFS($K:$K, $D:$D, "Mortgage_Power_Term", $B:$B, B177), Secured_Commission!$A:$F, 3, 1)*(K177/10^6),
D177="HomeLoan_Non_BT", VLOOKUP(SUMIFS($K:$K, $D:$D, "HomeLoan_BT_more_than_2_Percent", $B:$B, B177)+SUMIFS($K:$K, $D:$D, "HomeLoan_BT_less_than_2_Percent", $B:$B, B177)+SUMIFS($K:$K, $D:$D, "HomeLoan_Non_BT", $B:$B, B177)+SUMIFS($K:$K, $D:$D, "Mortgage_Power_Term", $B:$B, B177), Secured_Commission!$A:$F, 4, 1)*(K177/10^6),
D177="Mortgage_Power_Term", VLOOKUP(SUMIFS($K:$K, $D:$D, "HomeLoan_BT_more_than_2_Percent", $B:$B, B177)+SUMIFS($K:$K, $D:$D, "HomeLoan_BT_less_than_2_Percent", $B:$B, B177)+SUMIFS($K:$K, $D:$D, "HomeLoan_Non_BT", $B:$B, B177)+SUMIFS($K:$K, $D:$D, "Mortgage_Power_Term", $B:$B, B177), Secured_Commission!$A:$F, 5, 1)*(K177/10^6),
D177="Personal_Cash", VLOOKUP(SUMIFS($K:$K, $D:$D, "Personal_Cash", $B:$B, B177), Unsecured_Commission!$A:$B, 2, 1)*K177,
OR(D177="MRTA_3_Percent", D177="SOMPO"), K177*0.03,
D177="MRTA_6_Percent", K177*0.06), 0)</f>
        <v>0</v>
      </c>
    </row>
    <row r="178" spans="1:12">
      <c r="A178" s="19">
        <v>173</v>
      </c>
      <c r="B178" s="46"/>
      <c r="C178" s="46"/>
      <c r="D178" s="46"/>
      <c r="E178" s="46"/>
      <c r="G178" s="58" t="str" cm="1">
        <f t="array" ref="G178">_xlfn.IFS(
AND($C178="Secured", OR($D178="HomeLoan_BT_more_than_2_Percent", $D178="HomeLoan_BT_less_than_2_Percent"), $E178=""), "",
AND($C178="Secured",$E178=""),"others",
AND($C178="Secured",$E178=3),"others",
AND($C178="Secured",$E178=5),"BT_with_5_year_lock_in_period",
TRUE, "")</f>
        <v/>
      </c>
      <c r="H178" s="46"/>
      <c r="I178" s="59" t="str" cm="1">
        <f t="array" ref="I178">_xlfn.IFS(
AND($C178="Secured", OR($D178="HomeLoan_BT_more_than_2_Percent", $D178="HomeLoan_BT_less_than_2_Percent"), OR($E178="", $E178=0)), "Please input Year !!!",
AND($C178="Secured", OR($F178="", $F178=0)), "Please input Amount !!!",
AND($C178="Secured", $F178&lt;5000000), 1,
AND($C178="Secured", $F178&gt;=5000000), 1.1,
TRUE, "")</f>
        <v/>
      </c>
      <c r="J178" s="59" t="str" cm="1">
        <f t="array" ref="J178">IFERROR(_xlfn.IFS(
$G178="BT_with_5_year_lock_in_period", _xlfn.XLOOKUP($H178, Deviate_Table[Pricing discount], Deviate_Table[BT_with_5_year_lock_in_period]),
$G178="others", _xlfn.XLOOKUP($H178, Deviate_Table[Pricing discount], Deviate_Table[others]),
TRUE, ""), "Please input Deviate Range !!!")</f>
        <v/>
      </c>
      <c r="K178" s="49">
        <f t="shared" si="2"/>
        <v>0</v>
      </c>
      <c r="L178" s="65" cm="1">
        <f t="array" aca="1" ref="L178" ca="1">IFERROR(
_xlfn.IFS(
D178="HomeLoan_BT_less_than_2_Percent", VLOOKUP(SUMIFS($K:$K, $D:$D, "HomeLoan_BT_more_than_2_Percent", $B:$B, B178)+SUMIFS($K:$K, $D:$D, "HomeLoan_BT_less_than_2_Percent", $B:$B, B178)+SUMIFS($K:$K, $D:$D, "HomeLoan_Non_BT", $B:$B, B178)+SUMIFS($K:$K, $D:$D, "Mortgage_Power_Term", $B:$B, B178), Secured_Commission!$A:$F, 2, 1)*(K178/10^6),
D178="HomeLoan_BT_more_than_2_Percent", VLOOKUP(SUMIFS($K:$K, $D:$D, "HomeLoan_BT_more_than_2_Percent", $B:$B, B178)+SUMIFS($K:$K, $D:$D, "HomeLoan_BT_less_than_2_Percent", $B:$B, B178)+SUMIFS($K:$K, $D:$D, "HomeLoan_Non_BT", $B:$B, B178)+SUMIFS($K:$K, $D:$D, "Mortgage_Power_Term", $B:$B, B178), Secured_Commission!$A:$F, 3, 1)*(K178/10^6),
D178="HomeLoan_Non_BT", VLOOKUP(SUMIFS($K:$K, $D:$D, "HomeLoan_BT_more_than_2_Percent", $B:$B, B178)+SUMIFS($K:$K, $D:$D, "HomeLoan_BT_less_than_2_Percent", $B:$B, B178)+SUMIFS($K:$K, $D:$D, "HomeLoan_Non_BT", $B:$B, B178)+SUMIFS($K:$K, $D:$D, "Mortgage_Power_Term", $B:$B, B178), Secured_Commission!$A:$F, 4, 1)*(K178/10^6),
D178="Mortgage_Power_Term", VLOOKUP(SUMIFS($K:$K, $D:$D, "HomeLoan_BT_more_than_2_Percent", $B:$B, B178)+SUMIFS($K:$K, $D:$D, "HomeLoan_BT_less_than_2_Percent", $B:$B, B178)+SUMIFS($K:$K, $D:$D, "HomeLoan_Non_BT", $B:$B, B178)+SUMIFS($K:$K, $D:$D, "Mortgage_Power_Term", $B:$B, B178), Secured_Commission!$A:$F, 5, 1)*(K178/10^6),
D178="Personal_Cash", VLOOKUP(SUMIFS($K:$K, $D:$D, "Personal_Cash", $B:$B, B178), Unsecured_Commission!$A:$B, 2, 1)*K178,
OR(D178="MRTA_3_Percent", D178="SOMPO"), K178*0.03,
D178="MRTA_6_Percent", K178*0.06), 0)</f>
        <v>0</v>
      </c>
    </row>
    <row r="179" spans="1:12">
      <c r="A179" s="19">
        <v>174</v>
      </c>
      <c r="B179" s="46"/>
      <c r="C179" s="46"/>
      <c r="D179" s="46"/>
      <c r="E179" s="46"/>
      <c r="G179" s="58" t="str" cm="1">
        <f t="array" ref="G179">_xlfn.IFS(
AND($C179="Secured", OR($D179="HomeLoan_BT_more_than_2_Percent", $D179="HomeLoan_BT_less_than_2_Percent"), $E179=""), "",
AND($C179="Secured",$E179=""),"others",
AND($C179="Secured",$E179=3),"others",
AND($C179="Secured",$E179=5),"BT_with_5_year_lock_in_period",
TRUE, "")</f>
        <v/>
      </c>
      <c r="H179" s="46"/>
      <c r="I179" s="59" t="str" cm="1">
        <f t="array" ref="I179">_xlfn.IFS(
AND($C179="Secured", OR($D179="HomeLoan_BT_more_than_2_Percent", $D179="HomeLoan_BT_less_than_2_Percent"), OR($E179="", $E179=0)), "Please input Year !!!",
AND($C179="Secured", OR($F179="", $F179=0)), "Please input Amount !!!",
AND($C179="Secured", $F179&lt;5000000), 1,
AND($C179="Secured", $F179&gt;=5000000), 1.1,
TRUE, "")</f>
        <v/>
      </c>
      <c r="J179" s="59" t="str" cm="1">
        <f t="array" ref="J179">IFERROR(_xlfn.IFS(
$G179="BT_with_5_year_lock_in_period", _xlfn.XLOOKUP($H179, Deviate_Table[Pricing discount], Deviate_Table[BT_with_5_year_lock_in_period]),
$G179="others", _xlfn.XLOOKUP($H179, Deviate_Table[Pricing discount], Deviate_Table[others]),
TRUE, ""), "Please input Deviate Range !!!")</f>
        <v/>
      </c>
      <c r="K179" s="49">
        <f t="shared" si="2"/>
        <v>0</v>
      </c>
      <c r="L179" s="65" cm="1">
        <f t="array" aca="1" ref="L179" ca="1">IFERROR(
_xlfn.IFS(
D179="HomeLoan_BT_less_than_2_Percent", VLOOKUP(SUMIFS($K:$K, $D:$D, "HomeLoan_BT_more_than_2_Percent", $B:$B, B179)+SUMIFS($K:$K, $D:$D, "HomeLoan_BT_less_than_2_Percent", $B:$B, B179)+SUMIFS($K:$K, $D:$D, "HomeLoan_Non_BT", $B:$B, B179)+SUMIFS($K:$K, $D:$D, "Mortgage_Power_Term", $B:$B, B179), Secured_Commission!$A:$F, 2, 1)*(K179/10^6),
D179="HomeLoan_BT_more_than_2_Percent", VLOOKUP(SUMIFS($K:$K, $D:$D, "HomeLoan_BT_more_than_2_Percent", $B:$B, B179)+SUMIFS($K:$K, $D:$D, "HomeLoan_BT_less_than_2_Percent", $B:$B, B179)+SUMIFS($K:$K, $D:$D, "HomeLoan_Non_BT", $B:$B, B179)+SUMIFS($K:$K, $D:$D, "Mortgage_Power_Term", $B:$B, B179), Secured_Commission!$A:$F, 3, 1)*(K179/10^6),
D179="HomeLoan_Non_BT", VLOOKUP(SUMIFS($K:$K, $D:$D, "HomeLoan_BT_more_than_2_Percent", $B:$B, B179)+SUMIFS($K:$K, $D:$D, "HomeLoan_BT_less_than_2_Percent", $B:$B, B179)+SUMIFS($K:$K, $D:$D, "HomeLoan_Non_BT", $B:$B, B179)+SUMIFS($K:$K, $D:$D, "Mortgage_Power_Term", $B:$B, B179), Secured_Commission!$A:$F, 4, 1)*(K179/10^6),
D179="Mortgage_Power_Term", VLOOKUP(SUMIFS($K:$K, $D:$D, "HomeLoan_BT_more_than_2_Percent", $B:$B, B179)+SUMIFS($K:$K, $D:$D, "HomeLoan_BT_less_than_2_Percent", $B:$B, B179)+SUMIFS($K:$K, $D:$D, "HomeLoan_Non_BT", $B:$B, B179)+SUMIFS($K:$K, $D:$D, "Mortgage_Power_Term", $B:$B, B179), Secured_Commission!$A:$F, 5, 1)*(K179/10^6),
D179="Personal_Cash", VLOOKUP(SUMIFS($K:$K, $D:$D, "Personal_Cash", $B:$B, B179), Unsecured_Commission!$A:$B, 2, 1)*K179,
OR(D179="MRTA_3_Percent", D179="SOMPO"), K179*0.03,
D179="MRTA_6_Percent", K179*0.06), 0)</f>
        <v>0</v>
      </c>
    </row>
    <row r="180" spans="1:12">
      <c r="A180" s="19">
        <v>175</v>
      </c>
      <c r="B180" s="46"/>
      <c r="C180" s="46"/>
      <c r="D180" s="46"/>
      <c r="E180" s="46"/>
      <c r="G180" s="58" t="str" cm="1">
        <f t="array" ref="G180">_xlfn.IFS(
AND($C180="Secured", OR($D180="HomeLoan_BT_more_than_2_Percent", $D180="HomeLoan_BT_less_than_2_Percent"), $E180=""), "",
AND($C180="Secured",$E180=""),"others",
AND($C180="Secured",$E180=3),"others",
AND($C180="Secured",$E180=5),"BT_with_5_year_lock_in_period",
TRUE, "")</f>
        <v/>
      </c>
      <c r="H180" s="46"/>
      <c r="I180" s="59" t="str" cm="1">
        <f t="array" ref="I180">_xlfn.IFS(
AND($C180="Secured", OR($D180="HomeLoan_BT_more_than_2_Percent", $D180="HomeLoan_BT_less_than_2_Percent"), OR($E180="", $E180=0)), "Please input Year !!!",
AND($C180="Secured", OR($F180="", $F180=0)), "Please input Amount !!!",
AND($C180="Secured", $F180&lt;5000000), 1,
AND($C180="Secured", $F180&gt;=5000000), 1.1,
TRUE, "")</f>
        <v/>
      </c>
      <c r="J180" s="59" t="str" cm="1">
        <f t="array" ref="J180">IFERROR(_xlfn.IFS(
$G180="BT_with_5_year_lock_in_period", _xlfn.XLOOKUP($H180, Deviate_Table[Pricing discount], Deviate_Table[BT_with_5_year_lock_in_period]),
$G180="others", _xlfn.XLOOKUP($H180, Deviate_Table[Pricing discount], Deviate_Table[others]),
TRUE, ""), "Please input Deviate Range !!!")</f>
        <v/>
      </c>
      <c r="K180" s="49">
        <f t="shared" si="2"/>
        <v>0</v>
      </c>
      <c r="L180" s="65" cm="1">
        <f t="array" aca="1" ref="L180" ca="1">IFERROR(
_xlfn.IFS(
D180="HomeLoan_BT_less_than_2_Percent", VLOOKUP(SUMIFS($K:$K, $D:$D, "HomeLoan_BT_more_than_2_Percent", $B:$B, B180)+SUMIFS($K:$K, $D:$D, "HomeLoan_BT_less_than_2_Percent", $B:$B, B180)+SUMIFS($K:$K, $D:$D, "HomeLoan_Non_BT", $B:$B, B180)+SUMIFS($K:$K, $D:$D, "Mortgage_Power_Term", $B:$B, B180), Secured_Commission!$A:$F, 2, 1)*(K180/10^6),
D180="HomeLoan_BT_more_than_2_Percent", VLOOKUP(SUMIFS($K:$K, $D:$D, "HomeLoan_BT_more_than_2_Percent", $B:$B, B180)+SUMIFS($K:$K, $D:$D, "HomeLoan_BT_less_than_2_Percent", $B:$B, B180)+SUMIFS($K:$K, $D:$D, "HomeLoan_Non_BT", $B:$B, B180)+SUMIFS($K:$K, $D:$D, "Mortgage_Power_Term", $B:$B, B180), Secured_Commission!$A:$F, 3, 1)*(K180/10^6),
D180="HomeLoan_Non_BT", VLOOKUP(SUMIFS($K:$K, $D:$D, "HomeLoan_BT_more_than_2_Percent", $B:$B, B180)+SUMIFS($K:$K, $D:$D, "HomeLoan_BT_less_than_2_Percent", $B:$B, B180)+SUMIFS($K:$K, $D:$D, "HomeLoan_Non_BT", $B:$B, B180)+SUMIFS($K:$K, $D:$D, "Mortgage_Power_Term", $B:$B, B180), Secured_Commission!$A:$F, 4, 1)*(K180/10^6),
D180="Mortgage_Power_Term", VLOOKUP(SUMIFS($K:$K, $D:$D, "HomeLoan_BT_more_than_2_Percent", $B:$B, B180)+SUMIFS($K:$K, $D:$D, "HomeLoan_BT_less_than_2_Percent", $B:$B, B180)+SUMIFS($K:$K, $D:$D, "HomeLoan_Non_BT", $B:$B, B180)+SUMIFS($K:$K, $D:$D, "Mortgage_Power_Term", $B:$B, B180), Secured_Commission!$A:$F, 5, 1)*(K180/10^6),
D180="Personal_Cash", VLOOKUP(SUMIFS($K:$K, $D:$D, "Personal_Cash", $B:$B, B180), Unsecured_Commission!$A:$B, 2, 1)*K180,
OR(D180="MRTA_3_Percent", D180="SOMPO"), K180*0.03,
D180="MRTA_6_Percent", K180*0.06), 0)</f>
        <v>0</v>
      </c>
    </row>
    <row r="181" spans="1:12">
      <c r="A181" s="19">
        <v>176</v>
      </c>
      <c r="B181" s="46"/>
      <c r="C181" s="46"/>
      <c r="D181" s="46"/>
      <c r="E181" s="46"/>
      <c r="G181" s="58" t="str" cm="1">
        <f t="array" ref="G181">_xlfn.IFS(
AND($C181="Secured", OR($D181="HomeLoan_BT_more_than_2_Percent", $D181="HomeLoan_BT_less_than_2_Percent"), $E181=""), "",
AND($C181="Secured",$E181=""),"others",
AND($C181="Secured",$E181=3),"others",
AND($C181="Secured",$E181=5),"BT_with_5_year_lock_in_period",
TRUE, "")</f>
        <v/>
      </c>
      <c r="H181" s="46"/>
      <c r="I181" s="59" t="str" cm="1">
        <f t="array" ref="I181">_xlfn.IFS(
AND($C181="Secured", OR($D181="HomeLoan_BT_more_than_2_Percent", $D181="HomeLoan_BT_less_than_2_Percent"), OR($E181="", $E181=0)), "Please input Year !!!",
AND($C181="Secured", OR($F181="", $F181=0)), "Please input Amount !!!",
AND($C181="Secured", $F181&lt;5000000), 1,
AND($C181="Secured", $F181&gt;=5000000), 1.1,
TRUE, "")</f>
        <v/>
      </c>
      <c r="J181" s="59" t="str" cm="1">
        <f t="array" ref="J181">IFERROR(_xlfn.IFS(
$G181="BT_with_5_year_lock_in_period", _xlfn.XLOOKUP($H181, Deviate_Table[Pricing discount], Deviate_Table[BT_with_5_year_lock_in_period]),
$G181="others", _xlfn.XLOOKUP($H181, Deviate_Table[Pricing discount], Deviate_Table[others]),
TRUE, ""), "Please input Deviate Range !!!")</f>
        <v/>
      </c>
      <c r="K181" s="49">
        <f t="shared" si="2"/>
        <v>0</v>
      </c>
      <c r="L181" s="65" cm="1">
        <f t="array" aca="1" ref="L181" ca="1">IFERROR(
_xlfn.IFS(
D181="HomeLoan_BT_less_than_2_Percent", VLOOKUP(SUMIFS($K:$K, $D:$D, "HomeLoan_BT_more_than_2_Percent", $B:$B, B181)+SUMIFS($K:$K, $D:$D, "HomeLoan_BT_less_than_2_Percent", $B:$B, B181)+SUMIFS($K:$K, $D:$D, "HomeLoan_Non_BT", $B:$B, B181)+SUMIFS($K:$K, $D:$D, "Mortgage_Power_Term", $B:$B, B181), Secured_Commission!$A:$F, 2, 1)*(K181/10^6),
D181="HomeLoan_BT_more_than_2_Percent", VLOOKUP(SUMIFS($K:$K, $D:$D, "HomeLoan_BT_more_than_2_Percent", $B:$B, B181)+SUMIFS($K:$K, $D:$D, "HomeLoan_BT_less_than_2_Percent", $B:$B, B181)+SUMIFS($K:$K, $D:$D, "HomeLoan_Non_BT", $B:$B, B181)+SUMIFS($K:$K, $D:$D, "Mortgage_Power_Term", $B:$B, B181), Secured_Commission!$A:$F, 3, 1)*(K181/10^6),
D181="HomeLoan_Non_BT", VLOOKUP(SUMIFS($K:$K, $D:$D, "HomeLoan_BT_more_than_2_Percent", $B:$B, B181)+SUMIFS($K:$K, $D:$D, "HomeLoan_BT_less_than_2_Percent", $B:$B, B181)+SUMIFS($K:$K, $D:$D, "HomeLoan_Non_BT", $B:$B, B181)+SUMIFS($K:$K, $D:$D, "Mortgage_Power_Term", $B:$B, B181), Secured_Commission!$A:$F, 4, 1)*(K181/10^6),
D181="Mortgage_Power_Term", VLOOKUP(SUMIFS($K:$K, $D:$D, "HomeLoan_BT_more_than_2_Percent", $B:$B, B181)+SUMIFS($K:$K, $D:$D, "HomeLoan_BT_less_than_2_Percent", $B:$B, B181)+SUMIFS($K:$K, $D:$D, "HomeLoan_Non_BT", $B:$B, B181)+SUMIFS($K:$K, $D:$D, "Mortgage_Power_Term", $B:$B, B181), Secured_Commission!$A:$F, 5, 1)*(K181/10^6),
D181="Personal_Cash", VLOOKUP(SUMIFS($K:$K, $D:$D, "Personal_Cash", $B:$B, B181), Unsecured_Commission!$A:$B, 2, 1)*K181,
OR(D181="MRTA_3_Percent", D181="SOMPO"), K181*0.03,
D181="MRTA_6_Percent", K181*0.06), 0)</f>
        <v>0</v>
      </c>
    </row>
    <row r="182" spans="1:12">
      <c r="A182" s="19">
        <v>177</v>
      </c>
      <c r="B182" s="46"/>
      <c r="C182" s="46"/>
      <c r="D182" s="46"/>
      <c r="E182" s="46"/>
      <c r="G182" s="58" t="str" cm="1">
        <f t="array" ref="G182">_xlfn.IFS(
AND($C182="Secured", OR($D182="HomeLoan_BT_more_than_2_Percent", $D182="HomeLoan_BT_less_than_2_Percent"), $E182=""), "",
AND($C182="Secured",$E182=""),"others",
AND($C182="Secured",$E182=3),"others",
AND($C182="Secured",$E182=5),"BT_with_5_year_lock_in_period",
TRUE, "")</f>
        <v/>
      </c>
      <c r="H182" s="46"/>
      <c r="I182" s="59" t="str" cm="1">
        <f t="array" ref="I182">_xlfn.IFS(
AND($C182="Secured", OR($D182="HomeLoan_BT_more_than_2_Percent", $D182="HomeLoan_BT_less_than_2_Percent"), OR($E182="", $E182=0)), "Please input Year !!!",
AND($C182="Secured", OR($F182="", $F182=0)), "Please input Amount !!!",
AND($C182="Secured", $F182&lt;5000000), 1,
AND($C182="Secured", $F182&gt;=5000000), 1.1,
TRUE, "")</f>
        <v/>
      </c>
      <c r="J182" s="59" t="str" cm="1">
        <f t="array" ref="J182">IFERROR(_xlfn.IFS(
$G182="BT_with_5_year_lock_in_period", _xlfn.XLOOKUP($H182, Deviate_Table[Pricing discount], Deviate_Table[BT_with_5_year_lock_in_period]),
$G182="others", _xlfn.XLOOKUP($H182, Deviate_Table[Pricing discount], Deviate_Table[others]),
TRUE, ""), "Please input Deviate Range !!!")</f>
        <v/>
      </c>
      <c r="K182" s="49">
        <f t="shared" si="2"/>
        <v>0</v>
      </c>
      <c r="L182" s="65" cm="1">
        <f t="array" aca="1" ref="L182" ca="1">IFERROR(
_xlfn.IFS(
D182="HomeLoan_BT_less_than_2_Percent", VLOOKUP(SUMIFS($K:$K, $D:$D, "HomeLoan_BT_more_than_2_Percent", $B:$B, B182)+SUMIFS($K:$K, $D:$D, "HomeLoan_BT_less_than_2_Percent", $B:$B, B182)+SUMIFS($K:$K, $D:$D, "HomeLoan_Non_BT", $B:$B, B182)+SUMIFS($K:$K, $D:$D, "Mortgage_Power_Term", $B:$B, B182), Secured_Commission!$A:$F, 2, 1)*(K182/10^6),
D182="HomeLoan_BT_more_than_2_Percent", VLOOKUP(SUMIFS($K:$K, $D:$D, "HomeLoan_BT_more_than_2_Percent", $B:$B, B182)+SUMIFS($K:$K, $D:$D, "HomeLoan_BT_less_than_2_Percent", $B:$B, B182)+SUMIFS($K:$K, $D:$D, "HomeLoan_Non_BT", $B:$B, B182)+SUMIFS($K:$K, $D:$D, "Mortgage_Power_Term", $B:$B, B182), Secured_Commission!$A:$F, 3, 1)*(K182/10^6),
D182="HomeLoan_Non_BT", VLOOKUP(SUMIFS($K:$K, $D:$D, "HomeLoan_BT_more_than_2_Percent", $B:$B, B182)+SUMIFS($K:$K, $D:$D, "HomeLoan_BT_less_than_2_Percent", $B:$B, B182)+SUMIFS($K:$K, $D:$D, "HomeLoan_Non_BT", $B:$B, B182)+SUMIFS($K:$K, $D:$D, "Mortgage_Power_Term", $B:$B, B182), Secured_Commission!$A:$F, 4, 1)*(K182/10^6),
D182="Mortgage_Power_Term", VLOOKUP(SUMIFS($K:$K, $D:$D, "HomeLoan_BT_more_than_2_Percent", $B:$B, B182)+SUMIFS($K:$K, $D:$D, "HomeLoan_BT_less_than_2_Percent", $B:$B, B182)+SUMIFS($K:$K, $D:$D, "HomeLoan_Non_BT", $B:$B, B182)+SUMIFS($K:$K, $D:$D, "Mortgage_Power_Term", $B:$B, B182), Secured_Commission!$A:$F, 5, 1)*(K182/10^6),
D182="Personal_Cash", VLOOKUP(SUMIFS($K:$K, $D:$D, "Personal_Cash", $B:$B, B182), Unsecured_Commission!$A:$B, 2, 1)*K182,
OR(D182="MRTA_3_Percent", D182="SOMPO"), K182*0.03,
D182="MRTA_6_Percent", K182*0.06), 0)</f>
        <v>0</v>
      </c>
    </row>
    <row r="183" spans="1:12">
      <c r="A183" s="19">
        <v>178</v>
      </c>
      <c r="B183" s="46"/>
      <c r="C183" s="46"/>
      <c r="D183" s="46"/>
      <c r="E183" s="46"/>
      <c r="G183" s="58" t="str" cm="1">
        <f t="array" ref="G183">_xlfn.IFS(
AND($C183="Secured", OR($D183="HomeLoan_BT_more_than_2_Percent", $D183="HomeLoan_BT_less_than_2_Percent"), $E183=""), "",
AND($C183="Secured",$E183=""),"others",
AND($C183="Secured",$E183=3),"others",
AND($C183="Secured",$E183=5),"BT_with_5_year_lock_in_period",
TRUE, "")</f>
        <v/>
      </c>
      <c r="H183" s="46"/>
      <c r="I183" s="59" t="str" cm="1">
        <f t="array" ref="I183">_xlfn.IFS(
AND($C183="Secured", OR($D183="HomeLoan_BT_more_than_2_Percent", $D183="HomeLoan_BT_less_than_2_Percent"), OR($E183="", $E183=0)), "Please input Year !!!",
AND($C183="Secured", OR($F183="", $F183=0)), "Please input Amount !!!",
AND($C183="Secured", $F183&lt;5000000), 1,
AND($C183="Secured", $F183&gt;=5000000), 1.1,
TRUE, "")</f>
        <v/>
      </c>
      <c r="J183" s="59" t="str" cm="1">
        <f t="array" ref="J183">IFERROR(_xlfn.IFS(
$G183="BT_with_5_year_lock_in_period", _xlfn.XLOOKUP($H183, Deviate_Table[Pricing discount], Deviate_Table[BT_with_5_year_lock_in_period]),
$G183="others", _xlfn.XLOOKUP($H183, Deviate_Table[Pricing discount], Deviate_Table[others]),
TRUE, ""), "Please input Deviate Range !!!")</f>
        <v/>
      </c>
      <c r="K183" s="49">
        <f t="shared" si="2"/>
        <v>0</v>
      </c>
      <c r="L183" s="65" cm="1">
        <f t="array" aca="1" ref="L183" ca="1">IFERROR(
_xlfn.IFS(
D183="HomeLoan_BT_less_than_2_Percent", VLOOKUP(SUMIFS($K:$K, $D:$D, "HomeLoan_BT_more_than_2_Percent", $B:$B, B183)+SUMIFS($K:$K, $D:$D, "HomeLoan_BT_less_than_2_Percent", $B:$B, B183)+SUMIFS($K:$K, $D:$D, "HomeLoan_Non_BT", $B:$B, B183)+SUMIFS($K:$K, $D:$D, "Mortgage_Power_Term", $B:$B, B183), Secured_Commission!$A:$F, 2, 1)*(K183/10^6),
D183="HomeLoan_BT_more_than_2_Percent", VLOOKUP(SUMIFS($K:$K, $D:$D, "HomeLoan_BT_more_than_2_Percent", $B:$B, B183)+SUMIFS($K:$K, $D:$D, "HomeLoan_BT_less_than_2_Percent", $B:$B, B183)+SUMIFS($K:$K, $D:$D, "HomeLoan_Non_BT", $B:$B, B183)+SUMIFS($K:$K, $D:$D, "Mortgage_Power_Term", $B:$B, B183), Secured_Commission!$A:$F, 3, 1)*(K183/10^6),
D183="HomeLoan_Non_BT", VLOOKUP(SUMIFS($K:$K, $D:$D, "HomeLoan_BT_more_than_2_Percent", $B:$B, B183)+SUMIFS($K:$K, $D:$D, "HomeLoan_BT_less_than_2_Percent", $B:$B, B183)+SUMIFS($K:$K, $D:$D, "HomeLoan_Non_BT", $B:$B, B183)+SUMIFS($K:$K, $D:$D, "Mortgage_Power_Term", $B:$B, B183), Secured_Commission!$A:$F, 4, 1)*(K183/10^6),
D183="Mortgage_Power_Term", VLOOKUP(SUMIFS($K:$K, $D:$D, "HomeLoan_BT_more_than_2_Percent", $B:$B, B183)+SUMIFS($K:$K, $D:$D, "HomeLoan_BT_less_than_2_Percent", $B:$B, B183)+SUMIFS($K:$K, $D:$D, "HomeLoan_Non_BT", $B:$B, B183)+SUMIFS($K:$K, $D:$D, "Mortgage_Power_Term", $B:$B, B183), Secured_Commission!$A:$F, 5, 1)*(K183/10^6),
D183="Personal_Cash", VLOOKUP(SUMIFS($K:$K, $D:$D, "Personal_Cash", $B:$B, B183), Unsecured_Commission!$A:$B, 2, 1)*K183,
OR(D183="MRTA_3_Percent", D183="SOMPO"), K183*0.03,
D183="MRTA_6_Percent", K183*0.06), 0)</f>
        <v>0</v>
      </c>
    </row>
    <row r="184" spans="1:12">
      <c r="A184" s="19">
        <v>179</v>
      </c>
      <c r="B184" s="46"/>
      <c r="C184" s="46"/>
      <c r="D184" s="46"/>
      <c r="E184" s="46"/>
      <c r="G184" s="58" t="str" cm="1">
        <f t="array" ref="G184">_xlfn.IFS(
AND($C184="Secured", OR($D184="HomeLoan_BT_more_than_2_Percent", $D184="HomeLoan_BT_less_than_2_Percent"), $E184=""), "",
AND($C184="Secured",$E184=""),"others",
AND($C184="Secured",$E184=3),"others",
AND($C184="Secured",$E184=5),"BT_with_5_year_lock_in_period",
TRUE, "")</f>
        <v/>
      </c>
      <c r="H184" s="46"/>
      <c r="I184" s="59" t="str" cm="1">
        <f t="array" ref="I184">_xlfn.IFS(
AND($C184="Secured", OR($D184="HomeLoan_BT_more_than_2_Percent", $D184="HomeLoan_BT_less_than_2_Percent"), OR($E184="", $E184=0)), "Please input Year !!!",
AND($C184="Secured", OR($F184="", $F184=0)), "Please input Amount !!!",
AND($C184="Secured", $F184&lt;5000000), 1,
AND($C184="Secured", $F184&gt;=5000000), 1.1,
TRUE, "")</f>
        <v/>
      </c>
      <c r="J184" s="59" t="str" cm="1">
        <f t="array" ref="J184">IFERROR(_xlfn.IFS(
$G184="BT_with_5_year_lock_in_period", _xlfn.XLOOKUP($H184, Deviate_Table[Pricing discount], Deviate_Table[BT_with_5_year_lock_in_period]),
$G184="others", _xlfn.XLOOKUP($H184, Deviate_Table[Pricing discount], Deviate_Table[others]),
TRUE, ""), "Please input Deviate Range !!!")</f>
        <v/>
      </c>
      <c r="K184" s="49">
        <f t="shared" si="2"/>
        <v>0</v>
      </c>
      <c r="L184" s="65" cm="1">
        <f t="array" aca="1" ref="L184" ca="1">IFERROR(
_xlfn.IFS(
D184="HomeLoan_BT_less_than_2_Percent", VLOOKUP(SUMIFS($K:$K, $D:$D, "HomeLoan_BT_more_than_2_Percent", $B:$B, B184)+SUMIFS($K:$K, $D:$D, "HomeLoan_BT_less_than_2_Percent", $B:$B, B184)+SUMIFS($K:$K, $D:$D, "HomeLoan_Non_BT", $B:$B, B184)+SUMIFS($K:$K, $D:$D, "Mortgage_Power_Term", $B:$B, B184), Secured_Commission!$A:$F, 2, 1)*(K184/10^6),
D184="HomeLoan_BT_more_than_2_Percent", VLOOKUP(SUMIFS($K:$K, $D:$D, "HomeLoan_BT_more_than_2_Percent", $B:$B, B184)+SUMIFS($K:$K, $D:$D, "HomeLoan_BT_less_than_2_Percent", $B:$B, B184)+SUMIFS($K:$K, $D:$D, "HomeLoan_Non_BT", $B:$B, B184)+SUMIFS($K:$K, $D:$D, "Mortgage_Power_Term", $B:$B, B184), Secured_Commission!$A:$F, 3, 1)*(K184/10^6),
D184="HomeLoan_Non_BT", VLOOKUP(SUMIFS($K:$K, $D:$D, "HomeLoan_BT_more_than_2_Percent", $B:$B, B184)+SUMIFS($K:$K, $D:$D, "HomeLoan_BT_less_than_2_Percent", $B:$B, B184)+SUMIFS($K:$K, $D:$D, "HomeLoan_Non_BT", $B:$B, B184)+SUMIFS($K:$K, $D:$D, "Mortgage_Power_Term", $B:$B, B184), Secured_Commission!$A:$F, 4, 1)*(K184/10^6),
D184="Mortgage_Power_Term", VLOOKUP(SUMIFS($K:$K, $D:$D, "HomeLoan_BT_more_than_2_Percent", $B:$B, B184)+SUMIFS($K:$K, $D:$D, "HomeLoan_BT_less_than_2_Percent", $B:$B, B184)+SUMIFS($K:$K, $D:$D, "HomeLoan_Non_BT", $B:$B, B184)+SUMIFS($K:$K, $D:$D, "Mortgage_Power_Term", $B:$B, B184), Secured_Commission!$A:$F, 5, 1)*(K184/10^6),
D184="Personal_Cash", VLOOKUP(SUMIFS($K:$K, $D:$D, "Personal_Cash", $B:$B, B184), Unsecured_Commission!$A:$B, 2, 1)*K184,
OR(D184="MRTA_3_Percent", D184="SOMPO"), K184*0.03,
D184="MRTA_6_Percent", K184*0.06), 0)</f>
        <v>0</v>
      </c>
    </row>
    <row r="185" spans="1:12">
      <c r="A185" s="19">
        <v>180</v>
      </c>
      <c r="B185" s="46"/>
      <c r="C185" s="46"/>
      <c r="D185" s="46"/>
      <c r="E185" s="46"/>
      <c r="G185" s="58" t="str" cm="1">
        <f t="array" ref="G185">_xlfn.IFS(
AND($C185="Secured", OR($D185="HomeLoan_BT_more_than_2_Percent", $D185="HomeLoan_BT_less_than_2_Percent"), $E185=""), "",
AND($C185="Secured",$E185=""),"others",
AND($C185="Secured",$E185=3),"others",
AND($C185="Secured",$E185=5),"BT_with_5_year_lock_in_period",
TRUE, "")</f>
        <v/>
      </c>
      <c r="H185" s="46"/>
      <c r="I185" s="59" t="str" cm="1">
        <f t="array" ref="I185">_xlfn.IFS(
AND($C185="Secured", OR($D185="HomeLoan_BT_more_than_2_Percent", $D185="HomeLoan_BT_less_than_2_Percent"), OR($E185="", $E185=0)), "Please input Year !!!",
AND($C185="Secured", OR($F185="", $F185=0)), "Please input Amount !!!",
AND($C185="Secured", $F185&lt;5000000), 1,
AND($C185="Secured", $F185&gt;=5000000), 1.1,
TRUE, "")</f>
        <v/>
      </c>
      <c r="J185" s="59" t="str" cm="1">
        <f t="array" ref="J185">IFERROR(_xlfn.IFS(
$G185="BT_with_5_year_lock_in_period", _xlfn.XLOOKUP($H185, Deviate_Table[Pricing discount], Deviate_Table[BT_with_5_year_lock_in_period]),
$G185="others", _xlfn.XLOOKUP($H185, Deviate_Table[Pricing discount], Deviate_Table[others]),
TRUE, ""), "Please input Deviate Range !!!")</f>
        <v/>
      </c>
      <c r="K185" s="49">
        <f t="shared" si="2"/>
        <v>0</v>
      </c>
      <c r="L185" s="65" cm="1">
        <f t="array" aca="1" ref="L185" ca="1">IFERROR(
_xlfn.IFS(
D185="HomeLoan_BT_less_than_2_Percent", VLOOKUP(SUMIFS($K:$K, $D:$D, "HomeLoan_BT_more_than_2_Percent", $B:$B, B185)+SUMIFS($K:$K, $D:$D, "HomeLoan_BT_less_than_2_Percent", $B:$B, B185)+SUMIFS($K:$K, $D:$D, "HomeLoan_Non_BT", $B:$B, B185)+SUMIFS($K:$K, $D:$D, "Mortgage_Power_Term", $B:$B, B185), Secured_Commission!$A:$F, 2, 1)*(K185/10^6),
D185="HomeLoan_BT_more_than_2_Percent", VLOOKUP(SUMIFS($K:$K, $D:$D, "HomeLoan_BT_more_than_2_Percent", $B:$B, B185)+SUMIFS($K:$K, $D:$D, "HomeLoan_BT_less_than_2_Percent", $B:$B, B185)+SUMIFS($K:$K, $D:$D, "HomeLoan_Non_BT", $B:$B, B185)+SUMIFS($K:$K, $D:$D, "Mortgage_Power_Term", $B:$B, B185), Secured_Commission!$A:$F, 3, 1)*(K185/10^6),
D185="HomeLoan_Non_BT", VLOOKUP(SUMIFS($K:$K, $D:$D, "HomeLoan_BT_more_than_2_Percent", $B:$B, B185)+SUMIFS($K:$K, $D:$D, "HomeLoan_BT_less_than_2_Percent", $B:$B, B185)+SUMIFS($K:$K, $D:$D, "HomeLoan_Non_BT", $B:$B, B185)+SUMIFS($K:$K, $D:$D, "Mortgage_Power_Term", $B:$B, B185), Secured_Commission!$A:$F, 4, 1)*(K185/10^6),
D185="Mortgage_Power_Term", VLOOKUP(SUMIFS($K:$K, $D:$D, "HomeLoan_BT_more_than_2_Percent", $B:$B, B185)+SUMIFS($K:$K, $D:$D, "HomeLoan_BT_less_than_2_Percent", $B:$B, B185)+SUMIFS($K:$K, $D:$D, "HomeLoan_Non_BT", $B:$B, B185)+SUMIFS($K:$K, $D:$D, "Mortgage_Power_Term", $B:$B, B185), Secured_Commission!$A:$F, 5, 1)*(K185/10^6),
D185="Personal_Cash", VLOOKUP(SUMIFS($K:$K, $D:$D, "Personal_Cash", $B:$B, B185), Unsecured_Commission!$A:$B, 2, 1)*K185,
OR(D185="MRTA_3_Percent", D185="SOMPO"), K185*0.03,
D185="MRTA_6_Percent", K185*0.06), 0)</f>
        <v>0</v>
      </c>
    </row>
    <row r="186" spans="1:12">
      <c r="A186" s="19">
        <v>181</v>
      </c>
      <c r="B186" s="46"/>
      <c r="C186" s="46"/>
      <c r="D186" s="46"/>
      <c r="E186" s="46"/>
      <c r="G186" s="58" t="str" cm="1">
        <f t="array" ref="G186">_xlfn.IFS(
AND($C186="Secured", OR($D186="HomeLoan_BT_more_than_2_Percent", $D186="HomeLoan_BT_less_than_2_Percent"), $E186=""), "",
AND($C186="Secured",$E186=""),"others",
AND($C186="Secured",$E186=3),"others",
AND($C186="Secured",$E186=5),"BT_with_5_year_lock_in_period",
TRUE, "")</f>
        <v/>
      </c>
      <c r="H186" s="46"/>
      <c r="I186" s="59" t="str" cm="1">
        <f t="array" ref="I186">_xlfn.IFS(
AND($C186="Secured", OR($D186="HomeLoan_BT_more_than_2_Percent", $D186="HomeLoan_BT_less_than_2_Percent"), OR($E186="", $E186=0)), "Please input Year !!!",
AND($C186="Secured", OR($F186="", $F186=0)), "Please input Amount !!!",
AND($C186="Secured", $F186&lt;5000000), 1,
AND($C186="Secured", $F186&gt;=5000000), 1.1,
TRUE, "")</f>
        <v/>
      </c>
      <c r="J186" s="59" t="str" cm="1">
        <f t="array" ref="J186">IFERROR(_xlfn.IFS(
$G186="BT_with_5_year_lock_in_period", _xlfn.XLOOKUP($H186, Deviate_Table[Pricing discount], Deviate_Table[BT_with_5_year_lock_in_period]),
$G186="others", _xlfn.XLOOKUP($H186, Deviate_Table[Pricing discount], Deviate_Table[others]),
TRUE, ""), "Please input Deviate Range !!!")</f>
        <v/>
      </c>
      <c r="K186" s="49">
        <f t="shared" si="2"/>
        <v>0</v>
      </c>
      <c r="L186" s="65" cm="1">
        <f t="array" aca="1" ref="L186" ca="1">IFERROR(
_xlfn.IFS(
D186="HomeLoan_BT_less_than_2_Percent", VLOOKUP(SUMIFS($K:$K, $D:$D, "HomeLoan_BT_more_than_2_Percent", $B:$B, B186)+SUMIFS($K:$K, $D:$D, "HomeLoan_BT_less_than_2_Percent", $B:$B, B186)+SUMIFS($K:$K, $D:$D, "HomeLoan_Non_BT", $B:$B, B186)+SUMIFS($K:$K, $D:$D, "Mortgage_Power_Term", $B:$B, B186), Secured_Commission!$A:$F, 2, 1)*(K186/10^6),
D186="HomeLoan_BT_more_than_2_Percent", VLOOKUP(SUMIFS($K:$K, $D:$D, "HomeLoan_BT_more_than_2_Percent", $B:$B, B186)+SUMIFS($K:$K, $D:$D, "HomeLoan_BT_less_than_2_Percent", $B:$B, B186)+SUMIFS($K:$K, $D:$D, "HomeLoan_Non_BT", $B:$B, B186)+SUMIFS($K:$K, $D:$D, "Mortgage_Power_Term", $B:$B, B186), Secured_Commission!$A:$F, 3, 1)*(K186/10^6),
D186="HomeLoan_Non_BT", VLOOKUP(SUMIFS($K:$K, $D:$D, "HomeLoan_BT_more_than_2_Percent", $B:$B, B186)+SUMIFS($K:$K, $D:$D, "HomeLoan_BT_less_than_2_Percent", $B:$B, B186)+SUMIFS($K:$K, $D:$D, "HomeLoan_Non_BT", $B:$B, B186)+SUMIFS($K:$K, $D:$D, "Mortgage_Power_Term", $B:$B, B186), Secured_Commission!$A:$F, 4, 1)*(K186/10^6),
D186="Mortgage_Power_Term", VLOOKUP(SUMIFS($K:$K, $D:$D, "HomeLoan_BT_more_than_2_Percent", $B:$B, B186)+SUMIFS($K:$K, $D:$D, "HomeLoan_BT_less_than_2_Percent", $B:$B, B186)+SUMIFS($K:$K, $D:$D, "HomeLoan_Non_BT", $B:$B, B186)+SUMIFS($K:$K, $D:$D, "Mortgage_Power_Term", $B:$B, B186), Secured_Commission!$A:$F, 5, 1)*(K186/10^6),
D186="Personal_Cash", VLOOKUP(SUMIFS($K:$K, $D:$D, "Personal_Cash", $B:$B, B186), Unsecured_Commission!$A:$B, 2, 1)*K186,
OR(D186="MRTA_3_Percent", D186="SOMPO"), K186*0.03,
D186="MRTA_6_Percent", K186*0.06), 0)</f>
        <v>0</v>
      </c>
    </row>
    <row r="187" spans="1:12">
      <c r="A187" s="19">
        <v>182</v>
      </c>
      <c r="B187" s="46"/>
      <c r="C187" s="46"/>
      <c r="D187" s="46"/>
      <c r="E187" s="46"/>
      <c r="G187" s="58" t="str" cm="1">
        <f t="array" ref="G187">_xlfn.IFS(
AND($C187="Secured", OR($D187="HomeLoan_BT_more_than_2_Percent", $D187="HomeLoan_BT_less_than_2_Percent"), $E187=""), "",
AND($C187="Secured",$E187=""),"others",
AND($C187="Secured",$E187=3),"others",
AND($C187="Secured",$E187=5),"BT_with_5_year_lock_in_period",
TRUE, "")</f>
        <v/>
      </c>
      <c r="H187" s="46"/>
      <c r="I187" s="59" t="str" cm="1">
        <f t="array" ref="I187">_xlfn.IFS(
AND($C187="Secured", OR($D187="HomeLoan_BT_more_than_2_Percent", $D187="HomeLoan_BT_less_than_2_Percent"), OR($E187="", $E187=0)), "Please input Year !!!",
AND($C187="Secured", OR($F187="", $F187=0)), "Please input Amount !!!",
AND($C187="Secured", $F187&lt;5000000), 1,
AND($C187="Secured", $F187&gt;=5000000), 1.1,
TRUE, "")</f>
        <v/>
      </c>
      <c r="J187" s="59" t="str" cm="1">
        <f t="array" ref="J187">IFERROR(_xlfn.IFS(
$G187="BT_with_5_year_lock_in_period", _xlfn.XLOOKUP($H187, Deviate_Table[Pricing discount], Deviate_Table[BT_with_5_year_lock_in_period]),
$G187="others", _xlfn.XLOOKUP($H187, Deviate_Table[Pricing discount], Deviate_Table[others]),
TRUE, ""), "Please input Deviate Range !!!")</f>
        <v/>
      </c>
      <c r="K187" s="49">
        <f t="shared" si="2"/>
        <v>0</v>
      </c>
      <c r="L187" s="65" cm="1">
        <f t="array" aca="1" ref="L187" ca="1">IFERROR(
_xlfn.IFS(
D187="HomeLoan_BT_less_than_2_Percent", VLOOKUP(SUMIFS($K:$K, $D:$D, "HomeLoan_BT_more_than_2_Percent", $B:$B, B187)+SUMIFS($K:$K, $D:$D, "HomeLoan_BT_less_than_2_Percent", $B:$B, B187)+SUMIFS($K:$K, $D:$D, "HomeLoan_Non_BT", $B:$B, B187)+SUMIFS($K:$K, $D:$D, "Mortgage_Power_Term", $B:$B, B187), Secured_Commission!$A:$F, 2, 1)*(K187/10^6),
D187="HomeLoan_BT_more_than_2_Percent", VLOOKUP(SUMIFS($K:$K, $D:$D, "HomeLoan_BT_more_than_2_Percent", $B:$B, B187)+SUMIFS($K:$K, $D:$D, "HomeLoan_BT_less_than_2_Percent", $B:$B, B187)+SUMIFS($K:$K, $D:$D, "HomeLoan_Non_BT", $B:$B, B187)+SUMIFS($K:$K, $D:$D, "Mortgage_Power_Term", $B:$B, B187), Secured_Commission!$A:$F, 3, 1)*(K187/10^6),
D187="HomeLoan_Non_BT", VLOOKUP(SUMIFS($K:$K, $D:$D, "HomeLoan_BT_more_than_2_Percent", $B:$B, B187)+SUMIFS($K:$K, $D:$D, "HomeLoan_BT_less_than_2_Percent", $B:$B, B187)+SUMIFS($K:$K, $D:$D, "HomeLoan_Non_BT", $B:$B, B187)+SUMIFS($K:$K, $D:$D, "Mortgage_Power_Term", $B:$B, B187), Secured_Commission!$A:$F, 4, 1)*(K187/10^6),
D187="Mortgage_Power_Term", VLOOKUP(SUMIFS($K:$K, $D:$D, "HomeLoan_BT_more_than_2_Percent", $B:$B, B187)+SUMIFS($K:$K, $D:$D, "HomeLoan_BT_less_than_2_Percent", $B:$B, B187)+SUMIFS($K:$K, $D:$D, "HomeLoan_Non_BT", $B:$B, B187)+SUMIFS($K:$K, $D:$D, "Mortgage_Power_Term", $B:$B, B187), Secured_Commission!$A:$F, 5, 1)*(K187/10^6),
D187="Personal_Cash", VLOOKUP(SUMIFS($K:$K, $D:$D, "Personal_Cash", $B:$B, B187), Unsecured_Commission!$A:$B, 2, 1)*K187,
OR(D187="MRTA_3_Percent", D187="SOMPO"), K187*0.03,
D187="MRTA_6_Percent", K187*0.06), 0)</f>
        <v>0</v>
      </c>
    </row>
    <row r="188" spans="1:12">
      <c r="A188" s="19">
        <v>183</v>
      </c>
      <c r="B188" s="46"/>
      <c r="C188" s="46"/>
      <c r="D188" s="46"/>
      <c r="E188" s="46"/>
      <c r="G188" s="58" t="str" cm="1">
        <f t="array" ref="G188">_xlfn.IFS(
AND($C188="Secured", OR($D188="HomeLoan_BT_more_than_2_Percent", $D188="HomeLoan_BT_less_than_2_Percent"), $E188=""), "",
AND($C188="Secured",$E188=""),"others",
AND($C188="Secured",$E188=3),"others",
AND($C188="Secured",$E188=5),"BT_with_5_year_lock_in_period",
TRUE, "")</f>
        <v/>
      </c>
      <c r="H188" s="46"/>
      <c r="I188" s="59" t="str" cm="1">
        <f t="array" ref="I188">_xlfn.IFS(
AND($C188="Secured", OR($D188="HomeLoan_BT_more_than_2_Percent", $D188="HomeLoan_BT_less_than_2_Percent"), OR($E188="", $E188=0)), "Please input Year !!!",
AND($C188="Secured", OR($F188="", $F188=0)), "Please input Amount !!!",
AND($C188="Secured", $F188&lt;5000000), 1,
AND($C188="Secured", $F188&gt;=5000000), 1.1,
TRUE, "")</f>
        <v/>
      </c>
      <c r="J188" s="59" t="str" cm="1">
        <f t="array" ref="J188">IFERROR(_xlfn.IFS(
$G188="BT_with_5_year_lock_in_period", _xlfn.XLOOKUP($H188, Deviate_Table[Pricing discount], Deviate_Table[BT_with_5_year_lock_in_period]),
$G188="others", _xlfn.XLOOKUP($H188, Deviate_Table[Pricing discount], Deviate_Table[others]),
TRUE, ""), "Please input Deviate Range !!!")</f>
        <v/>
      </c>
      <c r="K188" s="49">
        <f t="shared" si="2"/>
        <v>0</v>
      </c>
      <c r="L188" s="65" cm="1">
        <f t="array" aca="1" ref="L188" ca="1">IFERROR(
_xlfn.IFS(
D188="HomeLoan_BT_less_than_2_Percent", VLOOKUP(SUMIFS($K:$K, $D:$D, "HomeLoan_BT_more_than_2_Percent", $B:$B, B188)+SUMIFS($K:$K, $D:$D, "HomeLoan_BT_less_than_2_Percent", $B:$B, B188)+SUMIFS($K:$K, $D:$D, "HomeLoan_Non_BT", $B:$B, B188)+SUMIFS($K:$K, $D:$D, "Mortgage_Power_Term", $B:$B, B188), Secured_Commission!$A:$F, 2, 1)*(K188/10^6),
D188="HomeLoan_BT_more_than_2_Percent", VLOOKUP(SUMIFS($K:$K, $D:$D, "HomeLoan_BT_more_than_2_Percent", $B:$B, B188)+SUMIFS($K:$K, $D:$D, "HomeLoan_BT_less_than_2_Percent", $B:$B, B188)+SUMIFS($K:$K, $D:$D, "HomeLoan_Non_BT", $B:$B, B188)+SUMIFS($K:$K, $D:$D, "Mortgage_Power_Term", $B:$B, B188), Secured_Commission!$A:$F, 3, 1)*(K188/10^6),
D188="HomeLoan_Non_BT", VLOOKUP(SUMIFS($K:$K, $D:$D, "HomeLoan_BT_more_than_2_Percent", $B:$B, B188)+SUMIFS($K:$K, $D:$D, "HomeLoan_BT_less_than_2_Percent", $B:$B, B188)+SUMIFS($K:$K, $D:$D, "HomeLoan_Non_BT", $B:$B, B188)+SUMIFS($K:$K, $D:$D, "Mortgage_Power_Term", $B:$B, B188), Secured_Commission!$A:$F, 4, 1)*(K188/10^6),
D188="Mortgage_Power_Term", VLOOKUP(SUMIFS($K:$K, $D:$D, "HomeLoan_BT_more_than_2_Percent", $B:$B, B188)+SUMIFS($K:$K, $D:$D, "HomeLoan_BT_less_than_2_Percent", $B:$B, B188)+SUMIFS($K:$K, $D:$D, "HomeLoan_Non_BT", $B:$B, B188)+SUMIFS($K:$K, $D:$D, "Mortgage_Power_Term", $B:$B, B188), Secured_Commission!$A:$F, 5, 1)*(K188/10^6),
D188="Personal_Cash", VLOOKUP(SUMIFS($K:$K, $D:$D, "Personal_Cash", $B:$B, B188), Unsecured_Commission!$A:$B, 2, 1)*K188,
OR(D188="MRTA_3_Percent", D188="SOMPO"), K188*0.03,
D188="MRTA_6_Percent", K188*0.06), 0)</f>
        <v>0</v>
      </c>
    </row>
    <row r="189" spans="1:12">
      <c r="A189" s="19">
        <v>184</v>
      </c>
      <c r="B189" s="46"/>
      <c r="C189" s="46"/>
      <c r="D189" s="46"/>
      <c r="E189" s="46"/>
      <c r="G189" s="58" t="str" cm="1">
        <f t="array" ref="G189">_xlfn.IFS(
AND($C189="Secured", OR($D189="HomeLoan_BT_more_than_2_Percent", $D189="HomeLoan_BT_less_than_2_Percent"), $E189=""), "",
AND($C189="Secured",$E189=""),"others",
AND($C189="Secured",$E189=3),"others",
AND($C189="Secured",$E189=5),"BT_with_5_year_lock_in_period",
TRUE, "")</f>
        <v/>
      </c>
      <c r="H189" s="46"/>
      <c r="I189" s="59" t="str" cm="1">
        <f t="array" ref="I189">_xlfn.IFS(
AND($C189="Secured", OR($D189="HomeLoan_BT_more_than_2_Percent", $D189="HomeLoan_BT_less_than_2_Percent"), OR($E189="", $E189=0)), "Please input Year !!!",
AND($C189="Secured", OR($F189="", $F189=0)), "Please input Amount !!!",
AND($C189="Secured", $F189&lt;5000000), 1,
AND($C189="Secured", $F189&gt;=5000000), 1.1,
TRUE, "")</f>
        <v/>
      </c>
      <c r="J189" s="59" t="str" cm="1">
        <f t="array" ref="J189">IFERROR(_xlfn.IFS(
$G189="BT_with_5_year_lock_in_period", _xlfn.XLOOKUP($H189, Deviate_Table[Pricing discount], Deviate_Table[BT_with_5_year_lock_in_period]),
$G189="others", _xlfn.XLOOKUP($H189, Deviate_Table[Pricing discount], Deviate_Table[others]),
TRUE, ""), "Please input Deviate Range !!!")</f>
        <v/>
      </c>
      <c r="K189" s="49">
        <f t="shared" si="2"/>
        <v>0</v>
      </c>
      <c r="L189" s="65" cm="1">
        <f t="array" aca="1" ref="L189" ca="1">IFERROR(
_xlfn.IFS(
D189="HomeLoan_BT_less_than_2_Percent", VLOOKUP(SUMIFS($K:$K, $D:$D, "HomeLoan_BT_more_than_2_Percent", $B:$B, B189)+SUMIFS($K:$K, $D:$D, "HomeLoan_BT_less_than_2_Percent", $B:$B, B189)+SUMIFS($K:$K, $D:$D, "HomeLoan_Non_BT", $B:$B, B189)+SUMIFS($K:$K, $D:$D, "Mortgage_Power_Term", $B:$B, B189), Secured_Commission!$A:$F, 2, 1)*(K189/10^6),
D189="HomeLoan_BT_more_than_2_Percent", VLOOKUP(SUMIFS($K:$K, $D:$D, "HomeLoan_BT_more_than_2_Percent", $B:$B, B189)+SUMIFS($K:$K, $D:$D, "HomeLoan_BT_less_than_2_Percent", $B:$B, B189)+SUMIFS($K:$K, $D:$D, "HomeLoan_Non_BT", $B:$B, B189)+SUMIFS($K:$K, $D:$D, "Mortgage_Power_Term", $B:$B, B189), Secured_Commission!$A:$F, 3, 1)*(K189/10^6),
D189="HomeLoan_Non_BT", VLOOKUP(SUMIFS($K:$K, $D:$D, "HomeLoan_BT_more_than_2_Percent", $B:$B, B189)+SUMIFS($K:$K, $D:$D, "HomeLoan_BT_less_than_2_Percent", $B:$B, B189)+SUMIFS($K:$K, $D:$D, "HomeLoan_Non_BT", $B:$B, B189)+SUMIFS($K:$K, $D:$D, "Mortgage_Power_Term", $B:$B, B189), Secured_Commission!$A:$F, 4, 1)*(K189/10^6),
D189="Mortgage_Power_Term", VLOOKUP(SUMIFS($K:$K, $D:$D, "HomeLoan_BT_more_than_2_Percent", $B:$B, B189)+SUMIFS($K:$K, $D:$D, "HomeLoan_BT_less_than_2_Percent", $B:$B, B189)+SUMIFS($K:$K, $D:$D, "HomeLoan_Non_BT", $B:$B, B189)+SUMIFS($K:$K, $D:$D, "Mortgage_Power_Term", $B:$B, B189), Secured_Commission!$A:$F, 5, 1)*(K189/10^6),
D189="Personal_Cash", VLOOKUP(SUMIFS($K:$K, $D:$D, "Personal_Cash", $B:$B, B189), Unsecured_Commission!$A:$B, 2, 1)*K189,
OR(D189="MRTA_3_Percent", D189="SOMPO"), K189*0.03,
D189="MRTA_6_Percent", K189*0.06), 0)</f>
        <v>0</v>
      </c>
    </row>
    <row r="190" spans="1:12">
      <c r="A190" s="19">
        <v>185</v>
      </c>
      <c r="B190" s="46"/>
      <c r="C190" s="46"/>
      <c r="D190" s="46"/>
      <c r="E190" s="46"/>
      <c r="G190" s="58" t="str" cm="1">
        <f t="array" ref="G190">_xlfn.IFS(
AND($C190="Secured", OR($D190="HomeLoan_BT_more_than_2_Percent", $D190="HomeLoan_BT_less_than_2_Percent"), $E190=""), "",
AND($C190="Secured",$E190=""),"others",
AND($C190="Secured",$E190=3),"others",
AND($C190="Secured",$E190=5),"BT_with_5_year_lock_in_period",
TRUE, "")</f>
        <v/>
      </c>
      <c r="H190" s="46"/>
      <c r="I190" s="59" t="str" cm="1">
        <f t="array" ref="I190">_xlfn.IFS(
AND($C190="Secured", OR($D190="HomeLoan_BT_more_than_2_Percent", $D190="HomeLoan_BT_less_than_2_Percent"), OR($E190="", $E190=0)), "Please input Year !!!",
AND($C190="Secured", OR($F190="", $F190=0)), "Please input Amount !!!",
AND($C190="Secured", $F190&lt;5000000), 1,
AND($C190="Secured", $F190&gt;=5000000), 1.1,
TRUE, "")</f>
        <v/>
      </c>
      <c r="J190" s="59" t="str" cm="1">
        <f t="array" ref="J190">IFERROR(_xlfn.IFS(
$G190="BT_with_5_year_lock_in_period", _xlfn.XLOOKUP($H190, Deviate_Table[Pricing discount], Deviate_Table[BT_with_5_year_lock_in_period]),
$G190="others", _xlfn.XLOOKUP($H190, Deviate_Table[Pricing discount], Deviate_Table[others]),
TRUE, ""), "Please input Deviate Range !!!")</f>
        <v/>
      </c>
      <c r="K190" s="49">
        <f t="shared" si="2"/>
        <v>0</v>
      </c>
      <c r="L190" s="65" cm="1">
        <f t="array" aca="1" ref="L190" ca="1">IFERROR(
_xlfn.IFS(
D190="HomeLoan_BT_less_than_2_Percent", VLOOKUP(SUMIFS($K:$K, $D:$D, "HomeLoan_BT_more_than_2_Percent", $B:$B, B190)+SUMIFS($K:$K, $D:$D, "HomeLoan_BT_less_than_2_Percent", $B:$B, B190)+SUMIFS($K:$K, $D:$D, "HomeLoan_Non_BT", $B:$B, B190)+SUMIFS($K:$K, $D:$D, "Mortgage_Power_Term", $B:$B, B190), Secured_Commission!$A:$F, 2, 1)*(K190/10^6),
D190="HomeLoan_BT_more_than_2_Percent", VLOOKUP(SUMIFS($K:$K, $D:$D, "HomeLoan_BT_more_than_2_Percent", $B:$B, B190)+SUMIFS($K:$K, $D:$D, "HomeLoan_BT_less_than_2_Percent", $B:$B, B190)+SUMIFS($K:$K, $D:$D, "HomeLoan_Non_BT", $B:$B, B190)+SUMIFS($K:$K, $D:$D, "Mortgage_Power_Term", $B:$B, B190), Secured_Commission!$A:$F, 3, 1)*(K190/10^6),
D190="HomeLoan_Non_BT", VLOOKUP(SUMIFS($K:$K, $D:$D, "HomeLoan_BT_more_than_2_Percent", $B:$B, B190)+SUMIFS($K:$K, $D:$D, "HomeLoan_BT_less_than_2_Percent", $B:$B, B190)+SUMIFS($K:$K, $D:$D, "HomeLoan_Non_BT", $B:$B, B190)+SUMIFS($K:$K, $D:$D, "Mortgage_Power_Term", $B:$B, B190), Secured_Commission!$A:$F, 4, 1)*(K190/10^6),
D190="Mortgage_Power_Term", VLOOKUP(SUMIFS($K:$K, $D:$D, "HomeLoan_BT_more_than_2_Percent", $B:$B, B190)+SUMIFS($K:$K, $D:$D, "HomeLoan_BT_less_than_2_Percent", $B:$B, B190)+SUMIFS($K:$K, $D:$D, "HomeLoan_Non_BT", $B:$B, B190)+SUMIFS($K:$K, $D:$D, "Mortgage_Power_Term", $B:$B, B190), Secured_Commission!$A:$F, 5, 1)*(K190/10^6),
D190="Personal_Cash", VLOOKUP(SUMIFS($K:$K, $D:$D, "Personal_Cash", $B:$B, B190), Unsecured_Commission!$A:$B, 2, 1)*K190,
OR(D190="MRTA_3_Percent", D190="SOMPO"), K190*0.03,
D190="MRTA_6_Percent", K190*0.06), 0)</f>
        <v>0</v>
      </c>
    </row>
    <row r="191" spans="1:12">
      <c r="A191" s="19">
        <v>186</v>
      </c>
      <c r="B191" s="46"/>
      <c r="C191" s="46"/>
      <c r="D191" s="46"/>
      <c r="E191" s="46"/>
      <c r="G191" s="58" t="str" cm="1">
        <f t="array" ref="G191">_xlfn.IFS(
AND($C191="Secured", OR($D191="HomeLoan_BT_more_than_2_Percent", $D191="HomeLoan_BT_less_than_2_Percent"), $E191=""), "",
AND($C191="Secured",$E191=""),"others",
AND($C191="Secured",$E191=3),"others",
AND($C191="Secured",$E191=5),"BT_with_5_year_lock_in_period",
TRUE, "")</f>
        <v/>
      </c>
      <c r="H191" s="46"/>
      <c r="I191" s="59" t="str" cm="1">
        <f t="array" ref="I191">_xlfn.IFS(
AND($C191="Secured", OR($D191="HomeLoan_BT_more_than_2_Percent", $D191="HomeLoan_BT_less_than_2_Percent"), OR($E191="", $E191=0)), "Please input Year !!!",
AND($C191="Secured", OR($F191="", $F191=0)), "Please input Amount !!!",
AND($C191="Secured", $F191&lt;5000000), 1,
AND($C191="Secured", $F191&gt;=5000000), 1.1,
TRUE, "")</f>
        <v/>
      </c>
      <c r="J191" s="59" t="str" cm="1">
        <f t="array" ref="J191">IFERROR(_xlfn.IFS(
$G191="BT_with_5_year_lock_in_period", _xlfn.XLOOKUP($H191, Deviate_Table[Pricing discount], Deviate_Table[BT_with_5_year_lock_in_period]),
$G191="others", _xlfn.XLOOKUP($H191, Deviate_Table[Pricing discount], Deviate_Table[others]),
TRUE, ""), "Please input Deviate Range !!!")</f>
        <v/>
      </c>
      <c r="K191" s="49">
        <f t="shared" si="2"/>
        <v>0</v>
      </c>
      <c r="L191" s="65" cm="1">
        <f t="array" aca="1" ref="L191" ca="1">IFERROR(
_xlfn.IFS(
D191="HomeLoan_BT_less_than_2_Percent", VLOOKUP(SUMIFS($K:$K, $D:$D, "HomeLoan_BT_more_than_2_Percent", $B:$B, B191)+SUMIFS($K:$K, $D:$D, "HomeLoan_BT_less_than_2_Percent", $B:$B, B191)+SUMIFS($K:$K, $D:$D, "HomeLoan_Non_BT", $B:$B, B191)+SUMIFS($K:$K, $D:$D, "Mortgage_Power_Term", $B:$B, B191), Secured_Commission!$A:$F, 2, 1)*(K191/10^6),
D191="HomeLoan_BT_more_than_2_Percent", VLOOKUP(SUMIFS($K:$K, $D:$D, "HomeLoan_BT_more_than_2_Percent", $B:$B, B191)+SUMIFS($K:$K, $D:$D, "HomeLoan_BT_less_than_2_Percent", $B:$B, B191)+SUMIFS($K:$K, $D:$D, "HomeLoan_Non_BT", $B:$B, B191)+SUMIFS($K:$K, $D:$D, "Mortgage_Power_Term", $B:$B, B191), Secured_Commission!$A:$F, 3, 1)*(K191/10^6),
D191="HomeLoan_Non_BT", VLOOKUP(SUMIFS($K:$K, $D:$D, "HomeLoan_BT_more_than_2_Percent", $B:$B, B191)+SUMIFS($K:$K, $D:$D, "HomeLoan_BT_less_than_2_Percent", $B:$B, B191)+SUMIFS($K:$K, $D:$D, "HomeLoan_Non_BT", $B:$B, B191)+SUMIFS($K:$K, $D:$D, "Mortgage_Power_Term", $B:$B, B191), Secured_Commission!$A:$F, 4, 1)*(K191/10^6),
D191="Mortgage_Power_Term", VLOOKUP(SUMIFS($K:$K, $D:$D, "HomeLoan_BT_more_than_2_Percent", $B:$B, B191)+SUMIFS($K:$K, $D:$D, "HomeLoan_BT_less_than_2_Percent", $B:$B, B191)+SUMIFS($K:$K, $D:$D, "HomeLoan_Non_BT", $B:$B, B191)+SUMIFS($K:$K, $D:$D, "Mortgage_Power_Term", $B:$B, B191), Secured_Commission!$A:$F, 5, 1)*(K191/10^6),
D191="Personal_Cash", VLOOKUP(SUMIFS($K:$K, $D:$D, "Personal_Cash", $B:$B, B191), Unsecured_Commission!$A:$B, 2, 1)*K191,
OR(D191="MRTA_3_Percent", D191="SOMPO"), K191*0.03,
D191="MRTA_6_Percent", K191*0.06), 0)</f>
        <v>0</v>
      </c>
    </row>
    <row r="192" spans="1:12">
      <c r="A192" s="19">
        <v>187</v>
      </c>
      <c r="B192" s="46"/>
      <c r="C192" s="46"/>
      <c r="D192" s="46"/>
      <c r="E192" s="46"/>
      <c r="G192" s="58" t="str" cm="1">
        <f t="array" ref="G192">_xlfn.IFS(
AND($C192="Secured", OR($D192="HomeLoan_BT_more_than_2_Percent", $D192="HomeLoan_BT_less_than_2_Percent"), $E192=""), "",
AND($C192="Secured",$E192=""),"others",
AND($C192="Secured",$E192=3),"others",
AND($C192="Secured",$E192=5),"BT_with_5_year_lock_in_period",
TRUE, "")</f>
        <v/>
      </c>
      <c r="H192" s="46"/>
      <c r="I192" s="59" t="str" cm="1">
        <f t="array" ref="I192">_xlfn.IFS(
AND($C192="Secured", OR($D192="HomeLoan_BT_more_than_2_Percent", $D192="HomeLoan_BT_less_than_2_Percent"), OR($E192="", $E192=0)), "Please input Year !!!",
AND($C192="Secured", OR($F192="", $F192=0)), "Please input Amount !!!",
AND($C192="Secured", $F192&lt;5000000), 1,
AND($C192="Secured", $F192&gt;=5000000), 1.1,
TRUE, "")</f>
        <v/>
      </c>
      <c r="J192" s="59" t="str" cm="1">
        <f t="array" ref="J192">IFERROR(_xlfn.IFS(
$G192="BT_with_5_year_lock_in_period", _xlfn.XLOOKUP($H192, Deviate_Table[Pricing discount], Deviate_Table[BT_with_5_year_lock_in_period]),
$G192="others", _xlfn.XLOOKUP($H192, Deviate_Table[Pricing discount], Deviate_Table[others]),
TRUE, ""), "Please input Deviate Range !!!")</f>
        <v/>
      </c>
      <c r="K192" s="49">
        <f t="shared" si="2"/>
        <v>0</v>
      </c>
      <c r="L192" s="65" cm="1">
        <f t="array" aca="1" ref="L192" ca="1">IFERROR(
_xlfn.IFS(
D192="HomeLoan_BT_less_than_2_Percent", VLOOKUP(SUMIFS($K:$K, $D:$D, "HomeLoan_BT_more_than_2_Percent", $B:$B, B192)+SUMIFS($K:$K, $D:$D, "HomeLoan_BT_less_than_2_Percent", $B:$B, B192)+SUMIFS($K:$K, $D:$D, "HomeLoan_Non_BT", $B:$B, B192)+SUMIFS($K:$K, $D:$D, "Mortgage_Power_Term", $B:$B, B192), Secured_Commission!$A:$F, 2, 1)*(K192/10^6),
D192="HomeLoan_BT_more_than_2_Percent", VLOOKUP(SUMIFS($K:$K, $D:$D, "HomeLoan_BT_more_than_2_Percent", $B:$B, B192)+SUMIFS($K:$K, $D:$D, "HomeLoan_BT_less_than_2_Percent", $B:$B, B192)+SUMIFS($K:$K, $D:$D, "HomeLoan_Non_BT", $B:$B, B192)+SUMIFS($K:$K, $D:$D, "Mortgage_Power_Term", $B:$B, B192), Secured_Commission!$A:$F, 3, 1)*(K192/10^6),
D192="HomeLoan_Non_BT", VLOOKUP(SUMIFS($K:$K, $D:$D, "HomeLoan_BT_more_than_2_Percent", $B:$B, B192)+SUMIFS($K:$K, $D:$D, "HomeLoan_BT_less_than_2_Percent", $B:$B, B192)+SUMIFS($K:$K, $D:$D, "HomeLoan_Non_BT", $B:$B, B192)+SUMIFS($K:$K, $D:$D, "Mortgage_Power_Term", $B:$B, B192), Secured_Commission!$A:$F, 4, 1)*(K192/10^6),
D192="Mortgage_Power_Term", VLOOKUP(SUMIFS($K:$K, $D:$D, "HomeLoan_BT_more_than_2_Percent", $B:$B, B192)+SUMIFS($K:$K, $D:$D, "HomeLoan_BT_less_than_2_Percent", $B:$B, B192)+SUMIFS($K:$K, $D:$D, "HomeLoan_Non_BT", $B:$B, B192)+SUMIFS($K:$K, $D:$D, "Mortgage_Power_Term", $B:$B, B192), Secured_Commission!$A:$F, 5, 1)*(K192/10^6),
D192="Personal_Cash", VLOOKUP(SUMIFS($K:$K, $D:$D, "Personal_Cash", $B:$B, B192), Unsecured_Commission!$A:$B, 2, 1)*K192,
OR(D192="MRTA_3_Percent", D192="SOMPO"), K192*0.03,
D192="MRTA_6_Percent", K192*0.06), 0)</f>
        <v>0</v>
      </c>
    </row>
    <row r="193" spans="1:12">
      <c r="A193" s="19">
        <v>188</v>
      </c>
      <c r="B193" s="46"/>
      <c r="C193" s="46"/>
      <c r="D193" s="46"/>
      <c r="E193" s="46"/>
      <c r="G193" s="58" t="str" cm="1">
        <f t="array" ref="G193">_xlfn.IFS(
AND($C193="Secured", OR($D193="HomeLoan_BT_more_than_2_Percent", $D193="HomeLoan_BT_less_than_2_Percent"), $E193=""), "",
AND($C193="Secured",$E193=""),"others",
AND($C193="Secured",$E193=3),"others",
AND($C193="Secured",$E193=5),"BT_with_5_year_lock_in_period",
TRUE, "")</f>
        <v/>
      </c>
      <c r="H193" s="46"/>
      <c r="I193" s="59" t="str" cm="1">
        <f t="array" ref="I193">_xlfn.IFS(
AND($C193="Secured", OR($D193="HomeLoan_BT_more_than_2_Percent", $D193="HomeLoan_BT_less_than_2_Percent"), OR($E193="", $E193=0)), "Please input Year !!!",
AND($C193="Secured", OR($F193="", $F193=0)), "Please input Amount !!!",
AND($C193="Secured", $F193&lt;5000000), 1,
AND($C193="Secured", $F193&gt;=5000000), 1.1,
TRUE, "")</f>
        <v/>
      </c>
      <c r="J193" s="59" t="str" cm="1">
        <f t="array" ref="J193">IFERROR(_xlfn.IFS(
$G193="BT_with_5_year_lock_in_period", _xlfn.XLOOKUP($H193, Deviate_Table[Pricing discount], Deviate_Table[BT_with_5_year_lock_in_period]),
$G193="others", _xlfn.XLOOKUP($H193, Deviate_Table[Pricing discount], Deviate_Table[others]),
TRUE, ""), "Please input Deviate Range !!!")</f>
        <v/>
      </c>
      <c r="K193" s="49">
        <f t="shared" si="2"/>
        <v>0</v>
      </c>
      <c r="L193" s="65" cm="1">
        <f t="array" aca="1" ref="L193" ca="1">IFERROR(
_xlfn.IFS(
D193="HomeLoan_BT_less_than_2_Percent", VLOOKUP(SUMIFS($K:$K, $D:$D, "HomeLoan_BT_more_than_2_Percent", $B:$B, B193)+SUMIFS($K:$K, $D:$D, "HomeLoan_BT_less_than_2_Percent", $B:$B, B193)+SUMIFS($K:$K, $D:$D, "HomeLoan_Non_BT", $B:$B, B193)+SUMIFS($K:$K, $D:$D, "Mortgage_Power_Term", $B:$B, B193), Secured_Commission!$A:$F, 2, 1)*(K193/10^6),
D193="HomeLoan_BT_more_than_2_Percent", VLOOKUP(SUMIFS($K:$K, $D:$D, "HomeLoan_BT_more_than_2_Percent", $B:$B, B193)+SUMIFS($K:$K, $D:$D, "HomeLoan_BT_less_than_2_Percent", $B:$B, B193)+SUMIFS($K:$K, $D:$D, "HomeLoan_Non_BT", $B:$B, B193)+SUMIFS($K:$K, $D:$D, "Mortgage_Power_Term", $B:$B, B193), Secured_Commission!$A:$F, 3, 1)*(K193/10^6),
D193="HomeLoan_Non_BT", VLOOKUP(SUMIFS($K:$K, $D:$D, "HomeLoan_BT_more_than_2_Percent", $B:$B, B193)+SUMIFS($K:$K, $D:$D, "HomeLoan_BT_less_than_2_Percent", $B:$B, B193)+SUMIFS($K:$K, $D:$D, "HomeLoan_Non_BT", $B:$B, B193)+SUMIFS($K:$K, $D:$D, "Mortgage_Power_Term", $B:$B, B193), Secured_Commission!$A:$F, 4, 1)*(K193/10^6),
D193="Mortgage_Power_Term", VLOOKUP(SUMIFS($K:$K, $D:$D, "HomeLoan_BT_more_than_2_Percent", $B:$B, B193)+SUMIFS($K:$K, $D:$D, "HomeLoan_BT_less_than_2_Percent", $B:$B, B193)+SUMIFS($K:$K, $D:$D, "HomeLoan_Non_BT", $B:$B, B193)+SUMIFS($K:$K, $D:$D, "Mortgage_Power_Term", $B:$B, B193), Secured_Commission!$A:$F, 5, 1)*(K193/10^6),
D193="Personal_Cash", VLOOKUP(SUMIFS($K:$K, $D:$D, "Personal_Cash", $B:$B, B193), Unsecured_Commission!$A:$B, 2, 1)*K193,
OR(D193="MRTA_3_Percent", D193="SOMPO"), K193*0.03,
D193="MRTA_6_Percent", K193*0.06), 0)</f>
        <v>0</v>
      </c>
    </row>
    <row r="194" spans="1:12">
      <c r="A194" s="19">
        <v>189</v>
      </c>
      <c r="B194" s="46"/>
      <c r="C194" s="46"/>
      <c r="D194" s="46"/>
      <c r="E194" s="46"/>
      <c r="G194" s="58" t="str" cm="1">
        <f t="array" ref="G194">_xlfn.IFS(
AND($C194="Secured", OR($D194="HomeLoan_BT_more_than_2_Percent", $D194="HomeLoan_BT_less_than_2_Percent"), $E194=""), "",
AND($C194="Secured",$E194=""),"others",
AND($C194="Secured",$E194=3),"others",
AND($C194="Secured",$E194=5),"BT_with_5_year_lock_in_period",
TRUE, "")</f>
        <v/>
      </c>
      <c r="H194" s="46"/>
      <c r="I194" s="59" t="str" cm="1">
        <f t="array" ref="I194">_xlfn.IFS(
AND($C194="Secured", OR($D194="HomeLoan_BT_more_than_2_Percent", $D194="HomeLoan_BT_less_than_2_Percent"), OR($E194="", $E194=0)), "Please input Year !!!",
AND($C194="Secured", OR($F194="", $F194=0)), "Please input Amount !!!",
AND($C194="Secured", $F194&lt;5000000), 1,
AND($C194="Secured", $F194&gt;=5000000), 1.1,
TRUE, "")</f>
        <v/>
      </c>
      <c r="J194" s="59" t="str" cm="1">
        <f t="array" ref="J194">IFERROR(_xlfn.IFS(
$G194="BT_with_5_year_lock_in_period", _xlfn.XLOOKUP($H194, Deviate_Table[Pricing discount], Deviate_Table[BT_with_5_year_lock_in_period]),
$G194="others", _xlfn.XLOOKUP($H194, Deviate_Table[Pricing discount], Deviate_Table[others]),
TRUE, ""), "Please input Deviate Range !!!")</f>
        <v/>
      </c>
      <c r="K194" s="49">
        <f t="shared" si="2"/>
        <v>0</v>
      </c>
      <c r="L194" s="65" cm="1">
        <f t="array" aca="1" ref="L194" ca="1">IFERROR(
_xlfn.IFS(
D194="HomeLoan_BT_less_than_2_Percent", VLOOKUP(SUMIFS($K:$K, $D:$D, "HomeLoan_BT_more_than_2_Percent", $B:$B, B194)+SUMIFS($K:$K, $D:$D, "HomeLoan_BT_less_than_2_Percent", $B:$B, B194)+SUMIFS($K:$K, $D:$D, "HomeLoan_Non_BT", $B:$B, B194)+SUMIFS($K:$K, $D:$D, "Mortgage_Power_Term", $B:$B, B194), Secured_Commission!$A:$F, 2, 1)*(K194/10^6),
D194="HomeLoan_BT_more_than_2_Percent", VLOOKUP(SUMIFS($K:$K, $D:$D, "HomeLoan_BT_more_than_2_Percent", $B:$B, B194)+SUMIFS($K:$K, $D:$D, "HomeLoan_BT_less_than_2_Percent", $B:$B, B194)+SUMIFS($K:$K, $D:$D, "HomeLoan_Non_BT", $B:$B, B194)+SUMIFS($K:$K, $D:$D, "Mortgage_Power_Term", $B:$B, B194), Secured_Commission!$A:$F, 3, 1)*(K194/10^6),
D194="HomeLoan_Non_BT", VLOOKUP(SUMIFS($K:$K, $D:$D, "HomeLoan_BT_more_than_2_Percent", $B:$B, B194)+SUMIFS($K:$K, $D:$D, "HomeLoan_BT_less_than_2_Percent", $B:$B, B194)+SUMIFS($K:$K, $D:$D, "HomeLoan_Non_BT", $B:$B, B194)+SUMIFS($K:$K, $D:$D, "Mortgage_Power_Term", $B:$B, B194), Secured_Commission!$A:$F, 4, 1)*(K194/10^6),
D194="Mortgage_Power_Term", VLOOKUP(SUMIFS($K:$K, $D:$D, "HomeLoan_BT_more_than_2_Percent", $B:$B, B194)+SUMIFS($K:$K, $D:$D, "HomeLoan_BT_less_than_2_Percent", $B:$B, B194)+SUMIFS($K:$K, $D:$D, "HomeLoan_Non_BT", $B:$B, B194)+SUMIFS($K:$K, $D:$D, "Mortgage_Power_Term", $B:$B, B194), Secured_Commission!$A:$F, 5, 1)*(K194/10^6),
D194="Personal_Cash", VLOOKUP(SUMIFS($K:$K, $D:$D, "Personal_Cash", $B:$B, B194), Unsecured_Commission!$A:$B, 2, 1)*K194,
OR(D194="MRTA_3_Percent", D194="SOMPO"), K194*0.03,
D194="MRTA_6_Percent", K194*0.06), 0)</f>
        <v>0</v>
      </c>
    </row>
    <row r="195" spans="1:12">
      <c r="A195" s="19">
        <v>190</v>
      </c>
      <c r="B195" s="46"/>
      <c r="C195" s="46"/>
      <c r="D195" s="46"/>
      <c r="E195" s="46"/>
      <c r="G195" s="58" t="str" cm="1">
        <f t="array" ref="G195">_xlfn.IFS(
AND($C195="Secured", OR($D195="HomeLoan_BT_more_than_2_Percent", $D195="HomeLoan_BT_less_than_2_Percent"), $E195=""), "",
AND($C195="Secured",$E195=""),"others",
AND($C195="Secured",$E195=3),"others",
AND($C195="Secured",$E195=5),"BT_with_5_year_lock_in_period",
TRUE, "")</f>
        <v/>
      </c>
      <c r="H195" s="46"/>
      <c r="I195" s="59" t="str" cm="1">
        <f t="array" ref="I195">_xlfn.IFS(
AND($C195="Secured", OR($D195="HomeLoan_BT_more_than_2_Percent", $D195="HomeLoan_BT_less_than_2_Percent"), OR($E195="", $E195=0)), "Please input Year !!!",
AND($C195="Secured", OR($F195="", $F195=0)), "Please input Amount !!!",
AND($C195="Secured", $F195&lt;5000000), 1,
AND($C195="Secured", $F195&gt;=5000000), 1.1,
TRUE, "")</f>
        <v/>
      </c>
      <c r="J195" s="59" t="str" cm="1">
        <f t="array" ref="J195">IFERROR(_xlfn.IFS(
$G195="BT_with_5_year_lock_in_period", _xlfn.XLOOKUP($H195, Deviate_Table[Pricing discount], Deviate_Table[BT_with_5_year_lock_in_period]),
$G195="others", _xlfn.XLOOKUP($H195, Deviate_Table[Pricing discount], Deviate_Table[others]),
TRUE, ""), "Please input Deviate Range !!!")</f>
        <v/>
      </c>
      <c r="K195" s="49">
        <f t="shared" si="2"/>
        <v>0</v>
      </c>
      <c r="L195" s="65" cm="1">
        <f t="array" aca="1" ref="L195" ca="1">IFERROR(
_xlfn.IFS(
D195="HomeLoan_BT_less_than_2_Percent", VLOOKUP(SUMIFS($K:$K, $D:$D, "HomeLoan_BT_more_than_2_Percent", $B:$B, B195)+SUMIFS($K:$K, $D:$D, "HomeLoan_BT_less_than_2_Percent", $B:$B, B195)+SUMIFS($K:$K, $D:$D, "HomeLoan_Non_BT", $B:$B, B195)+SUMIFS($K:$K, $D:$D, "Mortgage_Power_Term", $B:$B, B195), Secured_Commission!$A:$F, 2, 1)*(K195/10^6),
D195="HomeLoan_BT_more_than_2_Percent", VLOOKUP(SUMIFS($K:$K, $D:$D, "HomeLoan_BT_more_than_2_Percent", $B:$B, B195)+SUMIFS($K:$K, $D:$D, "HomeLoan_BT_less_than_2_Percent", $B:$B, B195)+SUMIFS($K:$K, $D:$D, "HomeLoan_Non_BT", $B:$B, B195)+SUMIFS($K:$K, $D:$D, "Mortgage_Power_Term", $B:$B, B195), Secured_Commission!$A:$F, 3, 1)*(K195/10^6),
D195="HomeLoan_Non_BT", VLOOKUP(SUMIFS($K:$K, $D:$D, "HomeLoan_BT_more_than_2_Percent", $B:$B, B195)+SUMIFS($K:$K, $D:$D, "HomeLoan_BT_less_than_2_Percent", $B:$B, B195)+SUMIFS($K:$K, $D:$D, "HomeLoan_Non_BT", $B:$B, B195)+SUMIFS($K:$K, $D:$D, "Mortgage_Power_Term", $B:$B, B195), Secured_Commission!$A:$F, 4, 1)*(K195/10^6),
D195="Mortgage_Power_Term", VLOOKUP(SUMIFS($K:$K, $D:$D, "HomeLoan_BT_more_than_2_Percent", $B:$B, B195)+SUMIFS($K:$K, $D:$D, "HomeLoan_BT_less_than_2_Percent", $B:$B, B195)+SUMIFS($K:$K, $D:$D, "HomeLoan_Non_BT", $B:$B, B195)+SUMIFS($K:$K, $D:$D, "Mortgage_Power_Term", $B:$B, B195), Secured_Commission!$A:$F, 5, 1)*(K195/10^6),
D195="Personal_Cash", VLOOKUP(SUMIFS($K:$K, $D:$D, "Personal_Cash", $B:$B, B195), Unsecured_Commission!$A:$B, 2, 1)*K195,
OR(D195="MRTA_3_Percent", D195="SOMPO"), K195*0.03,
D195="MRTA_6_Percent", K195*0.06), 0)</f>
        <v>0</v>
      </c>
    </row>
    <row r="196" spans="1:12">
      <c r="A196" s="19">
        <v>191</v>
      </c>
      <c r="B196" s="46"/>
      <c r="C196" s="46"/>
      <c r="D196" s="46"/>
      <c r="E196" s="46"/>
      <c r="G196" s="58" t="str" cm="1">
        <f t="array" ref="G196">_xlfn.IFS(
AND($C196="Secured", OR($D196="HomeLoan_BT_more_than_2_Percent", $D196="HomeLoan_BT_less_than_2_Percent"), $E196=""), "",
AND($C196="Secured",$E196=""),"others",
AND($C196="Secured",$E196=3),"others",
AND($C196="Secured",$E196=5),"BT_with_5_year_lock_in_period",
TRUE, "")</f>
        <v/>
      </c>
      <c r="H196" s="46"/>
      <c r="I196" s="59" t="str" cm="1">
        <f t="array" ref="I196">_xlfn.IFS(
AND($C196="Secured", OR($D196="HomeLoan_BT_more_than_2_Percent", $D196="HomeLoan_BT_less_than_2_Percent"), OR($E196="", $E196=0)), "Please input Year !!!",
AND($C196="Secured", OR($F196="", $F196=0)), "Please input Amount !!!",
AND($C196="Secured", $F196&lt;5000000), 1,
AND($C196="Secured", $F196&gt;=5000000), 1.1,
TRUE, "")</f>
        <v/>
      </c>
      <c r="J196" s="59" t="str" cm="1">
        <f t="array" ref="J196">IFERROR(_xlfn.IFS(
$G196="BT_with_5_year_lock_in_period", _xlfn.XLOOKUP($H196, Deviate_Table[Pricing discount], Deviate_Table[BT_with_5_year_lock_in_period]),
$G196="others", _xlfn.XLOOKUP($H196, Deviate_Table[Pricing discount], Deviate_Table[others]),
TRUE, ""), "Please input Deviate Range !!!")</f>
        <v/>
      </c>
      <c r="K196" s="49">
        <f t="shared" si="2"/>
        <v>0</v>
      </c>
      <c r="L196" s="65" cm="1">
        <f t="array" aca="1" ref="L196" ca="1">IFERROR(
_xlfn.IFS(
D196="HomeLoan_BT_less_than_2_Percent", VLOOKUP(SUMIFS($K:$K, $D:$D, "HomeLoan_BT_more_than_2_Percent", $B:$B, B196)+SUMIFS($K:$K, $D:$D, "HomeLoan_BT_less_than_2_Percent", $B:$B, B196)+SUMIFS($K:$K, $D:$D, "HomeLoan_Non_BT", $B:$B, B196)+SUMIFS($K:$K, $D:$D, "Mortgage_Power_Term", $B:$B, B196), Secured_Commission!$A:$F, 2, 1)*(K196/10^6),
D196="HomeLoan_BT_more_than_2_Percent", VLOOKUP(SUMIFS($K:$K, $D:$D, "HomeLoan_BT_more_than_2_Percent", $B:$B, B196)+SUMIFS($K:$K, $D:$D, "HomeLoan_BT_less_than_2_Percent", $B:$B, B196)+SUMIFS($K:$K, $D:$D, "HomeLoan_Non_BT", $B:$B, B196)+SUMIFS($K:$K, $D:$D, "Mortgage_Power_Term", $B:$B, B196), Secured_Commission!$A:$F, 3, 1)*(K196/10^6),
D196="HomeLoan_Non_BT", VLOOKUP(SUMIFS($K:$K, $D:$D, "HomeLoan_BT_more_than_2_Percent", $B:$B, B196)+SUMIFS($K:$K, $D:$D, "HomeLoan_BT_less_than_2_Percent", $B:$B, B196)+SUMIFS($K:$K, $D:$D, "HomeLoan_Non_BT", $B:$B, B196)+SUMIFS($K:$K, $D:$D, "Mortgage_Power_Term", $B:$B, B196), Secured_Commission!$A:$F, 4, 1)*(K196/10^6),
D196="Mortgage_Power_Term", VLOOKUP(SUMIFS($K:$K, $D:$D, "HomeLoan_BT_more_than_2_Percent", $B:$B, B196)+SUMIFS($K:$K, $D:$D, "HomeLoan_BT_less_than_2_Percent", $B:$B, B196)+SUMIFS($K:$K, $D:$D, "HomeLoan_Non_BT", $B:$B, B196)+SUMIFS($K:$K, $D:$D, "Mortgage_Power_Term", $B:$B, B196), Secured_Commission!$A:$F, 5, 1)*(K196/10^6),
D196="Personal_Cash", VLOOKUP(SUMIFS($K:$K, $D:$D, "Personal_Cash", $B:$B, B196), Unsecured_Commission!$A:$B, 2, 1)*K196,
OR(D196="MRTA_3_Percent", D196="SOMPO"), K196*0.03,
D196="MRTA_6_Percent", K196*0.06), 0)</f>
        <v>0</v>
      </c>
    </row>
    <row r="197" spans="1:12">
      <c r="A197" s="19">
        <v>192</v>
      </c>
      <c r="B197" s="46"/>
      <c r="C197" s="46"/>
      <c r="D197" s="46"/>
      <c r="E197" s="46"/>
      <c r="G197" s="58" t="str" cm="1">
        <f t="array" ref="G197">_xlfn.IFS(
AND($C197="Secured", OR($D197="HomeLoan_BT_more_than_2_Percent", $D197="HomeLoan_BT_less_than_2_Percent"), $E197=""), "",
AND($C197="Secured",$E197=""),"others",
AND($C197="Secured",$E197=3),"others",
AND($C197="Secured",$E197=5),"BT_with_5_year_lock_in_period",
TRUE, "")</f>
        <v/>
      </c>
      <c r="H197" s="46"/>
      <c r="I197" s="59" t="str" cm="1">
        <f t="array" ref="I197">_xlfn.IFS(
AND($C197="Secured", OR($D197="HomeLoan_BT_more_than_2_Percent", $D197="HomeLoan_BT_less_than_2_Percent"), OR($E197="", $E197=0)), "Please input Year !!!",
AND($C197="Secured", OR($F197="", $F197=0)), "Please input Amount !!!",
AND($C197="Secured", $F197&lt;5000000), 1,
AND($C197="Secured", $F197&gt;=5000000), 1.1,
TRUE, "")</f>
        <v/>
      </c>
      <c r="J197" s="59" t="str" cm="1">
        <f t="array" ref="J197">IFERROR(_xlfn.IFS(
$G197="BT_with_5_year_lock_in_period", _xlfn.XLOOKUP($H197, Deviate_Table[Pricing discount], Deviate_Table[BT_with_5_year_lock_in_period]),
$G197="others", _xlfn.XLOOKUP($H197, Deviate_Table[Pricing discount], Deviate_Table[others]),
TRUE, ""), "Please input Deviate Range !!!")</f>
        <v/>
      </c>
      <c r="K197" s="49">
        <f t="shared" si="2"/>
        <v>0</v>
      </c>
      <c r="L197" s="65" cm="1">
        <f t="array" aca="1" ref="L197" ca="1">IFERROR(
_xlfn.IFS(
D197="HomeLoan_BT_less_than_2_Percent", VLOOKUP(SUMIFS($K:$K, $D:$D, "HomeLoan_BT_more_than_2_Percent", $B:$B, B197)+SUMIFS($K:$K, $D:$D, "HomeLoan_BT_less_than_2_Percent", $B:$B, B197)+SUMIFS($K:$K, $D:$D, "HomeLoan_Non_BT", $B:$B, B197)+SUMIFS($K:$K, $D:$D, "Mortgage_Power_Term", $B:$B, B197), Secured_Commission!$A:$F, 2, 1)*(K197/10^6),
D197="HomeLoan_BT_more_than_2_Percent", VLOOKUP(SUMIFS($K:$K, $D:$D, "HomeLoan_BT_more_than_2_Percent", $B:$B, B197)+SUMIFS($K:$K, $D:$D, "HomeLoan_BT_less_than_2_Percent", $B:$B, B197)+SUMIFS($K:$K, $D:$D, "HomeLoan_Non_BT", $B:$B, B197)+SUMIFS($K:$K, $D:$D, "Mortgage_Power_Term", $B:$B, B197), Secured_Commission!$A:$F, 3, 1)*(K197/10^6),
D197="HomeLoan_Non_BT", VLOOKUP(SUMIFS($K:$K, $D:$D, "HomeLoan_BT_more_than_2_Percent", $B:$B, B197)+SUMIFS($K:$K, $D:$D, "HomeLoan_BT_less_than_2_Percent", $B:$B, B197)+SUMIFS($K:$K, $D:$D, "HomeLoan_Non_BT", $B:$B, B197)+SUMIFS($K:$K, $D:$D, "Mortgage_Power_Term", $B:$B, B197), Secured_Commission!$A:$F, 4, 1)*(K197/10^6),
D197="Mortgage_Power_Term", VLOOKUP(SUMIFS($K:$K, $D:$D, "HomeLoan_BT_more_than_2_Percent", $B:$B, B197)+SUMIFS($K:$K, $D:$D, "HomeLoan_BT_less_than_2_Percent", $B:$B, B197)+SUMIFS($K:$K, $D:$D, "HomeLoan_Non_BT", $B:$B, B197)+SUMIFS($K:$K, $D:$D, "Mortgage_Power_Term", $B:$B, B197), Secured_Commission!$A:$F, 5, 1)*(K197/10^6),
D197="Personal_Cash", VLOOKUP(SUMIFS($K:$K, $D:$D, "Personal_Cash", $B:$B, B197), Unsecured_Commission!$A:$B, 2, 1)*K197,
OR(D197="MRTA_3_Percent", D197="SOMPO"), K197*0.03,
D197="MRTA_6_Percent", K197*0.06), 0)</f>
        <v>0</v>
      </c>
    </row>
    <row r="198" spans="1:12">
      <c r="A198" s="19">
        <v>193</v>
      </c>
      <c r="B198" s="46"/>
      <c r="C198" s="46"/>
      <c r="D198" s="46"/>
      <c r="E198" s="46"/>
      <c r="G198" s="58" t="str" cm="1">
        <f t="array" ref="G198">_xlfn.IFS(
AND($C198="Secured", OR($D198="HomeLoan_BT_more_than_2_Percent", $D198="HomeLoan_BT_less_than_2_Percent"), $E198=""), "",
AND($C198="Secured",$E198=""),"others",
AND($C198="Secured",$E198=3),"others",
AND($C198="Secured",$E198=5),"BT_with_5_year_lock_in_period",
TRUE, "")</f>
        <v/>
      </c>
      <c r="H198" s="46"/>
      <c r="I198" s="59" t="str" cm="1">
        <f t="array" ref="I198">_xlfn.IFS(
AND($C198="Secured", OR($D198="HomeLoan_BT_more_than_2_Percent", $D198="HomeLoan_BT_less_than_2_Percent"), OR($E198="", $E198=0)), "Please input Year !!!",
AND($C198="Secured", OR($F198="", $F198=0)), "Please input Amount !!!",
AND($C198="Secured", $F198&lt;5000000), 1,
AND($C198="Secured", $F198&gt;=5000000), 1.1,
TRUE, "")</f>
        <v/>
      </c>
      <c r="J198" s="59" t="str" cm="1">
        <f t="array" ref="J198">IFERROR(_xlfn.IFS(
$G198="BT_with_5_year_lock_in_period", _xlfn.XLOOKUP($H198, Deviate_Table[Pricing discount], Deviate_Table[BT_with_5_year_lock_in_period]),
$G198="others", _xlfn.XLOOKUP($H198, Deviate_Table[Pricing discount], Deviate_Table[others]),
TRUE, ""), "Please input Deviate Range !!!")</f>
        <v/>
      </c>
      <c r="K198" s="49">
        <f t="shared" si="2"/>
        <v>0</v>
      </c>
      <c r="L198" s="65" cm="1">
        <f t="array" aca="1" ref="L198" ca="1">IFERROR(
_xlfn.IFS(
D198="HomeLoan_BT_less_than_2_Percent", VLOOKUP(SUMIFS($K:$K, $D:$D, "HomeLoan_BT_more_than_2_Percent", $B:$B, B198)+SUMIFS($K:$K, $D:$D, "HomeLoan_BT_less_than_2_Percent", $B:$B, B198)+SUMIFS($K:$K, $D:$D, "HomeLoan_Non_BT", $B:$B, B198)+SUMIFS($K:$K, $D:$D, "Mortgage_Power_Term", $B:$B, B198), Secured_Commission!$A:$F, 2, 1)*(K198/10^6),
D198="HomeLoan_BT_more_than_2_Percent", VLOOKUP(SUMIFS($K:$K, $D:$D, "HomeLoan_BT_more_than_2_Percent", $B:$B, B198)+SUMIFS($K:$K, $D:$D, "HomeLoan_BT_less_than_2_Percent", $B:$B, B198)+SUMIFS($K:$K, $D:$D, "HomeLoan_Non_BT", $B:$B, B198)+SUMIFS($K:$K, $D:$D, "Mortgage_Power_Term", $B:$B, B198), Secured_Commission!$A:$F, 3, 1)*(K198/10^6),
D198="HomeLoan_Non_BT", VLOOKUP(SUMIFS($K:$K, $D:$D, "HomeLoan_BT_more_than_2_Percent", $B:$B, B198)+SUMIFS($K:$K, $D:$D, "HomeLoan_BT_less_than_2_Percent", $B:$B, B198)+SUMIFS($K:$K, $D:$D, "HomeLoan_Non_BT", $B:$B, B198)+SUMIFS($K:$K, $D:$D, "Mortgage_Power_Term", $B:$B, B198), Secured_Commission!$A:$F, 4, 1)*(K198/10^6),
D198="Mortgage_Power_Term", VLOOKUP(SUMIFS($K:$K, $D:$D, "HomeLoan_BT_more_than_2_Percent", $B:$B, B198)+SUMIFS($K:$K, $D:$D, "HomeLoan_BT_less_than_2_Percent", $B:$B, B198)+SUMIFS($K:$K, $D:$D, "HomeLoan_Non_BT", $B:$B, B198)+SUMIFS($K:$K, $D:$D, "Mortgage_Power_Term", $B:$B, B198), Secured_Commission!$A:$F, 5, 1)*(K198/10^6),
D198="Personal_Cash", VLOOKUP(SUMIFS($K:$K, $D:$D, "Personal_Cash", $B:$B, B198), Unsecured_Commission!$A:$B, 2, 1)*K198,
OR(D198="MRTA_3_Percent", D198="SOMPO"), K198*0.03,
D198="MRTA_6_Percent", K198*0.06), 0)</f>
        <v>0</v>
      </c>
    </row>
    <row r="199" spans="1:12">
      <c r="A199" s="19">
        <v>194</v>
      </c>
      <c r="B199" s="46"/>
      <c r="C199" s="46"/>
      <c r="D199" s="46"/>
      <c r="E199" s="46"/>
      <c r="G199" s="58" t="str" cm="1">
        <f t="array" ref="G199">_xlfn.IFS(
AND($C199="Secured", OR($D199="HomeLoan_BT_more_than_2_Percent", $D199="HomeLoan_BT_less_than_2_Percent"), $E199=""), "",
AND($C199="Secured",$E199=""),"others",
AND($C199="Secured",$E199=3),"others",
AND($C199="Secured",$E199=5),"BT_with_5_year_lock_in_period",
TRUE, "")</f>
        <v/>
      </c>
      <c r="H199" s="46"/>
      <c r="I199" s="59" t="str" cm="1">
        <f t="array" ref="I199">_xlfn.IFS(
AND($C199="Secured", OR($D199="HomeLoan_BT_more_than_2_Percent", $D199="HomeLoan_BT_less_than_2_Percent"), OR($E199="", $E199=0)), "Please input Year !!!",
AND($C199="Secured", OR($F199="", $F199=0)), "Please input Amount !!!",
AND($C199="Secured", $F199&lt;5000000), 1,
AND($C199="Secured", $F199&gt;=5000000), 1.1,
TRUE, "")</f>
        <v/>
      </c>
      <c r="J199" s="59" t="str" cm="1">
        <f t="array" ref="J199">IFERROR(_xlfn.IFS(
$G199="BT_with_5_year_lock_in_period", _xlfn.XLOOKUP($H199, Deviate_Table[Pricing discount], Deviate_Table[BT_with_5_year_lock_in_period]),
$G199="others", _xlfn.XLOOKUP($H199, Deviate_Table[Pricing discount], Deviate_Table[others]),
TRUE, ""), "Please input Deviate Range !!!")</f>
        <v/>
      </c>
      <c r="K199" s="49">
        <f t="shared" ref="K199:K201" si="3">IF($C199="Secured",IFERROR($F199*$I199*$J199, ""), $F199)</f>
        <v>0</v>
      </c>
      <c r="L199" s="65" cm="1">
        <f t="array" aca="1" ref="L199" ca="1">IFERROR(
_xlfn.IFS(
D199="HomeLoan_BT_less_than_2_Percent", VLOOKUP(SUMIFS($K:$K, $D:$D, "HomeLoan_BT_more_than_2_Percent", $B:$B, B199)+SUMIFS($K:$K, $D:$D, "HomeLoan_BT_less_than_2_Percent", $B:$B, B199)+SUMIFS($K:$K, $D:$D, "HomeLoan_Non_BT", $B:$B, B199)+SUMIFS($K:$K, $D:$D, "Mortgage_Power_Term", $B:$B, B199), Secured_Commission!$A:$F, 2, 1)*(K199/10^6),
D199="HomeLoan_BT_more_than_2_Percent", VLOOKUP(SUMIFS($K:$K, $D:$D, "HomeLoan_BT_more_than_2_Percent", $B:$B, B199)+SUMIFS($K:$K, $D:$D, "HomeLoan_BT_less_than_2_Percent", $B:$B, B199)+SUMIFS($K:$K, $D:$D, "HomeLoan_Non_BT", $B:$B, B199)+SUMIFS($K:$K, $D:$D, "Mortgage_Power_Term", $B:$B, B199), Secured_Commission!$A:$F, 3, 1)*(K199/10^6),
D199="HomeLoan_Non_BT", VLOOKUP(SUMIFS($K:$K, $D:$D, "HomeLoan_BT_more_than_2_Percent", $B:$B, B199)+SUMIFS($K:$K, $D:$D, "HomeLoan_BT_less_than_2_Percent", $B:$B, B199)+SUMIFS($K:$K, $D:$D, "HomeLoan_Non_BT", $B:$B, B199)+SUMIFS($K:$K, $D:$D, "Mortgage_Power_Term", $B:$B, B199), Secured_Commission!$A:$F, 4, 1)*(K199/10^6),
D199="Mortgage_Power_Term", VLOOKUP(SUMIFS($K:$K, $D:$D, "HomeLoan_BT_more_than_2_Percent", $B:$B, B199)+SUMIFS($K:$K, $D:$D, "HomeLoan_BT_less_than_2_Percent", $B:$B, B199)+SUMIFS($K:$K, $D:$D, "HomeLoan_Non_BT", $B:$B, B199)+SUMIFS($K:$K, $D:$D, "Mortgage_Power_Term", $B:$B, B199), Secured_Commission!$A:$F, 5, 1)*(K199/10^6),
D199="Personal_Cash", VLOOKUP(SUMIFS($K:$K, $D:$D, "Personal_Cash", $B:$B, B199), Unsecured_Commission!$A:$B, 2, 1)*K199,
OR(D199="MRTA_3_Percent", D199="SOMPO"), K199*0.03,
D199="MRTA_6_Percent", K199*0.06), 0)</f>
        <v>0</v>
      </c>
    </row>
    <row r="200" spans="1:12">
      <c r="A200" s="19">
        <v>195</v>
      </c>
      <c r="B200" s="46"/>
      <c r="C200" s="46"/>
      <c r="D200" s="46"/>
      <c r="E200" s="46"/>
      <c r="G200" s="58" t="str" cm="1">
        <f t="array" ref="G200">_xlfn.IFS(
AND($C200="Secured", OR($D200="HomeLoan_BT_more_than_2_Percent", $D200="HomeLoan_BT_less_than_2_Percent"), $E200=""), "",
AND($C200="Secured",$E200=""),"others",
AND($C200="Secured",$E200=3),"others",
AND($C200="Secured",$E200=5),"BT_with_5_year_lock_in_period",
TRUE, "")</f>
        <v/>
      </c>
      <c r="H200" s="46"/>
      <c r="I200" s="59" t="str" cm="1">
        <f t="array" ref="I200">_xlfn.IFS(
AND($C200="Secured", OR($D200="HomeLoan_BT_more_than_2_Percent", $D200="HomeLoan_BT_less_than_2_Percent"), OR($E200="", $E200=0)), "Please input Year !!!",
AND($C200="Secured", OR($F200="", $F200=0)), "Please input Amount !!!",
AND($C200="Secured", $F200&lt;5000000), 1,
AND($C200="Secured", $F200&gt;=5000000), 1.1,
TRUE, "")</f>
        <v/>
      </c>
      <c r="J200" s="59" t="str" cm="1">
        <f t="array" ref="J200">IFERROR(_xlfn.IFS(
$G200="BT_with_5_year_lock_in_period", _xlfn.XLOOKUP($H200, Deviate_Table[Pricing discount], Deviate_Table[BT_with_5_year_lock_in_period]),
$G200="others", _xlfn.XLOOKUP($H200, Deviate_Table[Pricing discount], Deviate_Table[others]),
TRUE, ""), "Please input Deviate Range !!!")</f>
        <v/>
      </c>
      <c r="K200" s="49">
        <f t="shared" si="3"/>
        <v>0</v>
      </c>
      <c r="L200" s="65" cm="1">
        <f t="array" aca="1" ref="L200" ca="1">IFERROR(
_xlfn.IFS(
D200="HomeLoan_BT_less_than_2_Percent", VLOOKUP(SUMIFS($K:$K, $D:$D, "HomeLoan_BT_more_than_2_Percent", $B:$B, B200)+SUMIFS($K:$K, $D:$D, "HomeLoan_BT_less_than_2_Percent", $B:$B, B200)+SUMIFS($K:$K, $D:$D, "HomeLoan_Non_BT", $B:$B, B200)+SUMIFS($K:$K, $D:$D, "Mortgage_Power_Term", $B:$B, B200), Secured_Commission!$A:$F, 2, 1)*(K200/10^6),
D200="HomeLoan_BT_more_than_2_Percent", VLOOKUP(SUMIFS($K:$K, $D:$D, "HomeLoan_BT_more_than_2_Percent", $B:$B, B200)+SUMIFS($K:$K, $D:$D, "HomeLoan_BT_less_than_2_Percent", $B:$B, B200)+SUMIFS($K:$K, $D:$D, "HomeLoan_Non_BT", $B:$B, B200)+SUMIFS($K:$K, $D:$D, "Mortgage_Power_Term", $B:$B, B200), Secured_Commission!$A:$F, 3, 1)*(K200/10^6),
D200="HomeLoan_Non_BT", VLOOKUP(SUMIFS($K:$K, $D:$D, "HomeLoan_BT_more_than_2_Percent", $B:$B, B200)+SUMIFS($K:$K, $D:$D, "HomeLoan_BT_less_than_2_Percent", $B:$B, B200)+SUMIFS($K:$K, $D:$D, "HomeLoan_Non_BT", $B:$B, B200)+SUMIFS($K:$K, $D:$D, "Mortgage_Power_Term", $B:$B, B200), Secured_Commission!$A:$F, 4, 1)*(K200/10^6),
D200="Mortgage_Power_Term", VLOOKUP(SUMIFS($K:$K, $D:$D, "HomeLoan_BT_more_than_2_Percent", $B:$B, B200)+SUMIFS($K:$K, $D:$D, "HomeLoan_BT_less_than_2_Percent", $B:$B, B200)+SUMIFS($K:$K, $D:$D, "HomeLoan_Non_BT", $B:$B, B200)+SUMIFS($K:$K, $D:$D, "Mortgage_Power_Term", $B:$B, B200), Secured_Commission!$A:$F, 5, 1)*(K200/10^6),
D200="Personal_Cash", VLOOKUP(SUMIFS($K:$K, $D:$D, "Personal_Cash", $B:$B, B200), Unsecured_Commission!$A:$B, 2, 1)*K200,
OR(D200="MRTA_3_Percent", D200="SOMPO"), K200*0.03,
D200="MRTA_6_Percent", K200*0.06), 0)</f>
        <v>0</v>
      </c>
    </row>
    <row r="201" spans="1:12">
      <c r="A201" s="19">
        <v>196</v>
      </c>
      <c r="B201" s="46"/>
      <c r="C201" s="46"/>
      <c r="D201" s="46"/>
      <c r="E201" s="46"/>
      <c r="G201" s="58" t="str" cm="1">
        <f t="array" ref="G201">_xlfn.IFS(
AND($C201="Secured", OR($D201="HomeLoan_BT_more_than_2_Percent", $D201="HomeLoan_BT_less_than_2_Percent"), $E201=""), "",
AND($C201="Secured",$E201=""),"others",
AND($C201="Secured",$E201=3),"others",
AND($C201="Secured",$E201=5),"BT_with_5_year_lock_in_period",
TRUE, "")</f>
        <v/>
      </c>
      <c r="H201" s="46"/>
      <c r="I201" s="59" t="str" cm="1">
        <f t="array" ref="I201">_xlfn.IFS(
AND($C201="Secured", OR($D201="HomeLoan_BT_more_than_2_Percent", $D201="HomeLoan_BT_less_than_2_Percent"), OR($E201="", $E201=0)), "Please input Year !!!",
AND($C201="Secured", OR($F201="", $F201=0)), "Please input Amount !!!",
AND($C201="Secured", $F201&lt;5000000), 1,
AND($C201="Secured", $F201&gt;=5000000), 1.1,
TRUE, "")</f>
        <v/>
      </c>
      <c r="J201" s="59" t="str" cm="1">
        <f t="array" ref="J201">IFERROR(_xlfn.IFS(
$G201="BT_with_5_year_lock_in_period", _xlfn.XLOOKUP($H201, Deviate_Table[Pricing discount], Deviate_Table[BT_with_5_year_lock_in_period]),
$G201="others", _xlfn.XLOOKUP($H201, Deviate_Table[Pricing discount], Deviate_Table[others]),
TRUE, ""), "Please input Deviate Range !!!")</f>
        <v/>
      </c>
      <c r="K201" s="49">
        <f t="shared" si="3"/>
        <v>0</v>
      </c>
      <c r="L201" s="65" cm="1">
        <f t="array" aca="1" ref="L201" ca="1">IFERROR(
_xlfn.IFS(
D201="HomeLoan_BT_less_than_2_Percent", VLOOKUP(SUMIFS($K:$K, $D:$D, "HomeLoan_BT_more_than_2_Percent", $B:$B, B201)+SUMIFS($K:$K, $D:$D, "HomeLoan_BT_less_than_2_Percent", $B:$B, B201)+SUMIFS($K:$K, $D:$D, "HomeLoan_Non_BT", $B:$B, B201)+SUMIFS($K:$K, $D:$D, "Mortgage_Power_Term", $B:$B, B201), Secured_Commission!$A:$F, 2, 1)*(K201/10^6),
D201="HomeLoan_BT_more_than_2_Percent", VLOOKUP(SUMIFS($K:$K, $D:$D, "HomeLoan_BT_more_than_2_Percent", $B:$B, B201)+SUMIFS($K:$K, $D:$D, "HomeLoan_BT_less_than_2_Percent", $B:$B, B201)+SUMIFS($K:$K, $D:$D, "HomeLoan_Non_BT", $B:$B, B201)+SUMIFS($K:$K, $D:$D, "Mortgage_Power_Term", $B:$B, B201), Secured_Commission!$A:$F, 3, 1)*(K201/10^6),
D201="HomeLoan_Non_BT", VLOOKUP(SUMIFS($K:$K, $D:$D, "HomeLoan_BT_more_than_2_Percent", $B:$B, B201)+SUMIFS($K:$K, $D:$D, "HomeLoan_BT_less_than_2_Percent", $B:$B, B201)+SUMIFS($K:$K, $D:$D, "HomeLoan_Non_BT", $B:$B, B201)+SUMIFS($K:$K, $D:$D, "Mortgage_Power_Term", $B:$B, B201), Secured_Commission!$A:$F, 4, 1)*(K201/10^6),
D201="Mortgage_Power_Term", VLOOKUP(SUMIFS($K:$K, $D:$D, "HomeLoan_BT_more_than_2_Percent", $B:$B, B201)+SUMIFS($K:$K, $D:$D, "HomeLoan_BT_less_than_2_Percent", $B:$B, B201)+SUMIFS($K:$K, $D:$D, "HomeLoan_Non_BT", $B:$B, B201)+SUMIFS($K:$K, $D:$D, "Mortgage_Power_Term", $B:$B, B201), Secured_Commission!$A:$F, 5, 1)*(K201/10^6),
D201="Personal_Cash", VLOOKUP(SUMIFS($K:$K, $D:$D, "Personal_Cash", $B:$B, B201), Unsecured_Commission!$A:$B, 2, 1)*K201,
OR(D201="MRTA_3_Percent", D201="SOMPO"), K201*0.03,
D201="MRTA_6_Percent", K201*0.06), 0)</f>
        <v>0</v>
      </c>
    </row>
  </sheetData>
  <sheetProtection algorithmName="SHA-512" hashValue="al4B4LoAMg0Mltpsf+OYPkffieLDj3SfzzM3QF0hliMHg1ehUgZZYWKI5Rh9i3fATP7UD/h80Z0CvFOKUN1vOg==" saltValue="gZZ36mKCwbBFFDKSnli8Sg==" spinCount="100000" sheet="1" objects="1" scenarios="1"/>
  <dataValidations count="5">
    <dataValidation type="list" allowBlank="1" showInputMessage="1" showErrorMessage="1" sqref="D6:D201">
      <formula1>INDIRECT($C6)</formula1>
    </dataValidation>
    <dataValidation type="list" allowBlank="1" showInputMessage="1" showErrorMessage="1" sqref="E6:E201">
      <formula1>INDIRECT($D6)</formula1>
    </dataValidation>
    <dataValidation type="list" allowBlank="1" showInputMessage="1" showErrorMessage="1" sqref="H6:H201">
      <formula1>INDIRECT($G6)</formula1>
    </dataValidation>
    <dataValidation type="list" allowBlank="1" showInputMessage="1" showErrorMessage="1" sqref="B3">
      <formula1>INDIRECT($B$2)</formula1>
    </dataValidation>
    <dataValidation type="list" allowBlank="1" showInputMessage="1" showErrorMessage="1" sqref="B6:B201">
      <formula1>INDIRECT($B$3)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Dropdown_Product!$A$1:$Z$1</xm:f>
          </x14:formula1>
          <xm:sqref>C6:C201</xm:sqref>
        </x14:dataValidation>
        <x14:dataValidation type="list" allowBlank="1" showInputMessage="1" showErrorMessage="1">
          <x14:formula1>
            <xm:f>Dropdown_DS_Zone!$A$1:$B$1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K41"/>
  <sheetViews>
    <sheetView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C12" sqref="C12"/>
    </sheetView>
  </sheetViews>
  <sheetFormatPr defaultColWidth="9" defaultRowHeight="14"/>
  <cols>
    <col min="1" max="1" width="2.08203125" style="25" customWidth="1"/>
    <col min="2" max="2" width="12.75" style="24" customWidth="1"/>
    <col min="3" max="3" width="18.33203125" style="25" bestFit="1" customWidth="1"/>
    <col min="4" max="4" width="21.75" style="25" bestFit="1" customWidth="1"/>
    <col min="5" max="5" width="17.58203125" style="25" bestFit="1" customWidth="1"/>
    <col min="6" max="6" width="18.08203125" style="25" bestFit="1" customWidth="1"/>
    <col min="7" max="7" width="14.08203125" style="25" bestFit="1" customWidth="1"/>
    <col min="8" max="8" width="10.58203125" style="25" bestFit="1" customWidth="1"/>
    <col min="9" max="9" width="16" style="25" bestFit="1" customWidth="1"/>
    <col min="10" max="10" width="10.58203125" style="25" bestFit="1" customWidth="1"/>
    <col min="11" max="11" width="10" style="25" bestFit="1" customWidth="1"/>
    <col min="12" max="16384" width="9" style="25"/>
  </cols>
  <sheetData>
    <row r="1" spans="2:11" ht="14.5" thickBot="1"/>
    <row r="2" spans="2:11" s="26" customFormat="1" ht="39.75" customHeight="1" thickBot="1">
      <c r="B2" s="16" t="s">
        <v>274</v>
      </c>
      <c r="C2" s="15" t="str">
        <f>Detail_Simulation!$B2</f>
        <v>Direct_Sales_1</v>
      </c>
      <c r="D2" s="13"/>
    </row>
    <row r="3" spans="2:11" s="26" customFormat="1" ht="39" customHeight="1" thickBot="1">
      <c r="B3" s="16" t="s">
        <v>1324</v>
      </c>
      <c r="C3" s="15" t="str">
        <f>Detail_Simulation!$B3</f>
        <v>DS1_3_2</v>
      </c>
      <c r="D3" s="13"/>
    </row>
    <row r="5" spans="2:11" s="28" customFormat="1" ht="30.75" customHeight="1" thickBot="1">
      <c r="B5" s="27"/>
      <c r="E5" s="29" t="s">
        <v>1328</v>
      </c>
      <c r="F5" s="30"/>
      <c r="G5" s="30"/>
      <c r="H5" s="30"/>
      <c r="I5" s="31" t="s">
        <v>1327</v>
      </c>
      <c r="J5" s="32" t="s">
        <v>8</v>
      </c>
      <c r="K5" s="33"/>
    </row>
    <row r="6" spans="2:11" s="35" customFormat="1" ht="20.5" thickBot="1">
      <c r="B6" s="34"/>
      <c r="D6" s="36">
        <f ca="1">SUBTOTAL(9, D$8:D$41)</f>
        <v>0</v>
      </c>
      <c r="E6" s="37">
        <f t="shared" ref="E6:K6" ca="1" si="0">SUBTOTAL(9, E$8:E$41)</f>
        <v>0</v>
      </c>
      <c r="F6" s="37">
        <f t="shared" si="0"/>
        <v>0</v>
      </c>
      <c r="G6" s="37">
        <f t="shared" si="0"/>
        <v>0</v>
      </c>
      <c r="H6" s="37">
        <f t="shared" si="0"/>
        <v>0</v>
      </c>
      <c r="I6" s="37">
        <f t="shared" ca="1" si="0"/>
        <v>0</v>
      </c>
      <c r="J6" s="37">
        <f t="shared" ca="1" si="0"/>
        <v>0</v>
      </c>
      <c r="K6" s="37">
        <f t="shared" ca="1" si="0"/>
        <v>0</v>
      </c>
    </row>
    <row r="7" spans="2:11" s="35" customFormat="1" ht="44.25" customHeight="1">
      <c r="B7" s="9" t="s">
        <v>2</v>
      </c>
      <c r="C7" s="10" t="s">
        <v>3</v>
      </c>
      <c r="D7" s="12" t="s">
        <v>1332</v>
      </c>
      <c r="E7" s="11" t="s">
        <v>1329</v>
      </c>
      <c r="F7" s="11" t="s">
        <v>1330</v>
      </c>
      <c r="G7" s="11" t="s">
        <v>1331</v>
      </c>
      <c r="H7" s="14" t="s">
        <v>1333</v>
      </c>
      <c r="I7" s="18" t="s">
        <v>1334</v>
      </c>
      <c r="J7" s="17" t="s">
        <v>1326</v>
      </c>
      <c r="K7" s="17" t="s">
        <v>9</v>
      </c>
    </row>
    <row r="8" spans="2:11" ht="18">
      <c r="B8" s="38">
        <v>1</v>
      </c>
      <c r="C8" s="39" t="str" cm="1">
        <f t="array" ref="C8:C10">_xlfn.UNIQUE(_xlfn._xlws.FILTER(Detail_Simulation!$B$6:$B$201, Detail_Simulation!$B$6:$B$201&lt;&gt;0))</f>
        <v>6560479</v>
      </c>
      <c r="D8" s="40">
        <f>SUM(E8,F8,G8,H8,I8,J8,K8)</f>
        <v>0</v>
      </c>
      <c r="E8" s="41">
        <f>SUMIFS(Detail_Simulation!$L:$L, Detail_Simulation!$B:$B, $C8, Detail_Simulation!$D:$D, "HomeLoan_BT_less_than_2_Percent")</f>
        <v>0</v>
      </c>
      <c r="F8" s="41">
        <f>SUMIFS(Detail_Simulation!$L:$L, Detail_Simulation!$B:$B, $C8, Detail_Simulation!$D:$D, "HomeLoan_BT_more_than_2_Percent")</f>
        <v>0</v>
      </c>
      <c r="G8" s="41">
        <f>SUMIFS(Detail_Simulation!$L:$L, Detail_Simulation!$B:$B, $C8, Detail_Simulation!$D:$D, "HomeLoan_Non_BT")</f>
        <v>0</v>
      </c>
      <c r="H8" s="41">
        <f>SUMIFS(Detail_Simulation!$L:$L, Detail_Simulation!$B:$B, $C8, Detail_Simulation!$D:$D, "Mortgage_Power_Term")</f>
        <v>0</v>
      </c>
      <c r="I8" s="41">
        <f>SUMIFS(Detail_Simulation!$L:$L, Detail_Simulation!$B:$B, $C8, Detail_Simulation!$D:$D, "Personal_Cash")</f>
        <v>0</v>
      </c>
      <c r="J8" s="41">
        <f>SUMIFS(Detail_Simulation!$L:$L, Detail_Simulation!$B:$B, $C8, Detail_Simulation!$D:$D, "MRTA_3_Percent")+
SUMIFS(Detail_Simulation!$L:$L, Detail_Simulation!$B:$B, $C8, Detail_Simulation!$D:$D, "MRTA_6_Percent")</f>
        <v>0</v>
      </c>
      <c r="K8" s="41">
        <f>SUMIFS(Detail_Simulation!$L:$L, Detail_Simulation!$B:$B, $C8, Detail_Simulation!$D:$D, "SOMPO")</f>
        <v>0</v>
      </c>
    </row>
    <row r="9" spans="2:11" ht="18">
      <c r="B9" s="38">
        <v>2</v>
      </c>
      <c r="C9" s="39" t="str">
        <v>6860211</v>
      </c>
      <c r="D9" s="40">
        <f t="shared" ref="D9:D41" ca="1" si="1">SUM(E9,F9,G9,H9,I9,J9,K9)</f>
        <v>0</v>
      </c>
      <c r="E9" s="41">
        <f ca="1">SUMIFS(Detail_Simulation!$L:$L, Detail_Simulation!$B:$B, $C9, Detail_Simulation!$D:$D, "HomeLoan_BT_less_than_2_Percent")</f>
        <v>0</v>
      </c>
      <c r="F9" s="41">
        <f>SUMIFS(Detail_Simulation!$L:$L, Detail_Simulation!$B:$B, $C9, Detail_Simulation!$D:$D, "HomeLoan_BT_more_than_2_Percent")</f>
        <v>0</v>
      </c>
      <c r="G9" s="41">
        <f>SUMIFS(Detail_Simulation!$L:$L, Detail_Simulation!$B:$B, $C9, Detail_Simulation!$D:$D, "HomeLoan_Non_BT")</f>
        <v>0</v>
      </c>
      <c r="H9" s="41">
        <f>SUMIFS(Detail_Simulation!$L:$L, Detail_Simulation!$B:$B, $C9, Detail_Simulation!$D:$D, "Mortgage_Power_Term")</f>
        <v>0</v>
      </c>
      <c r="I9" s="41">
        <f ca="1">SUMIFS(Detail_Simulation!$L:$L, Detail_Simulation!$B:$B, $C9, Detail_Simulation!$D:$D, "Personal_Cash")</f>
        <v>0</v>
      </c>
      <c r="J9" s="41">
        <f ca="1">SUMIFS(Detail_Simulation!$L:$L, Detail_Simulation!$B:$B, $C9, Detail_Simulation!$D:$D, "MRTA_3_Percent")+
SUMIFS(Detail_Simulation!$L:$L, Detail_Simulation!$B:$B, $C9, Detail_Simulation!$D:$D, "MRTA_6_Percent")</f>
        <v>0</v>
      </c>
      <c r="K9" s="41">
        <f>SUMIFS(Detail_Simulation!$L:$L, Detail_Simulation!$B:$B, $C9, Detail_Simulation!$D:$D, "SOMPO")</f>
        <v>0</v>
      </c>
    </row>
    <row r="10" spans="2:11" ht="18">
      <c r="B10" s="38">
        <v>3</v>
      </c>
      <c r="C10" s="39" t="str">
        <v>6860015</v>
      </c>
      <c r="D10" s="40">
        <f t="shared" ca="1" si="1"/>
        <v>0</v>
      </c>
      <c r="E10" s="41">
        <f>SUMIFS(Detail_Simulation!$L:$L, Detail_Simulation!$B:$B, $C10, Detail_Simulation!$D:$D, "HomeLoan_BT_less_than_2_Percent")</f>
        <v>0</v>
      </c>
      <c r="F10" s="41">
        <f>SUMIFS(Detail_Simulation!$L:$L, Detail_Simulation!$B:$B, $C10, Detail_Simulation!$D:$D, "HomeLoan_BT_more_than_2_Percent")</f>
        <v>0</v>
      </c>
      <c r="G10" s="41">
        <f>SUMIFS(Detail_Simulation!$L:$L, Detail_Simulation!$B:$B, $C10, Detail_Simulation!$D:$D, "HomeLoan_Non_BT")</f>
        <v>0</v>
      </c>
      <c r="H10" s="41">
        <f>SUMIFS(Detail_Simulation!$L:$L, Detail_Simulation!$B:$B, $C10, Detail_Simulation!$D:$D, "Mortgage_Power_Term")</f>
        <v>0</v>
      </c>
      <c r="I10" s="41">
        <f>SUMIFS(Detail_Simulation!$L:$L, Detail_Simulation!$B:$B, $C10, Detail_Simulation!$D:$D, "Personal_Cash")</f>
        <v>0</v>
      </c>
      <c r="J10" s="41">
        <f>SUMIFS(Detail_Simulation!$L:$L, Detail_Simulation!$B:$B, $C10, Detail_Simulation!$D:$D, "MRTA_3_Percent")+
SUMIFS(Detail_Simulation!$L:$L, Detail_Simulation!$B:$B, $C10, Detail_Simulation!$D:$D, "MRTA_6_Percent")</f>
        <v>0</v>
      </c>
      <c r="K10" s="41">
        <f ca="1">SUMIFS(Detail_Simulation!$L:$L, Detail_Simulation!$B:$B, $C10, Detail_Simulation!$D:$D, "SOMPO")</f>
        <v>0</v>
      </c>
    </row>
    <row r="11" spans="2:11" ht="18">
      <c r="B11" s="38">
        <v>4</v>
      </c>
      <c r="C11" s="39"/>
      <c r="D11" s="40">
        <f t="shared" si="1"/>
        <v>0</v>
      </c>
      <c r="E11" s="41">
        <f>SUMIFS(Detail_Simulation!$L:$L, Detail_Simulation!$B:$B, $C11, Detail_Simulation!$D:$D, "HomeLoan_BT_less_than_2_Percent")</f>
        <v>0</v>
      </c>
      <c r="F11" s="41">
        <f>SUMIFS(Detail_Simulation!$L:$L, Detail_Simulation!$B:$B, $C11, Detail_Simulation!$D:$D, "HomeLoan_BT_more_than_2_Percent")</f>
        <v>0</v>
      </c>
      <c r="G11" s="41">
        <f>SUMIFS(Detail_Simulation!$L:$L, Detail_Simulation!$B:$B, $C11, Detail_Simulation!$D:$D, "HomeLoan_Non_BT")</f>
        <v>0</v>
      </c>
      <c r="H11" s="41">
        <f>SUMIFS(Detail_Simulation!$L:$L, Detail_Simulation!$B:$B, $C11, Detail_Simulation!$D:$D, "Mortgage_Power_Term")</f>
        <v>0</v>
      </c>
      <c r="I11" s="41">
        <f>SUMIFS(Detail_Simulation!$L:$L, Detail_Simulation!$B:$B, $C11, Detail_Simulation!$D:$D, "Personal_Cash")</f>
        <v>0</v>
      </c>
      <c r="J11" s="41">
        <f>SUMIFS(Detail_Simulation!$L:$L, Detail_Simulation!$B:$B, $C11, Detail_Simulation!$D:$D, "MRTA_3_Percent")+
SUMIFS(Detail_Simulation!$L:$L, Detail_Simulation!$B:$B, $C11, Detail_Simulation!$D:$D, "MRTA_6_Percent")</f>
        <v>0</v>
      </c>
      <c r="K11" s="41">
        <f>SUMIFS(Detail_Simulation!$L:$L, Detail_Simulation!$B:$B, $C11, Detail_Simulation!$D:$D, "SOMPO")</f>
        <v>0</v>
      </c>
    </row>
    <row r="12" spans="2:11" ht="18">
      <c r="B12" s="38">
        <v>5</v>
      </c>
      <c r="C12" s="39"/>
      <c r="D12" s="40">
        <f t="shared" si="1"/>
        <v>0</v>
      </c>
      <c r="E12" s="41">
        <f>SUMIFS(Detail_Simulation!$L:$L, Detail_Simulation!$B:$B, $C12, Detail_Simulation!$D:$D, "HomeLoan_BT_less_than_2_Percent")</f>
        <v>0</v>
      </c>
      <c r="F12" s="41">
        <f>SUMIFS(Detail_Simulation!$L:$L, Detail_Simulation!$B:$B, $C12, Detail_Simulation!$D:$D, "HomeLoan_BT_more_than_2_Percent")</f>
        <v>0</v>
      </c>
      <c r="G12" s="41">
        <f>SUMIFS(Detail_Simulation!$L:$L, Detail_Simulation!$B:$B, $C12, Detail_Simulation!$D:$D, "HomeLoan_Non_BT")</f>
        <v>0</v>
      </c>
      <c r="H12" s="41">
        <f>SUMIFS(Detail_Simulation!$L:$L, Detail_Simulation!$B:$B, $C12, Detail_Simulation!$D:$D, "Mortgage_Power_Term")</f>
        <v>0</v>
      </c>
      <c r="I12" s="41">
        <f>SUMIFS(Detail_Simulation!$L:$L, Detail_Simulation!$B:$B, $C12, Detail_Simulation!$D:$D, "Personal_Cash")</f>
        <v>0</v>
      </c>
      <c r="J12" s="41">
        <f>SUMIFS(Detail_Simulation!$L:$L, Detail_Simulation!$B:$B, $C12, Detail_Simulation!$D:$D, "MRTA_3_Percent")+
SUMIFS(Detail_Simulation!$L:$L, Detail_Simulation!$B:$B, $C12, Detail_Simulation!$D:$D, "MRTA_6_Percent")</f>
        <v>0</v>
      </c>
      <c r="K12" s="41">
        <f>SUMIFS(Detail_Simulation!$L:$L, Detail_Simulation!$B:$B, $C12, Detail_Simulation!$D:$D, "SOMPO")</f>
        <v>0</v>
      </c>
    </row>
    <row r="13" spans="2:11" ht="18">
      <c r="B13" s="38">
        <v>6</v>
      </c>
      <c r="C13" s="39"/>
      <c r="D13" s="40">
        <f t="shared" si="1"/>
        <v>0</v>
      </c>
      <c r="E13" s="41">
        <f>SUMIFS(Detail_Simulation!$L:$L, Detail_Simulation!$B:$B, $C13, Detail_Simulation!$D:$D, "HomeLoan_BT_less_than_2_Percent")</f>
        <v>0</v>
      </c>
      <c r="F13" s="41">
        <f>SUMIFS(Detail_Simulation!$L:$L, Detail_Simulation!$B:$B, $C13, Detail_Simulation!$D:$D, "HomeLoan_BT_more_than_2_Percent")</f>
        <v>0</v>
      </c>
      <c r="G13" s="41">
        <f>SUMIFS(Detail_Simulation!$L:$L, Detail_Simulation!$B:$B, $C13, Detail_Simulation!$D:$D, "HomeLoan_Non_BT")</f>
        <v>0</v>
      </c>
      <c r="H13" s="41">
        <f>SUMIFS(Detail_Simulation!$L:$L, Detail_Simulation!$B:$B, $C13, Detail_Simulation!$D:$D, "Mortgage_Power_Term")</f>
        <v>0</v>
      </c>
      <c r="I13" s="41">
        <f>SUMIFS(Detail_Simulation!$L:$L, Detail_Simulation!$B:$B, $C13, Detail_Simulation!$D:$D, "Personal_Cash")</f>
        <v>0</v>
      </c>
      <c r="J13" s="41">
        <f>SUMIFS(Detail_Simulation!$L:$L, Detail_Simulation!$B:$B, $C13, Detail_Simulation!$D:$D, "MRTA_3_Percent")+
SUMIFS(Detail_Simulation!$L:$L, Detail_Simulation!$B:$B, $C13, Detail_Simulation!$D:$D, "MRTA_6_Percent")</f>
        <v>0</v>
      </c>
      <c r="K13" s="41">
        <f>SUMIFS(Detail_Simulation!$L:$L, Detail_Simulation!$B:$B, $C13, Detail_Simulation!$D:$D, "SOMPO")</f>
        <v>0</v>
      </c>
    </row>
    <row r="14" spans="2:11" ht="18">
      <c r="B14" s="38">
        <v>7</v>
      </c>
      <c r="C14" s="39"/>
      <c r="D14" s="40">
        <f t="shared" si="1"/>
        <v>0</v>
      </c>
      <c r="E14" s="41">
        <f>SUMIFS(Detail_Simulation!$L:$L, Detail_Simulation!$B:$B, $C14, Detail_Simulation!$D:$D, "HomeLoan_BT_less_than_2_Percent")</f>
        <v>0</v>
      </c>
      <c r="F14" s="41">
        <f>SUMIFS(Detail_Simulation!$L:$L, Detail_Simulation!$B:$B, $C14, Detail_Simulation!$D:$D, "HomeLoan_BT_more_than_2_Percent")</f>
        <v>0</v>
      </c>
      <c r="G14" s="41">
        <f>SUMIFS(Detail_Simulation!$L:$L, Detail_Simulation!$B:$B, $C14, Detail_Simulation!$D:$D, "HomeLoan_Non_BT")</f>
        <v>0</v>
      </c>
      <c r="H14" s="41">
        <f>SUMIFS(Detail_Simulation!$L:$L, Detail_Simulation!$B:$B, $C14, Detail_Simulation!$D:$D, "Mortgage_Power_Term")</f>
        <v>0</v>
      </c>
      <c r="I14" s="41">
        <f>SUMIFS(Detail_Simulation!$L:$L, Detail_Simulation!$B:$B, $C14, Detail_Simulation!$D:$D, "Personal_Cash")</f>
        <v>0</v>
      </c>
      <c r="J14" s="41">
        <f>SUMIFS(Detail_Simulation!$L:$L, Detail_Simulation!$B:$B, $C14, Detail_Simulation!$D:$D, "MRTA_3_Percent")+
SUMIFS(Detail_Simulation!$L:$L, Detail_Simulation!$B:$B, $C14, Detail_Simulation!$D:$D, "MRTA_6_Percent")</f>
        <v>0</v>
      </c>
      <c r="K14" s="41">
        <f>SUMIFS(Detail_Simulation!$L:$L, Detail_Simulation!$B:$B, $C14, Detail_Simulation!$D:$D, "SOMPO")</f>
        <v>0</v>
      </c>
    </row>
    <row r="15" spans="2:11" ht="17.5">
      <c r="B15" s="38">
        <v>8</v>
      </c>
      <c r="C15" s="39"/>
      <c r="D15" s="42">
        <f t="shared" si="1"/>
        <v>0</v>
      </c>
      <c r="E15" s="41">
        <f>SUMIFS(Detail_Simulation!$L:$L, Detail_Simulation!$B:$B, $C15, Detail_Simulation!$D:$D, "HomeLoan_BT_less_than_2_Percent")</f>
        <v>0</v>
      </c>
      <c r="F15" s="41">
        <f>SUMIFS(Detail_Simulation!$L:$L, Detail_Simulation!$B:$B, $C15, Detail_Simulation!$D:$D, "HomeLoan_BT_more_than_2_Percent")</f>
        <v>0</v>
      </c>
      <c r="G15" s="41">
        <f>SUMIFS(Detail_Simulation!$L:$L, Detail_Simulation!$B:$B, $C15, Detail_Simulation!$D:$D, "HomeLoan_Non_BT")</f>
        <v>0</v>
      </c>
      <c r="H15" s="41">
        <f>SUMIFS(Detail_Simulation!$L:$L, Detail_Simulation!$B:$B, $C15, Detail_Simulation!$D:$D, "Mortgage_Power_Term")</f>
        <v>0</v>
      </c>
      <c r="I15" s="41">
        <f>SUMIFS(Detail_Simulation!$L:$L, Detail_Simulation!$B:$B, $C15, Detail_Simulation!$D:$D, "Personal_Cash")</f>
        <v>0</v>
      </c>
      <c r="J15" s="41">
        <f>SUMIFS(Detail_Simulation!$L:$L, Detail_Simulation!$B:$B, $C15, Detail_Simulation!$D:$D, "MRTA_3_Percent")+
SUMIFS(Detail_Simulation!$L:$L, Detail_Simulation!$B:$B, $C15, Detail_Simulation!$D:$D, "MRTA_6_Percent")</f>
        <v>0</v>
      </c>
      <c r="K15" s="41">
        <f>SUMIFS(Detail_Simulation!$L:$L, Detail_Simulation!$B:$B, $C15, Detail_Simulation!$D:$D, "SOMPO")</f>
        <v>0</v>
      </c>
    </row>
    <row r="16" spans="2:11" ht="17.5">
      <c r="B16" s="38">
        <v>9</v>
      </c>
      <c r="C16" s="39"/>
      <c r="D16" s="42">
        <f t="shared" si="1"/>
        <v>0</v>
      </c>
      <c r="E16" s="41">
        <f>SUMIFS(Detail_Simulation!$L:$L, Detail_Simulation!$B:$B, $C16, Detail_Simulation!$D:$D, "HomeLoan_BT_less_than_2_Percent")</f>
        <v>0</v>
      </c>
      <c r="F16" s="41">
        <f>SUMIFS(Detail_Simulation!$L:$L, Detail_Simulation!$B:$B, $C16, Detail_Simulation!$D:$D, "HomeLoan_BT_more_than_2_Percent")</f>
        <v>0</v>
      </c>
      <c r="G16" s="41">
        <f>SUMIFS(Detail_Simulation!$L:$L, Detail_Simulation!$B:$B, $C16, Detail_Simulation!$D:$D, "HomeLoan_Non_BT")</f>
        <v>0</v>
      </c>
      <c r="H16" s="41">
        <f>SUMIFS(Detail_Simulation!$L:$L, Detail_Simulation!$B:$B, $C16, Detail_Simulation!$D:$D, "Mortgage_Power_Term")</f>
        <v>0</v>
      </c>
      <c r="I16" s="41">
        <f>SUMIFS(Detail_Simulation!$L:$L, Detail_Simulation!$B:$B, $C16, Detail_Simulation!$D:$D, "Personal_Cash")</f>
        <v>0</v>
      </c>
      <c r="J16" s="41">
        <f>SUMIFS(Detail_Simulation!$L:$L, Detail_Simulation!$B:$B, $C16, Detail_Simulation!$D:$D, "MRTA_3_Percent")+
SUMIFS(Detail_Simulation!$L:$L, Detail_Simulation!$B:$B, $C16, Detail_Simulation!$D:$D, "MRTA_6_Percent")</f>
        <v>0</v>
      </c>
      <c r="K16" s="41">
        <f>SUMIFS(Detail_Simulation!$L:$L, Detail_Simulation!$B:$B, $C16, Detail_Simulation!$D:$D, "SOMPO")</f>
        <v>0</v>
      </c>
    </row>
    <row r="17" spans="2:11" ht="17.5">
      <c r="B17" s="38">
        <v>10</v>
      </c>
      <c r="C17" s="39"/>
      <c r="D17" s="42">
        <f t="shared" si="1"/>
        <v>0</v>
      </c>
      <c r="E17" s="41">
        <f>SUMIFS(Detail_Simulation!$L:$L, Detail_Simulation!$B:$B, $C17, Detail_Simulation!$D:$D, "HomeLoan_BT_less_than_2_Percent")</f>
        <v>0</v>
      </c>
      <c r="F17" s="41">
        <f>SUMIFS(Detail_Simulation!$L:$L, Detail_Simulation!$B:$B, $C17, Detail_Simulation!$D:$D, "HomeLoan_BT_more_than_2_Percent")</f>
        <v>0</v>
      </c>
      <c r="G17" s="41">
        <f>SUMIFS(Detail_Simulation!$L:$L, Detail_Simulation!$B:$B, $C17, Detail_Simulation!$D:$D, "HomeLoan_Non_BT")</f>
        <v>0</v>
      </c>
      <c r="H17" s="41">
        <f>SUMIFS(Detail_Simulation!$L:$L, Detail_Simulation!$B:$B, $C17, Detail_Simulation!$D:$D, "Mortgage_Power_Term")</f>
        <v>0</v>
      </c>
      <c r="I17" s="41">
        <f>SUMIFS(Detail_Simulation!$L:$L, Detail_Simulation!$B:$B, $C17, Detail_Simulation!$D:$D, "Personal_Cash")</f>
        <v>0</v>
      </c>
      <c r="J17" s="41">
        <f>SUMIFS(Detail_Simulation!$L:$L, Detail_Simulation!$B:$B, $C17, Detail_Simulation!$D:$D, "MRTA_3_Percent")+
SUMIFS(Detail_Simulation!$L:$L, Detail_Simulation!$B:$B, $C17, Detail_Simulation!$D:$D, "MRTA_6_Percent")</f>
        <v>0</v>
      </c>
      <c r="K17" s="41">
        <f>SUMIFS(Detail_Simulation!$L:$L, Detail_Simulation!$B:$B, $C17, Detail_Simulation!$D:$D, "SOMPO")</f>
        <v>0</v>
      </c>
    </row>
    <row r="18" spans="2:11" ht="17.5">
      <c r="B18" s="38">
        <v>11</v>
      </c>
      <c r="C18" s="39"/>
      <c r="D18" s="42">
        <f t="shared" si="1"/>
        <v>0</v>
      </c>
      <c r="E18" s="41">
        <f>SUMIFS(Detail_Simulation!$L:$L, Detail_Simulation!$B:$B, $C18, Detail_Simulation!$D:$D, "HomeLoan_BT_less_than_2_Percent")</f>
        <v>0</v>
      </c>
      <c r="F18" s="41">
        <f>SUMIFS(Detail_Simulation!$L:$L, Detail_Simulation!$B:$B, $C18, Detail_Simulation!$D:$D, "HomeLoan_BT_more_than_2_Percent")</f>
        <v>0</v>
      </c>
      <c r="G18" s="41">
        <f>SUMIFS(Detail_Simulation!$L:$L, Detail_Simulation!$B:$B, $C18, Detail_Simulation!$D:$D, "HomeLoan_Non_BT")</f>
        <v>0</v>
      </c>
      <c r="H18" s="41">
        <f>SUMIFS(Detail_Simulation!$L:$L, Detail_Simulation!$B:$B, $C18, Detail_Simulation!$D:$D, "Mortgage_Power_Term")</f>
        <v>0</v>
      </c>
      <c r="I18" s="41">
        <f>SUMIFS(Detail_Simulation!$L:$L, Detail_Simulation!$B:$B, $C18, Detail_Simulation!$D:$D, "Personal_Cash")</f>
        <v>0</v>
      </c>
      <c r="J18" s="41">
        <f>SUMIFS(Detail_Simulation!$L:$L, Detail_Simulation!$B:$B, $C18, Detail_Simulation!$D:$D, "MRTA_3_Percent")+
SUMIFS(Detail_Simulation!$L:$L, Detail_Simulation!$B:$B, $C18, Detail_Simulation!$D:$D, "MRTA_6_Percent")</f>
        <v>0</v>
      </c>
      <c r="K18" s="41">
        <f>SUMIFS(Detail_Simulation!$L:$L, Detail_Simulation!$B:$B, $C18, Detail_Simulation!$D:$D, "SOMPO")</f>
        <v>0</v>
      </c>
    </row>
    <row r="19" spans="2:11" ht="17.5">
      <c r="B19" s="38">
        <v>12</v>
      </c>
      <c r="C19" s="39"/>
      <c r="D19" s="42">
        <f t="shared" si="1"/>
        <v>0</v>
      </c>
      <c r="E19" s="41">
        <f>SUMIFS(Detail_Simulation!$L:$L, Detail_Simulation!$B:$B, $C19, Detail_Simulation!$D:$D, "HomeLoan_BT_less_than_2_Percent")</f>
        <v>0</v>
      </c>
      <c r="F19" s="41">
        <f>SUMIFS(Detail_Simulation!$L:$L, Detail_Simulation!$B:$B, $C19, Detail_Simulation!$D:$D, "HomeLoan_BT_more_than_2_Percent")</f>
        <v>0</v>
      </c>
      <c r="G19" s="41">
        <f>SUMIFS(Detail_Simulation!$L:$L, Detail_Simulation!$B:$B, $C19, Detail_Simulation!$D:$D, "HomeLoan_Non_BT")</f>
        <v>0</v>
      </c>
      <c r="H19" s="41">
        <f>SUMIFS(Detail_Simulation!$L:$L, Detail_Simulation!$B:$B, $C19, Detail_Simulation!$D:$D, "Mortgage_Power_Term")</f>
        <v>0</v>
      </c>
      <c r="I19" s="41">
        <f>SUMIFS(Detail_Simulation!$L:$L, Detail_Simulation!$B:$B, $C19, Detail_Simulation!$D:$D, "Personal_Cash")</f>
        <v>0</v>
      </c>
      <c r="J19" s="41">
        <f>SUMIFS(Detail_Simulation!$L:$L, Detail_Simulation!$B:$B, $C19, Detail_Simulation!$D:$D, "MRTA_3_Percent")+
SUMIFS(Detail_Simulation!$L:$L, Detail_Simulation!$B:$B, $C19, Detail_Simulation!$D:$D, "MRTA_6_Percent")</f>
        <v>0</v>
      </c>
      <c r="K19" s="41">
        <f>SUMIFS(Detail_Simulation!$L:$L, Detail_Simulation!$B:$B, $C19, Detail_Simulation!$D:$D, "SOMPO")</f>
        <v>0</v>
      </c>
    </row>
    <row r="20" spans="2:11" ht="17.5">
      <c r="B20" s="38">
        <v>13</v>
      </c>
      <c r="C20" s="39"/>
      <c r="D20" s="42">
        <f t="shared" si="1"/>
        <v>0</v>
      </c>
      <c r="E20" s="41">
        <f>SUMIFS(Detail_Simulation!$L:$L, Detail_Simulation!$B:$B, $C20, Detail_Simulation!$D:$D, "HomeLoan_BT_less_than_2_Percent")</f>
        <v>0</v>
      </c>
      <c r="F20" s="41">
        <f>SUMIFS(Detail_Simulation!$L:$L, Detail_Simulation!$B:$B, $C20, Detail_Simulation!$D:$D, "HomeLoan_BT_more_than_2_Percent")</f>
        <v>0</v>
      </c>
      <c r="G20" s="41">
        <f>SUMIFS(Detail_Simulation!$L:$L, Detail_Simulation!$B:$B, $C20, Detail_Simulation!$D:$D, "HomeLoan_Non_BT")</f>
        <v>0</v>
      </c>
      <c r="H20" s="41">
        <f>SUMIFS(Detail_Simulation!$L:$L, Detail_Simulation!$B:$B, $C20, Detail_Simulation!$D:$D, "Mortgage_Power_Term")</f>
        <v>0</v>
      </c>
      <c r="I20" s="41">
        <f>SUMIFS(Detail_Simulation!$L:$L, Detail_Simulation!$B:$B, $C20, Detail_Simulation!$D:$D, "Personal_Cash")</f>
        <v>0</v>
      </c>
      <c r="J20" s="41">
        <f>SUMIFS(Detail_Simulation!$L:$L, Detail_Simulation!$B:$B, $C20, Detail_Simulation!$D:$D, "MRTA_3_Percent")+
SUMIFS(Detail_Simulation!$L:$L, Detail_Simulation!$B:$B, $C20, Detail_Simulation!$D:$D, "MRTA_6_Percent")</f>
        <v>0</v>
      </c>
      <c r="K20" s="41">
        <f>SUMIFS(Detail_Simulation!$L:$L, Detail_Simulation!$B:$B, $C20, Detail_Simulation!$D:$D, "SOMPO")</f>
        <v>0</v>
      </c>
    </row>
    <row r="21" spans="2:11" ht="17.5">
      <c r="B21" s="38">
        <v>14</v>
      </c>
      <c r="C21" s="39"/>
      <c r="D21" s="42">
        <f t="shared" si="1"/>
        <v>0</v>
      </c>
      <c r="E21" s="41">
        <f>SUMIFS(Detail_Simulation!$L:$L, Detail_Simulation!$B:$B, $C21, Detail_Simulation!$D:$D, "HomeLoan_BT_less_than_2_Percent")</f>
        <v>0</v>
      </c>
      <c r="F21" s="41">
        <f>SUMIFS(Detail_Simulation!$L:$L, Detail_Simulation!$B:$B, $C21, Detail_Simulation!$D:$D, "HomeLoan_BT_more_than_2_Percent")</f>
        <v>0</v>
      </c>
      <c r="G21" s="41">
        <f>SUMIFS(Detail_Simulation!$L:$L, Detail_Simulation!$B:$B, $C21, Detail_Simulation!$D:$D, "HomeLoan_Non_BT")</f>
        <v>0</v>
      </c>
      <c r="H21" s="41">
        <f>SUMIFS(Detail_Simulation!$L:$L, Detail_Simulation!$B:$B, $C21, Detail_Simulation!$D:$D, "Mortgage_Power_Term")</f>
        <v>0</v>
      </c>
      <c r="I21" s="41">
        <f>SUMIFS(Detail_Simulation!$L:$L, Detail_Simulation!$B:$B, $C21, Detail_Simulation!$D:$D, "Personal_Cash")</f>
        <v>0</v>
      </c>
      <c r="J21" s="41">
        <f>SUMIFS(Detail_Simulation!$L:$L, Detail_Simulation!$B:$B, $C21, Detail_Simulation!$D:$D, "MRTA_3_Percent")+
SUMIFS(Detail_Simulation!$L:$L, Detail_Simulation!$B:$B, $C21, Detail_Simulation!$D:$D, "MRTA_6_Percent")</f>
        <v>0</v>
      </c>
      <c r="K21" s="41">
        <f>SUMIFS(Detail_Simulation!$L:$L, Detail_Simulation!$B:$B, $C21, Detail_Simulation!$D:$D, "SOMPO")</f>
        <v>0</v>
      </c>
    </row>
    <row r="22" spans="2:11" ht="17.5">
      <c r="B22" s="38">
        <v>15</v>
      </c>
      <c r="C22" s="39"/>
      <c r="D22" s="42">
        <f t="shared" si="1"/>
        <v>0</v>
      </c>
      <c r="E22" s="41">
        <f>SUMIFS(Detail_Simulation!$L:$L, Detail_Simulation!$B:$B, $C22, Detail_Simulation!$D:$D, "HomeLoan_BT_less_than_2_Percent")</f>
        <v>0</v>
      </c>
      <c r="F22" s="41">
        <f>SUMIFS(Detail_Simulation!$L:$L, Detail_Simulation!$B:$B, $C22, Detail_Simulation!$D:$D, "HomeLoan_BT_more_than_2_Percent")</f>
        <v>0</v>
      </c>
      <c r="G22" s="41">
        <f>SUMIFS(Detail_Simulation!$L:$L, Detail_Simulation!$B:$B, $C22, Detail_Simulation!$D:$D, "HomeLoan_Non_BT")</f>
        <v>0</v>
      </c>
      <c r="H22" s="41">
        <f>SUMIFS(Detail_Simulation!$L:$L, Detail_Simulation!$B:$B, $C22, Detail_Simulation!$D:$D, "Mortgage_Power_Term")</f>
        <v>0</v>
      </c>
      <c r="I22" s="41">
        <f>SUMIFS(Detail_Simulation!$L:$L, Detail_Simulation!$B:$B, $C22, Detail_Simulation!$D:$D, "Personal_Cash")</f>
        <v>0</v>
      </c>
      <c r="J22" s="41">
        <f>SUMIFS(Detail_Simulation!$L:$L, Detail_Simulation!$B:$B, $C22, Detail_Simulation!$D:$D, "MRTA_3_Percent")+
SUMIFS(Detail_Simulation!$L:$L, Detail_Simulation!$B:$B, $C22, Detail_Simulation!$D:$D, "MRTA_6_Percent")</f>
        <v>0</v>
      </c>
      <c r="K22" s="41">
        <f>SUMIFS(Detail_Simulation!$L:$L, Detail_Simulation!$B:$B, $C22, Detail_Simulation!$D:$D, "SOMPO")</f>
        <v>0</v>
      </c>
    </row>
    <row r="23" spans="2:11" ht="17.5">
      <c r="B23" s="38">
        <v>16</v>
      </c>
      <c r="C23" s="39"/>
      <c r="D23" s="42">
        <f t="shared" si="1"/>
        <v>0</v>
      </c>
      <c r="E23" s="41">
        <f>SUMIFS(Detail_Simulation!$L:$L, Detail_Simulation!$B:$B, $C23, Detail_Simulation!$D:$D, "HomeLoan_BT_less_than_2_Percent")</f>
        <v>0</v>
      </c>
      <c r="F23" s="41">
        <f>SUMIFS(Detail_Simulation!$L:$L, Detail_Simulation!$B:$B, $C23, Detail_Simulation!$D:$D, "HomeLoan_BT_more_than_2_Percent")</f>
        <v>0</v>
      </c>
      <c r="G23" s="41">
        <f>SUMIFS(Detail_Simulation!$L:$L, Detail_Simulation!$B:$B, $C23, Detail_Simulation!$D:$D, "HomeLoan_Non_BT")</f>
        <v>0</v>
      </c>
      <c r="H23" s="41">
        <f>SUMIFS(Detail_Simulation!$L:$L, Detail_Simulation!$B:$B, $C23, Detail_Simulation!$D:$D, "Mortgage_Power_Term")</f>
        <v>0</v>
      </c>
      <c r="I23" s="41">
        <f>SUMIFS(Detail_Simulation!$L:$L, Detail_Simulation!$B:$B, $C23, Detail_Simulation!$D:$D, "Personal_Cash")</f>
        <v>0</v>
      </c>
      <c r="J23" s="41">
        <f>SUMIFS(Detail_Simulation!$L:$L, Detail_Simulation!$B:$B, $C23, Detail_Simulation!$D:$D, "MRTA_3_Percent")+
SUMIFS(Detail_Simulation!$L:$L, Detail_Simulation!$B:$B, $C23, Detail_Simulation!$D:$D, "MRTA_6_Percent")</f>
        <v>0</v>
      </c>
      <c r="K23" s="41">
        <f>SUMIFS(Detail_Simulation!$L:$L, Detail_Simulation!$B:$B, $C23, Detail_Simulation!$D:$D, "SOMPO")</f>
        <v>0</v>
      </c>
    </row>
    <row r="24" spans="2:11" ht="17.5">
      <c r="B24" s="38">
        <v>17</v>
      </c>
      <c r="C24" s="39"/>
      <c r="D24" s="42">
        <f t="shared" si="1"/>
        <v>0</v>
      </c>
      <c r="E24" s="41">
        <f>SUMIFS(Detail_Simulation!$L:$L, Detail_Simulation!$B:$B, $C24, Detail_Simulation!$D:$D, "HomeLoan_BT_less_than_2_Percent")</f>
        <v>0</v>
      </c>
      <c r="F24" s="41">
        <f>SUMIFS(Detail_Simulation!$L:$L, Detail_Simulation!$B:$B, $C24, Detail_Simulation!$D:$D, "HomeLoan_BT_more_than_2_Percent")</f>
        <v>0</v>
      </c>
      <c r="G24" s="41">
        <f>SUMIFS(Detail_Simulation!$L:$L, Detail_Simulation!$B:$B, $C24, Detail_Simulation!$D:$D, "HomeLoan_Non_BT")</f>
        <v>0</v>
      </c>
      <c r="H24" s="41">
        <f>SUMIFS(Detail_Simulation!$L:$L, Detail_Simulation!$B:$B, $C24, Detail_Simulation!$D:$D, "Mortgage_Power_Term")</f>
        <v>0</v>
      </c>
      <c r="I24" s="41">
        <f>SUMIFS(Detail_Simulation!$L:$L, Detail_Simulation!$B:$B, $C24, Detail_Simulation!$D:$D, "Personal_Cash")</f>
        <v>0</v>
      </c>
      <c r="J24" s="41">
        <f>SUMIFS(Detail_Simulation!$L:$L, Detail_Simulation!$B:$B, $C24, Detail_Simulation!$D:$D, "MRTA_3_Percent")+
SUMIFS(Detail_Simulation!$L:$L, Detail_Simulation!$B:$B, $C24, Detail_Simulation!$D:$D, "MRTA_6_Percent")</f>
        <v>0</v>
      </c>
      <c r="K24" s="41">
        <f>SUMIFS(Detail_Simulation!$L:$L, Detail_Simulation!$B:$B, $C24, Detail_Simulation!$D:$D, "SOMPO")</f>
        <v>0</v>
      </c>
    </row>
    <row r="25" spans="2:11" ht="17.5">
      <c r="B25" s="38">
        <v>18</v>
      </c>
      <c r="C25" s="39"/>
      <c r="D25" s="42">
        <f t="shared" si="1"/>
        <v>0</v>
      </c>
      <c r="E25" s="41">
        <f>SUMIFS(Detail_Simulation!$L:$L, Detail_Simulation!$B:$B, $C25, Detail_Simulation!$D:$D, "HomeLoan_BT_less_than_2_Percent")</f>
        <v>0</v>
      </c>
      <c r="F25" s="41">
        <f>SUMIFS(Detail_Simulation!$L:$L, Detail_Simulation!$B:$B, $C25, Detail_Simulation!$D:$D, "HomeLoan_BT_more_than_2_Percent")</f>
        <v>0</v>
      </c>
      <c r="G25" s="41">
        <f>SUMIFS(Detail_Simulation!$L:$L, Detail_Simulation!$B:$B, $C25, Detail_Simulation!$D:$D, "HomeLoan_Non_BT")</f>
        <v>0</v>
      </c>
      <c r="H25" s="41">
        <f>SUMIFS(Detail_Simulation!$L:$L, Detail_Simulation!$B:$B, $C25, Detail_Simulation!$D:$D, "Mortgage_Power_Term")</f>
        <v>0</v>
      </c>
      <c r="I25" s="41">
        <f>SUMIFS(Detail_Simulation!$L:$L, Detail_Simulation!$B:$B, $C25, Detail_Simulation!$D:$D, "Personal_Cash")</f>
        <v>0</v>
      </c>
      <c r="J25" s="41">
        <f>SUMIFS(Detail_Simulation!$L:$L, Detail_Simulation!$B:$B, $C25, Detail_Simulation!$D:$D, "MRTA_3_Percent")+
SUMIFS(Detail_Simulation!$L:$L, Detail_Simulation!$B:$B, $C25, Detail_Simulation!$D:$D, "MRTA_6_Percent")</f>
        <v>0</v>
      </c>
      <c r="K25" s="41">
        <f>SUMIFS(Detail_Simulation!$L:$L, Detail_Simulation!$B:$B, $C25, Detail_Simulation!$D:$D, "SOMPO")</f>
        <v>0</v>
      </c>
    </row>
    <row r="26" spans="2:11" ht="17.5">
      <c r="B26" s="38">
        <v>19</v>
      </c>
      <c r="C26" s="39"/>
      <c r="D26" s="42">
        <f t="shared" si="1"/>
        <v>0</v>
      </c>
      <c r="E26" s="41">
        <f>SUMIFS(Detail_Simulation!$L:$L, Detail_Simulation!$B:$B, $C26, Detail_Simulation!$D:$D, "HomeLoan_BT_less_than_2_Percent")</f>
        <v>0</v>
      </c>
      <c r="F26" s="41">
        <f>SUMIFS(Detail_Simulation!$L:$L, Detail_Simulation!$B:$B, $C26, Detail_Simulation!$D:$D, "HomeLoan_BT_more_than_2_Percent")</f>
        <v>0</v>
      </c>
      <c r="G26" s="41">
        <f>SUMIFS(Detail_Simulation!$L:$L, Detail_Simulation!$B:$B, $C26, Detail_Simulation!$D:$D, "HomeLoan_Non_BT")</f>
        <v>0</v>
      </c>
      <c r="H26" s="41">
        <f>SUMIFS(Detail_Simulation!$L:$L, Detail_Simulation!$B:$B, $C26, Detail_Simulation!$D:$D, "Mortgage_Power_Term")</f>
        <v>0</v>
      </c>
      <c r="I26" s="41">
        <f>SUMIFS(Detail_Simulation!$L:$L, Detail_Simulation!$B:$B, $C26, Detail_Simulation!$D:$D, "Personal_Cash")</f>
        <v>0</v>
      </c>
      <c r="J26" s="41">
        <f>SUMIFS(Detail_Simulation!$L:$L, Detail_Simulation!$B:$B, $C26, Detail_Simulation!$D:$D, "MRTA_3_Percent")+
SUMIFS(Detail_Simulation!$L:$L, Detail_Simulation!$B:$B, $C26, Detail_Simulation!$D:$D, "MRTA_6_Percent")</f>
        <v>0</v>
      </c>
      <c r="K26" s="41">
        <f>SUMIFS(Detail_Simulation!$L:$L, Detail_Simulation!$B:$B, $C26, Detail_Simulation!$D:$D, "SOMPO")</f>
        <v>0</v>
      </c>
    </row>
    <row r="27" spans="2:11" ht="17.5">
      <c r="B27" s="38">
        <v>20</v>
      </c>
      <c r="C27" s="39"/>
      <c r="D27" s="42">
        <f t="shared" si="1"/>
        <v>0</v>
      </c>
      <c r="E27" s="41">
        <f>SUMIFS(Detail_Simulation!$L:$L, Detail_Simulation!$B:$B, $C27, Detail_Simulation!$D:$D, "HomeLoan_BT_less_than_2_Percent")</f>
        <v>0</v>
      </c>
      <c r="F27" s="41">
        <f>SUMIFS(Detail_Simulation!$L:$L, Detail_Simulation!$B:$B, $C27, Detail_Simulation!$D:$D, "HomeLoan_BT_more_than_2_Percent")</f>
        <v>0</v>
      </c>
      <c r="G27" s="41">
        <f>SUMIFS(Detail_Simulation!$L:$L, Detail_Simulation!$B:$B, $C27, Detail_Simulation!$D:$D, "HomeLoan_Non_BT")</f>
        <v>0</v>
      </c>
      <c r="H27" s="41">
        <f>SUMIFS(Detail_Simulation!$L:$L, Detail_Simulation!$B:$B, $C27, Detail_Simulation!$D:$D, "Mortgage_Power_Term")</f>
        <v>0</v>
      </c>
      <c r="I27" s="41">
        <f>SUMIFS(Detail_Simulation!$L:$L, Detail_Simulation!$B:$B, $C27, Detail_Simulation!$D:$D, "Personal_Cash")</f>
        <v>0</v>
      </c>
      <c r="J27" s="41">
        <f>SUMIFS(Detail_Simulation!$L:$L, Detail_Simulation!$B:$B, $C27, Detail_Simulation!$D:$D, "MRTA_3_Percent")+
SUMIFS(Detail_Simulation!$L:$L, Detail_Simulation!$B:$B, $C27, Detail_Simulation!$D:$D, "MRTA_6_Percent")</f>
        <v>0</v>
      </c>
      <c r="K27" s="41">
        <f>SUMIFS(Detail_Simulation!$L:$L, Detail_Simulation!$B:$B, $C27, Detail_Simulation!$D:$D, "SOMPO")</f>
        <v>0</v>
      </c>
    </row>
    <row r="28" spans="2:11" ht="17.5">
      <c r="B28" s="38">
        <v>21</v>
      </c>
      <c r="C28" s="39"/>
      <c r="D28" s="42">
        <f t="shared" si="1"/>
        <v>0</v>
      </c>
      <c r="E28" s="41">
        <f>SUMIFS(Detail_Simulation!$L:$L, Detail_Simulation!$B:$B, $C28, Detail_Simulation!$D:$D, "HomeLoan_BT_less_than_2_Percent")</f>
        <v>0</v>
      </c>
      <c r="F28" s="41">
        <f>SUMIFS(Detail_Simulation!$L:$L, Detail_Simulation!$B:$B, $C28, Detail_Simulation!$D:$D, "HomeLoan_BT_more_than_2_Percent")</f>
        <v>0</v>
      </c>
      <c r="G28" s="41">
        <f>SUMIFS(Detail_Simulation!$L:$L, Detail_Simulation!$B:$B, $C28, Detail_Simulation!$D:$D, "HomeLoan_Non_BT")</f>
        <v>0</v>
      </c>
      <c r="H28" s="41">
        <f>SUMIFS(Detail_Simulation!$L:$L, Detail_Simulation!$B:$B, $C28, Detail_Simulation!$D:$D, "Mortgage_Power_Term")</f>
        <v>0</v>
      </c>
      <c r="I28" s="41">
        <f>SUMIFS(Detail_Simulation!$L:$L, Detail_Simulation!$B:$B, $C28, Detail_Simulation!$D:$D, "Personal_Cash")</f>
        <v>0</v>
      </c>
      <c r="J28" s="41">
        <f>SUMIFS(Detail_Simulation!$L:$L, Detail_Simulation!$B:$B, $C28, Detail_Simulation!$D:$D, "MRTA_3_Percent")+
SUMIFS(Detail_Simulation!$L:$L, Detail_Simulation!$B:$B, $C28, Detail_Simulation!$D:$D, "MRTA_6_Percent")</f>
        <v>0</v>
      </c>
      <c r="K28" s="41">
        <f>SUMIFS(Detail_Simulation!$L:$L, Detail_Simulation!$B:$B, $C28, Detail_Simulation!$D:$D, "SOMPO")</f>
        <v>0</v>
      </c>
    </row>
    <row r="29" spans="2:11" ht="17.5">
      <c r="B29" s="38">
        <v>22</v>
      </c>
      <c r="C29" s="39"/>
      <c r="D29" s="42">
        <f t="shared" si="1"/>
        <v>0</v>
      </c>
      <c r="E29" s="41">
        <f>SUMIFS(Detail_Simulation!$L:$L, Detail_Simulation!$B:$B, $C29, Detail_Simulation!$D:$D, "HomeLoan_BT_less_than_2_Percent")</f>
        <v>0</v>
      </c>
      <c r="F29" s="41">
        <f>SUMIFS(Detail_Simulation!$L:$L, Detail_Simulation!$B:$B, $C29, Detail_Simulation!$D:$D, "HomeLoan_BT_more_than_2_Percent")</f>
        <v>0</v>
      </c>
      <c r="G29" s="41">
        <f>SUMIFS(Detail_Simulation!$L:$L, Detail_Simulation!$B:$B, $C29, Detail_Simulation!$D:$D, "HomeLoan_Non_BT")</f>
        <v>0</v>
      </c>
      <c r="H29" s="41">
        <f>SUMIFS(Detail_Simulation!$L:$L, Detail_Simulation!$B:$B, $C29, Detail_Simulation!$D:$D, "Mortgage_Power_Term")</f>
        <v>0</v>
      </c>
      <c r="I29" s="41">
        <f>SUMIFS(Detail_Simulation!$L:$L, Detail_Simulation!$B:$B, $C29, Detail_Simulation!$D:$D, "Personal_Cash")</f>
        <v>0</v>
      </c>
      <c r="J29" s="41">
        <f>SUMIFS(Detail_Simulation!$L:$L, Detail_Simulation!$B:$B, $C29, Detail_Simulation!$D:$D, "MRTA_3_Percent")+
SUMIFS(Detail_Simulation!$L:$L, Detail_Simulation!$B:$B, $C29, Detail_Simulation!$D:$D, "MRTA_6_Percent")</f>
        <v>0</v>
      </c>
      <c r="K29" s="41">
        <f>SUMIFS(Detail_Simulation!$L:$L, Detail_Simulation!$B:$B, $C29, Detail_Simulation!$D:$D, "SOMPO")</f>
        <v>0</v>
      </c>
    </row>
    <row r="30" spans="2:11" ht="17.5">
      <c r="B30" s="38">
        <v>23</v>
      </c>
      <c r="C30" s="39"/>
      <c r="D30" s="42">
        <f t="shared" si="1"/>
        <v>0</v>
      </c>
      <c r="E30" s="41">
        <f>SUMIFS(Detail_Simulation!$L:$L, Detail_Simulation!$B:$B, $C30, Detail_Simulation!$D:$D, "HomeLoan_BT_less_than_2_Percent")</f>
        <v>0</v>
      </c>
      <c r="F30" s="41">
        <f>SUMIFS(Detail_Simulation!$L:$L, Detail_Simulation!$B:$B, $C30, Detail_Simulation!$D:$D, "HomeLoan_BT_more_than_2_Percent")</f>
        <v>0</v>
      </c>
      <c r="G30" s="41">
        <f>SUMIFS(Detail_Simulation!$L:$L, Detail_Simulation!$B:$B, $C30, Detail_Simulation!$D:$D, "HomeLoan_Non_BT")</f>
        <v>0</v>
      </c>
      <c r="H30" s="41">
        <f>SUMIFS(Detail_Simulation!$L:$L, Detail_Simulation!$B:$B, $C30, Detail_Simulation!$D:$D, "Mortgage_Power_Term")</f>
        <v>0</v>
      </c>
      <c r="I30" s="41">
        <f>SUMIFS(Detail_Simulation!$L:$L, Detail_Simulation!$B:$B, $C30, Detail_Simulation!$D:$D, "Personal_Cash")</f>
        <v>0</v>
      </c>
      <c r="J30" s="41">
        <f>SUMIFS(Detail_Simulation!$L:$L, Detail_Simulation!$B:$B, $C30, Detail_Simulation!$D:$D, "MRTA_3_Percent")+
SUMIFS(Detail_Simulation!$L:$L, Detail_Simulation!$B:$B, $C30, Detail_Simulation!$D:$D, "MRTA_6_Percent")</f>
        <v>0</v>
      </c>
      <c r="K30" s="41">
        <f>SUMIFS(Detail_Simulation!$L:$L, Detail_Simulation!$B:$B, $C30, Detail_Simulation!$D:$D, "SOMPO")</f>
        <v>0</v>
      </c>
    </row>
    <row r="31" spans="2:11" ht="17.5">
      <c r="B31" s="38">
        <v>24</v>
      </c>
      <c r="C31" s="39"/>
      <c r="D31" s="42">
        <f t="shared" si="1"/>
        <v>0</v>
      </c>
      <c r="E31" s="41">
        <f>SUMIFS(Detail_Simulation!$L:$L, Detail_Simulation!$B:$B, $C31, Detail_Simulation!$D:$D, "HomeLoan_BT_less_than_2_Percent")</f>
        <v>0</v>
      </c>
      <c r="F31" s="41">
        <f>SUMIFS(Detail_Simulation!$L:$L, Detail_Simulation!$B:$B, $C31, Detail_Simulation!$D:$D, "HomeLoan_BT_more_than_2_Percent")</f>
        <v>0</v>
      </c>
      <c r="G31" s="41">
        <f>SUMIFS(Detail_Simulation!$L:$L, Detail_Simulation!$B:$B, $C31, Detail_Simulation!$D:$D, "HomeLoan_Non_BT")</f>
        <v>0</v>
      </c>
      <c r="H31" s="41">
        <f>SUMIFS(Detail_Simulation!$L:$L, Detail_Simulation!$B:$B, $C31, Detail_Simulation!$D:$D, "Mortgage_Power_Term")</f>
        <v>0</v>
      </c>
      <c r="I31" s="41">
        <f>SUMIFS(Detail_Simulation!$L:$L, Detail_Simulation!$B:$B, $C31, Detail_Simulation!$D:$D, "Personal_Cash")</f>
        <v>0</v>
      </c>
      <c r="J31" s="41">
        <f>SUMIFS(Detail_Simulation!$L:$L, Detail_Simulation!$B:$B, $C31, Detail_Simulation!$D:$D, "MRTA_3_Percent")+
SUMIFS(Detail_Simulation!$L:$L, Detail_Simulation!$B:$B, $C31, Detail_Simulation!$D:$D, "MRTA_6_Percent")</f>
        <v>0</v>
      </c>
      <c r="K31" s="41">
        <f>SUMIFS(Detail_Simulation!$L:$L, Detail_Simulation!$B:$B, $C31, Detail_Simulation!$D:$D, "SOMPO")</f>
        <v>0</v>
      </c>
    </row>
    <row r="32" spans="2:11" ht="17.5">
      <c r="B32" s="38">
        <v>25</v>
      </c>
      <c r="C32" s="39"/>
      <c r="D32" s="42">
        <f t="shared" si="1"/>
        <v>0</v>
      </c>
      <c r="E32" s="41">
        <f>SUMIFS(Detail_Simulation!$L:$L, Detail_Simulation!$B:$B, $C32, Detail_Simulation!$D:$D, "HomeLoan_BT_less_than_2_Percent")</f>
        <v>0</v>
      </c>
      <c r="F32" s="41">
        <f>SUMIFS(Detail_Simulation!$L:$L, Detail_Simulation!$B:$B, $C32, Detail_Simulation!$D:$D, "HomeLoan_BT_more_than_2_Percent")</f>
        <v>0</v>
      </c>
      <c r="G32" s="41">
        <f>SUMIFS(Detail_Simulation!$L:$L, Detail_Simulation!$B:$B, $C32, Detail_Simulation!$D:$D, "HomeLoan_Non_BT")</f>
        <v>0</v>
      </c>
      <c r="H32" s="41">
        <f>SUMIFS(Detail_Simulation!$L:$L, Detail_Simulation!$B:$B, $C32, Detail_Simulation!$D:$D, "Mortgage_Power_Term")</f>
        <v>0</v>
      </c>
      <c r="I32" s="41">
        <f>SUMIFS(Detail_Simulation!$L:$L, Detail_Simulation!$B:$B, $C32, Detail_Simulation!$D:$D, "Personal_Cash")</f>
        <v>0</v>
      </c>
      <c r="J32" s="41">
        <f>SUMIFS(Detail_Simulation!$L:$L, Detail_Simulation!$B:$B, $C32, Detail_Simulation!$D:$D, "MRTA_3_Percent")+
SUMIFS(Detail_Simulation!$L:$L, Detail_Simulation!$B:$B, $C32, Detail_Simulation!$D:$D, "MRTA_6_Percent")</f>
        <v>0</v>
      </c>
      <c r="K32" s="41">
        <f>SUMIFS(Detail_Simulation!$L:$L, Detail_Simulation!$B:$B, $C32, Detail_Simulation!$D:$D, "SOMPO")</f>
        <v>0</v>
      </c>
    </row>
    <row r="33" spans="2:11" ht="17.5">
      <c r="B33" s="38">
        <v>26</v>
      </c>
      <c r="C33" s="39"/>
      <c r="D33" s="42">
        <f t="shared" si="1"/>
        <v>0</v>
      </c>
      <c r="E33" s="41">
        <f>SUMIFS(Detail_Simulation!$L:$L, Detail_Simulation!$B:$B, $C33, Detail_Simulation!$D:$D, "HomeLoan_BT_less_than_2_Percent")</f>
        <v>0</v>
      </c>
      <c r="F33" s="41">
        <f>SUMIFS(Detail_Simulation!$L:$L, Detail_Simulation!$B:$B, $C33, Detail_Simulation!$D:$D, "HomeLoan_BT_more_than_2_Percent")</f>
        <v>0</v>
      </c>
      <c r="G33" s="41">
        <f>SUMIFS(Detail_Simulation!$L:$L, Detail_Simulation!$B:$B, $C33, Detail_Simulation!$D:$D, "HomeLoan_Non_BT")</f>
        <v>0</v>
      </c>
      <c r="H33" s="41">
        <f>SUMIFS(Detail_Simulation!$L:$L, Detail_Simulation!$B:$B, $C33, Detail_Simulation!$D:$D, "Mortgage_Power_Term")</f>
        <v>0</v>
      </c>
      <c r="I33" s="41">
        <f>SUMIFS(Detail_Simulation!$L:$L, Detail_Simulation!$B:$B, $C33, Detail_Simulation!$D:$D, "Personal_Cash")</f>
        <v>0</v>
      </c>
      <c r="J33" s="41">
        <f>SUMIFS(Detail_Simulation!$L:$L, Detail_Simulation!$B:$B, $C33, Detail_Simulation!$D:$D, "MRTA_3_Percent")+
SUMIFS(Detail_Simulation!$L:$L, Detail_Simulation!$B:$B, $C33, Detail_Simulation!$D:$D, "MRTA_6_Percent")</f>
        <v>0</v>
      </c>
      <c r="K33" s="41">
        <f>SUMIFS(Detail_Simulation!$L:$L, Detail_Simulation!$B:$B, $C33, Detail_Simulation!$D:$D, "SOMPO")</f>
        <v>0</v>
      </c>
    </row>
    <row r="34" spans="2:11" ht="17.5">
      <c r="B34" s="38">
        <v>27</v>
      </c>
      <c r="C34" s="39"/>
      <c r="D34" s="42">
        <f t="shared" si="1"/>
        <v>0</v>
      </c>
      <c r="E34" s="41">
        <f>SUMIFS(Detail_Simulation!$L:$L, Detail_Simulation!$B:$B, $C34, Detail_Simulation!$D:$D, "HomeLoan_BT_less_than_2_Percent")</f>
        <v>0</v>
      </c>
      <c r="F34" s="41">
        <f>SUMIFS(Detail_Simulation!$L:$L, Detail_Simulation!$B:$B, $C34, Detail_Simulation!$D:$D, "HomeLoan_BT_more_than_2_Percent")</f>
        <v>0</v>
      </c>
      <c r="G34" s="41">
        <f>SUMIFS(Detail_Simulation!$L:$L, Detail_Simulation!$B:$B, $C34, Detail_Simulation!$D:$D, "HomeLoan_Non_BT")</f>
        <v>0</v>
      </c>
      <c r="H34" s="41">
        <f>SUMIFS(Detail_Simulation!$L:$L, Detail_Simulation!$B:$B, $C34, Detail_Simulation!$D:$D, "Mortgage_Power_Term")</f>
        <v>0</v>
      </c>
      <c r="I34" s="41">
        <f>SUMIFS(Detail_Simulation!$L:$L, Detail_Simulation!$B:$B, $C34, Detail_Simulation!$D:$D, "Personal_Cash")</f>
        <v>0</v>
      </c>
      <c r="J34" s="41">
        <f>SUMIFS(Detail_Simulation!$L:$L, Detail_Simulation!$B:$B, $C34, Detail_Simulation!$D:$D, "MRTA_3_Percent")+
SUMIFS(Detail_Simulation!$L:$L, Detail_Simulation!$B:$B, $C34, Detail_Simulation!$D:$D, "MRTA_6_Percent")</f>
        <v>0</v>
      </c>
      <c r="K34" s="41">
        <f>SUMIFS(Detail_Simulation!$L:$L, Detail_Simulation!$B:$B, $C34, Detail_Simulation!$D:$D, "SOMPO")</f>
        <v>0</v>
      </c>
    </row>
    <row r="35" spans="2:11" ht="17.5">
      <c r="B35" s="38">
        <v>28</v>
      </c>
      <c r="C35" s="39"/>
      <c r="D35" s="42">
        <f t="shared" si="1"/>
        <v>0</v>
      </c>
      <c r="E35" s="41">
        <f>SUMIFS(Detail_Simulation!$L:$L, Detail_Simulation!$B:$B, $C35, Detail_Simulation!$D:$D, "HomeLoan_BT_less_than_2_Percent")</f>
        <v>0</v>
      </c>
      <c r="F35" s="41">
        <f>SUMIFS(Detail_Simulation!$L:$L, Detail_Simulation!$B:$B, $C35, Detail_Simulation!$D:$D, "HomeLoan_BT_more_than_2_Percent")</f>
        <v>0</v>
      </c>
      <c r="G35" s="41">
        <f>SUMIFS(Detail_Simulation!$L:$L, Detail_Simulation!$B:$B, $C35, Detail_Simulation!$D:$D, "HomeLoan_Non_BT")</f>
        <v>0</v>
      </c>
      <c r="H35" s="41">
        <f>SUMIFS(Detail_Simulation!$L:$L, Detail_Simulation!$B:$B, $C35, Detail_Simulation!$D:$D, "Mortgage_Power_Term")</f>
        <v>0</v>
      </c>
      <c r="I35" s="41">
        <f>SUMIFS(Detail_Simulation!$L:$L, Detail_Simulation!$B:$B, $C35, Detail_Simulation!$D:$D, "Personal_Cash")</f>
        <v>0</v>
      </c>
      <c r="J35" s="41">
        <f>SUMIFS(Detail_Simulation!$L:$L, Detail_Simulation!$B:$B, $C35, Detail_Simulation!$D:$D, "MRTA_3_Percent")+
SUMIFS(Detail_Simulation!$L:$L, Detail_Simulation!$B:$B, $C35, Detail_Simulation!$D:$D, "MRTA_6_Percent")</f>
        <v>0</v>
      </c>
      <c r="K35" s="41">
        <f>SUMIFS(Detail_Simulation!$L:$L, Detail_Simulation!$B:$B, $C35, Detail_Simulation!$D:$D, "SOMPO")</f>
        <v>0</v>
      </c>
    </row>
    <row r="36" spans="2:11" ht="17.5">
      <c r="B36" s="38">
        <v>29</v>
      </c>
      <c r="C36" s="39"/>
      <c r="D36" s="42">
        <f t="shared" si="1"/>
        <v>0</v>
      </c>
      <c r="E36" s="41">
        <f>SUMIFS(Detail_Simulation!$L:$L, Detail_Simulation!$B:$B, $C36, Detail_Simulation!$D:$D, "HomeLoan_BT_less_than_2_Percent")</f>
        <v>0</v>
      </c>
      <c r="F36" s="41">
        <f>SUMIFS(Detail_Simulation!$L:$L, Detail_Simulation!$B:$B, $C36, Detail_Simulation!$D:$D, "HomeLoan_BT_more_than_2_Percent")</f>
        <v>0</v>
      </c>
      <c r="G36" s="41">
        <f>SUMIFS(Detail_Simulation!$L:$L, Detail_Simulation!$B:$B, $C36, Detail_Simulation!$D:$D, "HomeLoan_Non_BT")</f>
        <v>0</v>
      </c>
      <c r="H36" s="41">
        <f>SUMIFS(Detail_Simulation!$L:$L, Detail_Simulation!$B:$B, $C36, Detail_Simulation!$D:$D, "Mortgage_Power_Term")</f>
        <v>0</v>
      </c>
      <c r="I36" s="41">
        <f>SUMIFS(Detail_Simulation!$L:$L, Detail_Simulation!$B:$B, $C36, Detail_Simulation!$D:$D, "Personal_Cash")</f>
        <v>0</v>
      </c>
      <c r="J36" s="41">
        <f>SUMIFS(Detail_Simulation!$L:$L, Detail_Simulation!$B:$B, $C36, Detail_Simulation!$D:$D, "MRTA_3_Percent")+
SUMIFS(Detail_Simulation!$L:$L, Detail_Simulation!$B:$B, $C36, Detail_Simulation!$D:$D, "MRTA_6_Percent")</f>
        <v>0</v>
      </c>
      <c r="K36" s="41">
        <f>SUMIFS(Detail_Simulation!$L:$L, Detail_Simulation!$B:$B, $C36, Detail_Simulation!$D:$D, "SOMPO")</f>
        <v>0</v>
      </c>
    </row>
    <row r="37" spans="2:11" ht="17.5">
      <c r="B37" s="38">
        <v>30</v>
      </c>
      <c r="C37" s="39"/>
      <c r="D37" s="42">
        <f t="shared" si="1"/>
        <v>0</v>
      </c>
      <c r="E37" s="41">
        <f>SUMIFS(Detail_Simulation!$L:$L, Detail_Simulation!$B:$B, $C37, Detail_Simulation!$D:$D, "HomeLoan_BT_less_than_2_Percent")</f>
        <v>0</v>
      </c>
      <c r="F37" s="41">
        <f>SUMIFS(Detail_Simulation!$L:$L, Detail_Simulation!$B:$B, $C37, Detail_Simulation!$D:$D, "HomeLoan_BT_more_than_2_Percent")</f>
        <v>0</v>
      </c>
      <c r="G37" s="41">
        <f>SUMIFS(Detail_Simulation!$L:$L, Detail_Simulation!$B:$B, $C37, Detail_Simulation!$D:$D, "HomeLoan_Non_BT")</f>
        <v>0</v>
      </c>
      <c r="H37" s="41">
        <f>SUMIFS(Detail_Simulation!$L:$L, Detail_Simulation!$B:$B, $C37, Detail_Simulation!$D:$D, "Mortgage_Power_Term")</f>
        <v>0</v>
      </c>
      <c r="I37" s="41">
        <f>SUMIFS(Detail_Simulation!$L:$L, Detail_Simulation!$B:$B, $C37, Detail_Simulation!$D:$D, "Personal_Cash")</f>
        <v>0</v>
      </c>
      <c r="J37" s="41">
        <f>SUMIFS(Detail_Simulation!$L:$L, Detail_Simulation!$B:$B, $C37, Detail_Simulation!$D:$D, "MRTA_3_Percent")+
SUMIFS(Detail_Simulation!$L:$L, Detail_Simulation!$B:$B, $C37, Detail_Simulation!$D:$D, "MRTA_6_Percent")</f>
        <v>0</v>
      </c>
      <c r="K37" s="41">
        <f>SUMIFS(Detail_Simulation!$L:$L, Detail_Simulation!$B:$B, $C37, Detail_Simulation!$D:$D, "SOMPO")</f>
        <v>0</v>
      </c>
    </row>
    <row r="38" spans="2:11" ht="17.5">
      <c r="B38" s="38">
        <v>31</v>
      </c>
      <c r="C38" s="39"/>
      <c r="D38" s="42">
        <f t="shared" si="1"/>
        <v>0</v>
      </c>
      <c r="E38" s="41">
        <f>SUMIFS(Detail_Simulation!$L:$L, Detail_Simulation!$B:$B, $C38, Detail_Simulation!$D:$D, "HomeLoan_BT_less_than_2_Percent")</f>
        <v>0</v>
      </c>
      <c r="F38" s="41">
        <f>SUMIFS(Detail_Simulation!$L:$L, Detail_Simulation!$B:$B, $C38, Detail_Simulation!$D:$D, "HomeLoan_BT_more_than_2_Percent")</f>
        <v>0</v>
      </c>
      <c r="G38" s="41">
        <f>SUMIFS(Detail_Simulation!$L:$L, Detail_Simulation!$B:$B, $C38, Detail_Simulation!$D:$D, "HomeLoan_Non_BT")</f>
        <v>0</v>
      </c>
      <c r="H38" s="41">
        <f>SUMIFS(Detail_Simulation!$L:$L, Detail_Simulation!$B:$B, $C38, Detail_Simulation!$D:$D, "Mortgage_Power_Term")</f>
        <v>0</v>
      </c>
      <c r="I38" s="41">
        <f>SUMIFS(Detail_Simulation!$L:$L, Detail_Simulation!$B:$B, $C38, Detail_Simulation!$D:$D, "Personal_Cash")</f>
        <v>0</v>
      </c>
      <c r="J38" s="41">
        <f>SUMIFS(Detail_Simulation!$L:$L, Detail_Simulation!$B:$B, $C38, Detail_Simulation!$D:$D, "MRTA_3_Percent")+
SUMIFS(Detail_Simulation!$L:$L, Detail_Simulation!$B:$B, $C38, Detail_Simulation!$D:$D, "MRTA_6_Percent")</f>
        <v>0</v>
      </c>
      <c r="K38" s="41">
        <f>SUMIFS(Detail_Simulation!$L:$L, Detail_Simulation!$B:$B, $C38, Detail_Simulation!$D:$D, "SOMPO")</f>
        <v>0</v>
      </c>
    </row>
    <row r="39" spans="2:11" ht="17.5">
      <c r="B39" s="38">
        <v>32</v>
      </c>
      <c r="C39" s="39"/>
      <c r="D39" s="43">
        <f t="shared" si="1"/>
        <v>0</v>
      </c>
      <c r="E39" s="44">
        <f>SUMIFS(Detail_Simulation!$L:$L, Detail_Simulation!$B:$B, $C39, Detail_Simulation!$D:$D, "HomeLoan_BT_less_than_2_Percent")</f>
        <v>0</v>
      </c>
      <c r="F39" s="44">
        <f>SUMIFS(Detail_Simulation!$L:$L, Detail_Simulation!$B:$B, $C39, Detail_Simulation!$D:$D, "HomeLoan_BT_more_than_2_Percent")</f>
        <v>0</v>
      </c>
      <c r="G39" s="44">
        <f>SUMIFS(Detail_Simulation!$L:$L, Detail_Simulation!$B:$B, $C39, Detail_Simulation!$D:$D, "HomeLoan_Non_BT")</f>
        <v>0</v>
      </c>
      <c r="H39" s="44">
        <f>SUMIFS(Detail_Simulation!$L:$L, Detail_Simulation!$B:$B, $C39, Detail_Simulation!$D:$D, "Mortgage_Power_Term")</f>
        <v>0</v>
      </c>
      <c r="I39" s="44">
        <f>SUMIFS(Detail_Simulation!$L:$L, Detail_Simulation!$B:$B, $C39, Detail_Simulation!$D:$D, "Personal_Cash")</f>
        <v>0</v>
      </c>
      <c r="J39" s="44">
        <f>SUMIFS(Detail_Simulation!$L:$L, Detail_Simulation!$B:$B, $C39, Detail_Simulation!$D:$D, "MRTA_3_Percent")+
SUMIFS(Detail_Simulation!$L:$L, Detail_Simulation!$B:$B, $C39, Detail_Simulation!$D:$D, "MRTA_6_Percent")</f>
        <v>0</v>
      </c>
      <c r="K39" s="44">
        <f>SUMIFS(Detail_Simulation!$L:$L, Detail_Simulation!$B:$B, $C39, Detail_Simulation!$D:$D, "SOMPO")</f>
        <v>0</v>
      </c>
    </row>
    <row r="40" spans="2:11" ht="17.5">
      <c r="B40" s="38">
        <v>33</v>
      </c>
      <c r="C40" s="39"/>
      <c r="D40" s="43">
        <f t="shared" si="1"/>
        <v>0</v>
      </c>
      <c r="E40" s="44">
        <f>SUMIFS(Detail_Simulation!$L:$L, Detail_Simulation!$B:$B, $C40, Detail_Simulation!$D:$D, "HomeLoan_BT_less_than_2_Percent")</f>
        <v>0</v>
      </c>
      <c r="F40" s="44">
        <f>SUMIFS(Detail_Simulation!$L:$L, Detail_Simulation!$B:$B, $C40, Detail_Simulation!$D:$D, "HomeLoan_BT_more_than_2_Percent")</f>
        <v>0</v>
      </c>
      <c r="G40" s="44">
        <f>SUMIFS(Detail_Simulation!$L:$L, Detail_Simulation!$B:$B, $C40, Detail_Simulation!$D:$D, "HomeLoan_Non_BT")</f>
        <v>0</v>
      </c>
      <c r="H40" s="44">
        <f>SUMIFS(Detail_Simulation!$L:$L, Detail_Simulation!$B:$B, $C40, Detail_Simulation!$D:$D, "Mortgage_Power_Term")</f>
        <v>0</v>
      </c>
      <c r="I40" s="44">
        <f>SUMIFS(Detail_Simulation!$L:$L, Detail_Simulation!$B:$B, $C40, Detail_Simulation!$D:$D, "Personal_Cash")</f>
        <v>0</v>
      </c>
      <c r="J40" s="44">
        <f>SUMIFS(Detail_Simulation!$L:$L, Detail_Simulation!$B:$B, $C40, Detail_Simulation!$D:$D, "MRTA_3_Percent")+
SUMIFS(Detail_Simulation!$L:$L, Detail_Simulation!$B:$B, $C40, Detail_Simulation!$D:$D, "MRTA_6_Percent")</f>
        <v>0</v>
      </c>
      <c r="K40" s="44">
        <f>SUMIFS(Detail_Simulation!$L:$L, Detail_Simulation!$B:$B, $C40, Detail_Simulation!$D:$D, "SOMPO")</f>
        <v>0</v>
      </c>
    </row>
    <row r="41" spans="2:11" ht="17.5">
      <c r="B41" s="38">
        <v>34</v>
      </c>
      <c r="C41" s="39"/>
      <c r="D41" s="43">
        <f t="shared" si="1"/>
        <v>0</v>
      </c>
      <c r="E41" s="45">
        <f>SUMIFS(Detail_Simulation!$L:$L, Detail_Simulation!$B:$B, $C41, Detail_Simulation!$D:$D, "HomeLoan_BT_less_than_2_Percent")</f>
        <v>0</v>
      </c>
      <c r="F41" s="45">
        <f>SUMIFS(Detail_Simulation!$L:$L, Detail_Simulation!$B:$B, $C41, Detail_Simulation!$D:$D, "HomeLoan_BT_more_than_2_Percent")</f>
        <v>0</v>
      </c>
      <c r="G41" s="45">
        <f>SUMIFS(Detail_Simulation!$L:$L, Detail_Simulation!$B:$B, $C41, Detail_Simulation!$D:$D, "HomeLoan_Non_BT")</f>
        <v>0</v>
      </c>
      <c r="H41" s="45">
        <f>SUMIFS(Detail_Simulation!$L:$L, Detail_Simulation!$B:$B, $C41, Detail_Simulation!$D:$D, "Mortgage_Power_Term")</f>
        <v>0</v>
      </c>
      <c r="I41" s="45">
        <f>SUMIFS(Detail_Simulation!$L:$L, Detail_Simulation!$B:$B, $C41, Detail_Simulation!$D:$D, "Personal_Cash")</f>
        <v>0</v>
      </c>
      <c r="J41" s="45">
        <f>SUMIFS(Detail_Simulation!$L:$L, Detail_Simulation!$B:$B, $C41, Detail_Simulation!$D:$D, "MRTA_3_Percent")+
SUMIFS(Detail_Simulation!$L:$L, Detail_Simulation!$B:$B, $C41, Detail_Simulation!$D:$D, "MRTA_6_Percent")</f>
        <v>0</v>
      </c>
      <c r="K41" s="45">
        <f>SUMIFS(Detail_Simulation!$L:$L, Detail_Simulation!$B:$B, $C41, Detail_Simulation!$D:$D, "SOMPO")</f>
        <v>0</v>
      </c>
    </row>
  </sheetData>
  <sheetProtection algorithmName="SHA-512" hashValue="sUt9D0JMF+qvEUlGAZiUuGt/WtF3heKxt1cHQloWmEpkB5UbvIH4YCytD8UgohvlQLic2C/CkEQLXcAsoUDALw==" saltValue="KSne64WtGoi9Paq7TFABL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4" sqref="A4"/>
    </sheetView>
  </sheetViews>
  <sheetFormatPr defaultRowHeight="14"/>
  <cols>
    <col min="1" max="1" width="11.33203125" bestFit="1" customWidth="1"/>
    <col min="2" max="2" width="31.33203125" bestFit="1" customWidth="1"/>
    <col min="3" max="3" width="32.58203125" bestFit="1" customWidth="1"/>
    <col min="4" max="4" width="17.5" bestFit="1" customWidth="1"/>
    <col min="5" max="5" width="20.25" bestFit="1" customWidth="1"/>
    <col min="6" max="6" width="11.33203125" bestFit="1" customWidth="1"/>
  </cols>
  <sheetData>
    <row r="1" spans="1:6">
      <c r="A1" t="s">
        <v>38</v>
      </c>
      <c r="B1" t="s">
        <v>10</v>
      </c>
      <c r="C1" t="s">
        <v>11</v>
      </c>
      <c r="D1" t="s">
        <v>16</v>
      </c>
      <c r="E1" t="s">
        <v>17</v>
      </c>
      <c r="F1" t="s">
        <v>1325</v>
      </c>
    </row>
    <row r="2" spans="1:6">
      <c r="A2">
        <v>0.1</v>
      </c>
      <c r="B2" s="3">
        <v>1400</v>
      </c>
      <c r="C2" s="3">
        <v>2000</v>
      </c>
      <c r="D2" s="3">
        <v>2400</v>
      </c>
      <c r="E2" s="3">
        <v>5000</v>
      </c>
      <c r="F2" s="3" t="s">
        <v>33</v>
      </c>
    </row>
    <row r="3" spans="1:6">
      <c r="A3">
        <v>3000001</v>
      </c>
      <c r="B3" s="3">
        <v>1750</v>
      </c>
      <c r="C3" s="3">
        <v>2500</v>
      </c>
      <c r="D3" s="3">
        <v>3000</v>
      </c>
      <c r="E3" s="3">
        <v>5000</v>
      </c>
      <c r="F3" s="3" t="s">
        <v>34</v>
      </c>
    </row>
    <row r="4" spans="1:6">
      <c r="A4">
        <v>6000001</v>
      </c>
      <c r="B4" s="3">
        <v>2100</v>
      </c>
      <c r="C4" s="3">
        <v>3000</v>
      </c>
      <c r="D4" s="3">
        <v>3600</v>
      </c>
      <c r="E4" s="3">
        <v>5000</v>
      </c>
      <c r="F4" s="3" t="s">
        <v>35</v>
      </c>
    </row>
    <row r="5" spans="1:6">
      <c r="A5">
        <v>8000001</v>
      </c>
      <c r="B5" s="3">
        <v>2600</v>
      </c>
      <c r="C5" s="3">
        <v>3700</v>
      </c>
      <c r="D5" s="3">
        <v>4400</v>
      </c>
      <c r="E5" s="3">
        <v>5000</v>
      </c>
      <c r="F5" s="3" t="s">
        <v>36</v>
      </c>
    </row>
    <row r="6" spans="1:6">
      <c r="A6">
        <v>12000001</v>
      </c>
      <c r="B6" s="3">
        <v>2800</v>
      </c>
      <c r="C6" s="3">
        <v>4000</v>
      </c>
      <c r="D6" s="3">
        <v>4800</v>
      </c>
      <c r="E6" s="3">
        <v>5000</v>
      </c>
      <c r="F6" s="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4" sqref="A4"/>
    </sheetView>
  </sheetViews>
  <sheetFormatPr defaultRowHeight="14"/>
  <cols>
    <col min="1" max="1" width="25.75" bestFit="1" customWidth="1"/>
    <col min="2" max="2" width="8.08203125" bestFit="1" customWidth="1"/>
  </cols>
  <sheetData>
    <row r="1" spans="1:2">
      <c r="A1" t="s">
        <v>39</v>
      </c>
      <c r="B1" t="s">
        <v>40</v>
      </c>
    </row>
    <row r="2" spans="1:2">
      <c r="A2">
        <v>0</v>
      </c>
      <c r="B2">
        <v>0</v>
      </c>
    </row>
    <row r="3" spans="1:2">
      <c r="A3">
        <v>1000</v>
      </c>
      <c r="B3" s="4">
        <v>0.02</v>
      </c>
    </row>
    <row r="4" spans="1:2">
      <c r="A4">
        <v>600000</v>
      </c>
      <c r="B4" s="4">
        <v>2.3E-2</v>
      </c>
    </row>
    <row r="5" spans="1:2">
      <c r="A5">
        <v>800000</v>
      </c>
      <c r="B5" s="4">
        <v>2.9000000000000001E-2</v>
      </c>
    </row>
    <row r="6" spans="1:2">
      <c r="A6">
        <v>1300000</v>
      </c>
      <c r="B6" s="4">
        <v>3.3000000000000002E-2</v>
      </c>
    </row>
    <row r="7" spans="1:2">
      <c r="A7">
        <v>2000000</v>
      </c>
      <c r="B7" s="4">
        <v>3.4500000000000003E-2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2"/>
  <sheetViews>
    <sheetView topLeftCell="F1" workbookViewId="0">
      <selection activeCell="A4" sqref="A4"/>
    </sheetView>
  </sheetViews>
  <sheetFormatPr defaultRowHeight="14"/>
  <cols>
    <col min="1" max="2" width="7.83203125" bestFit="1" customWidth="1"/>
    <col min="3" max="3" width="11.25" bestFit="1" customWidth="1"/>
    <col min="4" max="4" width="10.83203125" bestFit="1" customWidth="1"/>
    <col min="5" max="5" width="14.25" bestFit="1" customWidth="1"/>
    <col min="6" max="6" width="10.5" bestFit="1" customWidth="1"/>
    <col min="7" max="7" width="13.83203125" bestFit="1" customWidth="1"/>
    <col min="8" max="8" width="11.83203125" bestFit="1" customWidth="1"/>
    <col min="9" max="9" width="13.25" bestFit="1" customWidth="1"/>
    <col min="10" max="10" width="17.25" bestFit="1" customWidth="1"/>
    <col min="11" max="11" width="11.83203125" bestFit="1" customWidth="1"/>
    <col min="12" max="12" width="12.25" bestFit="1" customWidth="1"/>
    <col min="13" max="13" width="16.25" bestFit="1" customWidth="1"/>
    <col min="14" max="14" width="7.58203125" bestFit="1" customWidth="1"/>
    <col min="15" max="15" width="16.83203125" bestFit="1" customWidth="1"/>
    <col min="16" max="16" width="25.25" bestFit="1" customWidth="1"/>
    <col min="17" max="17" width="37.83203125" bestFit="1" customWidth="1"/>
    <col min="18" max="18" width="28.58203125" bestFit="1" customWidth="1"/>
    <col min="19" max="19" width="41.25" bestFit="1" customWidth="1"/>
    <col min="20" max="20" width="26.83203125" bestFit="1" customWidth="1"/>
    <col min="21" max="21" width="39.5" bestFit="1" customWidth="1"/>
    <col min="22" max="22" width="19.5" bestFit="1" customWidth="1"/>
    <col min="23" max="23" width="24.75" bestFit="1" customWidth="1"/>
    <col min="24" max="24" width="18.33203125" bestFit="1" customWidth="1"/>
    <col min="25" max="25" width="22.08203125" bestFit="1" customWidth="1"/>
    <col min="26" max="26" width="15" bestFit="1" customWidth="1"/>
    <col min="27" max="27" width="25.08203125" bestFit="1" customWidth="1"/>
  </cols>
  <sheetData>
    <row r="1" spans="1:27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1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1274</v>
      </c>
    </row>
    <row r="2" spans="1:27">
      <c r="A2">
        <v>1</v>
      </c>
      <c r="B2" t="s">
        <v>44</v>
      </c>
      <c r="C2" t="s">
        <v>289</v>
      </c>
      <c r="D2" t="s">
        <v>290</v>
      </c>
      <c r="E2" t="s">
        <v>291</v>
      </c>
      <c r="F2" t="s">
        <v>292</v>
      </c>
      <c r="H2" s="5"/>
      <c r="I2" t="s">
        <v>215</v>
      </c>
      <c r="J2" t="s">
        <v>293</v>
      </c>
      <c r="K2" t="s">
        <v>41</v>
      </c>
      <c r="N2" t="s">
        <v>213</v>
      </c>
      <c r="O2" t="s">
        <v>215</v>
      </c>
      <c r="P2" t="s">
        <v>294</v>
      </c>
      <c r="Q2" t="s">
        <v>294</v>
      </c>
      <c r="R2" t="s">
        <v>44</v>
      </c>
      <c r="S2" t="s">
        <v>295</v>
      </c>
      <c r="T2" t="s">
        <v>296</v>
      </c>
      <c r="U2" t="s">
        <v>297</v>
      </c>
      <c r="V2" t="s">
        <v>298</v>
      </c>
      <c r="W2" t="s">
        <v>299</v>
      </c>
      <c r="X2" t="s">
        <v>300</v>
      </c>
      <c r="Y2" t="s">
        <v>301</v>
      </c>
      <c r="Z2" t="s">
        <v>302</v>
      </c>
      <c r="AA2" t="s">
        <v>1275</v>
      </c>
    </row>
    <row r="3" spans="1:27">
      <c r="A3">
        <v>2</v>
      </c>
      <c r="B3" t="s">
        <v>45</v>
      </c>
      <c r="C3" t="s">
        <v>289</v>
      </c>
      <c r="D3" t="s">
        <v>303</v>
      </c>
      <c r="E3" t="s">
        <v>304</v>
      </c>
      <c r="F3" t="s">
        <v>292</v>
      </c>
      <c r="H3" s="5"/>
      <c r="I3" t="s">
        <v>216</v>
      </c>
      <c r="J3" t="s">
        <v>293</v>
      </c>
      <c r="K3" t="s">
        <v>41</v>
      </c>
      <c r="N3" t="s">
        <v>213</v>
      </c>
      <c r="O3" t="s">
        <v>216</v>
      </c>
      <c r="P3" t="s">
        <v>294</v>
      </c>
      <c r="Q3" t="s">
        <v>294</v>
      </c>
      <c r="R3" t="s">
        <v>45</v>
      </c>
      <c r="S3" t="s">
        <v>305</v>
      </c>
      <c r="T3" t="s">
        <v>296</v>
      </c>
      <c r="U3" t="s">
        <v>297</v>
      </c>
      <c r="V3" t="s">
        <v>298</v>
      </c>
      <c r="W3" t="s">
        <v>299</v>
      </c>
      <c r="X3" t="s">
        <v>300</v>
      </c>
      <c r="Y3" t="s">
        <v>306</v>
      </c>
      <c r="Z3" t="s">
        <v>302</v>
      </c>
      <c r="AA3" t="s">
        <v>1276</v>
      </c>
    </row>
    <row r="4" spans="1:27">
      <c r="A4">
        <v>3</v>
      </c>
      <c r="B4" t="s">
        <v>46</v>
      </c>
      <c r="C4" t="s">
        <v>307</v>
      </c>
      <c r="D4" t="s">
        <v>308</v>
      </c>
      <c r="E4" t="s">
        <v>309</v>
      </c>
      <c r="F4" t="s">
        <v>292</v>
      </c>
      <c r="H4" s="5"/>
      <c r="I4" t="s">
        <v>217</v>
      </c>
      <c r="J4" t="s">
        <v>293</v>
      </c>
      <c r="K4" t="s">
        <v>41</v>
      </c>
      <c r="N4" t="s">
        <v>213</v>
      </c>
      <c r="O4" t="s">
        <v>217</v>
      </c>
      <c r="P4" t="s">
        <v>294</v>
      </c>
      <c r="Q4" t="s">
        <v>294</v>
      </c>
      <c r="R4" t="s">
        <v>46</v>
      </c>
      <c r="S4" t="s">
        <v>310</v>
      </c>
      <c r="T4" t="s">
        <v>296</v>
      </c>
      <c r="U4" t="s">
        <v>297</v>
      </c>
      <c r="V4" t="s">
        <v>298</v>
      </c>
      <c r="W4" t="s">
        <v>299</v>
      </c>
      <c r="X4" t="s">
        <v>300</v>
      </c>
      <c r="Y4" t="s">
        <v>311</v>
      </c>
      <c r="Z4" t="s">
        <v>302</v>
      </c>
      <c r="AA4" t="s">
        <v>1277</v>
      </c>
    </row>
    <row r="5" spans="1:27">
      <c r="A5">
        <v>4</v>
      </c>
      <c r="B5" t="s">
        <v>47</v>
      </c>
      <c r="C5" t="s">
        <v>307</v>
      </c>
      <c r="D5" t="s">
        <v>312</v>
      </c>
      <c r="E5" t="s">
        <v>313</v>
      </c>
      <c r="F5" t="s">
        <v>292</v>
      </c>
      <c r="H5" s="5"/>
      <c r="I5" t="s">
        <v>218</v>
      </c>
      <c r="J5" t="s">
        <v>293</v>
      </c>
      <c r="K5" t="s">
        <v>41</v>
      </c>
      <c r="N5" t="s">
        <v>213</v>
      </c>
      <c r="O5" t="s">
        <v>218</v>
      </c>
      <c r="P5" t="s">
        <v>294</v>
      </c>
      <c r="Q5" t="s">
        <v>294</v>
      </c>
      <c r="R5" t="s">
        <v>47</v>
      </c>
      <c r="S5" t="s">
        <v>314</v>
      </c>
      <c r="T5" t="s">
        <v>296</v>
      </c>
      <c r="U5" t="s">
        <v>297</v>
      </c>
      <c r="V5" t="s">
        <v>298</v>
      </c>
      <c r="W5" t="s">
        <v>299</v>
      </c>
      <c r="X5" t="s">
        <v>300</v>
      </c>
      <c r="Y5" t="s">
        <v>315</v>
      </c>
      <c r="Z5" t="s">
        <v>302</v>
      </c>
      <c r="AA5" t="s">
        <v>1278</v>
      </c>
    </row>
    <row r="6" spans="1:27">
      <c r="A6">
        <v>5</v>
      </c>
      <c r="B6" t="s">
        <v>48</v>
      </c>
      <c r="C6" t="s">
        <v>307</v>
      </c>
      <c r="D6" t="s">
        <v>316</v>
      </c>
      <c r="E6" t="s">
        <v>317</v>
      </c>
      <c r="F6" t="s">
        <v>292</v>
      </c>
      <c r="H6" s="5"/>
      <c r="I6" t="s">
        <v>219</v>
      </c>
      <c r="J6" t="s">
        <v>293</v>
      </c>
      <c r="K6" t="s">
        <v>41</v>
      </c>
      <c r="N6" t="s">
        <v>213</v>
      </c>
      <c r="O6" t="s">
        <v>219</v>
      </c>
      <c r="P6" t="s">
        <v>294</v>
      </c>
      <c r="Q6" t="s">
        <v>294</v>
      </c>
      <c r="R6" t="s">
        <v>48</v>
      </c>
      <c r="S6" t="s">
        <v>318</v>
      </c>
      <c r="T6" t="s">
        <v>319</v>
      </c>
      <c r="U6" t="s">
        <v>320</v>
      </c>
      <c r="V6" t="s">
        <v>298</v>
      </c>
      <c r="W6" t="s">
        <v>299</v>
      </c>
      <c r="X6" t="s">
        <v>300</v>
      </c>
      <c r="Y6" t="s">
        <v>321</v>
      </c>
      <c r="Z6" t="s">
        <v>302</v>
      </c>
      <c r="AA6" t="s">
        <v>1279</v>
      </c>
    </row>
    <row r="7" spans="1:27">
      <c r="A7">
        <v>6</v>
      </c>
      <c r="B7" t="s">
        <v>49</v>
      </c>
      <c r="C7" t="s">
        <v>289</v>
      </c>
      <c r="D7" t="s">
        <v>322</v>
      </c>
      <c r="E7" t="s">
        <v>323</v>
      </c>
      <c r="F7" t="s">
        <v>292</v>
      </c>
      <c r="H7" s="5">
        <v>43787</v>
      </c>
      <c r="I7" t="s">
        <v>220</v>
      </c>
      <c r="J7" t="s">
        <v>293</v>
      </c>
      <c r="K7" t="s">
        <v>41</v>
      </c>
      <c r="N7" t="s">
        <v>213</v>
      </c>
      <c r="O7" t="s">
        <v>220</v>
      </c>
      <c r="P7" t="s">
        <v>294</v>
      </c>
      <c r="Q7" t="s">
        <v>294</v>
      </c>
      <c r="R7" t="s">
        <v>49</v>
      </c>
      <c r="S7" t="s">
        <v>324</v>
      </c>
      <c r="T7" t="s">
        <v>319</v>
      </c>
      <c r="U7" t="s">
        <v>320</v>
      </c>
      <c r="V7" t="s">
        <v>298</v>
      </c>
      <c r="W7" t="s">
        <v>299</v>
      </c>
      <c r="X7" t="s">
        <v>300</v>
      </c>
      <c r="Y7" t="s">
        <v>325</v>
      </c>
      <c r="Z7" t="s">
        <v>302</v>
      </c>
      <c r="AA7" t="s">
        <v>1280</v>
      </c>
    </row>
    <row r="8" spans="1:27">
      <c r="A8">
        <v>7</v>
      </c>
      <c r="B8" t="s">
        <v>50</v>
      </c>
      <c r="C8" t="s">
        <v>289</v>
      </c>
      <c r="D8" t="s">
        <v>326</v>
      </c>
      <c r="E8" t="s">
        <v>327</v>
      </c>
      <c r="F8" t="s">
        <v>292</v>
      </c>
      <c r="H8" s="5"/>
      <c r="I8" t="s">
        <v>221</v>
      </c>
      <c r="J8" t="s">
        <v>293</v>
      </c>
      <c r="K8" t="s">
        <v>41</v>
      </c>
      <c r="N8" t="s">
        <v>213</v>
      </c>
      <c r="O8" t="s">
        <v>221</v>
      </c>
      <c r="P8" t="s">
        <v>294</v>
      </c>
      <c r="Q8" t="s">
        <v>294</v>
      </c>
      <c r="R8" t="s">
        <v>50</v>
      </c>
      <c r="S8" t="s">
        <v>328</v>
      </c>
      <c r="T8" t="s">
        <v>319</v>
      </c>
      <c r="U8" t="s">
        <v>320</v>
      </c>
      <c r="V8" t="s">
        <v>298</v>
      </c>
      <c r="W8" t="s">
        <v>299</v>
      </c>
      <c r="X8" t="s">
        <v>300</v>
      </c>
      <c r="Y8" t="s">
        <v>329</v>
      </c>
      <c r="Z8" t="s">
        <v>302</v>
      </c>
      <c r="AA8" t="s">
        <v>1281</v>
      </c>
    </row>
    <row r="9" spans="1:27">
      <c r="A9">
        <v>8</v>
      </c>
      <c r="B9" t="s">
        <v>51</v>
      </c>
      <c r="C9" t="s">
        <v>289</v>
      </c>
      <c r="D9" t="s">
        <v>330</v>
      </c>
      <c r="E9" t="s">
        <v>331</v>
      </c>
      <c r="F9" t="s">
        <v>292</v>
      </c>
      <c r="H9" s="5">
        <v>45718</v>
      </c>
      <c r="I9" t="s">
        <v>222</v>
      </c>
      <c r="J9" t="s">
        <v>293</v>
      </c>
      <c r="K9" t="s">
        <v>41</v>
      </c>
      <c r="N9" t="s">
        <v>213</v>
      </c>
      <c r="O9" t="s">
        <v>222</v>
      </c>
      <c r="P9" t="s">
        <v>294</v>
      </c>
      <c r="Q9" t="s">
        <v>294</v>
      </c>
      <c r="R9" t="s">
        <v>51</v>
      </c>
      <c r="S9" t="s">
        <v>332</v>
      </c>
      <c r="T9" t="s">
        <v>319</v>
      </c>
      <c r="U9" t="s">
        <v>320</v>
      </c>
      <c r="V9" t="s">
        <v>298</v>
      </c>
      <c r="W9" t="s">
        <v>299</v>
      </c>
      <c r="X9" t="s">
        <v>300</v>
      </c>
      <c r="Y9" t="s">
        <v>333</v>
      </c>
      <c r="Z9" t="s">
        <v>302</v>
      </c>
      <c r="AA9" t="s">
        <v>1282</v>
      </c>
    </row>
    <row r="10" spans="1:27">
      <c r="A10">
        <v>9</v>
      </c>
      <c r="B10" t="s">
        <v>52</v>
      </c>
      <c r="C10" t="s">
        <v>307</v>
      </c>
      <c r="D10" t="s">
        <v>334</v>
      </c>
      <c r="E10" t="s">
        <v>335</v>
      </c>
      <c r="F10" t="s">
        <v>292</v>
      </c>
      <c r="H10" s="5"/>
      <c r="I10" t="s">
        <v>223</v>
      </c>
      <c r="J10" t="s">
        <v>293</v>
      </c>
      <c r="K10" t="s">
        <v>41</v>
      </c>
      <c r="N10" t="s">
        <v>213</v>
      </c>
      <c r="O10" t="s">
        <v>223</v>
      </c>
      <c r="P10" t="s">
        <v>294</v>
      </c>
      <c r="Q10" t="s">
        <v>294</v>
      </c>
      <c r="R10" t="s">
        <v>52</v>
      </c>
      <c r="S10" t="s">
        <v>336</v>
      </c>
      <c r="T10" t="s">
        <v>337</v>
      </c>
      <c r="U10" t="s">
        <v>338</v>
      </c>
      <c r="V10" t="s">
        <v>298</v>
      </c>
      <c r="W10" t="s">
        <v>299</v>
      </c>
      <c r="X10" t="s">
        <v>300</v>
      </c>
      <c r="Y10" t="s">
        <v>339</v>
      </c>
      <c r="Z10" t="s">
        <v>302</v>
      </c>
      <c r="AA10" t="s">
        <v>1283</v>
      </c>
    </row>
    <row r="11" spans="1:27">
      <c r="A11">
        <v>10</v>
      </c>
      <c r="B11" t="s">
        <v>53</v>
      </c>
      <c r="C11" t="s">
        <v>307</v>
      </c>
      <c r="D11" t="s">
        <v>340</v>
      </c>
      <c r="E11" t="s">
        <v>341</v>
      </c>
      <c r="F11" t="s">
        <v>292</v>
      </c>
      <c r="H11" s="5"/>
      <c r="I11" t="s">
        <v>224</v>
      </c>
      <c r="J11" t="s">
        <v>293</v>
      </c>
      <c r="K11" t="s">
        <v>41</v>
      </c>
      <c r="N11" t="s">
        <v>214</v>
      </c>
      <c r="O11" t="s">
        <v>224</v>
      </c>
      <c r="P11" t="s">
        <v>294</v>
      </c>
      <c r="Q11" t="s">
        <v>294</v>
      </c>
      <c r="R11" t="s">
        <v>53</v>
      </c>
      <c r="S11" t="s">
        <v>342</v>
      </c>
      <c r="T11" t="s">
        <v>337</v>
      </c>
      <c r="U11" t="s">
        <v>338</v>
      </c>
      <c r="V11" t="s">
        <v>298</v>
      </c>
      <c r="W11" t="s">
        <v>299</v>
      </c>
      <c r="X11" t="s">
        <v>300</v>
      </c>
      <c r="Y11" t="s">
        <v>343</v>
      </c>
      <c r="Z11" t="s">
        <v>302</v>
      </c>
      <c r="AA11" t="s">
        <v>1284</v>
      </c>
    </row>
    <row r="12" spans="1:27">
      <c r="A12">
        <v>11</v>
      </c>
      <c r="B12" t="s">
        <v>54</v>
      </c>
      <c r="C12" t="s">
        <v>289</v>
      </c>
      <c r="D12" t="s">
        <v>344</v>
      </c>
      <c r="E12" t="s">
        <v>345</v>
      </c>
      <c r="F12" t="s">
        <v>292</v>
      </c>
      <c r="H12" s="5">
        <v>42681</v>
      </c>
      <c r="I12" t="s">
        <v>225</v>
      </c>
      <c r="J12" t="s">
        <v>293</v>
      </c>
      <c r="K12" t="s">
        <v>41</v>
      </c>
      <c r="N12" t="s">
        <v>213</v>
      </c>
      <c r="O12" t="s">
        <v>225</v>
      </c>
      <c r="P12" t="s">
        <v>294</v>
      </c>
      <c r="Q12" t="s">
        <v>294</v>
      </c>
      <c r="R12" t="s">
        <v>54</v>
      </c>
      <c r="S12" t="s">
        <v>346</v>
      </c>
      <c r="T12" t="s">
        <v>337</v>
      </c>
      <c r="U12" t="s">
        <v>338</v>
      </c>
      <c r="V12" t="s">
        <v>298</v>
      </c>
      <c r="W12" t="s">
        <v>299</v>
      </c>
      <c r="X12" t="s">
        <v>300</v>
      </c>
      <c r="Y12" t="s">
        <v>347</v>
      </c>
      <c r="Z12" t="s">
        <v>302</v>
      </c>
      <c r="AA12" t="s">
        <v>1285</v>
      </c>
    </row>
    <row r="13" spans="1:27">
      <c r="A13">
        <v>12</v>
      </c>
      <c r="B13" t="s">
        <v>55</v>
      </c>
      <c r="C13" t="s">
        <v>307</v>
      </c>
      <c r="D13" t="s">
        <v>348</v>
      </c>
      <c r="E13" t="s">
        <v>349</v>
      </c>
      <c r="F13" t="s">
        <v>292</v>
      </c>
      <c r="H13" s="5">
        <v>43556</v>
      </c>
      <c r="I13" t="s">
        <v>226</v>
      </c>
      <c r="J13" t="s">
        <v>293</v>
      </c>
      <c r="K13" t="s">
        <v>41</v>
      </c>
      <c r="N13" t="s">
        <v>213</v>
      </c>
      <c r="O13" t="s">
        <v>226</v>
      </c>
      <c r="P13" t="s">
        <v>294</v>
      </c>
      <c r="Q13" t="s">
        <v>294</v>
      </c>
      <c r="R13" t="s">
        <v>55</v>
      </c>
      <c r="S13" t="s">
        <v>350</v>
      </c>
      <c r="T13" t="s">
        <v>337</v>
      </c>
      <c r="U13" t="s">
        <v>338</v>
      </c>
      <c r="V13" t="s">
        <v>298</v>
      </c>
      <c r="W13" t="s">
        <v>299</v>
      </c>
      <c r="X13" t="s">
        <v>300</v>
      </c>
      <c r="Y13" t="s">
        <v>351</v>
      </c>
      <c r="Z13" t="s">
        <v>302</v>
      </c>
      <c r="AA13" t="s">
        <v>1286</v>
      </c>
    </row>
    <row r="14" spans="1:27">
      <c r="A14">
        <v>13</v>
      </c>
      <c r="B14" t="s">
        <v>56</v>
      </c>
      <c r="C14" t="s">
        <v>307</v>
      </c>
      <c r="D14" t="s">
        <v>352</v>
      </c>
      <c r="E14" t="s">
        <v>353</v>
      </c>
      <c r="F14" t="s">
        <v>292</v>
      </c>
      <c r="H14" s="5"/>
      <c r="I14" t="s">
        <v>227</v>
      </c>
      <c r="J14" t="s">
        <v>293</v>
      </c>
      <c r="K14" t="s">
        <v>41</v>
      </c>
      <c r="N14" t="s">
        <v>214</v>
      </c>
      <c r="O14" t="s">
        <v>227</v>
      </c>
      <c r="P14" t="s">
        <v>294</v>
      </c>
      <c r="Q14" t="s">
        <v>294</v>
      </c>
      <c r="R14" t="s">
        <v>56</v>
      </c>
      <c r="S14" t="s">
        <v>354</v>
      </c>
      <c r="T14" t="s">
        <v>355</v>
      </c>
      <c r="U14" t="s">
        <v>356</v>
      </c>
      <c r="V14" t="s">
        <v>298</v>
      </c>
      <c r="W14" t="s">
        <v>299</v>
      </c>
      <c r="X14" t="s">
        <v>300</v>
      </c>
      <c r="Y14" t="s">
        <v>357</v>
      </c>
      <c r="Z14" t="s">
        <v>302</v>
      </c>
      <c r="AA14" t="s">
        <v>1287</v>
      </c>
    </row>
    <row r="15" spans="1:27">
      <c r="A15">
        <v>14</v>
      </c>
      <c r="B15" t="s">
        <v>57</v>
      </c>
      <c r="C15" t="s">
        <v>307</v>
      </c>
      <c r="D15" t="s">
        <v>358</v>
      </c>
      <c r="E15" t="s">
        <v>359</v>
      </c>
      <c r="F15" t="s">
        <v>292</v>
      </c>
      <c r="H15" s="5"/>
      <c r="I15" t="s">
        <v>228</v>
      </c>
      <c r="J15" t="s">
        <v>293</v>
      </c>
      <c r="K15" t="s">
        <v>41</v>
      </c>
      <c r="N15" t="s">
        <v>214</v>
      </c>
      <c r="O15" t="s">
        <v>228</v>
      </c>
      <c r="P15" t="s">
        <v>294</v>
      </c>
      <c r="Q15" t="s">
        <v>294</v>
      </c>
      <c r="R15" t="s">
        <v>57</v>
      </c>
      <c r="S15" t="s">
        <v>360</v>
      </c>
      <c r="T15" t="s">
        <v>355</v>
      </c>
      <c r="U15" t="s">
        <v>356</v>
      </c>
      <c r="V15" t="s">
        <v>298</v>
      </c>
      <c r="W15" t="s">
        <v>299</v>
      </c>
      <c r="X15" t="s">
        <v>300</v>
      </c>
      <c r="Y15" t="s">
        <v>361</v>
      </c>
      <c r="Z15" t="s">
        <v>302</v>
      </c>
      <c r="AA15" t="s">
        <v>1288</v>
      </c>
    </row>
    <row r="16" spans="1:27">
      <c r="A16">
        <v>15</v>
      </c>
      <c r="B16" t="s">
        <v>58</v>
      </c>
      <c r="C16" t="s">
        <v>307</v>
      </c>
      <c r="D16" t="s">
        <v>303</v>
      </c>
      <c r="E16" t="s">
        <v>362</v>
      </c>
      <c r="F16" t="s">
        <v>292</v>
      </c>
      <c r="H16" s="5">
        <v>44440</v>
      </c>
      <c r="I16" t="s">
        <v>229</v>
      </c>
      <c r="J16" t="s">
        <v>293</v>
      </c>
      <c r="K16" t="s">
        <v>41</v>
      </c>
      <c r="N16" t="s">
        <v>213</v>
      </c>
      <c r="O16" t="s">
        <v>229</v>
      </c>
      <c r="P16" t="s">
        <v>294</v>
      </c>
      <c r="Q16" t="s">
        <v>294</v>
      </c>
      <c r="R16" t="s">
        <v>58</v>
      </c>
      <c r="S16" t="s">
        <v>363</v>
      </c>
      <c r="T16" t="s">
        <v>355</v>
      </c>
      <c r="U16" t="s">
        <v>356</v>
      </c>
      <c r="V16" t="s">
        <v>298</v>
      </c>
      <c r="W16" t="s">
        <v>299</v>
      </c>
      <c r="X16" t="s">
        <v>300</v>
      </c>
      <c r="Y16" t="s">
        <v>364</v>
      </c>
      <c r="Z16" t="s">
        <v>302</v>
      </c>
      <c r="AA16" t="s">
        <v>1289</v>
      </c>
    </row>
    <row r="17" spans="1:27">
      <c r="A17">
        <v>16</v>
      </c>
      <c r="B17" t="s">
        <v>59</v>
      </c>
      <c r="C17" t="s">
        <v>307</v>
      </c>
      <c r="D17" t="s">
        <v>365</v>
      </c>
      <c r="E17" t="s">
        <v>366</v>
      </c>
      <c r="F17" t="s">
        <v>292</v>
      </c>
      <c r="H17" s="5">
        <v>45719</v>
      </c>
      <c r="I17" t="s">
        <v>230</v>
      </c>
      <c r="J17" t="s">
        <v>293</v>
      </c>
      <c r="K17" t="s">
        <v>41</v>
      </c>
      <c r="N17" t="s">
        <v>213</v>
      </c>
      <c r="O17" t="s">
        <v>230</v>
      </c>
      <c r="P17" t="s">
        <v>294</v>
      </c>
      <c r="Q17" t="s">
        <v>294</v>
      </c>
      <c r="R17" t="s">
        <v>59</v>
      </c>
      <c r="S17" t="s">
        <v>367</v>
      </c>
      <c r="T17" t="s">
        <v>355</v>
      </c>
      <c r="U17" t="s">
        <v>356</v>
      </c>
      <c r="V17" t="s">
        <v>298</v>
      </c>
      <c r="W17" t="s">
        <v>299</v>
      </c>
      <c r="X17" t="s">
        <v>300</v>
      </c>
      <c r="Y17" t="s">
        <v>368</v>
      </c>
      <c r="Z17" t="s">
        <v>302</v>
      </c>
      <c r="AA17" t="s">
        <v>1290</v>
      </c>
    </row>
    <row r="18" spans="1:27">
      <c r="A18">
        <v>17</v>
      </c>
      <c r="B18" t="s">
        <v>60</v>
      </c>
      <c r="C18" t="s">
        <v>289</v>
      </c>
      <c r="D18" t="s">
        <v>369</v>
      </c>
      <c r="E18" t="s">
        <v>370</v>
      </c>
      <c r="F18" t="s">
        <v>292</v>
      </c>
      <c r="H18" s="5"/>
      <c r="I18" t="s">
        <v>231</v>
      </c>
      <c r="J18" t="s">
        <v>293</v>
      </c>
      <c r="K18" t="s">
        <v>41</v>
      </c>
      <c r="N18" t="s">
        <v>214</v>
      </c>
      <c r="O18" t="s">
        <v>231</v>
      </c>
      <c r="P18" t="s">
        <v>294</v>
      </c>
      <c r="Q18" t="s">
        <v>294</v>
      </c>
      <c r="R18" t="s">
        <v>60</v>
      </c>
      <c r="S18" t="s">
        <v>371</v>
      </c>
      <c r="T18" t="s">
        <v>372</v>
      </c>
      <c r="U18" t="s">
        <v>373</v>
      </c>
      <c r="V18" t="s">
        <v>298</v>
      </c>
      <c r="W18" t="s">
        <v>299</v>
      </c>
      <c r="X18" t="s">
        <v>300</v>
      </c>
      <c r="Y18" t="s">
        <v>374</v>
      </c>
      <c r="Z18" t="s">
        <v>302</v>
      </c>
      <c r="AA18" t="s">
        <v>1291</v>
      </c>
    </row>
    <row r="19" spans="1:27">
      <c r="A19">
        <v>18</v>
      </c>
      <c r="B19" t="s">
        <v>61</v>
      </c>
      <c r="C19" t="s">
        <v>289</v>
      </c>
      <c r="D19" t="s">
        <v>375</v>
      </c>
      <c r="E19" t="s">
        <v>376</v>
      </c>
      <c r="F19" t="s">
        <v>292</v>
      </c>
      <c r="H19" s="5"/>
      <c r="I19" t="s">
        <v>232</v>
      </c>
      <c r="J19" t="s">
        <v>293</v>
      </c>
      <c r="K19" t="s">
        <v>41</v>
      </c>
      <c r="N19" t="s">
        <v>214</v>
      </c>
      <c r="O19" t="s">
        <v>232</v>
      </c>
      <c r="P19" t="s">
        <v>294</v>
      </c>
      <c r="Q19" t="s">
        <v>294</v>
      </c>
      <c r="R19" t="s">
        <v>61</v>
      </c>
      <c r="S19" t="s">
        <v>377</v>
      </c>
      <c r="T19" t="s">
        <v>372</v>
      </c>
      <c r="U19" t="s">
        <v>373</v>
      </c>
      <c r="V19" t="s">
        <v>298</v>
      </c>
      <c r="W19" t="s">
        <v>299</v>
      </c>
      <c r="X19" t="s">
        <v>300</v>
      </c>
      <c r="Y19" t="s">
        <v>378</v>
      </c>
      <c r="Z19" t="s">
        <v>302</v>
      </c>
      <c r="AA19" t="s">
        <v>1292</v>
      </c>
    </row>
    <row r="20" spans="1:27">
      <c r="A20">
        <v>19</v>
      </c>
      <c r="B20" t="s">
        <v>62</v>
      </c>
      <c r="C20" t="s">
        <v>307</v>
      </c>
      <c r="D20" t="s">
        <v>379</v>
      </c>
      <c r="E20" t="s">
        <v>380</v>
      </c>
      <c r="F20" t="s">
        <v>292</v>
      </c>
      <c r="H20" s="5"/>
      <c r="I20" t="s">
        <v>233</v>
      </c>
      <c r="J20" t="s">
        <v>293</v>
      </c>
      <c r="K20" t="s">
        <v>41</v>
      </c>
      <c r="N20" t="s">
        <v>214</v>
      </c>
      <c r="O20" t="s">
        <v>233</v>
      </c>
      <c r="P20" t="s">
        <v>294</v>
      </c>
      <c r="Q20" t="s">
        <v>294</v>
      </c>
      <c r="R20" t="s">
        <v>62</v>
      </c>
      <c r="S20" t="s">
        <v>381</v>
      </c>
      <c r="T20" t="s">
        <v>372</v>
      </c>
      <c r="U20" t="s">
        <v>373</v>
      </c>
      <c r="V20" t="s">
        <v>298</v>
      </c>
      <c r="W20" t="s">
        <v>299</v>
      </c>
      <c r="X20" t="s">
        <v>300</v>
      </c>
      <c r="Y20" t="s">
        <v>382</v>
      </c>
      <c r="Z20" t="s">
        <v>302</v>
      </c>
      <c r="AA20" t="s">
        <v>1293</v>
      </c>
    </row>
    <row r="21" spans="1:27">
      <c r="A21">
        <v>20</v>
      </c>
      <c r="B21" t="s">
        <v>63</v>
      </c>
      <c r="C21" t="s">
        <v>307</v>
      </c>
      <c r="D21" t="s">
        <v>383</v>
      </c>
      <c r="E21" t="s">
        <v>384</v>
      </c>
      <c r="F21" t="s">
        <v>292</v>
      </c>
      <c r="H21" s="5">
        <v>45779</v>
      </c>
      <c r="I21" t="s">
        <v>234</v>
      </c>
      <c r="J21" t="s">
        <v>293</v>
      </c>
      <c r="K21" t="s">
        <v>41</v>
      </c>
      <c r="N21" t="s">
        <v>214</v>
      </c>
      <c r="O21" t="s">
        <v>234</v>
      </c>
      <c r="P21" t="s">
        <v>294</v>
      </c>
      <c r="Q21" t="s">
        <v>294</v>
      </c>
      <c r="R21" t="s">
        <v>63</v>
      </c>
      <c r="S21" t="s">
        <v>385</v>
      </c>
      <c r="T21" t="s">
        <v>372</v>
      </c>
      <c r="U21" t="s">
        <v>373</v>
      </c>
      <c r="V21" t="s">
        <v>298</v>
      </c>
      <c r="W21" t="s">
        <v>299</v>
      </c>
      <c r="X21" t="s">
        <v>300</v>
      </c>
      <c r="Y21" t="s">
        <v>386</v>
      </c>
      <c r="Z21" t="s">
        <v>302</v>
      </c>
      <c r="AA21" t="s">
        <v>1294</v>
      </c>
    </row>
    <row r="22" spans="1:27">
      <c r="A22">
        <v>21</v>
      </c>
      <c r="B22" t="s">
        <v>64</v>
      </c>
      <c r="C22" t="s">
        <v>307</v>
      </c>
      <c r="D22" t="s">
        <v>387</v>
      </c>
      <c r="E22" t="s">
        <v>388</v>
      </c>
      <c r="F22" t="s">
        <v>292</v>
      </c>
      <c r="H22" s="5"/>
      <c r="I22" t="s">
        <v>235</v>
      </c>
      <c r="J22" t="s">
        <v>293</v>
      </c>
      <c r="K22" t="s">
        <v>41</v>
      </c>
      <c r="N22" t="s">
        <v>214</v>
      </c>
      <c r="O22" t="s">
        <v>235</v>
      </c>
      <c r="P22" t="s">
        <v>294</v>
      </c>
      <c r="Q22" t="s">
        <v>294</v>
      </c>
      <c r="R22" t="s">
        <v>64</v>
      </c>
      <c r="S22" t="s">
        <v>389</v>
      </c>
      <c r="T22" t="s">
        <v>390</v>
      </c>
      <c r="U22" t="s">
        <v>391</v>
      </c>
      <c r="V22" t="s">
        <v>298</v>
      </c>
      <c r="W22" t="s">
        <v>299</v>
      </c>
      <c r="X22" t="s">
        <v>300</v>
      </c>
      <c r="Y22" t="s">
        <v>392</v>
      </c>
      <c r="Z22" t="s">
        <v>302</v>
      </c>
      <c r="AA22" t="s">
        <v>1295</v>
      </c>
    </row>
    <row r="23" spans="1:27">
      <c r="A23">
        <v>22</v>
      </c>
      <c r="B23" t="s">
        <v>65</v>
      </c>
      <c r="C23" t="s">
        <v>289</v>
      </c>
      <c r="D23" t="s">
        <v>393</v>
      </c>
      <c r="E23" t="s">
        <v>394</v>
      </c>
      <c r="F23" t="s">
        <v>292</v>
      </c>
      <c r="H23" s="5"/>
      <c r="I23" t="s">
        <v>236</v>
      </c>
      <c r="J23" t="s">
        <v>293</v>
      </c>
      <c r="K23" t="s">
        <v>41</v>
      </c>
      <c r="N23" t="s">
        <v>214</v>
      </c>
      <c r="O23" t="s">
        <v>236</v>
      </c>
      <c r="P23" t="s">
        <v>294</v>
      </c>
      <c r="Q23" t="s">
        <v>294</v>
      </c>
      <c r="R23" t="s">
        <v>65</v>
      </c>
      <c r="S23" t="s">
        <v>395</v>
      </c>
      <c r="T23" t="s">
        <v>390</v>
      </c>
      <c r="U23" t="s">
        <v>391</v>
      </c>
      <c r="V23" t="s">
        <v>298</v>
      </c>
      <c r="W23" t="s">
        <v>299</v>
      </c>
      <c r="X23" t="s">
        <v>300</v>
      </c>
      <c r="Y23" t="s">
        <v>396</v>
      </c>
      <c r="Z23" t="s">
        <v>302</v>
      </c>
      <c r="AA23" t="s">
        <v>1296</v>
      </c>
    </row>
    <row r="24" spans="1:27">
      <c r="A24">
        <v>23</v>
      </c>
      <c r="B24" t="s">
        <v>66</v>
      </c>
      <c r="C24" t="s">
        <v>289</v>
      </c>
      <c r="D24" t="s">
        <v>397</v>
      </c>
      <c r="E24" t="s">
        <v>398</v>
      </c>
      <c r="F24" t="s">
        <v>292</v>
      </c>
      <c r="H24" s="5">
        <v>45201</v>
      </c>
      <c r="I24" t="s">
        <v>237</v>
      </c>
      <c r="J24" t="s">
        <v>293</v>
      </c>
      <c r="K24" t="s">
        <v>41</v>
      </c>
      <c r="N24" t="s">
        <v>214</v>
      </c>
      <c r="O24" t="s">
        <v>237</v>
      </c>
      <c r="P24" t="s">
        <v>294</v>
      </c>
      <c r="Q24" t="s">
        <v>294</v>
      </c>
      <c r="R24" t="s">
        <v>66</v>
      </c>
      <c r="S24" t="s">
        <v>399</v>
      </c>
      <c r="T24" t="s">
        <v>390</v>
      </c>
      <c r="U24" t="s">
        <v>391</v>
      </c>
      <c r="V24" t="s">
        <v>298</v>
      </c>
      <c r="W24" t="s">
        <v>299</v>
      </c>
      <c r="X24" t="s">
        <v>300</v>
      </c>
      <c r="Y24" t="s">
        <v>400</v>
      </c>
      <c r="Z24" t="s">
        <v>302</v>
      </c>
      <c r="AA24" t="s">
        <v>1297</v>
      </c>
    </row>
    <row r="25" spans="1:27">
      <c r="A25">
        <v>24</v>
      </c>
      <c r="B25" t="s">
        <v>67</v>
      </c>
      <c r="C25" t="s">
        <v>307</v>
      </c>
      <c r="D25" t="s">
        <v>401</v>
      </c>
      <c r="E25" t="s">
        <v>402</v>
      </c>
      <c r="F25" t="s">
        <v>292</v>
      </c>
      <c r="H25" s="5">
        <v>45931</v>
      </c>
      <c r="I25" t="s">
        <v>238</v>
      </c>
      <c r="J25" t="s">
        <v>293</v>
      </c>
      <c r="K25" t="s">
        <v>41</v>
      </c>
      <c r="N25" t="s">
        <v>214</v>
      </c>
      <c r="O25" t="s">
        <v>238</v>
      </c>
      <c r="P25" t="s">
        <v>294</v>
      </c>
      <c r="Q25" t="s">
        <v>294</v>
      </c>
      <c r="R25" t="s">
        <v>67</v>
      </c>
      <c r="S25" t="s">
        <v>403</v>
      </c>
      <c r="T25" t="s">
        <v>390</v>
      </c>
      <c r="U25" t="s">
        <v>391</v>
      </c>
      <c r="V25" t="s">
        <v>298</v>
      </c>
      <c r="W25" t="s">
        <v>299</v>
      </c>
      <c r="X25" t="s">
        <v>300</v>
      </c>
      <c r="Y25" t="s">
        <v>404</v>
      </c>
      <c r="Z25" t="s">
        <v>302</v>
      </c>
      <c r="AA25" t="s">
        <v>1298</v>
      </c>
    </row>
    <row r="26" spans="1:27">
      <c r="A26">
        <v>25</v>
      </c>
      <c r="B26" t="s">
        <v>405</v>
      </c>
      <c r="C26" t="s">
        <v>289</v>
      </c>
      <c r="D26" t="s">
        <v>406</v>
      </c>
      <c r="E26" t="s">
        <v>407</v>
      </c>
      <c r="F26" t="s">
        <v>292</v>
      </c>
      <c r="H26" s="5">
        <v>43601</v>
      </c>
      <c r="I26" t="s">
        <v>239</v>
      </c>
      <c r="J26" t="s">
        <v>408</v>
      </c>
      <c r="K26" t="s">
        <v>409</v>
      </c>
      <c r="N26" t="s">
        <v>213</v>
      </c>
      <c r="O26" t="s">
        <v>239</v>
      </c>
      <c r="P26" t="s">
        <v>294</v>
      </c>
      <c r="Q26" t="s">
        <v>294</v>
      </c>
      <c r="R26" t="s">
        <v>405</v>
      </c>
      <c r="S26" t="s">
        <v>410</v>
      </c>
      <c r="T26" t="s">
        <v>411</v>
      </c>
      <c r="U26" t="s">
        <v>412</v>
      </c>
      <c r="V26" t="s">
        <v>413</v>
      </c>
      <c r="W26" t="s">
        <v>414</v>
      </c>
      <c r="X26" t="s">
        <v>300</v>
      </c>
      <c r="Y26" t="s">
        <v>415</v>
      </c>
      <c r="Z26" t="s">
        <v>302</v>
      </c>
      <c r="AA26" t="s">
        <v>1299</v>
      </c>
    </row>
    <row r="27" spans="1:27">
      <c r="A27">
        <v>26</v>
      </c>
      <c r="B27" t="s">
        <v>416</v>
      </c>
      <c r="C27" t="s">
        <v>289</v>
      </c>
      <c r="D27" t="s">
        <v>417</v>
      </c>
      <c r="E27" t="s">
        <v>418</v>
      </c>
      <c r="F27" t="s">
        <v>292</v>
      </c>
      <c r="H27" s="5">
        <v>43556</v>
      </c>
      <c r="I27" t="s">
        <v>240</v>
      </c>
      <c r="J27" t="s">
        <v>408</v>
      </c>
      <c r="K27" t="s">
        <v>409</v>
      </c>
      <c r="N27" t="s">
        <v>213</v>
      </c>
      <c r="O27" t="s">
        <v>240</v>
      </c>
      <c r="P27" t="s">
        <v>294</v>
      </c>
      <c r="Q27" t="s">
        <v>294</v>
      </c>
      <c r="R27" t="s">
        <v>416</v>
      </c>
      <c r="S27" t="s">
        <v>419</v>
      </c>
      <c r="T27" t="s">
        <v>420</v>
      </c>
      <c r="U27" t="s">
        <v>421</v>
      </c>
      <c r="V27" t="s">
        <v>413</v>
      </c>
      <c r="W27" t="s">
        <v>414</v>
      </c>
      <c r="X27" t="s">
        <v>300</v>
      </c>
      <c r="Y27" t="s">
        <v>422</v>
      </c>
      <c r="Z27" t="s">
        <v>302</v>
      </c>
      <c r="AA27" t="s">
        <v>1300</v>
      </c>
    </row>
    <row r="28" spans="1:27">
      <c r="A28">
        <v>27</v>
      </c>
      <c r="B28" t="s">
        <v>423</v>
      </c>
      <c r="C28" t="s">
        <v>289</v>
      </c>
      <c r="D28" t="s">
        <v>424</v>
      </c>
      <c r="E28" t="s">
        <v>425</v>
      </c>
      <c r="F28" t="s">
        <v>292</v>
      </c>
      <c r="H28" s="5">
        <v>43175</v>
      </c>
      <c r="I28" t="s">
        <v>241</v>
      </c>
      <c r="J28" t="s">
        <v>408</v>
      </c>
      <c r="K28" t="s">
        <v>409</v>
      </c>
      <c r="N28" t="s">
        <v>213</v>
      </c>
      <c r="O28" t="s">
        <v>241</v>
      </c>
      <c r="P28" t="s">
        <v>294</v>
      </c>
      <c r="Q28" t="s">
        <v>294</v>
      </c>
      <c r="R28" t="s">
        <v>423</v>
      </c>
      <c r="S28" t="s">
        <v>426</v>
      </c>
      <c r="T28" t="s">
        <v>411</v>
      </c>
      <c r="U28" t="s">
        <v>412</v>
      </c>
      <c r="V28" t="s">
        <v>413</v>
      </c>
      <c r="W28" t="s">
        <v>414</v>
      </c>
      <c r="X28" t="s">
        <v>300</v>
      </c>
      <c r="Y28" t="s">
        <v>427</v>
      </c>
      <c r="Z28" t="s">
        <v>302</v>
      </c>
      <c r="AA28" t="s">
        <v>1301</v>
      </c>
    </row>
    <row r="29" spans="1:27">
      <c r="A29">
        <v>28</v>
      </c>
      <c r="B29" t="s">
        <v>428</v>
      </c>
      <c r="C29" t="s">
        <v>307</v>
      </c>
      <c r="D29" t="s">
        <v>429</v>
      </c>
      <c r="E29" t="s">
        <v>430</v>
      </c>
      <c r="F29" t="s">
        <v>292</v>
      </c>
      <c r="H29" s="5">
        <v>43161</v>
      </c>
      <c r="I29" t="s">
        <v>242</v>
      </c>
      <c r="J29" t="s">
        <v>408</v>
      </c>
      <c r="K29" t="s">
        <v>409</v>
      </c>
      <c r="N29" t="s">
        <v>214</v>
      </c>
      <c r="O29" t="s">
        <v>242</v>
      </c>
      <c r="P29" t="s">
        <v>294</v>
      </c>
      <c r="Q29" t="s">
        <v>294</v>
      </c>
      <c r="R29" t="s">
        <v>428</v>
      </c>
      <c r="S29" t="s">
        <v>431</v>
      </c>
      <c r="T29" t="s">
        <v>411</v>
      </c>
      <c r="U29" t="s">
        <v>412</v>
      </c>
      <c r="V29" t="s">
        <v>413</v>
      </c>
      <c r="W29" t="s">
        <v>414</v>
      </c>
      <c r="X29" t="s">
        <v>300</v>
      </c>
      <c r="Y29" t="s">
        <v>432</v>
      </c>
      <c r="Z29" t="s">
        <v>302</v>
      </c>
      <c r="AA29" t="s">
        <v>1302</v>
      </c>
    </row>
    <row r="30" spans="1:27">
      <c r="A30">
        <v>29</v>
      </c>
      <c r="B30" t="s">
        <v>433</v>
      </c>
      <c r="C30" t="s">
        <v>307</v>
      </c>
      <c r="D30" t="s">
        <v>434</v>
      </c>
      <c r="E30" t="s">
        <v>435</v>
      </c>
      <c r="F30" t="s">
        <v>292</v>
      </c>
      <c r="H30" s="5">
        <v>43862</v>
      </c>
      <c r="I30" t="s">
        <v>243</v>
      </c>
      <c r="J30" t="s">
        <v>408</v>
      </c>
      <c r="K30" t="s">
        <v>409</v>
      </c>
      <c r="N30" t="s">
        <v>214</v>
      </c>
      <c r="O30" t="s">
        <v>243</v>
      </c>
      <c r="P30" t="s">
        <v>294</v>
      </c>
      <c r="Q30" t="s">
        <v>294</v>
      </c>
      <c r="R30" t="s">
        <v>433</v>
      </c>
      <c r="S30" t="s">
        <v>436</v>
      </c>
      <c r="T30" t="s">
        <v>437</v>
      </c>
      <c r="U30" t="s">
        <v>438</v>
      </c>
      <c r="V30" t="s">
        <v>413</v>
      </c>
      <c r="W30" t="s">
        <v>414</v>
      </c>
      <c r="X30" t="s">
        <v>300</v>
      </c>
      <c r="Y30" t="s">
        <v>439</v>
      </c>
      <c r="Z30" t="s">
        <v>302</v>
      </c>
      <c r="AA30" t="s">
        <v>1303</v>
      </c>
    </row>
    <row r="31" spans="1:27">
      <c r="A31">
        <v>30</v>
      </c>
      <c r="B31" t="s">
        <v>440</v>
      </c>
      <c r="C31" t="s">
        <v>289</v>
      </c>
      <c r="D31" t="s">
        <v>441</v>
      </c>
      <c r="E31" t="s">
        <v>442</v>
      </c>
      <c r="F31" t="s">
        <v>292</v>
      </c>
      <c r="H31" s="5">
        <v>43862</v>
      </c>
      <c r="I31" t="s">
        <v>244</v>
      </c>
      <c r="J31" t="s">
        <v>408</v>
      </c>
      <c r="K31" t="s">
        <v>409</v>
      </c>
      <c r="N31" t="s">
        <v>213</v>
      </c>
      <c r="O31" t="s">
        <v>244</v>
      </c>
      <c r="P31" t="s">
        <v>294</v>
      </c>
      <c r="Q31" t="s">
        <v>294</v>
      </c>
      <c r="R31" t="s">
        <v>440</v>
      </c>
      <c r="S31" t="s">
        <v>443</v>
      </c>
      <c r="T31" t="s">
        <v>411</v>
      </c>
      <c r="U31" t="s">
        <v>412</v>
      </c>
      <c r="V31" t="s">
        <v>413</v>
      </c>
      <c r="W31" t="s">
        <v>414</v>
      </c>
      <c r="X31" t="s">
        <v>300</v>
      </c>
      <c r="Y31" t="s">
        <v>444</v>
      </c>
      <c r="Z31" t="s">
        <v>302</v>
      </c>
      <c r="AA31" t="s">
        <v>1304</v>
      </c>
    </row>
    <row r="32" spans="1:27">
      <c r="A32">
        <v>31</v>
      </c>
      <c r="B32" t="s">
        <v>445</v>
      </c>
      <c r="C32" t="s">
        <v>307</v>
      </c>
      <c r="D32" t="s">
        <v>446</v>
      </c>
      <c r="E32" t="s">
        <v>447</v>
      </c>
      <c r="F32" t="s">
        <v>292</v>
      </c>
      <c r="H32" s="5">
        <v>42370</v>
      </c>
      <c r="I32" t="s">
        <v>245</v>
      </c>
      <c r="J32" t="s">
        <v>408</v>
      </c>
      <c r="K32" t="s">
        <v>409</v>
      </c>
      <c r="N32" t="s">
        <v>214</v>
      </c>
      <c r="O32" t="s">
        <v>245</v>
      </c>
      <c r="P32" t="s">
        <v>294</v>
      </c>
      <c r="Q32" t="s">
        <v>294</v>
      </c>
      <c r="R32" t="s">
        <v>445</v>
      </c>
      <c r="S32" t="s">
        <v>448</v>
      </c>
      <c r="T32" t="s">
        <v>411</v>
      </c>
      <c r="U32" t="s">
        <v>412</v>
      </c>
      <c r="V32" t="s">
        <v>413</v>
      </c>
      <c r="W32" t="s">
        <v>414</v>
      </c>
      <c r="X32" t="s">
        <v>300</v>
      </c>
      <c r="Y32" t="s">
        <v>449</v>
      </c>
      <c r="Z32" t="s">
        <v>302</v>
      </c>
      <c r="AA32" t="s">
        <v>1305</v>
      </c>
    </row>
    <row r="33" spans="1:27">
      <c r="A33">
        <v>32</v>
      </c>
      <c r="B33" t="s">
        <v>450</v>
      </c>
      <c r="C33" t="s">
        <v>289</v>
      </c>
      <c r="D33" t="s">
        <v>451</v>
      </c>
      <c r="E33" t="s">
        <v>452</v>
      </c>
      <c r="F33" t="s">
        <v>292</v>
      </c>
      <c r="H33" s="5">
        <v>45369</v>
      </c>
      <c r="I33" t="s">
        <v>246</v>
      </c>
      <c r="J33" t="s">
        <v>408</v>
      </c>
      <c r="K33" t="s">
        <v>409</v>
      </c>
      <c r="N33" t="s">
        <v>214</v>
      </c>
      <c r="O33" t="s">
        <v>246</v>
      </c>
      <c r="P33" t="s">
        <v>294</v>
      </c>
      <c r="Q33" t="s">
        <v>294</v>
      </c>
      <c r="R33" t="s">
        <v>450</v>
      </c>
      <c r="S33" t="s">
        <v>453</v>
      </c>
      <c r="T33" t="s">
        <v>420</v>
      </c>
      <c r="U33" t="s">
        <v>421</v>
      </c>
      <c r="V33" t="s">
        <v>413</v>
      </c>
      <c r="W33" t="s">
        <v>414</v>
      </c>
      <c r="X33" t="s">
        <v>300</v>
      </c>
      <c r="Y33" t="s">
        <v>454</v>
      </c>
      <c r="Z33" t="s">
        <v>302</v>
      </c>
      <c r="AA33" t="s">
        <v>1306</v>
      </c>
    </row>
    <row r="34" spans="1:27">
      <c r="A34">
        <v>33</v>
      </c>
      <c r="B34" t="s">
        <v>455</v>
      </c>
      <c r="C34" t="s">
        <v>289</v>
      </c>
      <c r="D34" t="s">
        <v>456</v>
      </c>
      <c r="E34" t="s">
        <v>457</v>
      </c>
      <c r="F34" t="s">
        <v>292</v>
      </c>
      <c r="H34" s="5">
        <v>43739</v>
      </c>
      <c r="I34" t="s">
        <v>247</v>
      </c>
      <c r="J34" t="s">
        <v>408</v>
      </c>
      <c r="K34" t="s">
        <v>409</v>
      </c>
      <c r="N34" t="s">
        <v>213</v>
      </c>
      <c r="O34" t="s">
        <v>247</v>
      </c>
      <c r="P34" t="s">
        <v>294</v>
      </c>
      <c r="Q34" t="s">
        <v>294</v>
      </c>
      <c r="R34" t="s">
        <v>455</v>
      </c>
      <c r="S34" t="s">
        <v>458</v>
      </c>
      <c r="T34" t="s">
        <v>459</v>
      </c>
      <c r="U34" t="s">
        <v>460</v>
      </c>
      <c r="V34" t="s">
        <v>413</v>
      </c>
      <c r="W34" t="s">
        <v>414</v>
      </c>
      <c r="X34" t="s">
        <v>300</v>
      </c>
      <c r="Y34" t="s">
        <v>461</v>
      </c>
      <c r="Z34" t="s">
        <v>302</v>
      </c>
      <c r="AA34" t="s">
        <v>1307</v>
      </c>
    </row>
    <row r="35" spans="1:27">
      <c r="A35">
        <v>34</v>
      </c>
      <c r="B35" t="s">
        <v>462</v>
      </c>
      <c r="C35" t="s">
        <v>289</v>
      </c>
      <c r="D35" t="s">
        <v>463</v>
      </c>
      <c r="E35" t="s">
        <v>464</v>
      </c>
      <c r="F35" t="s">
        <v>292</v>
      </c>
      <c r="H35" s="5">
        <v>44578</v>
      </c>
      <c r="I35" t="s">
        <v>248</v>
      </c>
      <c r="J35" t="s">
        <v>408</v>
      </c>
      <c r="K35" t="s">
        <v>409</v>
      </c>
      <c r="N35" t="s">
        <v>213</v>
      </c>
      <c r="O35" t="s">
        <v>248</v>
      </c>
      <c r="P35" t="s">
        <v>294</v>
      </c>
      <c r="Q35" t="s">
        <v>294</v>
      </c>
      <c r="R35" t="s">
        <v>462</v>
      </c>
      <c r="S35" t="s">
        <v>465</v>
      </c>
      <c r="T35" t="s">
        <v>459</v>
      </c>
      <c r="U35" t="s">
        <v>460</v>
      </c>
      <c r="V35" t="s">
        <v>413</v>
      </c>
      <c r="W35" t="s">
        <v>414</v>
      </c>
      <c r="X35" t="s">
        <v>300</v>
      </c>
      <c r="Y35" t="s">
        <v>466</v>
      </c>
      <c r="Z35" t="s">
        <v>302</v>
      </c>
      <c r="AA35" t="s">
        <v>1308</v>
      </c>
    </row>
    <row r="36" spans="1:27">
      <c r="A36">
        <v>35</v>
      </c>
      <c r="B36" t="s">
        <v>467</v>
      </c>
      <c r="C36" t="s">
        <v>307</v>
      </c>
      <c r="D36" t="s">
        <v>468</v>
      </c>
      <c r="E36" t="s">
        <v>402</v>
      </c>
      <c r="F36" t="s">
        <v>292</v>
      </c>
      <c r="H36" s="5">
        <v>42522</v>
      </c>
      <c r="I36" t="s">
        <v>249</v>
      </c>
      <c r="J36" t="s">
        <v>408</v>
      </c>
      <c r="K36" t="s">
        <v>409</v>
      </c>
      <c r="N36" t="s">
        <v>214</v>
      </c>
      <c r="O36" t="s">
        <v>249</v>
      </c>
      <c r="P36" t="s">
        <v>294</v>
      </c>
      <c r="Q36" t="s">
        <v>294</v>
      </c>
      <c r="R36" t="s">
        <v>467</v>
      </c>
      <c r="S36" t="s">
        <v>469</v>
      </c>
      <c r="T36" t="s">
        <v>470</v>
      </c>
      <c r="U36" t="s">
        <v>471</v>
      </c>
      <c r="V36" t="s">
        <v>413</v>
      </c>
      <c r="W36" t="s">
        <v>414</v>
      </c>
      <c r="X36" t="s">
        <v>300</v>
      </c>
      <c r="Y36" t="s">
        <v>472</v>
      </c>
      <c r="Z36" t="s">
        <v>302</v>
      </c>
      <c r="AA36" t="s">
        <v>1309</v>
      </c>
    </row>
    <row r="37" spans="1:27">
      <c r="A37">
        <v>36</v>
      </c>
      <c r="B37" t="s">
        <v>473</v>
      </c>
      <c r="C37" t="s">
        <v>307</v>
      </c>
      <c r="D37" t="s">
        <v>474</v>
      </c>
      <c r="E37" t="s">
        <v>475</v>
      </c>
      <c r="F37" t="s">
        <v>292</v>
      </c>
      <c r="H37" s="5">
        <v>42370</v>
      </c>
      <c r="I37" t="s">
        <v>250</v>
      </c>
      <c r="J37" t="s">
        <v>408</v>
      </c>
      <c r="K37" t="s">
        <v>409</v>
      </c>
      <c r="N37" t="s">
        <v>214</v>
      </c>
      <c r="O37" t="s">
        <v>250</v>
      </c>
      <c r="P37" t="s">
        <v>294</v>
      </c>
      <c r="Q37" t="s">
        <v>294</v>
      </c>
      <c r="R37" t="s">
        <v>473</v>
      </c>
      <c r="S37" t="s">
        <v>476</v>
      </c>
      <c r="T37" t="s">
        <v>470</v>
      </c>
      <c r="U37" t="s">
        <v>471</v>
      </c>
      <c r="V37" t="s">
        <v>413</v>
      </c>
      <c r="W37" t="s">
        <v>414</v>
      </c>
      <c r="X37" t="s">
        <v>300</v>
      </c>
      <c r="Y37" t="s">
        <v>477</v>
      </c>
      <c r="Z37" t="s">
        <v>302</v>
      </c>
      <c r="AA37" t="s">
        <v>1310</v>
      </c>
    </row>
    <row r="38" spans="1:27">
      <c r="A38">
        <v>37</v>
      </c>
      <c r="B38" t="s">
        <v>478</v>
      </c>
      <c r="C38" t="s">
        <v>307</v>
      </c>
      <c r="D38" t="s">
        <v>479</v>
      </c>
      <c r="E38" t="s">
        <v>480</v>
      </c>
      <c r="F38" t="s">
        <v>292</v>
      </c>
      <c r="H38" s="5">
        <v>42370</v>
      </c>
      <c r="I38" t="s">
        <v>251</v>
      </c>
      <c r="J38" t="s">
        <v>408</v>
      </c>
      <c r="K38" t="s">
        <v>409</v>
      </c>
      <c r="N38" t="s">
        <v>214</v>
      </c>
      <c r="O38" t="s">
        <v>251</v>
      </c>
      <c r="P38" t="s">
        <v>294</v>
      </c>
      <c r="Q38" t="s">
        <v>294</v>
      </c>
      <c r="R38" t="s">
        <v>478</v>
      </c>
      <c r="S38" t="s">
        <v>481</v>
      </c>
      <c r="T38" t="s">
        <v>459</v>
      </c>
      <c r="U38" t="s">
        <v>460</v>
      </c>
      <c r="V38" t="s">
        <v>413</v>
      </c>
      <c r="W38" t="s">
        <v>414</v>
      </c>
      <c r="X38" t="s">
        <v>300</v>
      </c>
      <c r="Y38" t="s">
        <v>482</v>
      </c>
      <c r="Z38" t="s">
        <v>302</v>
      </c>
      <c r="AA38" t="s">
        <v>1311</v>
      </c>
    </row>
    <row r="39" spans="1:27">
      <c r="A39">
        <v>38</v>
      </c>
      <c r="B39" t="s">
        <v>483</v>
      </c>
      <c r="C39" t="s">
        <v>289</v>
      </c>
      <c r="D39" t="s">
        <v>484</v>
      </c>
      <c r="E39" t="s">
        <v>485</v>
      </c>
      <c r="F39" t="s">
        <v>292</v>
      </c>
      <c r="H39" s="5">
        <v>44378</v>
      </c>
      <c r="I39" t="s">
        <v>252</v>
      </c>
      <c r="J39" t="s">
        <v>408</v>
      </c>
      <c r="K39" t="s">
        <v>409</v>
      </c>
      <c r="N39" t="s">
        <v>213</v>
      </c>
      <c r="O39" t="s">
        <v>252</v>
      </c>
      <c r="P39" t="s">
        <v>294</v>
      </c>
      <c r="Q39" t="s">
        <v>294</v>
      </c>
      <c r="R39" t="s">
        <v>483</v>
      </c>
      <c r="S39" t="s">
        <v>486</v>
      </c>
      <c r="T39" t="s">
        <v>459</v>
      </c>
      <c r="U39" t="s">
        <v>460</v>
      </c>
      <c r="V39" t="s">
        <v>413</v>
      </c>
      <c r="W39" t="s">
        <v>414</v>
      </c>
      <c r="X39" t="s">
        <v>300</v>
      </c>
      <c r="Y39" t="s">
        <v>487</v>
      </c>
      <c r="Z39" t="s">
        <v>302</v>
      </c>
      <c r="AA39" t="s">
        <v>1312</v>
      </c>
    </row>
    <row r="40" spans="1:27">
      <c r="A40">
        <v>39</v>
      </c>
      <c r="B40" t="s">
        <v>488</v>
      </c>
      <c r="C40" t="s">
        <v>289</v>
      </c>
      <c r="D40" t="s">
        <v>489</v>
      </c>
      <c r="E40" t="s">
        <v>490</v>
      </c>
      <c r="F40" t="s">
        <v>292</v>
      </c>
      <c r="H40" s="5">
        <v>44636</v>
      </c>
      <c r="I40" t="s">
        <v>253</v>
      </c>
      <c r="J40" t="s">
        <v>408</v>
      </c>
      <c r="K40" t="s">
        <v>409</v>
      </c>
      <c r="N40" t="s">
        <v>213</v>
      </c>
      <c r="O40" t="s">
        <v>253</v>
      </c>
      <c r="P40" t="s">
        <v>294</v>
      </c>
      <c r="Q40" t="s">
        <v>294</v>
      </c>
      <c r="R40" t="s">
        <v>488</v>
      </c>
      <c r="S40" t="s">
        <v>491</v>
      </c>
      <c r="T40" t="s">
        <v>420</v>
      </c>
      <c r="U40" t="s">
        <v>421</v>
      </c>
      <c r="V40" t="s">
        <v>413</v>
      </c>
      <c r="W40" t="s">
        <v>414</v>
      </c>
      <c r="X40" t="s">
        <v>300</v>
      </c>
      <c r="Y40" t="s">
        <v>492</v>
      </c>
      <c r="Z40" t="s">
        <v>302</v>
      </c>
      <c r="AA40" t="s">
        <v>1313</v>
      </c>
    </row>
    <row r="41" spans="1:27">
      <c r="A41">
        <v>40</v>
      </c>
      <c r="B41" t="s">
        <v>493</v>
      </c>
      <c r="C41" t="s">
        <v>307</v>
      </c>
      <c r="D41" t="s">
        <v>494</v>
      </c>
      <c r="E41" t="s">
        <v>495</v>
      </c>
      <c r="F41" t="s">
        <v>292</v>
      </c>
      <c r="H41" s="5">
        <v>44927</v>
      </c>
      <c r="I41" t="s">
        <v>254</v>
      </c>
      <c r="J41" t="s">
        <v>408</v>
      </c>
      <c r="K41" t="s">
        <v>409</v>
      </c>
      <c r="N41" t="s">
        <v>213</v>
      </c>
      <c r="O41" t="s">
        <v>254</v>
      </c>
      <c r="P41" t="s">
        <v>294</v>
      </c>
      <c r="Q41" t="s">
        <v>294</v>
      </c>
      <c r="R41" t="s">
        <v>493</v>
      </c>
      <c r="S41" t="s">
        <v>496</v>
      </c>
      <c r="T41" t="s">
        <v>470</v>
      </c>
      <c r="U41" t="s">
        <v>471</v>
      </c>
      <c r="V41" t="s">
        <v>413</v>
      </c>
      <c r="W41" t="s">
        <v>414</v>
      </c>
      <c r="X41" t="s">
        <v>300</v>
      </c>
      <c r="Y41" t="s">
        <v>497</v>
      </c>
      <c r="Z41" t="s">
        <v>302</v>
      </c>
      <c r="AA41" t="s">
        <v>1314</v>
      </c>
    </row>
    <row r="42" spans="1:27">
      <c r="A42">
        <v>41</v>
      </c>
      <c r="B42" t="s">
        <v>498</v>
      </c>
      <c r="C42" t="s">
        <v>289</v>
      </c>
      <c r="D42" t="s">
        <v>499</v>
      </c>
      <c r="E42" t="s">
        <v>500</v>
      </c>
      <c r="F42" t="s">
        <v>292</v>
      </c>
      <c r="H42" s="5">
        <v>42809</v>
      </c>
      <c r="I42" t="s">
        <v>255</v>
      </c>
      <c r="J42" t="s">
        <v>408</v>
      </c>
      <c r="K42" t="s">
        <v>409</v>
      </c>
      <c r="N42" t="s">
        <v>214</v>
      </c>
      <c r="O42" t="s">
        <v>255</v>
      </c>
      <c r="P42" t="s">
        <v>294</v>
      </c>
      <c r="Q42" t="s">
        <v>294</v>
      </c>
      <c r="R42" t="s">
        <v>498</v>
      </c>
      <c r="S42" t="s">
        <v>501</v>
      </c>
      <c r="T42" t="s">
        <v>470</v>
      </c>
      <c r="U42" t="s">
        <v>471</v>
      </c>
      <c r="V42" t="s">
        <v>413</v>
      </c>
      <c r="W42" t="s">
        <v>414</v>
      </c>
      <c r="X42" t="s">
        <v>300</v>
      </c>
      <c r="Y42" t="s">
        <v>502</v>
      </c>
      <c r="Z42" t="s">
        <v>302</v>
      </c>
      <c r="AA42" t="s">
        <v>1315</v>
      </c>
    </row>
    <row r="43" spans="1:27">
      <c r="A43">
        <v>42</v>
      </c>
      <c r="B43" t="s">
        <v>503</v>
      </c>
      <c r="C43" t="s">
        <v>289</v>
      </c>
      <c r="D43" t="s">
        <v>504</v>
      </c>
      <c r="E43" t="s">
        <v>505</v>
      </c>
      <c r="F43" t="s">
        <v>292</v>
      </c>
      <c r="H43" s="5">
        <v>45048</v>
      </c>
      <c r="I43" t="s">
        <v>256</v>
      </c>
      <c r="J43" t="s">
        <v>408</v>
      </c>
      <c r="K43" t="s">
        <v>409</v>
      </c>
      <c r="N43" t="s">
        <v>214</v>
      </c>
      <c r="O43" t="s">
        <v>256</v>
      </c>
      <c r="P43" t="s">
        <v>294</v>
      </c>
      <c r="Q43" t="s">
        <v>294</v>
      </c>
      <c r="R43" t="s">
        <v>503</v>
      </c>
      <c r="S43" t="s">
        <v>506</v>
      </c>
      <c r="T43" t="s">
        <v>470</v>
      </c>
      <c r="U43" t="s">
        <v>471</v>
      </c>
      <c r="V43" t="s">
        <v>413</v>
      </c>
      <c r="W43" t="s">
        <v>414</v>
      </c>
      <c r="X43" t="s">
        <v>300</v>
      </c>
      <c r="Y43" t="s">
        <v>507</v>
      </c>
      <c r="Z43" t="s">
        <v>302</v>
      </c>
      <c r="AA43" t="s">
        <v>1316</v>
      </c>
    </row>
    <row r="44" spans="1:27">
      <c r="A44">
        <v>43</v>
      </c>
      <c r="B44" t="s">
        <v>508</v>
      </c>
      <c r="C44" t="s">
        <v>509</v>
      </c>
      <c r="D44" t="s">
        <v>510</v>
      </c>
      <c r="E44" t="s">
        <v>511</v>
      </c>
      <c r="F44" t="s">
        <v>292</v>
      </c>
      <c r="H44" s="5">
        <v>45292</v>
      </c>
      <c r="I44" t="s">
        <v>257</v>
      </c>
      <c r="J44" t="s">
        <v>408</v>
      </c>
      <c r="K44" t="s">
        <v>409</v>
      </c>
      <c r="N44" t="s">
        <v>213</v>
      </c>
      <c r="O44" t="s">
        <v>257</v>
      </c>
      <c r="P44" t="s">
        <v>294</v>
      </c>
      <c r="Q44" t="s">
        <v>294</v>
      </c>
      <c r="R44" t="s">
        <v>508</v>
      </c>
      <c r="S44" t="s">
        <v>512</v>
      </c>
      <c r="T44" t="s">
        <v>437</v>
      </c>
      <c r="U44" t="s">
        <v>438</v>
      </c>
      <c r="V44" t="s">
        <v>413</v>
      </c>
      <c r="W44" t="s">
        <v>414</v>
      </c>
      <c r="X44" t="s">
        <v>300</v>
      </c>
      <c r="Y44" t="s">
        <v>513</v>
      </c>
      <c r="Z44" t="s">
        <v>302</v>
      </c>
      <c r="AA44" t="s">
        <v>1317</v>
      </c>
    </row>
    <row r="45" spans="1:27">
      <c r="A45">
        <v>44</v>
      </c>
      <c r="B45" t="s">
        <v>514</v>
      </c>
      <c r="C45" t="s">
        <v>289</v>
      </c>
      <c r="D45" t="s">
        <v>515</v>
      </c>
      <c r="E45" t="s">
        <v>516</v>
      </c>
      <c r="F45" t="s">
        <v>292</v>
      </c>
      <c r="H45" s="5">
        <v>42979</v>
      </c>
      <c r="I45" t="s">
        <v>258</v>
      </c>
      <c r="J45" t="s">
        <v>408</v>
      </c>
      <c r="K45" t="s">
        <v>409</v>
      </c>
      <c r="N45" t="s">
        <v>213</v>
      </c>
      <c r="O45" t="s">
        <v>258</v>
      </c>
      <c r="P45" t="s">
        <v>294</v>
      </c>
      <c r="Q45" t="s">
        <v>294</v>
      </c>
      <c r="R45" t="s">
        <v>514</v>
      </c>
      <c r="S45" t="s">
        <v>517</v>
      </c>
      <c r="T45" t="s">
        <v>437</v>
      </c>
      <c r="U45" t="s">
        <v>438</v>
      </c>
      <c r="V45" t="s">
        <v>413</v>
      </c>
      <c r="W45" t="s">
        <v>414</v>
      </c>
      <c r="X45" t="s">
        <v>300</v>
      </c>
      <c r="Y45" t="s">
        <v>518</v>
      </c>
      <c r="Z45" t="s">
        <v>302</v>
      </c>
      <c r="AA45" t="s">
        <v>1318</v>
      </c>
    </row>
    <row r="46" spans="1:27">
      <c r="A46">
        <v>45</v>
      </c>
      <c r="B46" t="s">
        <v>519</v>
      </c>
      <c r="C46" t="s">
        <v>289</v>
      </c>
      <c r="D46" t="s">
        <v>520</v>
      </c>
      <c r="E46" t="s">
        <v>521</v>
      </c>
      <c r="F46" t="s">
        <v>292</v>
      </c>
      <c r="H46" s="5">
        <v>44378</v>
      </c>
      <c r="I46" t="s">
        <v>259</v>
      </c>
      <c r="J46" t="s">
        <v>408</v>
      </c>
      <c r="K46" t="s">
        <v>409</v>
      </c>
      <c r="N46" t="s">
        <v>213</v>
      </c>
      <c r="O46" t="s">
        <v>259</v>
      </c>
      <c r="P46" t="s">
        <v>294</v>
      </c>
      <c r="Q46" t="s">
        <v>294</v>
      </c>
      <c r="R46" t="s">
        <v>519</v>
      </c>
      <c r="S46" t="s">
        <v>522</v>
      </c>
      <c r="T46" t="s">
        <v>420</v>
      </c>
      <c r="U46" t="s">
        <v>421</v>
      </c>
      <c r="V46" t="s">
        <v>413</v>
      </c>
      <c r="W46" t="s">
        <v>414</v>
      </c>
      <c r="X46" t="s">
        <v>300</v>
      </c>
      <c r="Y46" t="s">
        <v>523</v>
      </c>
      <c r="Z46" t="s">
        <v>302</v>
      </c>
      <c r="AA46" t="s">
        <v>1319</v>
      </c>
    </row>
    <row r="47" spans="1:27">
      <c r="A47">
        <v>46</v>
      </c>
      <c r="B47" t="s">
        <v>524</v>
      </c>
      <c r="C47" t="s">
        <v>289</v>
      </c>
      <c r="D47" t="s">
        <v>525</v>
      </c>
      <c r="E47" t="s">
        <v>526</v>
      </c>
      <c r="F47" t="s">
        <v>292</v>
      </c>
      <c r="H47" s="5">
        <v>43601</v>
      </c>
      <c r="I47" t="s">
        <v>260</v>
      </c>
      <c r="J47" t="s">
        <v>408</v>
      </c>
      <c r="K47" t="s">
        <v>409</v>
      </c>
      <c r="N47" t="s">
        <v>214</v>
      </c>
      <c r="O47" t="s">
        <v>260</v>
      </c>
      <c r="P47" t="s">
        <v>294</v>
      </c>
      <c r="Q47" t="s">
        <v>294</v>
      </c>
      <c r="R47" t="s">
        <v>524</v>
      </c>
      <c r="S47" t="s">
        <v>527</v>
      </c>
      <c r="T47" t="s">
        <v>437</v>
      </c>
      <c r="U47" t="s">
        <v>438</v>
      </c>
      <c r="V47" t="s">
        <v>413</v>
      </c>
      <c r="W47" t="s">
        <v>414</v>
      </c>
      <c r="X47" t="s">
        <v>300</v>
      </c>
      <c r="Y47" t="s">
        <v>528</v>
      </c>
      <c r="Z47" t="s">
        <v>302</v>
      </c>
      <c r="AA47" t="s">
        <v>1320</v>
      </c>
    </row>
    <row r="48" spans="1:27">
      <c r="A48">
        <v>47</v>
      </c>
      <c r="B48" t="s">
        <v>529</v>
      </c>
      <c r="C48" t="s">
        <v>289</v>
      </c>
      <c r="D48" t="s">
        <v>530</v>
      </c>
      <c r="E48" t="s">
        <v>531</v>
      </c>
      <c r="F48" t="s">
        <v>292</v>
      </c>
      <c r="H48" s="5">
        <v>42522</v>
      </c>
      <c r="I48" t="s">
        <v>261</v>
      </c>
      <c r="J48" t="s">
        <v>408</v>
      </c>
      <c r="K48" t="s">
        <v>409</v>
      </c>
      <c r="N48" t="s">
        <v>214</v>
      </c>
      <c r="O48" t="s">
        <v>261</v>
      </c>
      <c r="P48" t="s">
        <v>294</v>
      </c>
      <c r="Q48" t="s">
        <v>294</v>
      </c>
      <c r="R48" t="s">
        <v>529</v>
      </c>
      <c r="S48" t="s">
        <v>532</v>
      </c>
      <c r="T48" t="s">
        <v>459</v>
      </c>
      <c r="U48" t="s">
        <v>460</v>
      </c>
      <c r="V48" t="s">
        <v>413</v>
      </c>
      <c r="W48" t="s">
        <v>414</v>
      </c>
      <c r="X48" t="s">
        <v>300</v>
      </c>
      <c r="Y48" t="s">
        <v>533</v>
      </c>
      <c r="Z48" t="s">
        <v>302</v>
      </c>
      <c r="AA48" t="s">
        <v>1321</v>
      </c>
    </row>
    <row r="49" spans="1:27">
      <c r="A49">
        <v>48</v>
      </c>
      <c r="B49" t="s">
        <v>534</v>
      </c>
      <c r="C49" t="s">
        <v>289</v>
      </c>
      <c r="D49" t="s">
        <v>535</v>
      </c>
      <c r="E49" t="s">
        <v>536</v>
      </c>
      <c r="F49" t="s">
        <v>292</v>
      </c>
      <c r="H49" s="5">
        <v>44197</v>
      </c>
      <c r="I49" t="s">
        <v>262</v>
      </c>
      <c r="J49" t="s">
        <v>408</v>
      </c>
      <c r="K49" t="s">
        <v>409</v>
      </c>
      <c r="N49" t="s">
        <v>214</v>
      </c>
      <c r="O49" t="s">
        <v>262</v>
      </c>
      <c r="P49" t="s">
        <v>294</v>
      </c>
      <c r="Q49" t="s">
        <v>294</v>
      </c>
      <c r="R49" t="s">
        <v>534</v>
      </c>
      <c r="S49" t="s">
        <v>537</v>
      </c>
      <c r="T49" t="s">
        <v>437</v>
      </c>
      <c r="U49" t="s">
        <v>438</v>
      </c>
      <c r="V49" t="s">
        <v>413</v>
      </c>
      <c r="W49" t="s">
        <v>414</v>
      </c>
      <c r="X49" t="s">
        <v>300</v>
      </c>
      <c r="Y49" t="s">
        <v>538</v>
      </c>
      <c r="Z49" t="s">
        <v>302</v>
      </c>
      <c r="AA49" t="s">
        <v>1322</v>
      </c>
    </row>
    <row r="50" spans="1:27">
      <c r="A50">
        <v>49</v>
      </c>
      <c r="B50" t="s">
        <v>539</v>
      </c>
      <c r="C50" t="s">
        <v>289</v>
      </c>
      <c r="D50" t="s">
        <v>540</v>
      </c>
      <c r="E50" t="s">
        <v>541</v>
      </c>
      <c r="F50" t="s">
        <v>292</v>
      </c>
      <c r="H50" s="5">
        <v>45124</v>
      </c>
      <c r="I50" t="s">
        <v>263</v>
      </c>
      <c r="J50" t="s">
        <v>408</v>
      </c>
      <c r="K50" t="s">
        <v>409</v>
      </c>
      <c r="N50" t="s">
        <v>214</v>
      </c>
      <c r="O50" t="s">
        <v>263</v>
      </c>
      <c r="P50" t="s">
        <v>294</v>
      </c>
      <c r="Q50" t="s">
        <v>294</v>
      </c>
      <c r="R50" t="s">
        <v>539</v>
      </c>
      <c r="S50" t="s">
        <v>542</v>
      </c>
      <c r="T50" t="s">
        <v>420</v>
      </c>
      <c r="U50" t="s">
        <v>421</v>
      </c>
      <c r="V50" t="s">
        <v>413</v>
      </c>
      <c r="W50" t="s">
        <v>414</v>
      </c>
      <c r="X50" t="s">
        <v>300</v>
      </c>
      <c r="Y50" t="s">
        <v>543</v>
      </c>
      <c r="Z50" t="s">
        <v>302</v>
      </c>
      <c r="AA50" t="s">
        <v>1323</v>
      </c>
    </row>
    <row r="51" spans="1:27">
      <c r="A51">
        <v>66</v>
      </c>
      <c r="B51" t="s">
        <v>68</v>
      </c>
      <c r="C51" t="s">
        <v>307</v>
      </c>
      <c r="D51" t="s">
        <v>544</v>
      </c>
      <c r="E51" t="s">
        <v>545</v>
      </c>
      <c r="F51" t="s">
        <v>546</v>
      </c>
      <c r="G51" t="s">
        <v>547</v>
      </c>
      <c r="H51" s="5">
        <v>41858</v>
      </c>
      <c r="I51" t="s">
        <v>227</v>
      </c>
      <c r="J51" t="s">
        <v>293</v>
      </c>
      <c r="K51" t="s">
        <v>41</v>
      </c>
      <c r="L51">
        <v>3500900664738</v>
      </c>
      <c r="M51">
        <v>7006473490</v>
      </c>
      <c r="N51" t="s">
        <v>214</v>
      </c>
      <c r="O51" t="s">
        <v>227</v>
      </c>
      <c r="P51" t="s">
        <v>294</v>
      </c>
      <c r="Q51" t="s">
        <v>294</v>
      </c>
      <c r="R51" t="s">
        <v>56</v>
      </c>
      <c r="S51" t="s">
        <v>354</v>
      </c>
      <c r="T51" t="s">
        <v>355</v>
      </c>
      <c r="U51" t="s">
        <v>356</v>
      </c>
      <c r="V51" t="s">
        <v>298</v>
      </c>
      <c r="W51" t="s">
        <v>299</v>
      </c>
      <c r="X51">
        <v>45147</v>
      </c>
      <c r="Y51" t="s">
        <v>548</v>
      </c>
      <c r="Z51" t="s">
        <v>302</v>
      </c>
      <c r="AA51" t="s">
        <v>1287</v>
      </c>
    </row>
    <row r="52" spans="1:27">
      <c r="A52">
        <v>73</v>
      </c>
      <c r="B52" t="s">
        <v>69</v>
      </c>
      <c r="C52" t="s">
        <v>289</v>
      </c>
      <c r="D52" t="s">
        <v>549</v>
      </c>
      <c r="E52" t="s">
        <v>550</v>
      </c>
      <c r="F52" t="s">
        <v>546</v>
      </c>
      <c r="G52" t="s">
        <v>547</v>
      </c>
      <c r="H52" s="5">
        <v>42251</v>
      </c>
      <c r="I52" t="s">
        <v>227</v>
      </c>
      <c r="J52" t="s">
        <v>293</v>
      </c>
      <c r="K52" t="s">
        <v>41</v>
      </c>
      <c r="L52">
        <v>1509900520614</v>
      </c>
      <c r="M52">
        <v>7007759255</v>
      </c>
      <c r="N52" t="s">
        <v>214</v>
      </c>
      <c r="O52" t="s">
        <v>227</v>
      </c>
      <c r="P52" t="s">
        <v>294</v>
      </c>
      <c r="Q52" t="s">
        <v>294</v>
      </c>
      <c r="R52" t="s">
        <v>56</v>
      </c>
      <c r="S52" t="s">
        <v>354</v>
      </c>
      <c r="T52" t="s">
        <v>355</v>
      </c>
      <c r="U52" t="s">
        <v>356</v>
      </c>
      <c r="V52" t="s">
        <v>298</v>
      </c>
      <c r="W52" t="s">
        <v>299</v>
      </c>
      <c r="X52">
        <v>45147</v>
      </c>
      <c r="Y52" t="s">
        <v>551</v>
      </c>
      <c r="Z52" t="s">
        <v>302</v>
      </c>
      <c r="AA52" t="s">
        <v>1287</v>
      </c>
    </row>
    <row r="53" spans="1:27">
      <c r="A53">
        <v>74</v>
      </c>
      <c r="B53" t="s">
        <v>70</v>
      </c>
      <c r="C53" t="s">
        <v>289</v>
      </c>
      <c r="D53" t="s">
        <v>552</v>
      </c>
      <c r="E53" t="s">
        <v>553</v>
      </c>
      <c r="F53" t="s">
        <v>546</v>
      </c>
      <c r="G53" t="s">
        <v>547</v>
      </c>
      <c r="H53" s="5">
        <v>42261</v>
      </c>
      <c r="I53" t="s">
        <v>219</v>
      </c>
      <c r="J53" t="s">
        <v>293</v>
      </c>
      <c r="K53" t="s">
        <v>41</v>
      </c>
      <c r="L53">
        <v>1103700389644</v>
      </c>
      <c r="M53">
        <v>7007767216</v>
      </c>
      <c r="N53" t="s">
        <v>213</v>
      </c>
      <c r="O53" t="s">
        <v>219</v>
      </c>
      <c r="P53" t="s">
        <v>294</v>
      </c>
      <c r="Q53" t="s">
        <v>294</v>
      </c>
      <c r="R53" t="s">
        <v>48</v>
      </c>
      <c r="S53" t="s">
        <v>318</v>
      </c>
      <c r="T53" t="s">
        <v>319</v>
      </c>
      <c r="U53" t="s">
        <v>320</v>
      </c>
      <c r="V53" t="s">
        <v>298</v>
      </c>
      <c r="W53" t="s">
        <v>299</v>
      </c>
      <c r="X53">
        <v>45119</v>
      </c>
      <c r="Y53" t="s">
        <v>554</v>
      </c>
      <c r="Z53" t="s">
        <v>302</v>
      </c>
      <c r="AA53" t="s">
        <v>1279</v>
      </c>
    </row>
    <row r="54" spans="1:27">
      <c r="A54">
        <v>78</v>
      </c>
      <c r="B54" t="s">
        <v>71</v>
      </c>
      <c r="C54" t="s">
        <v>307</v>
      </c>
      <c r="D54" t="s">
        <v>555</v>
      </c>
      <c r="E54" t="s">
        <v>556</v>
      </c>
      <c r="F54" t="s">
        <v>546</v>
      </c>
      <c r="G54" t="s">
        <v>547</v>
      </c>
      <c r="H54" s="5">
        <v>42921</v>
      </c>
      <c r="I54" t="s">
        <v>227</v>
      </c>
      <c r="J54" t="s">
        <v>293</v>
      </c>
      <c r="K54" t="s">
        <v>41</v>
      </c>
      <c r="L54">
        <v>3510100891641</v>
      </c>
      <c r="M54">
        <v>7009684149</v>
      </c>
      <c r="N54" t="s">
        <v>214</v>
      </c>
      <c r="O54" t="s">
        <v>227</v>
      </c>
      <c r="P54" t="s">
        <v>294</v>
      </c>
      <c r="Q54" t="s">
        <v>294</v>
      </c>
      <c r="R54" t="s">
        <v>56</v>
      </c>
      <c r="S54" t="s">
        <v>354</v>
      </c>
      <c r="T54" t="s">
        <v>355</v>
      </c>
      <c r="U54" t="s">
        <v>356</v>
      </c>
      <c r="V54" t="s">
        <v>298</v>
      </c>
      <c r="W54" t="s">
        <v>299</v>
      </c>
      <c r="X54">
        <v>45147</v>
      </c>
      <c r="Y54" t="s">
        <v>557</v>
      </c>
      <c r="Z54" t="s">
        <v>302</v>
      </c>
      <c r="AA54" t="s">
        <v>1287</v>
      </c>
    </row>
    <row r="55" spans="1:27">
      <c r="A55">
        <v>82</v>
      </c>
      <c r="B55" t="s">
        <v>72</v>
      </c>
      <c r="C55" t="s">
        <v>289</v>
      </c>
      <c r="D55" t="s">
        <v>558</v>
      </c>
      <c r="E55" t="s">
        <v>559</v>
      </c>
      <c r="F55" t="s">
        <v>546</v>
      </c>
      <c r="G55" t="s">
        <v>547</v>
      </c>
      <c r="H55" s="5">
        <v>43140</v>
      </c>
      <c r="I55" t="s">
        <v>215</v>
      </c>
      <c r="J55" t="s">
        <v>293</v>
      </c>
      <c r="K55" t="s">
        <v>41</v>
      </c>
      <c r="L55">
        <v>5660500005180</v>
      </c>
      <c r="M55">
        <v>7010000941</v>
      </c>
      <c r="N55" t="s">
        <v>213</v>
      </c>
      <c r="O55" t="s">
        <v>215</v>
      </c>
      <c r="P55" t="s">
        <v>294</v>
      </c>
      <c r="Q55" t="s">
        <v>294</v>
      </c>
      <c r="R55" t="s">
        <v>44</v>
      </c>
      <c r="S55" t="s">
        <v>295</v>
      </c>
      <c r="T55" t="s">
        <v>296</v>
      </c>
      <c r="U55" t="s">
        <v>297</v>
      </c>
      <c r="V55" t="s">
        <v>298</v>
      </c>
      <c r="W55" t="s">
        <v>299</v>
      </c>
      <c r="X55">
        <v>45118</v>
      </c>
      <c r="Y55" t="s">
        <v>560</v>
      </c>
      <c r="Z55" t="s">
        <v>302</v>
      </c>
      <c r="AA55" t="s">
        <v>1275</v>
      </c>
    </row>
    <row r="56" spans="1:27">
      <c r="A56">
        <v>84</v>
      </c>
      <c r="B56" t="s">
        <v>73</v>
      </c>
      <c r="C56" t="s">
        <v>289</v>
      </c>
      <c r="D56" t="s">
        <v>561</v>
      </c>
      <c r="E56" t="s">
        <v>562</v>
      </c>
      <c r="F56" t="s">
        <v>546</v>
      </c>
      <c r="G56" t="s">
        <v>547</v>
      </c>
      <c r="H56" s="5">
        <v>43229</v>
      </c>
      <c r="I56" t="s">
        <v>224</v>
      </c>
      <c r="J56" t="s">
        <v>293</v>
      </c>
      <c r="K56" t="s">
        <v>41</v>
      </c>
      <c r="L56">
        <v>1820400010179</v>
      </c>
      <c r="M56">
        <v>7010106106</v>
      </c>
      <c r="N56" t="s">
        <v>214</v>
      </c>
      <c r="O56" t="s">
        <v>224</v>
      </c>
      <c r="P56" t="s">
        <v>294</v>
      </c>
      <c r="Q56" t="s">
        <v>294</v>
      </c>
      <c r="R56" t="s">
        <v>53</v>
      </c>
      <c r="S56" t="s">
        <v>342</v>
      </c>
      <c r="T56" t="s">
        <v>337</v>
      </c>
      <c r="U56" t="s">
        <v>338</v>
      </c>
      <c r="V56" t="s">
        <v>298</v>
      </c>
      <c r="W56" t="s">
        <v>299</v>
      </c>
      <c r="X56">
        <v>45128</v>
      </c>
      <c r="Y56" t="s">
        <v>563</v>
      </c>
      <c r="Z56" t="s">
        <v>302</v>
      </c>
      <c r="AA56" t="s">
        <v>1284</v>
      </c>
    </row>
    <row r="57" spans="1:27">
      <c r="A57">
        <v>85</v>
      </c>
      <c r="B57" t="s">
        <v>74</v>
      </c>
      <c r="C57" t="s">
        <v>289</v>
      </c>
      <c r="D57" t="s">
        <v>564</v>
      </c>
      <c r="E57" t="s">
        <v>565</v>
      </c>
      <c r="F57" t="s">
        <v>546</v>
      </c>
      <c r="G57" t="s">
        <v>547</v>
      </c>
      <c r="H57" s="5">
        <v>43244</v>
      </c>
      <c r="I57" t="s">
        <v>215</v>
      </c>
      <c r="J57" t="s">
        <v>293</v>
      </c>
      <c r="K57" t="s">
        <v>41</v>
      </c>
      <c r="L57">
        <v>3760300004166</v>
      </c>
      <c r="M57">
        <v>7009646139</v>
      </c>
      <c r="N57" t="s">
        <v>213</v>
      </c>
      <c r="O57" t="s">
        <v>215</v>
      </c>
      <c r="P57" t="s">
        <v>294</v>
      </c>
      <c r="Q57" t="s">
        <v>294</v>
      </c>
      <c r="R57" t="s">
        <v>44</v>
      </c>
      <c r="S57" t="s">
        <v>295</v>
      </c>
      <c r="T57" t="s">
        <v>296</v>
      </c>
      <c r="U57" t="s">
        <v>297</v>
      </c>
      <c r="V57" t="s">
        <v>298</v>
      </c>
      <c r="W57" t="s">
        <v>299</v>
      </c>
      <c r="X57">
        <v>45118</v>
      </c>
      <c r="Y57" t="s">
        <v>566</v>
      </c>
      <c r="Z57" t="s">
        <v>302</v>
      </c>
      <c r="AA57" t="s">
        <v>1275</v>
      </c>
    </row>
    <row r="58" spans="1:27">
      <c r="A58">
        <v>86</v>
      </c>
      <c r="B58" t="s">
        <v>75</v>
      </c>
      <c r="C58" t="s">
        <v>307</v>
      </c>
      <c r="D58" t="s">
        <v>567</v>
      </c>
      <c r="E58" t="s">
        <v>568</v>
      </c>
      <c r="F58" t="s">
        <v>546</v>
      </c>
      <c r="G58" t="s">
        <v>547</v>
      </c>
      <c r="H58" s="5">
        <v>43378</v>
      </c>
      <c r="I58" t="s">
        <v>226</v>
      </c>
      <c r="J58" t="s">
        <v>293</v>
      </c>
      <c r="K58" t="s">
        <v>41</v>
      </c>
      <c r="L58">
        <v>3101701030172</v>
      </c>
      <c r="M58">
        <v>7000576462</v>
      </c>
      <c r="N58" t="s">
        <v>213</v>
      </c>
      <c r="O58" t="s">
        <v>226</v>
      </c>
      <c r="P58" t="s">
        <v>294</v>
      </c>
      <c r="Q58" t="s">
        <v>294</v>
      </c>
      <c r="R58" t="s">
        <v>55</v>
      </c>
      <c r="S58" t="s">
        <v>350</v>
      </c>
      <c r="T58" t="s">
        <v>337</v>
      </c>
      <c r="U58" t="s">
        <v>338</v>
      </c>
      <c r="V58" t="s">
        <v>298</v>
      </c>
      <c r="W58" t="s">
        <v>299</v>
      </c>
      <c r="X58">
        <v>45118</v>
      </c>
      <c r="Y58" t="s">
        <v>569</v>
      </c>
      <c r="Z58" t="s">
        <v>302</v>
      </c>
      <c r="AA58" t="s">
        <v>1286</v>
      </c>
    </row>
    <row r="59" spans="1:27">
      <c r="A59">
        <v>87</v>
      </c>
      <c r="B59" t="s">
        <v>76</v>
      </c>
      <c r="C59" t="s">
        <v>289</v>
      </c>
      <c r="D59" t="s">
        <v>570</v>
      </c>
      <c r="E59" t="s">
        <v>571</v>
      </c>
      <c r="F59" t="s">
        <v>546</v>
      </c>
      <c r="G59" t="s">
        <v>547</v>
      </c>
      <c r="H59" s="5">
        <v>43418</v>
      </c>
      <c r="I59" t="s">
        <v>221</v>
      </c>
      <c r="J59" t="s">
        <v>293</v>
      </c>
      <c r="K59" t="s">
        <v>41</v>
      </c>
      <c r="L59">
        <v>3101500465180</v>
      </c>
      <c r="M59">
        <v>7010393059</v>
      </c>
      <c r="N59" t="s">
        <v>213</v>
      </c>
      <c r="O59" t="s">
        <v>221</v>
      </c>
      <c r="P59" t="s">
        <v>294</v>
      </c>
      <c r="Q59" t="s">
        <v>294</v>
      </c>
      <c r="R59" t="s">
        <v>50</v>
      </c>
      <c r="S59" t="s">
        <v>328</v>
      </c>
      <c r="T59" t="s">
        <v>319</v>
      </c>
      <c r="U59" t="s">
        <v>320</v>
      </c>
      <c r="V59" t="s">
        <v>298</v>
      </c>
      <c r="W59" t="s">
        <v>299</v>
      </c>
      <c r="X59">
        <v>45119</v>
      </c>
      <c r="Y59" t="s">
        <v>572</v>
      </c>
      <c r="Z59" t="s">
        <v>302</v>
      </c>
      <c r="AA59" t="s">
        <v>1281</v>
      </c>
    </row>
    <row r="60" spans="1:27">
      <c r="A60">
        <v>88</v>
      </c>
      <c r="B60" t="s">
        <v>77</v>
      </c>
      <c r="C60" t="s">
        <v>307</v>
      </c>
      <c r="D60" t="s">
        <v>573</v>
      </c>
      <c r="E60" t="s">
        <v>574</v>
      </c>
      <c r="F60" t="s">
        <v>546</v>
      </c>
      <c r="G60" t="s">
        <v>547</v>
      </c>
      <c r="H60" s="5">
        <v>43500</v>
      </c>
      <c r="I60" t="s">
        <v>235</v>
      </c>
      <c r="J60" t="s">
        <v>293</v>
      </c>
      <c r="K60" t="s">
        <v>41</v>
      </c>
      <c r="L60">
        <v>1209900008622</v>
      </c>
      <c r="M60">
        <v>7004847388</v>
      </c>
      <c r="N60" t="s">
        <v>214</v>
      </c>
      <c r="O60" t="s">
        <v>235</v>
      </c>
      <c r="P60" t="s">
        <v>294</v>
      </c>
      <c r="Q60" t="s">
        <v>294</v>
      </c>
      <c r="R60" t="s">
        <v>64</v>
      </c>
      <c r="S60" t="s">
        <v>389</v>
      </c>
      <c r="T60" t="s">
        <v>390</v>
      </c>
      <c r="U60" t="s">
        <v>391</v>
      </c>
      <c r="V60" t="s">
        <v>298</v>
      </c>
      <c r="W60" t="s">
        <v>299</v>
      </c>
      <c r="X60">
        <v>45133</v>
      </c>
      <c r="Y60" t="s">
        <v>575</v>
      </c>
      <c r="Z60" t="s">
        <v>302</v>
      </c>
      <c r="AA60" t="s">
        <v>1295</v>
      </c>
    </row>
    <row r="61" spans="1:27">
      <c r="A61">
        <v>89</v>
      </c>
      <c r="B61" t="s">
        <v>78</v>
      </c>
      <c r="C61" t="s">
        <v>307</v>
      </c>
      <c r="D61" t="s">
        <v>576</v>
      </c>
      <c r="E61" t="s">
        <v>577</v>
      </c>
      <c r="F61" t="s">
        <v>546</v>
      </c>
      <c r="G61" t="s">
        <v>547</v>
      </c>
      <c r="H61" s="5">
        <v>43508</v>
      </c>
      <c r="I61" t="s">
        <v>234</v>
      </c>
      <c r="J61" t="s">
        <v>293</v>
      </c>
      <c r="K61" t="s">
        <v>41</v>
      </c>
      <c r="L61">
        <v>3100800883580</v>
      </c>
      <c r="M61">
        <v>7010510337</v>
      </c>
      <c r="N61" t="s">
        <v>214</v>
      </c>
      <c r="O61" t="s">
        <v>234</v>
      </c>
      <c r="P61" t="s">
        <v>294</v>
      </c>
      <c r="Q61" t="s">
        <v>294</v>
      </c>
      <c r="R61" t="s">
        <v>63</v>
      </c>
      <c r="S61" t="s">
        <v>385</v>
      </c>
      <c r="T61" t="s">
        <v>372</v>
      </c>
      <c r="U61" t="s">
        <v>373</v>
      </c>
      <c r="V61" t="s">
        <v>298</v>
      </c>
      <c r="W61" t="s">
        <v>299</v>
      </c>
      <c r="X61">
        <v>45126</v>
      </c>
      <c r="Y61" t="s">
        <v>578</v>
      </c>
      <c r="Z61" t="s">
        <v>302</v>
      </c>
      <c r="AA61" t="s">
        <v>1294</v>
      </c>
    </row>
    <row r="62" spans="1:27">
      <c r="A62">
        <v>90</v>
      </c>
      <c r="B62" t="s">
        <v>79</v>
      </c>
      <c r="C62" t="s">
        <v>289</v>
      </c>
      <c r="D62" t="s">
        <v>570</v>
      </c>
      <c r="E62" t="s">
        <v>579</v>
      </c>
      <c r="F62" t="s">
        <v>546</v>
      </c>
      <c r="G62" t="s">
        <v>547</v>
      </c>
      <c r="H62" s="5">
        <v>43546</v>
      </c>
      <c r="I62" t="s">
        <v>233</v>
      </c>
      <c r="J62" t="s">
        <v>293</v>
      </c>
      <c r="K62" t="s">
        <v>41</v>
      </c>
      <c r="L62">
        <v>1200100121094</v>
      </c>
      <c r="M62">
        <v>7010570404</v>
      </c>
      <c r="N62" t="s">
        <v>214</v>
      </c>
      <c r="O62" t="s">
        <v>233</v>
      </c>
      <c r="P62" t="s">
        <v>294</v>
      </c>
      <c r="Q62" t="s">
        <v>294</v>
      </c>
      <c r="R62" t="s">
        <v>62</v>
      </c>
      <c r="S62" t="s">
        <v>381</v>
      </c>
      <c r="T62" t="s">
        <v>372</v>
      </c>
      <c r="U62" t="s">
        <v>373</v>
      </c>
      <c r="V62" t="s">
        <v>298</v>
      </c>
      <c r="W62" t="s">
        <v>299</v>
      </c>
      <c r="X62">
        <v>45126</v>
      </c>
      <c r="Y62" t="s">
        <v>580</v>
      </c>
      <c r="Z62" t="s">
        <v>302</v>
      </c>
      <c r="AA62" t="s">
        <v>1293</v>
      </c>
    </row>
    <row r="63" spans="1:27">
      <c r="A63">
        <v>93</v>
      </c>
      <c r="B63" t="s">
        <v>80</v>
      </c>
      <c r="C63" t="s">
        <v>307</v>
      </c>
      <c r="D63" t="s">
        <v>581</v>
      </c>
      <c r="E63" t="s">
        <v>582</v>
      </c>
      <c r="F63" t="s">
        <v>546</v>
      </c>
      <c r="G63" t="s">
        <v>547</v>
      </c>
      <c r="H63" s="5">
        <v>43753</v>
      </c>
      <c r="I63" t="s">
        <v>221</v>
      </c>
      <c r="J63" t="s">
        <v>293</v>
      </c>
      <c r="K63" t="s">
        <v>41</v>
      </c>
      <c r="L63">
        <v>4110300005506</v>
      </c>
      <c r="M63">
        <v>7010894687</v>
      </c>
      <c r="N63" t="s">
        <v>213</v>
      </c>
      <c r="O63" t="s">
        <v>221</v>
      </c>
      <c r="P63" t="s">
        <v>294</v>
      </c>
      <c r="Q63" t="s">
        <v>294</v>
      </c>
      <c r="R63" t="s">
        <v>50</v>
      </c>
      <c r="S63" t="s">
        <v>328</v>
      </c>
      <c r="T63" t="s">
        <v>319</v>
      </c>
      <c r="U63" t="s">
        <v>320</v>
      </c>
      <c r="V63" t="s">
        <v>298</v>
      </c>
      <c r="W63" t="s">
        <v>299</v>
      </c>
      <c r="X63">
        <v>45125</v>
      </c>
      <c r="Y63" t="s">
        <v>583</v>
      </c>
      <c r="Z63" t="s">
        <v>302</v>
      </c>
      <c r="AA63" t="s">
        <v>1281</v>
      </c>
    </row>
    <row r="64" spans="1:27">
      <c r="A64">
        <v>95</v>
      </c>
      <c r="B64" t="s">
        <v>81</v>
      </c>
      <c r="C64" t="s">
        <v>307</v>
      </c>
      <c r="D64" t="s">
        <v>581</v>
      </c>
      <c r="E64" t="s">
        <v>584</v>
      </c>
      <c r="F64" t="s">
        <v>546</v>
      </c>
      <c r="G64" t="s">
        <v>547</v>
      </c>
      <c r="H64" s="5">
        <v>43805</v>
      </c>
      <c r="I64" t="s">
        <v>227</v>
      </c>
      <c r="J64" t="s">
        <v>293</v>
      </c>
      <c r="K64" t="s">
        <v>41</v>
      </c>
      <c r="L64">
        <v>3570300072074</v>
      </c>
      <c r="M64">
        <v>7009573148</v>
      </c>
      <c r="N64" t="s">
        <v>214</v>
      </c>
      <c r="O64" t="s">
        <v>227</v>
      </c>
      <c r="P64" t="s">
        <v>294</v>
      </c>
      <c r="Q64" t="s">
        <v>294</v>
      </c>
      <c r="R64" t="s">
        <v>56</v>
      </c>
      <c r="S64" t="s">
        <v>354</v>
      </c>
      <c r="T64" t="s">
        <v>355</v>
      </c>
      <c r="U64" t="s">
        <v>356</v>
      </c>
      <c r="V64" t="s">
        <v>298</v>
      </c>
      <c r="W64" t="s">
        <v>299</v>
      </c>
      <c r="X64">
        <v>45147</v>
      </c>
      <c r="Y64" t="s">
        <v>585</v>
      </c>
      <c r="Z64" t="s">
        <v>302</v>
      </c>
      <c r="AA64" t="s">
        <v>1287</v>
      </c>
    </row>
    <row r="65" spans="1:27">
      <c r="A65">
        <v>97</v>
      </c>
      <c r="B65" t="s">
        <v>82</v>
      </c>
      <c r="C65" t="s">
        <v>289</v>
      </c>
      <c r="D65" t="s">
        <v>586</v>
      </c>
      <c r="E65" t="s">
        <v>587</v>
      </c>
      <c r="F65" t="s">
        <v>546</v>
      </c>
      <c r="G65" t="s">
        <v>547</v>
      </c>
      <c r="H65" s="5">
        <v>43868</v>
      </c>
      <c r="I65" t="s">
        <v>221</v>
      </c>
      <c r="J65" t="s">
        <v>293</v>
      </c>
      <c r="K65" t="s">
        <v>41</v>
      </c>
      <c r="L65">
        <v>1529900308445</v>
      </c>
      <c r="M65">
        <v>7002702506</v>
      </c>
      <c r="N65" t="s">
        <v>213</v>
      </c>
      <c r="O65" t="s">
        <v>221</v>
      </c>
      <c r="P65" t="s">
        <v>294</v>
      </c>
      <c r="Q65" t="s">
        <v>294</v>
      </c>
      <c r="R65" t="s">
        <v>50</v>
      </c>
      <c r="S65" t="s">
        <v>328</v>
      </c>
      <c r="T65" t="s">
        <v>319</v>
      </c>
      <c r="U65" t="s">
        <v>320</v>
      </c>
      <c r="V65" t="s">
        <v>298</v>
      </c>
      <c r="W65" t="s">
        <v>299</v>
      </c>
      <c r="X65">
        <v>45118</v>
      </c>
      <c r="Y65" t="s">
        <v>588</v>
      </c>
      <c r="Z65" t="s">
        <v>302</v>
      </c>
      <c r="AA65" t="s">
        <v>1281</v>
      </c>
    </row>
    <row r="66" spans="1:27">
      <c r="A66">
        <v>98</v>
      </c>
      <c r="B66" t="s">
        <v>83</v>
      </c>
      <c r="C66" t="s">
        <v>307</v>
      </c>
      <c r="D66" t="s">
        <v>589</v>
      </c>
      <c r="E66" t="s">
        <v>590</v>
      </c>
      <c r="F66" t="s">
        <v>546</v>
      </c>
      <c r="G66" t="s">
        <v>547</v>
      </c>
      <c r="H66" s="5">
        <v>43885</v>
      </c>
      <c r="I66" t="s">
        <v>216</v>
      </c>
      <c r="J66" t="s">
        <v>293</v>
      </c>
      <c r="K66" t="s">
        <v>41</v>
      </c>
      <c r="L66">
        <v>5320700057127</v>
      </c>
      <c r="M66">
        <v>7011067297</v>
      </c>
      <c r="N66" t="s">
        <v>213</v>
      </c>
      <c r="O66" t="s">
        <v>216</v>
      </c>
      <c r="P66" t="s">
        <v>294</v>
      </c>
      <c r="Q66" t="s">
        <v>294</v>
      </c>
      <c r="R66" t="s">
        <v>45</v>
      </c>
      <c r="S66" t="s">
        <v>305</v>
      </c>
      <c r="T66" t="s">
        <v>296</v>
      </c>
      <c r="U66" t="s">
        <v>297</v>
      </c>
      <c r="V66" t="s">
        <v>298</v>
      </c>
      <c r="W66" t="s">
        <v>299</v>
      </c>
      <c r="X66">
        <v>45118</v>
      </c>
      <c r="Y66" t="s">
        <v>591</v>
      </c>
      <c r="Z66" t="s">
        <v>302</v>
      </c>
      <c r="AA66" t="s">
        <v>1276</v>
      </c>
    </row>
    <row r="67" spans="1:27">
      <c r="A67">
        <v>99</v>
      </c>
      <c r="B67" t="s">
        <v>84</v>
      </c>
      <c r="C67" t="s">
        <v>289</v>
      </c>
      <c r="D67" t="s">
        <v>592</v>
      </c>
      <c r="E67" t="s">
        <v>593</v>
      </c>
      <c r="F67" t="s">
        <v>546</v>
      </c>
      <c r="G67" t="s">
        <v>547</v>
      </c>
      <c r="H67" s="5">
        <v>43965</v>
      </c>
      <c r="I67" t="s">
        <v>231</v>
      </c>
      <c r="J67" t="s">
        <v>293</v>
      </c>
      <c r="K67" t="s">
        <v>41</v>
      </c>
      <c r="L67">
        <v>1160100335249</v>
      </c>
      <c r="M67">
        <v>7011161622</v>
      </c>
      <c r="N67" t="s">
        <v>214</v>
      </c>
      <c r="O67" t="s">
        <v>231</v>
      </c>
      <c r="P67" t="s">
        <v>294</v>
      </c>
      <c r="Q67" t="s">
        <v>294</v>
      </c>
      <c r="R67" t="s">
        <v>60</v>
      </c>
      <c r="S67" t="s">
        <v>371</v>
      </c>
      <c r="T67" t="s">
        <v>372</v>
      </c>
      <c r="U67" t="s">
        <v>373</v>
      </c>
      <c r="V67" t="s">
        <v>298</v>
      </c>
      <c r="W67" t="s">
        <v>299</v>
      </c>
      <c r="X67">
        <v>45126</v>
      </c>
      <c r="Y67" t="s">
        <v>594</v>
      </c>
      <c r="Z67" t="s">
        <v>302</v>
      </c>
      <c r="AA67" t="s">
        <v>1291</v>
      </c>
    </row>
    <row r="68" spans="1:27">
      <c r="A68">
        <v>102</v>
      </c>
      <c r="B68" t="s">
        <v>85</v>
      </c>
      <c r="C68" t="s">
        <v>307</v>
      </c>
      <c r="D68" t="s">
        <v>595</v>
      </c>
      <c r="E68" t="s">
        <v>596</v>
      </c>
      <c r="F68" t="s">
        <v>546</v>
      </c>
      <c r="G68" t="s">
        <v>547</v>
      </c>
      <c r="H68" s="5">
        <v>44053</v>
      </c>
      <c r="I68" t="s">
        <v>227</v>
      </c>
      <c r="J68" t="s">
        <v>293</v>
      </c>
      <c r="K68" t="s">
        <v>41</v>
      </c>
      <c r="L68">
        <v>3501400446899</v>
      </c>
      <c r="M68">
        <v>7011293195</v>
      </c>
      <c r="N68" t="s">
        <v>214</v>
      </c>
      <c r="O68" t="s">
        <v>227</v>
      </c>
      <c r="P68" t="s">
        <v>294</v>
      </c>
      <c r="Q68" t="s">
        <v>294</v>
      </c>
      <c r="R68" t="s">
        <v>56</v>
      </c>
      <c r="S68" t="s">
        <v>354</v>
      </c>
      <c r="T68" t="s">
        <v>355</v>
      </c>
      <c r="U68" t="s">
        <v>356</v>
      </c>
      <c r="V68" t="s">
        <v>298</v>
      </c>
      <c r="W68" t="s">
        <v>299</v>
      </c>
      <c r="X68">
        <v>45147</v>
      </c>
      <c r="Y68" t="s">
        <v>597</v>
      </c>
      <c r="Z68" t="s">
        <v>302</v>
      </c>
      <c r="AA68" t="s">
        <v>1287</v>
      </c>
    </row>
    <row r="69" spans="1:27">
      <c r="A69">
        <v>103</v>
      </c>
      <c r="B69" t="s">
        <v>86</v>
      </c>
      <c r="C69" t="s">
        <v>289</v>
      </c>
      <c r="D69" t="s">
        <v>598</v>
      </c>
      <c r="E69" t="s">
        <v>599</v>
      </c>
      <c r="F69" t="s">
        <v>546</v>
      </c>
      <c r="G69" t="s">
        <v>547</v>
      </c>
      <c r="H69" s="5">
        <v>44068</v>
      </c>
      <c r="I69" t="s">
        <v>227</v>
      </c>
      <c r="J69" t="s">
        <v>293</v>
      </c>
      <c r="K69" t="s">
        <v>41</v>
      </c>
      <c r="L69">
        <v>3501900480662</v>
      </c>
      <c r="M69">
        <v>7006401033</v>
      </c>
      <c r="N69" t="s">
        <v>214</v>
      </c>
      <c r="O69" t="s">
        <v>227</v>
      </c>
      <c r="P69" t="s">
        <v>294</v>
      </c>
      <c r="Q69" t="s">
        <v>294</v>
      </c>
      <c r="R69" t="s">
        <v>56</v>
      </c>
      <c r="S69" t="s">
        <v>354</v>
      </c>
      <c r="T69" t="s">
        <v>355</v>
      </c>
      <c r="U69" t="s">
        <v>356</v>
      </c>
      <c r="V69" t="s">
        <v>298</v>
      </c>
      <c r="W69" t="s">
        <v>299</v>
      </c>
      <c r="X69">
        <v>45147</v>
      </c>
      <c r="Y69" t="s">
        <v>600</v>
      </c>
      <c r="Z69" t="s">
        <v>302</v>
      </c>
      <c r="AA69" t="s">
        <v>1287</v>
      </c>
    </row>
    <row r="70" spans="1:27">
      <c r="A70">
        <v>106</v>
      </c>
      <c r="B70" t="s">
        <v>87</v>
      </c>
      <c r="C70" t="s">
        <v>307</v>
      </c>
      <c r="D70" t="s">
        <v>601</v>
      </c>
      <c r="E70" t="s">
        <v>602</v>
      </c>
      <c r="F70" t="s">
        <v>546</v>
      </c>
      <c r="G70" t="s">
        <v>547</v>
      </c>
      <c r="H70" s="5">
        <v>44173</v>
      </c>
      <c r="I70" t="s">
        <v>220</v>
      </c>
      <c r="J70" t="s">
        <v>293</v>
      </c>
      <c r="K70" t="s">
        <v>41</v>
      </c>
      <c r="L70">
        <v>3410400074258</v>
      </c>
      <c r="M70">
        <v>7011485350</v>
      </c>
      <c r="N70" t="s">
        <v>213</v>
      </c>
      <c r="O70" t="s">
        <v>220</v>
      </c>
      <c r="P70" t="s">
        <v>294</v>
      </c>
      <c r="Q70" t="s">
        <v>294</v>
      </c>
      <c r="R70" t="s">
        <v>49</v>
      </c>
      <c r="S70" t="s">
        <v>324</v>
      </c>
      <c r="T70" t="s">
        <v>319</v>
      </c>
      <c r="U70" t="s">
        <v>320</v>
      </c>
      <c r="V70" t="s">
        <v>298</v>
      </c>
      <c r="W70" t="s">
        <v>299</v>
      </c>
      <c r="X70">
        <v>45118</v>
      </c>
      <c r="Y70" t="s">
        <v>603</v>
      </c>
      <c r="Z70" t="s">
        <v>302</v>
      </c>
      <c r="AA70" t="s">
        <v>1280</v>
      </c>
    </row>
    <row r="71" spans="1:27">
      <c r="A71">
        <v>107</v>
      </c>
      <c r="B71" t="s">
        <v>88</v>
      </c>
      <c r="C71" t="s">
        <v>307</v>
      </c>
      <c r="D71" t="s">
        <v>604</v>
      </c>
      <c r="E71" t="s">
        <v>605</v>
      </c>
      <c r="F71" t="s">
        <v>546</v>
      </c>
      <c r="G71" t="s">
        <v>547</v>
      </c>
      <c r="H71" s="5">
        <v>44230</v>
      </c>
      <c r="I71" t="s">
        <v>218</v>
      </c>
      <c r="J71" t="s">
        <v>293</v>
      </c>
      <c r="K71" t="s">
        <v>41</v>
      </c>
      <c r="L71">
        <v>1103701998695</v>
      </c>
      <c r="M71">
        <v>7011829192</v>
      </c>
      <c r="N71" t="s">
        <v>213</v>
      </c>
      <c r="O71" t="s">
        <v>218</v>
      </c>
      <c r="P71" t="s">
        <v>294</v>
      </c>
      <c r="Q71" t="s">
        <v>294</v>
      </c>
      <c r="R71" t="s">
        <v>47</v>
      </c>
      <c r="S71" t="s">
        <v>314</v>
      </c>
      <c r="T71" t="s">
        <v>296</v>
      </c>
      <c r="U71" t="s">
        <v>297</v>
      </c>
      <c r="V71" t="s">
        <v>298</v>
      </c>
      <c r="W71" t="s">
        <v>299</v>
      </c>
      <c r="X71">
        <v>45118</v>
      </c>
      <c r="Y71" t="s">
        <v>606</v>
      </c>
      <c r="Z71" t="s">
        <v>302</v>
      </c>
      <c r="AA71" t="s">
        <v>1278</v>
      </c>
    </row>
    <row r="72" spans="1:27">
      <c r="A72">
        <v>111</v>
      </c>
      <c r="B72" t="s">
        <v>89</v>
      </c>
      <c r="C72" t="s">
        <v>307</v>
      </c>
      <c r="D72" t="s">
        <v>607</v>
      </c>
      <c r="E72" t="s">
        <v>608</v>
      </c>
      <c r="F72" t="s">
        <v>546</v>
      </c>
      <c r="G72" t="s">
        <v>547</v>
      </c>
      <c r="H72" s="5">
        <v>44379</v>
      </c>
      <c r="I72" t="s">
        <v>224</v>
      </c>
      <c r="J72" t="s">
        <v>293</v>
      </c>
      <c r="K72" t="s">
        <v>41</v>
      </c>
      <c r="L72">
        <v>1900600068510</v>
      </c>
      <c r="M72">
        <v>7010532999</v>
      </c>
      <c r="N72" t="s">
        <v>214</v>
      </c>
      <c r="O72" t="s">
        <v>224</v>
      </c>
      <c r="P72" t="s">
        <v>294</v>
      </c>
      <c r="Q72" t="s">
        <v>294</v>
      </c>
      <c r="R72" t="s">
        <v>53</v>
      </c>
      <c r="S72" t="s">
        <v>342</v>
      </c>
      <c r="T72" t="s">
        <v>337</v>
      </c>
      <c r="U72" t="s">
        <v>338</v>
      </c>
      <c r="V72" t="s">
        <v>298</v>
      </c>
      <c r="W72" t="s">
        <v>299</v>
      </c>
      <c r="X72">
        <v>45127</v>
      </c>
      <c r="Y72" t="s">
        <v>609</v>
      </c>
      <c r="Z72" t="s">
        <v>302</v>
      </c>
      <c r="AA72" t="s">
        <v>1284</v>
      </c>
    </row>
    <row r="73" spans="1:27">
      <c r="A73">
        <v>113</v>
      </c>
      <c r="B73" t="s">
        <v>90</v>
      </c>
      <c r="C73" t="s">
        <v>307</v>
      </c>
      <c r="D73" t="s">
        <v>610</v>
      </c>
      <c r="E73" t="s">
        <v>611</v>
      </c>
      <c r="F73" t="s">
        <v>546</v>
      </c>
      <c r="G73" t="s">
        <v>547</v>
      </c>
      <c r="H73" s="5">
        <v>44433</v>
      </c>
      <c r="I73" t="s">
        <v>231</v>
      </c>
      <c r="J73" t="s">
        <v>293</v>
      </c>
      <c r="K73" t="s">
        <v>41</v>
      </c>
      <c r="L73">
        <v>1209700085143</v>
      </c>
      <c r="M73">
        <v>7010000634</v>
      </c>
      <c r="N73" t="s">
        <v>214</v>
      </c>
      <c r="O73" t="s">
        <v>231</v>
      </c>
      <c r="P73" t="s">
        <v>294</v>
      </c>
      <c r="Q73" t="s">
        <v>294</v>
      </c>
      <c r="R73" t="s">
        <v>60</v>
      </c>
      <c r="S73" t="s">
        <v>371</v>
      </c>
      <c r="T73" t="s">
        <v>372</v>
      </c>
      <c r="U73" t="s">
        <v>373</v>
      </c>
      <c r="V73" t="s">
        <v>298</v>
      </c>
      <c r="W73" t="s">
        <v>299</v>
      </c>
      <c r="X73">
        <v>45128</v>
      </c>
      <c r="Y73" t="s">
        <v>612</v>
      </c>
      <c r="Z73" t="s">
        <v>302</v>
      </c>
      <c r="AA73" t="s">
        <v>1291</v>
      </c>
    </row>
    <row r="74" spans="1:27">
      <c r="A74">
        <v>114</v>
      </c>
      <c r="B74" t="s">
        <v>91</v>
      </c>
      <c r="C74" t="s">
        <v>289</v>
      </c>
      <c r="D74" t="s">
        <v>613</v>
      </c>
      <c r="E74" t="s">
        <v>614</v>
      </c>
      <c r="F74" t="s">
        <v>546</v>
      </c>
      <c r="G74" t="s">
        <v>547</v>
      </c>
      <c r="H74" s="5">
        <v>44440</v>
      </c>
      <c r="I74" t="s">
        <v>221</v>
      </c>
      <c r="J74" t="s">
        <v>293</v>
      </c>
      <c r="K74" t="s">
        <v>41</v>
      </c>
      <c r="L74">
        <v>1103702604844</v>
      </c>
      <c r="M74">
        <v>7012076330</v>
      </c>
      <c r="N74" t="s">
        <v>213</v>
      </c>
      <c r="O74" t="s">
        <v>221</v>
      </c>
      <c r="P74" t="s">
        <v>294</v>
      </c>
      <c r="Q74" t="s">
        <v>294</v>
      </c>
      <c r="R74" t="s">
        <v>50</v>
      </c>
      <c r="S74" t="s">
        <v>328</v>
      </c>
      <c r="T74" t="s">
        <v>319</v>
      </c>
      <c r="U74" t="s">
        <v>320</v>
      </c>
      <c r="V74" t="s">
        <v>298</v>
      </c>
      <c r="W74" t="s">
        <v>299</v>
      </c>
      <c r="X74">
        <v>45119</v>
      </c>
      <c r="Y74" t="s">
        <v>615</v>
      </c>
      <c r="Z74" t="s">
        <v>302</v>
      </c>
      <c r="AA74" t="s">
        <v>1281</v>
      </c>
    </row>
    <row r="75" spans="1:27">
      <c r="A75">
        <v>115</v>
      </c>
      <c r="B75" t="s">
        <v>92</v>
      </c>
      <c r="C75" t="s">
        <v>289</v>
      </c>
      <c r="D75" t="s">
        <v>616</v>
      </c>
      <c r="E75" t="s">
        <v>617</v>
      </c>
      <c r="F75" t="s">
        <v>546</v>
      </c>
      <c r="G75" t="s">
        <v>547</v>
      </c>
      <c r="H75" s="5">
        <v>44440</v>
      </c>
      <c r="I75" t="s">
        <v>227</v>
      </c>
      <c r="J75" t="s">
        <v>293</v>
      </c>
      <c r="K75" t="s">
        <v>41</v>
      </c>
      <c r="L75">
        <v>1559900374359</v>
      </c>
      <c r="M75">
        <v>7012060030</v>
      </c>
      <c r="N75" t="s">
        <v>214</v>
      </c>
      <c r="O75" t="s">
        <v>227</v>
      </c>
      <c r="P75" t="s">
        <v>294</v>
      </c>
      <c r="Q75" t="s">
        <v>294</v>
      </c>
      <c r="R75" t="s">
        <v>56</v>
      </c>
      <c r="S75" t="s">
        <v>354</v>
      </c>
      <c r="T75" t="s">
        <v>355</v>
      </c>
      <c r="U75" t="s">
        <v>356</v>
      </c>
      <c r="V75" t="s">
        <v>298</v>
      </c>
      <c r="W75" t="s">
        <v>299</v>
      </c>
      <c r="X75">
        <v>45147</v>
      </c>
      <c r="Y75" t="s">
        <v>618</v>
      </c>
      <c r="Z75" t="s">
        <v>302</v>
      </c>
      <c r="AA75" t="s">
        <v>1287</v>
      </c>
    </row>
    <row r="76" spans="1:27">
      <c r="A76">
        <v>116</v>
      </c>
      <c r="B76" t="s">
        <v>93</v>
      </c>
      <c r="C76" t="s">
        <v>289</v>
      </c>
      <c r="D76" t="s">
        <v>619</v>
      </c>
      <c r="E76" t="s">
        <v>620</v>
      </c>
      <c r="F76" t="s">
        <v>546</v>
      </c>
      <c r="G76" t="s">
        <v>547</v>
      </c>
      <c r="H76" s="5">
        <v>44445</v>
      </c>
      <c r="I76" t="s">
        <v>232</v>
      </c>
      <c r="J76" t="s">
        <v>293</v>
      </c>
      <c r="K76" t="s">
        <v>41</v>
      </c>
      <c r="L76">
        <v>1200100024773</v>
      </c>
      <c r="M76">
        <v>7012092295</v>
      </c>
      <c r="N76" t="s">
        <v>214</v>
      </c>
      <c r="O76" t="s">
        <v>232</v>
      </c>
      <c r="P76" t="s">
        <v>294</v>
      </c>
      <c r="Q76" t="s">
        <v>294</v>
      </c>
      <c r="R76" t="s">
        <v>61</v>
      </c>
      <c r="S76" t="s">
        <v>377</v>
      </c>
      <c r="T76" t="s">
        <v>372</v>
      </c>
      <c r="U76" t="s">
        <v>373</v>
      </c>
      <c r="V76" t="s">
        <v>298</v>
      </c>
      <c r="W76" t="s">
        <v>299</v>
      </c>
      <c r="X76">
        <v>45128</v>
      </c>
      <c r="Y76" t="s">
        <v>621</v>
      </c>
      <c r="Z76" t="s">
        <v>302</v>
      </c>
      <c r="AA76" t="s">
        <v>1292</v>
      </c>
    </row>
    <row r="77" spans="1:27">
      <c r="A77">
        <v>117</v>
      </c>
      <c r="B77" t="s">
        <v>94</v>
      </c>
      <c r="C77" t="s">
        <v>289</v>
      </c>
      <c r="D77" t="s">
        <v>622</v>
      </c>
      <c r="E77" t="s">
        <v>623</v>
      </c>
      <c r="F77" t="s">
        <v>546</v>
      </c>
      <c r="G77" t="s">
        <v>547</v>
      </c>
      <c r="H77" s="5">
        <v>44447</v>
      </c>
      <c r="I77" t="s">
        <v>224</v>
      </c>
      <c r="J77" t="s">
        <v>293</v>
      </c>
      <c r="K77" t="s">
        <v>41</v>
      </c>
      <c r="L77">
        <v>3300600521321</v>
      </c>
      <c r="M77">
        <v>7012091212</v>
      </c>
      <c r="N77" t="s">
        <v>214</v>
      </c>
      <c r="O77" t="s">
        <v>224</v>
      </c>
      <c r="P77" t="s">
        <v>294</v>
      </c>
      <c r="Q77" t="s">
        <v>294</v>
      </c>
      <c r="R77" t="s">
        <v>53</v>
      </c>
      <c r="S77" t="s">
        <v>342</v>
      </c>
      <c r="T77" t="s">
        <v>337</v>
      </c>
      <c r="U77" t="s">
        <v>338</v>
      </c>
      <c r="V77" t="s">
        <v>298</v>
      </c>
      <c r="W77" t="s">
        <v>299</v>
      </c>
      <c r="X77">
        <v>45127</v>
      </c>
      <c r="Y77" t="s">
        <v>624</v>
      </c>
      <c r="Z77" t="s">
        <v>302</v>
      </c>
      <c r="AA77" t="s">
        <v>1284</v>
      </c>
    </row>
    <row r="78" spans="1:27">
      <c r="A78">
        <v>118</v>
      </c>
      <c r="B78" t="s">
        <v>95</v>
      </c>
      <c r="C78" t="s">
        <v>307</v>
      </c>
      <c r="D78" t="s">
        <v>625</v>
      </c>
      <c r="E78" t="s">
        <v>626</v>
      </c>
      <c r="F78" t="s">
        <v>546</v>
      </c>
      <c r="G78" t="s">
        <v>547</v>
      </c>
      <c r="H78" s="5">
        <v>44447</v>
      </c>
      <c r="I78" t="s">
        <v>233</v>
      </c>
      <c r="J78" t="s">
        <v>293</v>
      </c>
      <c r="K78" t="s">
        <v>41</v>
      </c>
      <c r="L78">
        <v>3209900151031</v>
      </c>
      <c r="M78">
        <v>7005048517</v>
      </c>
      <c r="N78" t="s">
        <v>214</v>
      </c>
      <c r="O78" t="s">
        <v>233</v>
      </c>
      <c r="P78" t="s">
        <v>294</v>
      </c>
      <c r="Q78" t="s">
        <v>294</v>
      </c>
      <c r="R78" t="s">
        <v>62</v>
      </c>
      <c r="S78" t="s">
        <v>381</v>
      </c>
      <c r="T78" t="s">
        <v>372</v>
      </c>
      <c r="U78" t="s">
        <v>373</v>
      </c>
      <c r="V78" t="s">
        <v>298</v>
      </c>
      <c r="W78" t="s">
        <v>299</v>
      </c>
      <c r="X78">
        <v>45126</v>
      </c>
      <c r="Y78" t="s">
        <v>627</v>
      </c>
      <c r="Z78" t="s">
        <v>302</v>
      </c>
      <c r="AA78" t="s">
        <v>1293</v>
      </c>
    </row>
    <row r="79" spans="1:27">
      <c r="A79">
        <v>119</v>
      </c>
      <c r="B79" t="s">
        <v>96</v>
      </c>
      <c r="C79" t="s">
        <v>307</v>
      </c>
      <c r="D79" t="s">
        <v>628</v>
      </c>
      <c r="E79" t="s">
        <v>629</v>
      </c>
      <c r="F79" t="s">
        <v>546</v>
      </c>
      <c r="G79" t="s">
        <v>547</v>
      </c>
      <c r="H79" s="5">
        <v>44470</v>
      </c>
      <c r="I79" t="s">
        <v>223</v>
      </c>
      <c r="J79" t="s">
        <v>293</v>
      </c>
      <c r="K79" t="s">
        <v>41</v>
      </c>
      <c r="L79">
        <v>3401300189496</v>
      </c>
      <c r="M79">
        <v>7012077232</v>
      </c>
      <c r="N79" t="s">
        <v>213</v>
      </c>
      <c r="O79" t="s">
        <v>223</v>
      </c>
      <c r="P79" t="s">
        <v>294</v>
      </c>
      <c r="Q79" t="s">
        <v>294</v>
      </c>
      <c r="R79" t="s">
        <v>52</v>
      </c>
      <c r="S79" t="s">
        <v>336</v>
      </c>
      <c r="T79" t="s">
        <v>337</v>
      </c>
      <c r="U79" t="s">
        <v>338</v>
      </c>
      <c r="V79" t="s">
        <v>298</v>
      </c>
      <c r="W79" t="s">
        <v>299</v>
      </c>
      <c r="X79">
        <v>45119</v>
      </c>
      <c r="Y79" t="s">
        <v>630</v>
      </c>
      <c r="Z79" t="s">
        <v>302</v>
      </c>
      <c r="AA79" t="s">
        <v>1283</v>
      </c>
    </row>
    <row r="80" spans="1:27">
      <c r="A80">
        <v>120</v>
      </c>
      <c r="B80" t="s">
        <v>97</v>
      </c>
      <c r="C80" t="s">
        <v>289</v>
      </c>
      <c r="D80" t="s">
        <v>631</v>
      </c>
      <c r="E80" t="s">
        <v>632</v>
      </c>
      <c r="F80" t="s">
        <v>546</v>
      </c>
      <c r="G80" t="s">
        <v>547</v>
      </c>
      <c r="H80" s="5">
        <v>44470</v>
      </c>
      <c r="I80" t="s">
        <v>238</v>
      </c>
      <c r="J80" t="s">
        <v>293</v>
      </c>
      <c r="K80" t="s">
        <v>41</v>
      </c>
      <c r="L80">
        <v>3200100597109</v>
      </c>
      <c r="M80">
        <v>7003072578</v>
      </c>
      <c r="N80" t="s">
        <v>214</v>
      </c>
      <c r="O80" t="s">
        <v>238</v>
      </c>
      <c r="P80" t="s">
        <v>294</v>
      </c>
      <c r="Q80" t="s">
        <v>294</v>
      </c>
      <c r="R80" t="s">
        <v>67</v>
      </c>
      <c r="S80" t="s">
        <v>403</v>
      </c>
      <c r="T80" t="s">
        <v>390</v>
      </c>
      <c r="U80" t="s">
        <v>391</v>
      </c>
      <c r="V80" t="s">
        <v>298</v>
      </c>
      <c r="W80" t="s">
        <v>299</v>
      </c>
      <c r="X80">
        <v>45342</v>
      </c>
      <c r="Y80" t="s">
        <v>633</v>
      </c>
      <c r="Z80" t="s">
        <v>302</v>
      </c>
      <c r="AA80" t="s">
        <v>1298</v>
      </c>
    </row>
    <row r="81" spans="1:27">
      <c r="A81">
        <v>123</v>
      </c>
      <c r="B81" t="s">
        <v>98</v>
      </c>
      <c r="C81" t="s">
        <v>289</v>
      </c>
      <c r="D81" t="s">
        <v>634</v>
      </c>
      <c r="E81" t="s">
        <v>635</v>
      </c>
      <c r="F81" t="s">
        <v>546</v>
      </c>
      <c r="G81" t="s">
        <v>547</v>
      </c>
      <c r="H81" s="5">
        <v>44505</v>
      </c>
      <c r="I81" t="s">
        <v>236</v>
      </c>
      <c r="J81" t="s">
        <v>293</v>
      </c>
      <c r="K81" t="s">
        <v>41</v>
      </c>
      <c r="L81">
        <v>5901100032951</v>
      </c>
      <c r="M81">
        <v>7015129591</v>
      </c>
      <c r="N81" t="s">
        <v>214</v>
      </c>
      <c r="O81" t="s">
        <v>236</v>
      </c>
      <c r="P81" t="s">
        <v>294</v>
      </c>
      <c r="Q81" t="s">
        <v>294</v>
      </c>
      <c r="R81" t="s">
        <v>65</v>
      </c>
      <c r="S81" t="s">
        <v>395</v>
      </c>
      <c r="T81" t="s">
        <v>390</v>
      </c>
      <c r="U81" t="s">
        <v>391</v>
      </c>
      <c r="V81" t="s">
        <v>298</v>
      </c>
      <c r="W81" t="s">
        <v>299</v>
      </c>
      <c r="X81">
        <v>45126</v>
      </c>
      <c r="Y81" t="s">
        <v>636</v>
      </c>
      <c r="Z81" t="s">
        <v>302</v>
      </c>
      <c r="AA81" t="s">
        <v>1296</v>
      </c>
    </row>
    <row r="82" spans="1:27">
      <c r="A82">
        <v>125</v>
      </c>
      <c r="B82" t="s">
        <v>99</v>
      </c>
      <c r="C82" t="s">
        <v>289</v>
      </c>
      <c r="D82" t="s">
        <v>637</v>
      </c>
      <c r="E82" t="s">
        <v>638</v>
      </c>
      <c r="F82" t="s">
        <v>546</v>
      </c>
      <c r="G82" t="s">
        <v>547</v>
      </c>
      <c r="H82" s="5">
        <v>44519</v>
      </c>
      <c r="I82" t="s">
        <v>237</v>
      </c>
      <c r="J82" t="s">
        <v>293</v>
      </c>
      <c r="K82" t="s">
        <v>41</v>
      </c>
      <c r="L82">
        <v>1929900276400</v>
      </c>
      <c r="M82">
        <v>7012202002</v>
      </c>
      <c r="N82" t="s">
        <v>214</v>
      </c>
      <c r="O82" t="s">
        <v>237</v>
      </c>
      <c r="P82" t="s">
        <v>294</v>
      </c>
      <c r="Q82" t="s">
        <v>294</v>
      </c>
      <c r="R82" t="s">
        <v>66</v>
      </c>
      <c r="S82" t="s">
        <v>399</v>
      </c>
      <c r="T82" t="s">
        <v>390</v>
      </c>
      <c r="U82" t="s">
        <v>391</v>
      </c>
      <c r="V82" t="s">
        <v>298</v>
      </c>
      <c r="W82" t="s">
        <v>299</v>
      </c>
      <c r="X82">
        <v>45118</v>
      </c>
      <c r="Y82" t="s">
        <v>639</v>
      </c>
      <c r="Z82" t="s">
        <v>302</v>
      </c>
      <c r="AA82" t="s">
        <v>1297</v>
      </c>
    </row>
    <row r="83" spans="1:27">
      <c r="A83">
        <v>126</v>
      </c>
      <c r="B83" t="s">
        <v>100</v>
      </c>
      <c r="C83" t="s">
        <v>307</v>
      </c>
      <c r="D83" t="s">
        <v>640</v>
      </c>
      <c r="E83" t="s">
        <v>641</v>
      </c>
      <c r="F83" t="s">
        <v>546</v>
      </c>
      <c r="G83" t="s">
        <v>547</v>
      </c>
      <c r="H83" s="5">
        <v>44519</v>
      </c>
      <c r="I83" t="s">
        <v>217</v>
      </c>
      <c r="J83" t="s">
        <v>293</v>
      </c>
      <c r="K83" t="s">
        <v>41</v>
      </c>
      <c r="L83">
        <v>3640400011785</v>
      </c>
      <c r="M83">
        <v>7010700055</v>
      </c>
      <c r="N83" t="s">
        <v>213</v>
      </c>
      <c r="O83" t="s">
        <v>217</v>
      </c>
      <c r="P83" t="s">
        <v>294</v>
      </c>
      <c r="Q83" t="s">
        <v>294</v>
      </c>
      <c r="R83" t="s">
        <v>46</v>
      </c>
      <c r="S83" t="s">
        <v>310</v>
      </c>
      <c r="T83" t="s">
        <v>296</v>
      </c>
      <c r="U83" t="s">
        <v>297</v>
      </c>
      <c r="V83" t="s">
        <v>298</v>
      </c>
      <c r="W83" t="s">
        <v>299</v>
      </c>
      <c r="X83">
        <v>45118</v>
      </c>
      <c r="Y83" t="s">
        <v>642</v>
      </c>
      <c r="Z83" t="s">
        <v>302</v>
      </c>
      <c r="AA83" t="s">
        <v>1277</v>
      </c>
    </row>
    <row r="84" spans="1:27">
      <c r="A84">
        <v>127</v>
      </c>
      <c r="B84" t="s">
        <v>101</v>
      </c>
      <c r="C84" t="s">
        <v>289</v>
      </c>
      <c r="D84" t="s">
        <v>643</v>
      </c>
      <c r="E84" t="s">
        <v>644</v>
      </c>
      <c r="F84" t="s">
        <v>546</v>
      </c>
      <c r="G84" t="s">
        <v>547</v>
      </c>
      <c r="H84" s="5">
        <v>44519</v>
      </c>
      <c r="I84" t="s">
        <v>224</v>
      </c>
      <c r="J84" t="s">
        <v>293</v>
      </c>
      <c r="K84" t="s">
        <v>41</v>
      </c>
      <c r="L84">
        <v>1910400059657</v>
      </c>
      <c r="M84">
        <v>7012190266</v>
      </c>
      <c r="N84" t="s">
        <v>214</v>
      </c>
      <c r="O84" t="s">
        <v>224</v>
      </c>
      <c r="P84" t="s">
        <v>294</v>
      </c>
      <c r="Q84" t="s">
        <v>294</v>
      </c>
      <c r="R84" t="s">
        <v>53</v>
      </c>
      <c r="S84" t="s">
        <v>342</v>
      </c>
      <c r="T84" t="s">
        <v>337</v>
      </c>
      <c r="U84" t="s">
        <v>338</v>
      </c>
      <c r="V84" t="s">
        <v>298</v>
      </c>
      <c r="W84" t="s">
        <v>299</v>
      </c>
      <c r="X84">
        <v>45127</v>
      </c>
      <c r="Y84" t="s">
        <v>645</v>
      </c>
      <c r="Z84" t="s">
        <v>302</v>
      </c>
      <c r="AA84" t="s">
        <v>1284</v>
      </c>
    </row>
    <row r="85" spans="1:27">
      <c r="A85">
        <v>128</v>
      </c>
      <c r="B85" t="s">
        <v>102</v>
      </c>
      <c r="C85" t="s">
        <v>289</v>
      </c>
      <c r="D85" t="s">
        <v>646</v>
      </c>
      <c r="E85" t="s">
        <v>647</v>
      </c>
      <c r="F85" t="s">
        <v>546</v>
      </c>
      <c r="G85" t="s">
        <v>547</v>
      </c>
      <c r="H85" s="5">
        <v>44532</v>
      </c>
      <c r="I85" t="s">
        <v>232</v>
      </c>
      <c r="J85" t="s">
        <v>293</v>
      </c>
      <c r="K85" t="s">
        <v>41</v>
      </c>
      <c r="L85">
        <v>1240800007294</v>
      </c>
      <c r="M85">
        <v>7012201524</v>
      </c>
      <c r="N85" t="s">
        <v>214</v>
      </c>
      <c r="O85" t="s">
        <v>232</v>
      </c>
      <c r="P85" t="s">
        <v>294</v>
      </c>
      <c r="Q85" t="s">
        <v>294</v>
      </c>
      <c r="R85" t="s">
        <v>61</v>
      </c>
      <c r="S85" t="s">
        <v>377</v>
      </c>
      <c r="T85" t="s">
        <v>372</v>
      </c>
      <c r="U85" t="s">
        <v>373</v>
      </c>
      <c r="V85" t="s">
        <v>298</v>
      </c>
      <c r="W85" t="s">
        <v>299</v>
      </c>
      <c r="X85">
        <v>45126</v>
      </c>
      <c r="Y85" t="s">
        <v>648</v>
      </c>
      <c r="Z85" t="s">
        <v>302</v>
      </c>
      <c r="AA85" t="s">
        <v>1292</v>
      </c>
    </row>
    <row r="86" spans="1:27">
      <c r="A86">
        <v>131</v>
      </c>
      <c r="B86" t="s">
        <v>103</v>
      </c>
      <c r="C86" t="s">
        <v>289</v>
      </c>
      <c r="D86" t="s">
        <v>649</v>
      </c>
      <c r="E86" t="s">
        <v>650</v>
      </c>
      <c r="F86" t="s">
        <v>546</v>
      </c>
      <c r="G86" t="s">
        <v>547</v>
      </c>
      <c r="H86" s="5">
        <v>44616</v>
      </c>
      <c r="I86" t="s">
        <v>231</v>
      </c>
      <c r="J86" t="s">
        <v>293</v>
      </c>
      <c r="K86" t="s">
        <v>41</v>
      </c>
      <c r="L86">
        <v>3660100131491</v>
      </c>
      <c r="M86">
        <v>7005005819</v>
      </c>
      <c r="N86" t="s">
        <v>214</v>
      </c>
      <c r="O86" t="s">
        <v>231</v>
      </c>
      <c r="P86" t="s">
        <v>294</v>
      </c>
      <c r="Q86" t="s">
        <v>294</v>
      </c>
      <c r="R86" t="s">
        <v>60</v>
      </c>
      <c r="S86" t="s">
        <v>371</v>
      </c>
      <c r="T86" t="s">
        <v>372</v>
      </c>
      <c r="U86" t="s">
        <v>373</v>
      </c>
      <c r="V86" t="s">
        <v>298</v>
      </c>
      <c r="W86" t="s">
        <v>299</v>
      </c>
      <c r="X86">
        <v>45126</v>
      </c>
      <c r="Y86" t="s">
        <v>651</v>
      </c>
      <c r="Z86" t="s">
        <v>302</v>
      </c>
      <c r="AA86" t="s">
        <v>1291</v>
      </c>
    </row>
    <row r="87" spans="1:27">
      <c r="A87">
        <v>132</v>
      </c>
      <c r="B87" t="s">
        <v>104</v>
      </c>
      <c r="C87" t="s">
        <v>307</v>
      </c>
      <c r="D87" t="s">
        <v>652</v>
      </c>
      <c r="E87" t="s">
        <v>647</v>
      </c>
      <c r="F87" t="s">
        <v>546</v>
      </c>
      <c r="G87" t="s">
        <v>547</v>
      </c>
      <c r="H87" s="5">
        <v>44652</v>
      </c>
      <c r="I87" t="s">
        <v>232</v>
      </c>
      <c r="J87" t="s">
        <v>293</v>
      </c>
      <c r="K87" t="s">
        <v>41</v>
      </c>
      <c r="L87">
        <v>5301090003917</v>
      </c>
      <c r="M87">
        <v>7012237399</v>
      </c>
      <c r="N87" t="s">
        <v>214</v>
      </c>
      <c r="O87" t="s">
        <v>232</v>
      </c>
      <c r="P87" t="s">
        <v>294</v>
      </c>
      <c r="Q87" t="s">
        <v>294</v>
      </c>
      <c r="R87" t="s">
        <v>61</v>
      </c>
      <c r="S87" t="s">
        <v>377</v>
      </c>
      <c r="T87" t="s">
        <v>372</v>
      </c>
      <c r="U87" t="s">
        <v>373</v>
      </c>
      <c r="V87" t="s">
        <v>298</v>
      </c>
      <c r="W87" t="s">
        <v>299</v>
      </c>
      <c r="X87">
        <v>45126</v>
      </c>
      <c r="Y87" t="s">
        <v>653</v>
      </c>
      <c r="Z87" t="s">
        <v>302</v>
      </c>
      <c r="AA87" t="s">
        <v>1292</v>
      </c>
    </row>
    <row r="88" spans="1:27">
      <c r="A88">
        <v>135</v>
      </c>
      <c r="B88" t="s">
        <v>105</v>
      </c>
      <c r="C88" t="s">
        <v>654</v>
      </c>
      <c r="D88" t="s">
        <v>655</v>
      </c>
      <c r="E88" t="s">
        <v>656</v>
      </c>
      <c r="F88" t="s">
        <v>546</v>
      </c>
      <c r="G88" t="s">
        <v>547</v>
      </c>
      <c r="H88" s="5">
        <v>44684</v>
      </c>
      <c r="I88" t="s">
        <v>229</v>
      </c>
      <c r="J88" t="s">
        <v>293</v>
      </c>
      <c r="K88" t="s">
        <v>41</v>
      </c>
      <c r="L88">
        <v>3700400990090</v>
      </c>
      <c r="M88">
        <v>7012532909</v>
      </c>
      <c r="N88" t="s">
        <v>213</v>
      </c>
      <c r="O88" t="s">
        <v>229</v>
      </c>
      <c r="P88" t="s">
        <v>294</v>
      </c>
      <c r="Q88" t="s">
        <v>294</v>
      </c>
      <c r="R88" t="s">
        <v>58</v>
      </c>
      <c r="S88" t="s">
        <v>363</v>
      </c>
      <c r="T88" t="s">
        <v>355</v>
      </c>
      <c r="U88" t="s">
        <v>356</v>
      </c>
      <c r="V88" t="s">
        <v>298</v>
      </c>
      <c r="W88" t="s">
        <v>299</v>
      </c>
      <c r="X88">
        <v>45118</v>
      </c>
      <c r="Y88" t="s">
        <v>657</v>
      </c>
      <c r="Z88" t="s">
        <v>302</v>
      </c>
      <c r="AA88" t="s">
        <v>1289</v>
      </c>
    </row>
    <row r="89" spans="1:27">
      <c r="A89">
        <v>136</v>
      </c>
      <c r="B89" t="s">
        <v>106</v>
      </c>
      <c r="C89" t="s">
        <v>307</v>
      </c>
      <c r="D89" t="s">
        <v>658</v>
      </c>
      <c r="E89" t="s">
        <v>659</v>
      </c>
      <c r="F89" t="s">
        <v>546</v>
      </c>
      <c r="G89" t="s">
        <v>547</v>
      </c>
      <c r="H89" s="5">
        <v>44691</v>
      </c>
      <c r="I89" t="s">
        <v>229</v>
      </c>
      <c r="J89" t="s">
        <v>293</v>
      </c>
      <c r="K89" t="s">
        <v>41</v>
      </c>
      <c r="L89">
        <v>1100280008977</v>
      </c>
      <c r="M89">
        <v>7012433412</v>
      </c>
      <c r="N89" t="s">
        <v>213</v>
      </c>
      <c r="O89" t="s">
        <v>229</v>
      </c>
      <c r="P89" t="s">
        <v>294</v>
      </c>
      <c r="Q89" t="s">
        <v>294</v>
      </c>
      <c r="R89" t="s">
        <v>58</v>
      </c>
      <c r="S89" t="s">
        <v>363</v>
      </c>
      <c r="T89" t="s">
        <v>355</v>
      </c>
      <c r="U89" t="s">
        <v>356</v>
      </c>
      <c r="V89" t="s">
        <v>298</v>
      </c>
      <c r="W89" t="s">
        <v>299</v>
      </c>
      <c r="X89">
        <v>45118</v>
      </c>
      <c r="Y89" t="s">
        <v>660</v>
      </c>
      <c r="Z89" t="s">
        <v>302</v>
      </c>
      <c r="AA89" t="s">
        <v>1289</v>
      </c>
    </row>
    <row r="90" spans="1:27">
      <c r="A90">
        <v>137</v>
      </c>
      <c r="B90" t="s">
        <v>107</v>
      </c>
      <c r="C90" t="s">
        <v>307</v>
      </c>
      <c r="D90" t="s">
        <v>661</v>
      </c>
      <c r="E90" t="s">
        <v>662</v>
      </c>
      <c r="F90" t="s">
        <v>546</v>
      </c>
      <c r="G90" t="s">
        <v>547</v>
      </c>
      <c r="H90" s="5">
        <v>44699</v>
      </c>
      <c r="I90" t="s">
        <v>229</v>
      </c>
      <c r="J90" t="s">
        <v>293</v>
      </c>
      <c r="K90" t="s">
        <v>41</v>
      </c>
      <c r="L90">
        <v>3430100964037</v>
      </c>
      <c r="M90">
        <v>7012465015</v>
      </c>
      <c r="N90" t="s">
        <v>213</v>
      </c>
      <c r="O90" t="s">
        <v>229</v>
      </c>
      <c r="P90" t="s">
        <v>294</v>
      </c>
      <c r="Q90" t="s">
        <v>294</v>
      </c>
      <c r="R90" t="s">
        <v>58</v>
      </c>
      <c r="S90" t="s">
        <v>363</v>
      </c>
      <c r="T90" t="s">
        <v>355</v>
      </c>
      <c r="U90" t="s">
        <v>356</v>
      </c>
      <c r="V90" t="s">
        <v>298</v>
      </c>
      <c r="W90" t="s">
        <v>299</v>
      </c>
      <c r="X90">
        <v>45118</v>
      </c>
      <c r="Y90" t="s">
        <v>663</v>
      </c>
      <c r="Z90" t="s">
        <v>302</v>
      </c>
      <c r="AA90" t="s">
        <v>1289</v>
      </c>
    </row>
    <row r="91" spans="1:27">
      <c r="A91">
        <v>138</v>
      </c>
      <c r="B91" t="s">
        <v>108</v>
      </c>
      <c r="C91" t="s">
        <v>654</v>
      </c>
      <c r="D91" t="s">
        <v>664</v>
      </c>
      <c r="E91" t="s">
        <v>665</v>
      </c>
      <c r="F91" t="s">
        <v>546</v>
      </c>
      <c r="G91" t="s">
        <v>547</v>
      </c>
      <c r="H91" s="5">
        <v>44699</v>
      </c>
      <c r="I91" t="s">
        <v>217</v>
      </c>
      <c r="J91" t="s">
        <v>293</v>
      </c>
      <c r="K91" t="s">
        <v>41</v>
      </c>
      <c r="L91">
        <v>3400100886702</v>
      </c>
      <c r="M91">
        <v>7012468416</v>
      </c>
      <c r="N91" t="s">
        <v>213</v>
      </c>
      <c r="O91" t="s">
        <v>217</v>
      </c>
      <c r="P91" t="s">
        <v>294</v>
      </c>
      <c r="Q91" t="s">
        <v>294</v>
      </c>
      <c r="R91" t="s">
        <v>46</v>
      </c>
      <c r="S91" t="s">
        <v>310</v>
      </c>
      <c r="T91" t="s">
        <v>296</v>
      </c>
      <c r="U91" t="s">
        <v>297</v>
      </c>
      <c r="V91" t="s">
        <v>298</v>
      </c>
      <c r="W91" t="s">
        <v>299</v>
      </c>
      <c r="X91">
        <v>45118</v>
      </c>
      <c r="Y91" t="s">
        <v>666</v>
      </c>
      <c r="Z91" t="s">
        <v>302</v>
      </c>
      <c r="AA91" t="s">
        <v>1277</v>
      </c>
    </row>
    <row r="92" spans="1:27">
      <c r="A92">
        <v>139</v>
      </c>
      <c r="B92" t="s">
        <v>109</v>
      </c>
      <c r="C92" t="s">
        <v>307</v>
      </c>
      <c r="D92" t="s">
        <v>667</v>
      </c>
      <c r="E92" t="s">
        <v>668</v>
      </c>
      <c r="F92" t="s">
        <v>546</v>
      </c>
      <c r="G92" t="s">
        <v>547</v>
      </c>
      <c r="H92" s="5">
        <v>44699</v>
      </c>
      <c r="I92" t="s">
        <v>232</v>
      </c>
      <c r="J92" t="s">
        <v>293</v>
      </c>
      <c r="K92" t="s">
        <v>41</v>
      </c>
      <c r="L92">
        <v>3199900283426</v>
      </c>
      <c r="M92">
        <v>7012445433</v>
      </c>
      <c r="N92" t="s">
        <v>214</v>
      </c>
      <c r="O92" t="s">
        <v>232</v>
      </c>
      <c r="P92" t="s">
        <v>294</v>
      </c>
      <c r="Q92" t="s">
        <v>294</v>
      </c>
      <c r="R92" t="s">
        <v>61</v>
      </c>
      <c r="S92" t="s">
        <v>377</v>
      </c>
      <c r="T92" t="s">
        <v>372</v>
      </c>
      <c r="U92" t="s">
        <v>373</v>
      </c>
      <c r="V92" t="s">
        <v>298</v>
      </c>
      <c r="W92" t="s">
        <v>299</v>
      </c>
      <c r="X92">
        <v>45126</v>
      </c>
      <c r="Y92" t="s">
        <v>669</v>
      </c>
      <c r="Z92" t="s">
        <v>302</v>
      </c>
      <c r="AA92" t="s">
        <v>1292</v>
      </c>
    </row>
    <row r="93" spans="1:27">
      <c r="A93">
        <v>142</v>
      </c>
      <c r="B93" t="s">
        <v>110</v>
      </c>
      <c r="C93" t="s">
        <v>289</v>
      </c>
      <c r="D93" t="s">
        <v>670</v>
      </c>
      <c r="E93" t="s">
        <v>671</v>
      </c>
      <c r="F93" t="s">
        <v>546</v>
      </c>
      <c r="G93" t="s">
        <v>547</v>
      </c>
      <c r="H93" s="5">
        <v>44725</v>
      </c>
      <c r="I93" t="s">
        <v>222</v>
      </c>
      <c r="J93" t="s">
        <v>293</v>
      </c>
      <c r="K93" t="s">
        <v>41</v>
      </c>
      <c r="L93">
        <v>3410300482729</v>
      </c>
      <c r="M93">
        <v>7012505432</v>
      </c>
      <c r="N93" t="s">
        <v>213</v>
      </c>
      <c r="O93" t="s">
        <v>222</v>
      </c>
      <c r="P93" t="s">
        <v>294</v>
      </c>
      <c r="Q93" t="s">
        <v>294</v>
      </c>
      <c r="R93" t="s">
        <v>51</v>
      </c>
      <c r="S93" t="s">
        <v>332</v>
      </c>
      <c r="T93" t="s">
        <v>319</v>
      </c>
      <c r="U93" t="s">
        <v>320</v>
      </c>
      <c r="V93" t="s">
        <v>298</v>
      </c>
      <c r="W93" t="s">
        <v>299</v>
      </c>
      <c r="X93">
        <v>45118</v>
      </c>
      <c r="Y93" t="s">
        <v>672</v>
      </c>
      <c r="Z93" t="s">
        <v>302</v>
      </c>
      <c r="AA93" t="s">
        <v>1282</v>
      </c>
    </row>
    <row r="94" spans="1:27">
      <c r="A94">
        <v>143</v>
      </c>
      <c r="B94" t="s">
        <v>111</v>
      </c>
      <c r="C94" t="s">
        <v>289</v>
      </c>
      <c r="D94" t="s">
        <v>673</v>
      </c>
      <c r="E94" t="s">
        <v>674</v>
      </c>
      <c r="F94" t="s">
        <v>546</v>
      </c>
      <c r="G94" t="s">
        <v>547</v>
      </c>
      <c r="H94" s="5">
        <v>44746</v>
      </c>
      <c r="I94" t="s">
        <v>221</v>
      </c>
      <c r="J94" t="s">
        <v>293</v>
      </c>
      <c r="K94" t="s">
        <v>41</v>
      </c>
      <c r="L94">
        <v>3110200305097</v>
      </c>
      <c r="M94">
        <v>7012679551</v>
      </c>
      <c r="N94" t="s">
        <v>213</v>
      </c>
      <c r="O94" t="s">
        <v>221</v>
      </c>
      <c r="P94" t="s">
        <v>294</v>
      </c>
      <c r="Q94" t="s">
        <v>294</v>
      </c>
      <c r="R94" t="s">
        <v>50</v>
      </c>
      <c r="S94" t="s">
        <v>328</v>
      </c>
      <c r="T94" t="s">
        <v>319</v>
      </c>
      <c r="U94" t="s">
        <v>320</v>
      </c>
      <c r="V94" t="s">
        <v>298</v>
      </c>
      <c r="W94" t="s">
        <v>299</v>
      </c>
      <c r="X94">
        <v>45118</v>
      </c>
      <c r="Y94" t="s">
        <v>675</v>
      </c>
      <c r="Z94" t="s">
        <v>302</v>
      </c>
      <c r="AA94" t="s">
        <v>1281</v>
      </c>
    </row>
    <row r="95" spans="1:27">
      <c r="A95">
        <v>146</v>
      </c>
      <c r="B95" t="s">
        <v>112</v>
      </c>
      <c r="C95" t="s">
        <v>289</v>
      </c>
      <c r="D95" t="s">
        <v>676</v>
      </c>
      <c r="E95" t="s">
        <v>677</v>
      </c>
      <c r="F95" t="s">
        <v>546</v>
      </c>
      <c r="G95" t="s">
        <v>547</v>
      </c>
      <c r="H95" s="5">
        <v>44777</v>
      </c>
      <c r="I95" t="s">
        <v>220</v>
      </c>
      <c r="J95" t="s">
        <v>293</v>
      </c>
      <c r="K95" t="s">
        <v>41</v>
      </c>
      <c r="L95">
        <v>1829900012381</v>
      </c>
      <c r="M95">
        <v>7012646987</v>
      </c>
      <c r="N95" t="s">
        <v>213</v>
      </c>
      <c r="O95" t="s">
        <v>220</v>
      </c>
      <c r="P95" t="s">
        <v>294</v>
      </c>
      <c r="Q95" t="s">
        <v>294</v>
      </c>
      <c r="R95" t="s">
        <v>49</v>
      </c>
      <c r="S95" t="s">
        <v>324</v>
      </c>
      <c r="T95" t="s">
        <v>319</v>
      </c>
      <c r="U95" t="s">
        <v>320</v>
      </c>
      <c r="V95" t="s">
        <v>298</v>
      </c>
      <c r="W95" t="s">
        <v>299</v>
      </c>
      <c r="X95">
        <v>45119</v>
      </c>
      <c r="Y95" t="s">
        <v>678</v>
      </c>
      <c r="Z95" t="s">
        <v>302</v>
      </c>
      <c r="AA95" t="s">
        <v>1280</v>
      </c>
    </row>
    <row r="96" spans="1:27">
      <c r="A96">
        <v>147</v>
      </c>
      <c r="B96" t="s">
        <v>113</v>
      </c>
      <c r="C96" t="s">
        <v>289</v>
      </c>
      <c r="D96" t="s">
        <v>679</v>
      </c>
      <c r="E96" t="s">
        <v>680</v>
      </c>
      <c r="F96" t="s">
        <v>546</v>
      </c>
      <c r="G96" t="s">
        <v>547</v>
      </c>
      <c r="H96" s="5">
        <v>44777</v>
      </c>
      <c r="I96" t="s">
        <v>227</v>
      </c>
      <c r="J96" t="s">
        <v>293</v>
      </c>
      <c r="K96" t="s">
        <v>41</v>
      </c>
      <c r="L96">
        <v>1509901716768</v>
      </c>
      <c r="M96">
        <v>7012570838</v>
      </c>
      <c r="N96" t="s">
        <v>214</v>
      </c>
      <c r="O96" t="s">
        <v>227</v>
      </c>
      <c r="P96" t="s">
        <v>294</v>
      </c>
      <c r="Q96" t="s">
        <v>294</v>
      </c>
      <c r="R96" t="s">
        <v>56</v>
      </c>
      <c r="S96" t="s">
        <v>354</v>
      </c>
      <c r="T96" t="s">
        <v>355</v>
      </c>
      <c r="U96" t="s">
        <v>356</v>
      </c>
      <c r="V96" t="s">
        <v>298</v>
      </c>
      <c r="W96" t="s">
        <v>299</v>
      </c>
      <c r="X96">
        <v>45147</v>
      </c>
      <c r="Y96" t="s">
        <v>681</v>
      </c>
      <c r="Z96" t="s">
        <v>302</v>
      </c>
      <c r="AA96" t="s">
        <v>1287</v>
      </c>
    </row>
    <row r="97" spans="1:27">
      <c r="A97">
        <v>148</v>
      </c>
      <c r="B97" t="s">
        <v>114</v>
      </c>
      <c r="C97" t="s">
        <v>289</v>
      </c>
      <c r="D97" t="s">
        <v>682</v>
      </c>
      <c r="E97" t="s">
        <v>683</v>
      </c>
      <c r="F97" t="s">
        <v>546</v>
      </c>
      <c r="G97" t="s">
        <v>547</v>
      </c>
      <c r="H97" s="5">
        <v>44777</v>
      </c>
      <c r="I97" t="s">
        <v>233</v>
      </c>
      <c r="J97" t="s">
        <v>293</v>
      </c>
      <c r="K97" t="s">
        <v>41</v>
      </c>
      <c r="L97">
        <v>3302000442341</v>
      </c>
      <c r="M97">
        <v>7012603291</v>
      </c>
      <c r="N97" t="s">
        <v>214</v>
      </c>
      <c r="O97" t="s">
        <v>233</v>
      </c>
      <c r="P97" t="s">
        <v>294</v>
      </c>
      <c r="Q97" t="s">
        <v>294</v>
      </c>
      <c r="R97" t="s">
        <v>62</v>
      </c>
      <c r="S97" t="s">
        <v>381</v>
      </c>
      <c r="T97" t="s">
        <v>372</v>
      </c>
      <c r="U97" t="s">
        <v>373</v>
      </c>
      <c r="V97" t="s">
        <v>298</v>
      </c>
      <c r="W97" t="s">
        <v>299</v>
      </c>
      <c r="X97">
        <v>45126</v>
      </c>
      <c r="Y97" t="s">
        <v>684</v>
      </c>
      <c r="Z97" t="s">
        <v>302</v>
      </c>
      <c r="AA97" t="s">
        <v>1293</v>
      </c>
    </row>
    <row r="98" spans="1:27">
      <c r="A98">
        <v>150</v>
      </c>
      <c r="B98" t="s">
        <v>115</v>
      </c>
      <c r="C98" t="s">
        <v>289</v>
      </c>
      <c r="D98" t="s">
        <v>685</v>
      </c>
      <c r="E98" t="s">
        <v>686</v>
      </c>
      <c r="F98" t="s">
        <v>546</v>
      </c>
      <c r="G98" t="s">
        <v>547</v>
      </c>
      <c r="H98" s="5">
        <v>44823</v>
      </c>
      <c r="I98" t="s">
        <v>220</v>
      </c>
      <c r="J98" t="s">
        <v>293</v>
      </c>
      <c r="K98" t="s">
        <v>41</v>
      </c>
      <c r="L98">
        <v>1800100121161</v>
      </c>
      <c r="M98">
        <v>7012742435</v>
      </c>
      <c r="N98" t="s">
        <v>213</v>
      </c>
      <c r="O98" t="s">
        <v>220</v>
      </c>
      <c r="P98" t="s">
        <v>294</v>
      </c>
      <c r="Q98" t="s">
        <v>294</v>
      </c>
      <c r="R98" t="s">
        <v>49</v>
      </c>
      <c r="S98" t="s">
        <v>324</v>
      </c>
      <c r="T98" t="s">
        <v>319</v>
      </c>
      <c r="U98" t="s">
        <v>320</v>
      </c>
      <c r="V98" t="s">
        <v>298</v>
      </c>
      <c r="W98" t="s">
        <v>299</v>
      </c>
      <c r="X98">
        <v>45119</v>
      </c>
      <c r="Y98" t="s">
        <v>687</v>
      </c>
      <c r="Z98" t="s">
        <v>302</v>
      </c>
      <c r="AA98" t="s">
        <v>1280</v>
      </c>
    </row>
    <row r="99" spans="1:27">
      <c r="A99">
        <v>151</v>
      </c>
      <c r="B99" t="s">
        <v>116</v>
      </c>
      <c r="C99" t="s">
        <v>289</v>
      </c>
      <c r="D99" t="s">
        <v>688</v>
      </c>
      <c r="E99" t="s">
        <v>689</v>
      </c>
      <c r="F99" t="s">
        <v>546</v>
      </c>
      <c r="G99" t="s">
        <v>547</v>
      </c>
      <c r="H99" s="5">
        <v>44838</v>
      </c>
      <c r="I99" t="s">
        <v>223</v>
      </c>
      <c r="J99" t="s">
        <v>293</v>
      </c>
      <c r="K99" t="s">
        <v>41</v>
      </c>
      <c r="L99">
        <v>3101202915110</v>
      </c>
      <c r="M99">
        <v>7012773712</v>
      </c>
      <c r="N99" t="s">
        <v>213</v>
      </c>
      <c r="O99" t="s">
        <v>223</v>
      </c>
      <c r="P99" t="s">
        <v>294</v>
      </c>
      <c r="Q99" t="s">
        <v>294</v>
      </c>
      <c r="R99" t="s">
        <v>52</v>
      </c>
      <c r="S99" t="s">
        <v>336</v>
      </c>
      <c r="T99" t="s">
        <v>337</v>
      </c>
      <c r="U99" t="s">
        <v>338</v>
      </c>
      <c r="V99" t="s">
        <v>298</v>
      </c>
      <c r="W99" t="s">
        <v>299</v>
      </c>
      <c r="X99">
        <v>45118</v>
      </c>
      <c r="Y99" t="s">
        <v>690</v>
      </c>
      <c r="Z99" t="s">
        <v>302</v>
      </c>
      <c r="AA99" t="s">
        <v>1283</v>
      </c>
    </row>
    <row r="100" spans="1:27">
      <c r="A100">
        <v>152</v>
      </c>
      <c r="B100" t="s">
        <v>117</v>
      </c>
      <c r="C100" t="s">
        <v>307</v>
      </c>
      <c r="D100" t="s">
        <v>691</v>
      </c>
      <c r="E100" t="s">
        <v>692</v>
      </c>
      <c r="F100" t="s">
        <v>546</v>
      </c>
      <c r="G100" t="s">
        <v>547</v>
      </c>
      <c r="H100" s="5">
        <v>44838</v>
      </c>
      <c r="I100" t="s">
        <v>216</v>
      </c>
      <c r="J100" t="s">
        <v>293</v>
      </c>
      <c r="K100" t="s">
        <v>41</v>
      </c>
      <c r="L100">
        <v>3640100131343</v>
      </c>
      <c r="M100">
        <v>7012751386</v>
      </c>
      <c r="N100" t="s">
        <v>213</v>
      </c>
      <c r="O100" t="s">
        <v>216</v>
      </c>
      <c r="P100" t="s">
        <v>294</v>
      </c>
      <c r="Q100" t="s">
        <v>294</v>
      </c>
      <c r="R100" t="s">
        <v>45</v>
      </c>
      <c r="S100" t="s">
        <v>305</v>
      </c>
      <c r="T100" t="s">
        <v>296</v>
      </c>
      <c r="U100" t="s">
        <v>297</v>
      </c>
      <c r="V100" t="s">
        <v>298</v>
      </c>
      <c r="W100" t="s">
        <v>299</v>
      </c>
      <c r="X100">
        <v>45118</v>
      </c>
      <c r="Y100" t="s">
        <v>693</v>
      </c>
      <c r="Z100" t="s">
        <v>302</v>
      </c>
      <c r="AA100" t="s">
        <v>1276</v>
      </c>
    </row>
    <row r="101" spans="1:27">
      <c r="A101">
        <v>153</v>
      </c>
      <c r="B101" t="s">
        <v>118</v>
      </c>
      <c r="C101" t="s">
        <v>307</v>
      </c>
      <c r="D101" t="s">
        <v>694</v>
      </c>
      <c r="E101" t="s">
        <v>695</v>
      </c>
      <c r="F101" t="s">
        <v>546</v>
      </c>
      <c r="G101" t="s">
        <v>547</v>
      </c>
      <c r="H101" s="5">
        <v>44846</v>
      </c>
      <c r="I101" t="s">
        <v>235</v>
      </c>
      <c r="J101" t="s">
        <v>293</v>
      </c>
      <c r="K101" t="s">
        <v>41</v>
      </c>
      <c r="L101">
        <v>3800700555479</v>
      </c>
      <c r="M101">
        <v>7012870550</v>
      </c>
      <c r="N101" t="s">
        <v>214</v>
      </c>
      <c r="O101" t="s">
        <v>235</v>
      </c>
      <c r="P101" t="s">
        <v>294</v>
      </c>
      <c r="Q101" t="s">
        <v>294</v>
      </c>
      <c r="R101" t="s">
        <v>64</v>
      </c>
      <c r="S101" t="s">
        <v>389</v>
      </c>
      <c r="T101" t="s">
        <v>390</v>
      </c>
      <c r="U101" t="s">
        <v>391</v>
      </c>
      <c r="V101" t="s">
        <v>298</v>
      </c>
      <c r="W101" t="s">
        <v>299</v>
      </c>
      <c r="X101">
        <v>45132</v>
      </c>
      <c r="Y101" t="s">
        <v>696</v>
      </c>
      <c r="Z101" t="s">
        <v>302</v>
      </c>
      <c r="AA101" t="s">
        <v>1295</v>
      </c>
    </row>
    <row r="102" spans="1:27">
      <c r="A102">
        <v>154</v>
      </c>
      <c r="B102" t="s">
        <v>119</v>
      </c>
      <c r="C102" t="s">
        <v>307</v>
      </c>
      <c r="D102" t="s">
        <v>697</v>
      </c>
      <c r="E102" t="s">
        <v>698</v>
      </c>
      <c r="F102" t="s">
        <v>546</v>
      </c>
      <c r="G102" t="s">
        <v>547</v>
      </c>
      <c r="H102" s="5">
        <v>44854</v>
      </c>
      <c r="I102" t="s">
        <v>227</v>
      </c>
      <c r="J102" t="s">
        <v>293</v>
      </c>
      <c r="K102" t="s">
        <v>41</v>
      </c>
      <c r="L102">
        <v>1509901143644</v>
      </c>
      <c r="M102">
        <v>7012711665</v>
      </c>
      <c r="N102" t="s">
        <v>214</v>
      </c>
      <c r="O102" t="s">
        <v>227</v>
      </c>
      <c r="P102" t="s">
        <v>294</v>
      </c>
      <c r="Q102" t="s">
        <v>294</v>
      </c>
      <c r="R102" t="s">
        <v>56</v>
      </c>
      <c r="S102" t="s">
        <v>354</v>
      </c>
      <c r="T102" t="s">
        <v>355</v>
      </c>
      <c r="U102" t="s">
        <v>356</v>
      </c>
      <c r="V102" t="s">
        <v>298</v>
      </c>
      <c r="W102" t="s">
        <v>299</v>
      </c>
      <c r="X102">
        <v>45147</v>
      </c>
      <c r="Y102" t="s">
        <v>699</v>
      </c>
      <c r="Z102" t="s">
        <v>302</v>
      </c>
      <c r="AA102" t="s">
        <v>1287</v>
      </c>
    </row>
    <row r="103" spans="1:27">
      <c r="A103">
        <v>156</v>
      </c>
      <c r="B103" t="s">
        <v>120</v>
      </c>
      <c r="C103" t="s">
        <v>289</v>
      </c>
      <c r="D103" t="s">
        <v>700</v>
      </c>
      <c r="E103" t="s">
        <v>701</v>
      </c>
      <c r="F103" t="s">
        <v>546</v>
      </c>
      <c r="G103" t="s">
        <v>547</v>
      </c>
      <c r="H103" s="5">
        <v>44866</v>
      </c>
      <c r="I103" t="s">
        <v>236</v>
      </c>
      <c r="J103" t="s">
        <v>293</v>
      </c>
      <c r="K103" t="s">
        <v>41</v>
      </c>
      <c r="L103">
        <v>1419900242747</v>
      </c>
      <c r="M103">
        <v>7012786447</v>
      </c>
      <c r="N103" t="s">
        <v>214</v>
      </c>
      <c r="O103" t="s">
        <v>236</v>
      </c>
      <c r="P103" t="s">
        <v>294</v>
      </c>
      <c r="Q103" t="s">
        <v>294</v>
      </c>
      <c r="R103" t="s">
        <v>65</v>
      </c>
      <c r="S103" t="s">
        <v>395</v>
      </c>
      <c r="T103" t="s">
        <v>390</v>
      </c>
      <c r="U103" t="s">
        <v>391</v>
      </c>
      <c r="V103" t="s">
        <v>298</v>
      </c>
      <c r="W103" t="s">
        <v>299</v>
      </c>
      <c r="X103">
        <v>45126</v>
      </c>
      <c r="Y103" t="s">
        <v>702</v>
      </c>
      <c r="Z103" t="s">
        <v>302</v>
      </c>
      <c r="AA103" t="s">
        <v>1296</v>
      </c>
    </row>
    <row r="104" spans="1:27">
      <c r="A104">
        <v>157</v>
      </c>
      <c r="B104" t="s">
        <v>121</v>
      </c>
      <c r="C104" t="s">
        <v>289</v>
      </c>
      <c r="D104" t="s">
        <v>703</v>
      </c>
      <c r="E104" t="s">
        <v>704</v>
      </c>
      <c r="F104" t="s">
        <v>546</v>
      </c>
      <c r="G104" t="s">
        <v>547</v>
      </c>
      <c r="H104" s="5">
        <v>44901</v>
      </c>
      <c r="I104" t="s">
        <v>219</v>
      </c>
      <c r="J104" t="s">
        <v>293</v>
      </c>
      <c r="K104" t="s">
        <v>41</v>
      </c>
      <c r="L104">
        <v>1101800689991</v>
      </c>
      <c r="M104">
        <v>7012903387</v>
      </c>
      <c r="N104" t="s">
        <v>213</v>
      </c>
      <c r="O104" t="s">
        <v>219</v>
      </c>
      <c r="P104" t="s">
        <v>294</v>
      </c>
      <c r="Q104" t="s">
        <v>294</v>
      </c>
      <c r="R104" t="s">
        <v>48</v>
      </c>
      <c r="S104" t="s">
        <v>318</v>
      </c>
      <c r="T104" t="s">
        <v>319</v>
      </c>
      <c r="U104" t="s">
        <v>320</v>
      </c>
      <c r="V104" t="s">
        <v>298</v>
      </c>
      <c r="W104" t="s">
        <v>299</v>
      </c>
      <c r="X104">
        <v>45118</v>
      </c>
      <c r="Y104" t="s">
        <v>705</v>
      </c>
      <c r="Z104" t="s">
        <v>302</v>
      </c>
      <c r="AA104" t="s">
        <v>1279</v>
      </c>
    </row>
    <row r="105" spans="1:27">
      <c r="A105">
        <v>158</v>
      </c>
      <c r="B105" t="s">
        <v>122</v>
      </c>
      <c r="C105" t="s">
        <v>307</v>
      </c>
      <c r="D105" t="s">
        <v>706</v>
      </c>
      <c r="E105" t="s">
        <v>707</v>
      </c>
      <c r="F105" t="s">
        <v>546</v>
      </c>
      <c r="G105" t="s">
        <v>547</v>
      </c>
      <c r="H105" s="5">
        <v>44901</v>
      </c>
      <c r="I105" t="s">
        <v>217</v>
      </c>
      <c r="J105" t="s">
        <v>293</v>
      </c>
      <c r="K105" t="s">
        <v>41</v>
      </c>
      <c r="L105">
        <v>3700500572095</v>
      </c>
      <c r="M105">
        <v>7012885972</v>
      </c>
      <c r="N105" t="s">
        <v>213</v>
      </c>
      <c r="O105" t="s">
        <v>217</v>
      </c>
      <c r="P105" t="s">
        <v>294</v>
      </c>
      <c r="Q105" t="s">
        <v>294</v>
      </c>
      <c r="R105" t="s">
        <v>46</v>
      </c>
      <c r="S105" t="s">
        <v>310</v>
      </c>
      <c r="T105" t="s">
        <v>296</v>
      </c>
      <c r="U105" t="s">
        <v>297</v>
      </c>
      <c r="V105" t="s">
        <v>298</v>
      </c>
      <c r="W105" t="s">
        <v>299</v>
      </c>
      <c r="X105">
        <v>45118</v>
      </c>
      <c r="Y105" t="s">
        <v>708</v>
      </c>
      <c r="Z105" t="s">
        <v>302</v>
      </c>
      <c r="AA105" t="s">
        <v>1277</v>
      </c>
    </row>
    <row r="106" spans="1:27">
      <c r="A106">
        <v>160</v>
      </c>
      <c r="B106" t="s">
        <v>123</v>
      </c>
      <c r="C106" t="s">
        <v>289</v>
      </c>
      <c r="D106" t="s">
        <v>709</v>
      </c>
      <c r="E106" t="s">
        <v>710</v>
      </c>
      <c r="F106" t="s">
        <v>546</v>
      </c>
      <c r="G106" t="s">
        <v>547</v>
      </c>
      <c r="H106" s="5">
        <v>44959</v>
      </c>
      <c r="I106" t="s">
        <v>231</v>
      </c>
      <c r="J106" t="s">
        <v>293</v>
      </c>
      <c r="K106" t="s">
        <v>41</v>
      </c>
      <c r="L106">
        <v>1200100038359</v>
      </c>
      <c r="M106">
        <v>7011343791</v>
      </c>
      <c r="N106" t="s">
        <v>214</v>
      </c>
      <c r="O106" t="s">
        <v>231</v>
      </c>
      <c r="P106" t="s">
        <v>294</v>
      </c>
      <c r="Q106" t="s">
        <v>294</v>
      </c>
      <c r="R106" t="s">
        <v>60</v>
      </c>
      <c r="S106" t="s">
        <v>371</v>
      </c>
      <c r="T106" t="s">
        <v>372</v>
      </c>
      <c r="U106" t="s">
        <v>373</v>
      </c>
      <c r="V106" t="s">
        <v>298</v>
      </c>
      <c r="W106" t="s">
        <v>299</v>
      </c>
      <c r="X106">
        <v>45127</v>
      </c>
      <c r="Y106" t="s">
        <v>711</v>
      </c>
      <c r="Z106" t="s">
        <v>302</v>
      </c>
      <c r="AA106" t="s">
        <v>1291</v>
      </c>
    </row>
    <row r="107" spans="1:27">
      <c r="A107">
        <v>162</v>
      </c>
      <c r="B107" t="s">
        <v>124</v>
      </c>
      <c r="C107" t="s">
        <v>289</v>
      </c>
      <c r="D107" t="s">
        <v>530</v>
      </c>
      <c r="E107" t="s">
        <v>712</v>
      </c>
      <c r="F107" t="s">
        <v>546</v>
      </c>
      <c r="G107" t="s">
        <v>547</v>
      </c>
      <c r="H107" s="5">
        <v>44987</v>
      </c>
      <c r="I107" t="s">
        <v>236</v>
      </c>
      <c r="J107" t="s">
        <v>293</v>
      </c>
      <c r="K107" t="s">
        <v>41</v>
      </c>
      <c r="L107">
        <v>2200900002411</v>
      </c>
      <c r="M107">
        <v>7013080123</v>
      </c>
      <c r="N107" t="s">
        <v>214</v>
      </c>
      <c r="O107" t="s">
        <v>236</v>
      </c>
      <c r="P107" t="s">
        <v>294</v>
      </c>
      <c r="Q107" t="s">
        <v>294</v>
      </c>
      <c r="R107" t="s">
        <v>65</v>
      </c>
      <c r="S107" t="s">
        <v>395</v>
      </c>
      <c r="T107" t="s">
        <v>390</v>
      </c>
      <c r="U107" t="s">
        <v>391</v>
      </c>
      <c r="V107" t="s">
        <v>298</v>
      </c>
      <c r="W107" t="s">
        <v>299</v>
      </c>
      <c r="X107">
        <v>45126</v>
      </c>
      <c r="Y107" t="s">
        <v>713</v>
      </c>
      <c r="Z107" t="s">
        <v>302</v>
      </c>
      <c r="AA107" t="s">
        <v>1296</v>
      </c>
    </row>
    <row r="108" spans="1:27">
      <c r="A108">
        <v>164</v>
      </c>
      <c r="B108" t="s">
        <v>125</v>
      </c>
      <c r="C108" t="s">
        <v>289</v>
      </c>
      <c r="D108" t="s">
        <v>714</v>
      </c>
      <c r="E108" t="s">
        <v>715</v>
      </c>
      <c r="F108" t="s">
        <v>546</v>
      </c>
      <c r="G108" t="s">
        <v>547</v>
      </c>
      <c r="H108" s="5">
        <v>45021</v>
      </c>
      <c r="I108" t="s">
        <v>223</v>
      </c>
      <c r="J108" t="s">
        <v>293</v>
      </c>
      <c r="K108" t="s">
        <v>41</v>
      </c>
      <c r="L108">
        <v>1100200472736</v>
      </c>
      <c r="M108">
        <v>7013325959</v>
      </c>
      <c r="N108" t="s">
        <v>213</v>
      </c>
      <c r="O108" t="s">
        <v>223</v>
      </c>
      <c r="P108" t="s">
        <v>294</v>
      </c>
      <c r="Q108" t="s">
        <v>294</v>
      </c>
      <c r="R108" t="s">
        <v>52</v>
      </c>
      <c r="S108" t="s">
        <v>336</v>
      </c>
      <c r="T108" t="s">
        <v>337</v>
      </c>
      <c r="U108" t="s">
        <v>338</v>
      </c>
      <c r="V108" t="s">
        <v>298</v>
      </c>
      <c r="W108" t="s">
        <v>299</v>
      </c>
      <c r="X108">
        <v>45118</v>
      </c>
      <c r="Y108" t="s">
        <v>716</v>
      </c>
      <c r="Z108" t="s">
        <v>302</v>
      </c>
      <c r="AA108" t="s">
        <v>1283</v>
      </c>
    </row>
    <row r="109" spans="1:27">
      <c r="A109">
        <v>166</v>
      </c>
      <c r="B109" t="s">
        <v>126</v>
      </c>
      <c r="C109" t="s">
        <v>307</v>
      </c>
      <c r="D109" t="s">
        <v>717</v>
      </c>
      <c r="E109" t="s">
        <v>718</v>
      </c>
      <c r="F109" t="s">
        <v>546</v>
      </c>
      <c r="G109" t="s">
        <v>547</v>
      </c>
      <c r="H109" s="5">
        <v>45048</v>
      </c>
      <c r="I109" t="s">
        <v>217</v>
      </c>
      <c r="J109" t="s">
        <v>293</v>
      </c>
      <c r="K109" t="s">
        <v>41</v>
      </c>
      <c r="L109">
        <v>3100905727758</v>
      </c>
      <c r="M109">
        <v>7013178515</v>
      </c>
      <c r="N109" t="s">
        <v>213</v>
      </c>
      <c r="O109" t="s">
        <v>217</v>
      </c>
      <c r="P109" t="s">
        <v>294</v>
      </c>
      <c r="Q109" t="s">
        <v>294</v>
      </c>
      <c r="R109" t="s">
        <v>46</v>
      </c>
      <c r="S109" t="s">
        <v>310</v>
      </c>
      <c r="T109" t="s">
        <v>296</v>
      </c>
      <c r="U109" t="s">
        <v>297</v>
      </c>
      <c r="V109" t="s">
        <v>298</v>
      </c>
      <c r="W109" t="s">
        <v>299</v>
      </c>
      <c r="X109">
        <v>45121</v>
      </c>
      <c r="Y109" t="s">
        <v>719</v>
      </c>
      <c r="Z109" t="s">
        <v>302</v>
      </c>
      <c r="AA109" t="s">
        <v>1277</v>
      </c>
    </row>
    <row r="110" spans="1:27">
      <c r="A110">
        <v>167</v>
      </c>
      <c r="B110" t="s">
        <v>127</v>
      </c>
      <c r="C110" t="s">
        <v>307</v>
      </c>
      <c r="D110" t="s">
        <v>720</v>
      </c>
      <c r="E110" t="s">
        <v>721</v>
      </c>
      <c r="F110" t="s">
        <v>546</v>
      </c>
      <c r="G110" t="s">
        <v>547</v>
      </c>
      <c r="H110" s="5">
        <v>45064</v>
      </c>
      <c r="I110" t="s">
        <v>229</v>
      </c>
      <c r="J110" t="s">
        <v>293</v>
      </c>
      <c r="K110" t="s">
        <v>41</v>
      </c>
      <c r="L110">
        <v>3101800026734</v>
      </c>
      <c r="M110">
        <v>7013331873</v>
      </c>
      <c r="N110" t="s">
        <v>213</v>
      </c>
      <c r="O110" t="s">
        <v>229</v>
      </c>
      <c r="P110" t="s">
        <v>294</v>
      </c>
      <c r="Q110" t="s">
        <v>294</v>
      </c>
      <c r="R110" t="s">
        <v>58</v>
      </c>
      <c r="S110" t="s">
        <v>363</v>
      </c>
      <c r="T110" t="s">
        <v>355</v>
      </c>
      <c r="U110" t="s">
        <v>356</v>
      </c>
      <c r="V110" t="s">
        <v>298</v>
      </c>
      <c r="W110" t="s">
        <v>299</v>
      </c>
      <c r="X110">
        <v>45149</v>
      </c>
      <c r="Y110" t="s">
        <v>722</v>
      </c>
      <c r="Z110" t="s">
        <v>302</v>
      </c>
      <c r="AA110" t="s">
        <v>1289</v>
      </c>
    </row>
    <row r="111" spans="1:27">
      <c r="A111">
        <v>169</v>
      </c>
      <c r="B111" t="s">
        <v>128</v>
      </c>
      <c r="C111" t="s">
        <v>307</v>
      </c>
      <c r="D111" t="s">
        <v>723</v>
      </c>
      <c r="E111" t="s">
        <v>724</v>
      </c>
      <c r="F111" t="s">
        <v>546</v>
      </c>
      <c r="G111" t="s">
        <v>547</v>
      </c>
      <c r="H111" s="5">
        <v>45078</v>
      </c>
      <c r="I111" t="s">
        <v>229</v>
      </c>
      <c r="J111" t="s">
        <v>293</v>
      </c>
      <c r="K111" t="s">
        <v>41</v>
      </c>
      <c r="L111">
        <v>1160700074781</v>
      </c>
      <c r="M111">
        <v>7013340479</v>
      </c>
      <c r="N111" t="s">
        <v>213</v>
      </c>
      <c r="O111" t="s">
        <v>229</v>
      </c>
      <c r="P111" t="s">
        <v>294</v>
      </c>
      <c r="Q111" t="s">
        <v>294</v>
      </c>
      <c r="R111" t="s">
        <v>58</v>
      </c>
      <c r="S111" t="s">
        <v>363</v>
      </c>
      <c r="T111" t="s">
        <v>355</v>
      </c>
      <c r="U111" t="s">
        <v>356</v>
      </c>
      <c r="V111" t="s">
        <v>298</v>
      </c>
      <c r="W111" t="s">
        <v>299</v>
      </c>
      <c r="X111">
        <v>45118</v>
      </c>
      <c r="Y111" t="s">
        <v>725</v>
      </c>
      <c r="Z111" t="s">
        <v>302</v>
      </c>
      <c r="AA111" t="s">
        <v>1289</v>
      </c>
    </row>
    <row r="112" spans="1:27">
      <c r="A112">
        <v>170</v>
      </c>
      <c r="B112" t="s">
        <v>129</v>
      </c>
      <c r="C112" t="s">
        <v>289</v>
      </c>
      <c r="D112" t="s">
        <v>726</v>
      </c>
      <c r="E112" t="s">
        <v>727</v>
      </c>
      <c r="F112" t="s">
        <v>546</v>
      </c>
      <c r="G112" t="s">
        <v>547</v>
      </c>
      <c r="H112" s="5">
        <v>45085</v>
      </c>
      <c r="I112" t="s">
        <v>223</v>
      </c>
      <c r="J112" t="s">
        <v>293</v>
      </c>
      <c r="K112" t="s">
        <v>41</v>
      </c>
      <c r="L112">
        <v>3100503619519</v>
      </c>
      <c r="M112">
        <v>7001476465</v>
      </c>
      <c r="N112" t="s">
        <v>213</v>
      </c>
      <c r="O112" t="s">
        <v>223</v>
      </c>
      <c r="P112" t="s">
        <v>294</v>
      </c>
      <c r="Q112" t="s">
        <v>294</v>
      </c>
      <c r="R112" t="s">
        <v>52</v>
      </c>
      <c r="S112" t="s">
        <v>336</v>
      </c>
      <c r="T112" t="s">
        <v>337</v>
      </c>
      <c r="U112" t="s">
        <v>338</v>
      </c>
      <c r="V112" t="s">
        <v>298</v>
      </c>
      <c r="W112" t="s">
        <v>299</v>
      </c>
      <c r="X112">
        <v>45118</v>
      </c>
      <c r="Y112" t="s">
        <v>728</v>
      </c>
      <c r="Z112" t="s">
        <v>302</v>
      </c>
      <c r="AA112" t="s">
        <v>1283</v>
      </c>
    </row>
    <row r="113" spans="1:27">
      <c r="A113">
        <v>171</v>
      </c>
      <c r="B113" t="s">
        <v>130</v>
      </c>
      <c r="C113" t="s">
        <v>509</v>
      </c>
      <c r="D113" t="s">
        <v>729</v>
      </c>
      <c r="E113" t="s">
        <v>730</v>
      </c>
      <c r="F113" t="s">
        <v>546</v>
      </c>
      <c r="G113" t="s">
        <v>547</v>
      </c>
      <c r="H113" s="5">
        <v>45085</v>
      </c>
      <c r="I113" t="s">
        <v>217</v>
      </c>
      <c r="J113" t="s">
        <v>293</v>
      </c>
      <c r="K113" t="s">
        <v>41</v>
      </c>
      <c r="L113">
        <v>3100905547717</v>
      </c>
      <c r="M113">
        <v>7013530866</v>
      </c>
      <c r="N113" t="s">
        <v>213</v>
      </c>
      <c r="O113" t="s">
        <v>217</v>
      </c>
      <c r="P113" t="s">
        <v>294</v>
      </c>
      <c r="Q113" t="s">
        <v>294</v>
      </c>
      <c r="R113" t="s">
        <v>46</v>
      </c>
      <c r="S113" t="s">
        <v>310</v>
      </c>
      <c r="T113" t="s">
        <v>296</v>
      </c>
      <c r="U113" t="s">
        <v>297</v>
      </c>
      <c r="V113" t="s">
        <v>298</v>
      </c>
      <c r="W113" t="s">
        <v>299</v>
      </c>
      <c r="X113">
        <v>45118</v>
      </c>
      <c r="Y113" t="s">
        <v>731</v>
      </c>
      <c r="Z113" t="s">
        <v>302</v>
      </c>
      <c r="AA113" t="s">
        <v>1277</v>
      </c>
    </row>
    <row r="114" spans="1:27">
      <c r="A114">
        <v>173</v>
      </c>
      <c r="B114" t="s">
        <v>131</v>
      </c>
      <c r="C114" t="s">
        <v>307</v>
      </c>
      <c r="D114" t="s">
        <v>732</v>
      </c>
      <c r="E114" t="s">
        <v>733</v>
      </c>
      <c r="F114" t="s">
        <v>546</v>
      </c>
      <c r="G114" t="s">
        <v>547</v>
      </c>
      <c r="H114" s="5">
        <v>45112</v>
      </c>
      <c r="I114" t="s">
        <v>216</v>
      </c>
      <c r="J114" t="s">
        <v>293</v>
      </c>
      <c r="K114" t="s">
        <v>41</v>
      </c>
      <c r="L114">
        <v>3900700425051</v>
      </c>
      <c r="M114">
        <v>7012141537</v>
      </c>
      <c r="N114" t="s">
        <v>213</v>
      </c>
      <c r="O114" t="s">
        <v>216</v>
      </c>
      <c r="P114" t="s">
        <v>294</v>
      </c>
      <c r="Q114" t="s">
        <v>294</v>
      </c>
      <c r="R114" t="s">
        <v>45</v>
      </c>
      <c r="S114" t="s">
        <v>305</v>
      </c>
      <c r="T114" t="s">
        <v>296</v>
      </c>
      <c r="U114" t="s">
        <v>297</v>
      </c>
      <c r="V114" t="s">
        <v>298</v>
      </c>
      <c r="W114" t="s">
        <v>299</v>
      </c>
      <c r="X114">
        <v>45126</v>
      </c>
      <c r="Y114" t="s">
        <v>734</v>
      </c>
      <c r="Z114" t="s">
        <v>302</v>
      </c>
      <c r="AA114" t="s">
        <v>1276</v>
      </c>
    </row>
    <row r="115" spans="1:27">
      <c r="A115">
        <v>174</v>
      </c>
      <c r="B115" t="s">
        <v>132</v>
      </c>
      <c r="C115" t="s">
        <v>289</v>
      </c>
      <c r="D115" t="s">
        <v>735</v>
      </c>
      <c r="E115" t="s">
        <v>736</v>
      </c>
      <c r="F115" t="s">
        <v>546</v>
      </c>
      <c r="G115" t="s">
        <v>547</v>
      </c>
      <c r="H115" s="5">
        <v>45124</v>
      </c>
      <c r="I115" t="s">
        <v>215</v>
      </c>
      <c r="J115" t="s">
        <v>293</v>
      </c>
      <c r="K115" t="s">
        <v>41</v>
      </c>
      <c r="L115">
        <v>3800400083482</v>
      </c>
      <c r="M115">
        <v>7013428482</v>
      </c>
      <c r="N115" t="s">
        <v>213</v>
      </c>
      <c r="O115" t="s">
        <v>215</v>
      </c>
      <c r="P115" t="s">
        <v>294</v>
      </c>
      <c r="Q115" t="s">
        <v>294</v>
      </c>
      <c r="R115" t="s">
        <v>44</v>
      </c>
      <c r="S115" t="s">
        <v>295</v>
      </c>
      <c r="T115" t="s">
        <v>296</v>
      </c>
      <c r="U115" t="s">
        <v>297</v>
      </c>
      <c r="V115" t="s">
        <v>298</v>
      </c>
      <c r="W115" t="s">
        <v>299</v>
      </c>
      <c r="X115">
        <v>45148</v>
      </c>
      <c r="Y115" t="s">
        <v>737</v>
      </c>
      <c r="Z115" t="s">
        <v>302</v>
      </c>
      <c r="AA115" t="s">
        <v>1275</v>
      </c>
    </row>
    <row r="116" spans="1:27">
      <c r="A116">
        <v>175</v>
      </c>
      <c r="B116" t="s">
        <v>133</v>
      </c>
      <c r="C116" t="s">
        <v>307</v>
      </c>
      <c r="D116" t="s">
        <v>738</v>
      </c>
      <c r="E116" t="s">
        <v>739</v>
      </c>
      <c r="F116" t="s">
        <v>546</v>
      </c>
      <c r="G116" t="s">
        <v>547</v>
      </c>
      <c r="H116" s="5">
        <v>45124</v>
      </c>
      <c r="I116" t="s">
        <v>223</v>
      </c>
      <c r="J116" t="s">
        <v>293</v>
      </c>
      <c r="K116" t="s">
        <v>41</v>
      </c>
      <c r="L116">
        <v>3409800083546</v>
      </c>
      <c r="M116">
        <v>7013433573</v>
      </c>
      <c r="N116" t="s">
        <v>213</v>
      </c>
      <c r="O116" t="s">
        <v>223</v>
      </c>
      <c r="P116" t="s">
        <v>294</v>
      </c>
      <c r="Q116" t="s">
        <v>294</v>
      </c>
      <c r="R116" t="s">
        <v>52</v>
      </c>
      <c r="S116" t="s">
        <v>336</v>
      </c>
      <c r="T116" t="s">
        <v>337</v>
      </c>
      <c r="U116" t="s">
        <v>338</v>
      </c>
      <c r="V116" t="s">
        <v>298</v>
      </c>
      <c r="W116" t="s">
        <v>299</v>
      </c>
      <c r="X116">
        <v>45147</v>
      </c>
      <c r="Y116" t="s">
        <v>740</v>
      </c>
      <c r="Z116" t="s">
        <v>302</v>
      </c>
      <c r="AA116" t="s">
        <v>1283</v>
      </c>
    </row>
    <row r="117" spans="1:27">
      <c r="A117">
        <v>178</v>
      </c>
      <c r="B117" t="s">
        <v>134</v>
      </c>
      <c r="C117" t="s">
        <v>307</v>
      </c>
      <c r="D117" t="s">
        <v>741</v>
      </c>
      <c r="E117" t="s">
        <v>742</v>
      </c>
      <c r="F117" t="s">
        <v>743</v>
      </c>
      <c r="G117" t="s">
        <v>547</v>
      </c>
      <c r="H117" s="5">
        <v>45170</v>
      </c>
      <c r="I117" t="s">
        <v>215</v>
      </c>
      <c r="J117" t="s">
        <v>293</v>
      </c>
      <c r="K117" t="s">
        <v>41</v>
      </c>
      <c r="L117">
        <v>3101300185451</v>
      </c>
      <c r="M117">
        <v>7013527812</v>
      </c>
      <c r="N117" t="s">
        <v>213</v>
      </c>
      <c r="O117" t="s">
        <v>215</v>
      </c>
      <c r="P117" t="s">
        <v>294</v>
      </c>
      <c r="Q117" t="s">
        <v>294</v>
      </c>
      <c r="R117" t="s">
        <v>44</v>
      </c>
      <c r="S117" t="s">
        <v>295</v>
      </c>
      <c r="T117" t="s">
        <v>296</v>
      </c>
      <c r="U117" t="s">
        <v>297</v>
      </c>
      <c r="V117" t="s">
        <v>298</v>
      </c>
      <c r="W117" t="s">
        <v>299</v>
      </c>
      <c r="X117">
        <v>45189</v>
      </c>
      <c r="Y117" t="s">
        <v>744</v>
      </c>
      <c r="Z117" t="s">
        <v>302</v>
      </c>
      <c r="AA117" t="s">
        <v>1275</v>
      </c>
    </row>
    <row r="118" spans="1:27">
      <c r="A118">
        <v>179</v>
      </c>
      <c r="B118" t="s">
        <v>135</v>
      </c>
      <c r="C118" t="s">
        <v>509</v>
      </c>
      <c r="D118" t="s">
        <v>745</v>
      </c>
      <c r="E118" t="s">
        <v>746</v>
      </c>
      <c r="F118" t="s">
        <v>546</v>
      </c>
      <c r="G118" t="s">
        <v>547</v>
      </c>
      <c r="H118" s="5">
        <v>45176</v>
      </c>
      <c r="I118" t="s">
        <v>229</v>
      </c>
      <c r="J118" t="s">
        <v>293</v>
      </c>
      <c r="K118" t="s">
        <v>41</v>
      </c>
      <c r="L118">
        <v>3600800719793</v>
      </c>
      <c r="M118">
        <v>7013593546</v>
      </c>
      <c r="N118" t="s">
        <v>213</v>
      </c>
      <c r="O118" t="s">
        <v>229</v>
      </c>
      <c r="P118" t="s">
        <v>294</v>
      </c>
      <c r="Q118" t="s">
        <v>294</v>
      </c>
      <c r="R118" t="s">
        <v>58</v>
      </c>
      <c r="S118" t="s">
        <v>363</v>
      </c>
      <c r="T118" t="s">
        <v>355</v>
      </c>
      <c r="U118" t="s">
        <v>356</v>
      </c>
      <c r="V118" t="s">
        <v>298</v>
      </c>
      <c r="W118" t="s">
        <v>299</v>
      </c>
      <c r="X118">
        <v>45189</v>
      </c>
      <c r="Y118" t="s">
        <v>747</v>
      </c>
      <c r="Z118" t="s">
        <v>302</v>
      </c>
      <c r="AA118" t="s">
        <v>1289</v>
      </c>
    </row>
    <row r="119" spans="1:27">
      <c r="A119">
        <v>181</v>
      </c>
      <c r="B119" t="s">
        <v>136</v>
      </c>
      <c r="C119" t="s">
        <v>307</v>
      </c>
      <c r="D119" t="s">
        <v>748</v>
      </c>
      <c r="E119" t="s">
        <v>749</v>
      </c>
      <c r="F119" t="s">
        <v>546</v>
      </c>
      <c r="G119" t="s">
        <v>547</v>
      </c>
      <c r="H119" s="5">
        <v>45201</v>
      </c>
      <c r="I119" t="s">
        <v>231</v>
      </c>
      <c r="J119" t="s">
        <v>293</v>
      </c>
      <c r="K119" t="s">
        <v>41</v>
      </c>
      <c r="L119">
        <v>3200700205694</v>
      </c>
      <c r="M119">
        <v>7013599374</v>
      </c>
      <c r="N119" t="s">
        <v>214</v>
      </c>
      <c r="O119" t="s">
        <v>231</v>
      </c>
      <c r="P119" t="s">
        <v>294</v>
      </c>
      <c r="Q119" t="s">
        <v>294</v>
      </c>
      <c r="R119" t="s">
        <v>60</v>
      </c>
      <c r="S119" t="s">
        <v>371</v>
      </c>
      <c r="T119" t="s">
        <v>372</v>
      </c>
      <c r="U119" t="s">
        <v>373</v>
      </c>
      <c r="V119" t="s">
        <v>298</v>
      </c>
      <c r="W119" t="s">
        <v>299</v>
      </c>
      <c r="X119">
        <v>45224</v>
      </c>
      <c r="Y119" t="s">
        <v>750</v>
      </c>
      <c r="Z119" t="s">
        <v>302</v>
      </c>
      <c r="AA119" t="s">
        <v>1291</v>
      </c>
    </row>
    <row r="120" spans="1:27">
      <c r="A120">
        <v>182</v>
      </c>
      <c r="B120" t="s">
        <v>137</v>
      </c>
      <c r="C120" t="s">
        <v>289</v>
      </c>
      <c r="D120" t="s">
        <v>751</v>
      </c>
      <c r="E120" t="s">
        <v>752</v>
      </c>
      <c r="F120" t="s">
        <v>546</v>
      </c>
      <c r="G120" t="s">
        <v>547</v>
      </c>
      <c r="H120" s="5">
        <v>45236</v>
      </c>
      <c r="I120" t="s">
        <v>221</v>
      </c>
      <c r="J120" t="s">
        <v>293</v>
      </c>
      <c r="K120" t="s">
        <v>41</v>
      </c>
      <c r="L120">
        <v>3100601625980</v>
      </c>
      <c r="M120">
        <v>7013741818</v>
      </c>
      <c r="N120" t="s">
        <v>213</v>
      </c>
      <c r="O120" t="s">
        <v>221</v>
      </c>
      <c r="P120" t="s">
        <v>294</v>
      </c>
      <c r="Q120" t="s">
        <v>294</v>
      </c>
      <c r="R120" t="s">
        <v>50</v>
      </c>
      <c r="S120" t="s">
        <v>328</v>
      </c>
      <c r="T120" t="s">
        <v>319</v>
      </c>
      <c r="U120" t="s">
        <v>320</v>
      </c>
      <c r="V120" t="s">
        <v>298</v>
      </c>
      <c r="W120" t="s">
        <v>299</v>
      </c>
      <c r="X120">
        <v>45250</v>
      </c>
      <c r="Y120" t="s">
        <v>753</v>
      </c>
      <c r="Z120" t="s">
        <v>302</v>
      </c>
      <c r="AA120" t="s">
        <v>1281</v>
      </c>
    </row>
    <row r="121" spans="1:27">
      <c r="A121">
        <v>183</v>
      </c>
      <c r="B121" t="s">
        <v>138</v>
      </c>
      <c r="C121" t="s">
        <v>289</v>
      </c>
      <c r="D121" t="s">
        <v>754</v>
      </c>
      <c r="E121" t="s">
        <v>755</v>
      </c>
      <c r="F121" t="s">
        <v>546</v>
      </c>
      <c r="G121" t="s">
        <v>547</v>
      </c>
      <c r="H121" s="5">
        <v>45240</v>
      </c>
      <c r="I121" t="s">
        <v>219</v>
      </c>
      <c r="J121" t="s">
        <v>293</v>
      </c>
      <c r="K121" t="s">
        <v>41</v>
      </c>
      <c r="L121">
        <v>3779900006745</v>
      </c>
      <c r="M121">
        <v>7013728154</v>
      </c>
      <c r="N121" t="s">
        <v>213</v>
      </c>
      <c r="O121" t="s">
        <v>219</v>
      </c>
      <c r="P121" t="s">
        <v>294</v>
      </c>
      <c r="Q121" t="s">
        <v>294</v>
      </c>
      <c r="R121" t="s">
        <v>48</v>
      </c>
      <c r="S121" t="s">
        <v>318</v>
      </c>
      <c r="T121" t="s">
        <v>319</v>
      </c>
      <c r="U121" t="s">
        <v>320</v>
      </c>
      <c r="V121" t="s">
        <v>298</v>
      </c>
      <c r="W121" t="s">
        <v>299</v>
      </c>
      <c r="X121">
        <v>46132</v>
      </c>
      <c r="Y121" t="s">
        <v>756</v>
      </c>
      <c r="Z121" t="s">
        <v>302</v>
      </c>
      <c r="AA121" t="s">
        <v>1279</v>
      </c>
    </row>
    <row r="122" spans="1:27">
      <c r="A122">
        <v>184</v>
      </c>
      <c r="B122" t="s">
        <v>139</v>
      </c>
      <c r="C122" t="s">
        <v>307</v>
      </c>
      <c r="D122" t="s">
        <v>757</v>
      </c>
      <c r="E122" t="s">
        <v>758</v>
      </c>
      <c r="F122" t="s">
        <v>546</v>
      </c>
      <c r="G122" t="s">
        <v>547</v>
      </c>
      <c r="H122" s="5">
        <v>45275</v>
      </c>
      <c r="I122" t="s">
        <v>215</v>
      </c>
      <c r="J122" t="s">
        <v>293</v>
      </c>
      <c r="K122" t="s">
        <v>41</v>
      </c>
      <c r="L122">
        <v>5800190008991</v>
      </c>
      <c r="M122">
        <v>7013897842</v>
      </c>
      <c r="N122" t="s">
        <v>213</v>
      </c>
      <c r="O122" t="s">
        <v>215</v>
      </c>
      <c r="P122" t="s">
        <v>294</v>
      </c>
      <c r="Q122" t="s">
        <v>294</v>
      </c>
      <c r="R122" t="s">
        <v>44</v>
      </c>
      <c r="S122" t="s">
        <v>295</v>
      </c>
      <c r="T122" t="s">
        <v>296</v>
      </c>
      <c r="U122" t="s">
        <v>297</v>
      </c>
      <c r="V122" t="s">
        <v>298</v>
      </c>
      <c r="W122" t="s">
        <v>299</v>
      </c>
      <c r="X122">
        <v>45296</v>
      </c>
      <c r="Y122" t="s">
        <v>759</v>
      </c>
      <c r="Z122" t="s">
        <v>302</v>
      </c>
      <c r="AA122" t="s">
        <v>1275</v>
      </c>
    </row>
    <row r="123" spans="1:27">
      <c r="A123">
        <v>185</v>
      </c>
      <c r="B123" t="s">
        <v>140</v>
      </c>
      <c r="C123" t="s">
        <v>289</v>
      </c>
      <c r="D123" t="s">
        <v>760</v>
      </c>
      <c r="E123" t="s">
        <v>761</v>
      </c>
      <c r="F123" t="s">
        <v>546</v>
      </c>
      <c r="G123" t="s">
        <v>547</v>
      </c>
      <c r="H123" s="5">
        <v>45301</v>
      </c>
      <c r="I123" t="s">
        <v>223</v>
      </c>
      <c r="J123" t="s">
        <v>293</v>
      </c>
      <c r="K123" t="s">
        <v>41</v>
      </c>
      <c r="L123">
        <v>3770400009224</v>
      </c>
      <c r="M123">
        <v>7014064967</v>
      </c>
      <c r="N123" t="s">
        <v>213</v>
      </c>
      <c r="O123" t="s">
        <v>223</v>
      </c>
      <c r="P123" t="s">
        <v>294</v>
      </c>
      <c r="Q123" t="s">
        <v>294</v>
      </c>
      <c r="R123" t="s">
        <v>52</v>
      </c>
      <c r="S123" t="s">
        <v>336</v>
      </c>
      <c r="T123" t="s">
        <v>337</v>
      </c>
      <c r="U123" t="s">
        <v>338</v>
      </c>
      <c r="V123" t="s">
        <v>298</v>
      </c>
      <c r="W123" t="s">
        <v>299</v>
      </c>
      <c r="X123">
        <v>45309</v>
      </c>
      <c r="Y123" t="s">
        <v>762</v>
      </c>
      <c r="Z123" t="s">
        <v>302</v>
      </c>
      <c r="AA123" t="s">
        <v>1283</v>
      </c>
    </row>
    <row r="124" spans="1:27">
      <c r="A124">
        <v>190</v>
      </c>
      <c r="B124" t="s">
        <v>141</v>
      </c>
      <c r="C124" t="s">
        <v>307</v>
      </c>
      <c r="D124" t="s">
        <v>763</v>
      </c>
      <c r="E124" t="s">
        <v>764</v>
      </c>
      <c r="F124" t="s">
        <v>546</v>
      </c>
      <c r="G124" t="s">
        <v>547</v>
      </c>
      <c r="H124" s="5">
        <v>45355</v>
      </c>
      <c r="I124" t="s">
        <v>233</v>
      </c>
      <c r="J124" t="s">
        <v>293</v>
      </c>
      <c r="K124" t="s">
        <v>41</v>
      </c>
      <c r="L124">
        <v>3200200596368</v>
      </c>
      <c r="M124">
        <v>7013244014</v>
      </c>
      <c r="N124" t="s">
        <v>214</v>
      </c>
      <c r="O124" t="s">
        <v>233</v>
      </c>
      <c r="P124" t="s">
        <v>294</v>
      </c>
      <c r="Q124" t="s">
        <v>294</v>
      </c>
      <c r="R124" t="s">
        <v>62</v>
      </c>
      <c r="S124" t="s">
        <v>381</v>
      </c>
      <c r="T124" t="s">
        <v>372</v>
      </c>
      <c r="U124" t="s">
        <v>373</v>
      </c>
      <c r="V124" t="s">
        <v>298</v>
      </c>
      <c r="W124" t="s">
        <v>299</v>
      </c>
      <c r="X124">
        <v>45371</v>
      </c>
      <c r="Y124" t="s">
        <v>765</v>
      </c>
      <c r="Z124" t="s">
        <v>302</v>
      </c>
      <c r="AA124" t="s">
        <v>1293</v>
      </c>
    </row>
    <row r="125" spans="1:27">
      <c r="A125">
        <v>194</v>
      </c>
      <c r="B125" t="s">
        <v>142</v>
      </c>
      <c r="C125" t="s">
        <v>307</v>
      </c>
      <c r="D125" t="s">
        <v>766</v>
      </c>
      <c r="E125" t="s">
        <v>767</v>
      </c>
      <c r="F125" t="s">
        <v>546</v>
      </c>
      <c r="G125" t="s">
        <v>547</v>
      </c>
      <c r="H125" s="5">
        <v>45426</v>
      </c>
      <c r="I125" t="s">
        <v>220</v>
      </c>
      <c r="J125" t="s">
        <v>293</v>
      </c>
      <c r="K125" t="s">
        <v>41</v>
      </c>
      <c r="L125">
        <v>3540200687212</v>
      </c>
      <c r="M125">
        <v>7014411872</v>
      </c>
      <c r="N125" t="s">
        <v>213</v>
      </c>
      <c r="O125" t="s">
        <v>220</v>
      </c>
      <c r="P125" t="s">
        <v>294</v>
      </c>
      <c r="Q125" t="s">
        <v>294</v>
      </c>
      <c r="R125" t="s">
        <v>49</v>
      </c>
      <c r="S125" t="s">
        <v>324</v>
      </c>
      <c r="T125" t="s">
        <v>319</v>
      </c>
      <c r="U125" t="s">
        <v>320</v>
      </c>
      <c r="V125" t="s">
        <v>298</v>
      </c>
      <c r="W125" t="s">
        <v>299</v>
      </c>
      <c r="X125">
        <v>45429</v>
      </c>
      <c r="Y125" t="s">
        <v>768</v>
      </c>
      <c r="Z125" t="s">
        <v>302</v>
      </c>
      <c r="AA125" t="s">
        <v>1280</v>
      </c>
    </row>
    <row r="126" spans="1:27">
      <c r="A126">
        <v>195</v>
      </c>
      <c r="B126" t="s">
        <v>143</v>
      </c>
      <c r="C126" t="s">
        <v>289</v>
      </c>
      <c r="D126" t="s">
        <v>769</v>
      </c>
      <c r="E126" t="s">
        <v>770</v>
      </c>
      <c r="F126" t="s">
        <v>546</v>
      </c>
      <c r="G126" t="s">
        <v>547</v>
      </c>
      <c r="H126" s="5">
        <v>45447</v>
      </c>
      <c r="I126" t="s">
        <v>232</v>
      </c>
      <c r="J126" t="s">
        <v>293</v>
      </c>
      <c r="K126" t="s">
        <v>41</v>
      </c>
      <c r="L126">
        <v>1209702032063</v>
      </c>
      <c r="M126">
        <v>7014400472</v>
      </c>
      <c r="N126" t="s">
        <v>214</v>
      </c>
      <c r="O126" t="s">
        <v>232</v>
      </c>
      <c r="P126" t="s">
        <v>294</v>
      </c>
      <c r="Q126" t="s">
        <v>294</v>
      </c>
      <c r="R126" t="s">
        <v>61</v>
      </c>
      <c r="S126" t="s">
        <v>377</v>
      </c>
      <c r="T126" t="s">
        <v>372</v>
      </c>
      <c r="U126" t="s">
        <v>373</v>
      </c>
      <c r="V126" t="s">
        <v>298</v>
      </c>
      <c r="W126" t="s">
        <v>299</v>
      </c>
      <c r="X126">
        <v>45460</v>
      </c>
      <c r="Y126" t="s">
        <v>771</v>
      </c>
      <c r="Z126" t="s">
        <v>302</v>
      </c>
      <c r="AA126" t="s">
        <v>1292</v>
      </c>
    </row>
    <row r="127" spans="1:27">
      <c r="A127">
        <v>198</v>
      </c>
      <c r="B127" t="s">
        <v>144</v>
      </c>
      <c r="C127" t="s">
        <v>289</v>
      </c>
      <c r="D127" t="s">
        <v>772</v>
      </c>
      <c r="E127" t="s">
        <v>773</v>
      </c>
      <c r="F127" t="s">
        <v>743</v>
      </c>
      <c r="G127" t="s">
        <v>547</v>
      </c>
      <c r="H127" s="5">
        <v>45475</v>
      </c>
      <c r="I127" t="s">
        <v>233</v>
      </c>
      <c r="J127" t="s">
        <v>293</v>
      </c>
      <c r="K127" t="s">
        <v>41</v>
      </c>
      <c r="L127">
        <v>3200700024398</v>
      </c>
      <c r="M127">
        <v>7012304776</v>
      </c>
      <c r="N127" t="s">
        <v>214</v>
      </c>
      <c r="O127" t="s">
        <v>233</v>
      </c>
      <c r="P127" t="s">
        <v>294</v>
      </c>
      <c r="Q127" t="s">
        <v>294</v>
      </c>
      <c r="R127" t="s">
        <v>62</v>
      </c>
      <c r="S127" t="s">
        <v>381</v>
      </c>
      <c r="T127" t="s">
        <v>372</v>
      </c>
      <c r="U127" t="s">
        <v>373</v>
      </c>
      <c r="V127" t="s">
        <v>298</v>
      </c>
      <c r="W127" t="s">
        <v>299</v>
      </c>
      <c r="X127">
        <v>45492</v>
      </c>
      <c r="Y127" t="s">
        <v>774</v>
      </c>
      <c r="Z127" t="s">
        <v>302</v>
      </c>
      <c r="AA127" t="s">
        <v>1293</v>
      </c>
    </row>
    <row r="128" spans="1:27">
      <c r="A128">
        <v>202</v>
      </c>
      <c r="B128" t="s">
        <v>145</v>
      </c>
      <c r="C128" t="s">
        <v>289</v>
      </c>
      <c r="D128" t="s">
        <v>775</v>
      </c>
      <c r="E128" t="s">
        <v>776</v>
      </c>
      <c r="F128" t="s">
        <v>546</v>
      </c>
      <c r="G128" t="s">
        <v>547</v>
      </c>
      <c r="H128" s="5">
        <v>45537</v>
      </c>
      <c r="I128" t="s">
        <v>237</v>
      </c>
      <c r="J128" t="s">
        <v>293</v>
      </c>
      <c r="K128" t="s">
        <v>41</v>
      </c>
      <c r="L128">
        <v>2270100001879</v>
      </c>
      <c r="M128">
        <v>7014543264</v>
      </c>
      <c r="N128" t="s">
        <v>214</v>
      </c>
      <c r="O128" t="s">
        <v>237</v>
      </c>
      <c r="P128" t="s">
        <v>294</v>
      </c>
      <c r="Q128" t="s">
        <v>294</v>
      </c>
      <c r="R128" t="s">
        <v>66</v>
      </c>
      <c r="S128" t="s">
        <v>399</v>
      </c>
      <c r="T128" t="s">
        <v>390</v>
      </c>
      <c r="U128" t="s">
        <v>391</v>
      </c>
      <c r="V128" t="s">
        <v>298</v>
      </c>
      <c r="W128" t="s">
        <v>299</v>
      </c>
      <c r="X128">
        <v>45538</v>
      </c>
      <c r="Y128" t="s">
        <v>777</v>
      </c>
      <c r="Z128" t="s">
        <v>302</v>
      </c>
      <c r="AA128" t="s">
        <v>1297</v>
      </c>
    </row>
    <row r="129" spans="1:27">
      <c r="A129">
        <v>205</v>
      </c>
      <c r="B129" t="s">
        <v>146</v>
      </c>
      <c r="C129" t="s">
        <v>307</v>
      </c>
      <c r="D129" t="s">
        <v>778</v>
      </c>
      <c r="E129" t="s">
        <v>779</v>
      </c>
      <c r="F129" t="s">
        <v>546</v>
      </c>
      <c r="G129" t="s">
        <v>547</v>
      </c>
      <c r="H129" s="5">
        <v>45580</v>
      </c>
      <c r="I129" t="s">
        <v>216</v>
      </c>
      <c r="J129" t="s">
        <v>293</v>
      </c>
      <c r="K129" t="s">
        <v>41</v>
      </c>
      <c r="L129">
        <v>3120100964609</v>
      </c>
      <c r="M129">
        <v>7014742140</v>
      </c>
      <c r="N129" t="s">
        <v>213</v>
      </c>
      <c r="O129" t="s">
        <v>216</v>
      </c>
      <c r="P129" t="s">
        <v>294</v>
      </c>
      <c r="Q129" t="s">
        <v>294</v>
      </c>
      <c r="R129" t="s">
        <v>45</v>
      </c>
      <c r="S129" t="s">
        <v>305</v>
      </c>
      <c r="T129" t="s">
        <v>296</v>
      </c>
      <c r="U129" t="s">
        <v>297</v>
      </c>
      <c r="V129" t="s">
        <v>298</v>
      </c>
      <c r="W129" t="s">
        <v>299</v>
      </c>
      <c r="X129">
        <v>45600</v>
      </c>
      <c r="Y129" t="s">
        <v>780</v>
      </c>
      <c r="Z129" t="s">
        <v>302</v>
      </c>
      <c r="AA129" t="s">
        <v>1276</v>
      </c>
    </row>
    <row r="130" spans="1:27">
      <c r="A130">
        <v>206</v>
      </c>
      <c r="B130" t="s">
        <v>147</v>
      </c>
      <c r="C130" t="s">
        <v>289</v>
      </c>
      <c r="D130" t="s">
        <v>781</v>
      </c>
      <c r="E130" t="s">
        <v>782</v>
      </c>
      <c r="F130" t="s">
        <v>546</v>
      </c>
      <c r="G130" t="s">
        <v>547</v>
      </c>
      <c r="H130" s="5">
        <v>45587</v>
      </c>
      <c r="I130" t="s">
        <v>229</v>
      </c>
      <c r="J130" t="s">
        <v>293</v>
      </c>
      <c r="K130" t="s">
        <v>41</v>
      </c>
      <c r="L130">
        <v>1440700094495</v>
      </c>
      <c r="M130">
        <v>7014749644</v>
      </c>
      <c r="N130" t="s">
        <v>213</v>
      </c>
      <c r="O130" t="s">
        <v>229</v>
      </c>
      <c r="P130" t="s">
        <v>294</v>
      </c>
      <c r="Q130" t="s">
        <v>294</v>
      </c>
      <c r="R130" t="s">
        <v>58</v>
      </c>
      <c r="S130" t="s">
        <v>363</v>
      </c>
      <c r="T130" t="s">
        <v>355</v>
      </c>
      <c r="U130" t="s">
        <v>356</v>
      </c>
      <c r="V130" t="s">
        <v>298</v>
      </c>
      <c r="W130" t="s">
        <v>299</v>
      </c>
      <c r="X130">
        <v>45600</v>
      </c>
      <c r="Y130" t="s">
        <v>783</v>
      </c>
      <c r="Z130" t="s">
        <v>302</v>
      </c>
      <c r="AA130" t="s">
        <v>1289</v>
      </c>
    </row>
    <row r="131" spans="1:27">
      <c r="A131">
        <v>207</v>
      </c>
      <c r="B131" t="s">
        <v>148</v>
      </c>
      <c r="C131" t="s">
        <v>509</v>
      </c>
      <c r="D131" t="s">
        <v>784</v>
      </c>
      <c r="E131" t="s">
        <v>785</v>
      </c>
      <c r="F131" t="s">
        <v>546</v>
      </c>
      <c r="G131" t="s">
        <v>547</v>
      </c>
      <c r="H131" s="5">
        <v>45609</v>
      </c>
      <c r="I131" t="s">
        <v>219</v>
      </c>
      <c r="J131" t="s">
        <v>293</v>
      </c>
      <c r="K131" t="s">
        <v>41</v>
      </c>
      <c r="L131">
        <v>3101403474561</v>
      </c>
      <c r="M131">
        <v>7014777275</v>
      </c>
      <c r="N131" t="s">
        <v>213</v>
      </c>
      <c r="O131" t="s">
        <v>219</v>
      </c>
      <c r="P131" t="s">
        <v>294</v>
      </c>
      <c r="Q131" t="s">
        <v>294</v>
      </c>
      <c r="R131" t="s">
        <v>48</v>
      </c>
      <c r="S131" t="s">
        <v>318</v>
      </c>
      <c r="T131" t="s">
        <v>319</v>
      </c>
      <c r="U131" t="s">
        <v>320</v>
      </c>
      <c r="V131" t="s">
        <v>298</v>
      </c>
      <c r="W131" t="s">
        <v>299</v>
      </c>
      <c r="X131">
        <v>45618</v>
      </c>
      <c r="Y131" t="s">
        <v>786</v>
      </c>
      <c r="Z131" t="s">
        <v>302</v>
      </c>
      <c r="AA131" t="s">
        <v>1279</v>
      </c>
    </row>
    <row r="132" spans="1:27">
      <c r="A132">
        <v>208</v>
      </c>
      <c r="B132" t="s">
        <v>149</v>
      </c>
      <c r="C132" t="s">
        <v>289</v>
      </c>
      <c r="D132" t="s">
        <v>787</v>
      </c>
      <c r="E132" t="s">
        <v>788</v>
      </c>
      <c r="F132" t="s">
        <v>546</v>
      </c>
      <c r="G132" t="s">
        <v>547</v>
      </c>
      <c r="H132" s="5">
        <v>45608</v>
      </c>
      <c r="I132" t="s">
        <v>238</v>
      </c>
      <c r="J132" t="s">
        <v>293</v>
      </c>
      <c r="K132" t="s">
        <v>41</v>
      </c>
      <c r="L132">
        <v>1200100158559</v>
      </c>
      <c r="M132">
        <v>7014781383</v>
      </c>
      <c r="N132" t="s">
        <v>214</v>
      </c>
      <c r="O132" t="s">
        <v>238</v>
      </c>
      <c r="P132" t="s">
        <v>294</v>
      </c>
      <c r="Q132" t="s">
        <v>294</v>
      </c>
      <c r="R132" t="s">
        <v>67</v>
      </c>
      <c r="S132" t="s">
        <v>403</v>
      </c>
      <c r="T132" t="s">
        <v>390</v>
      </c>
      <c r="U132" t="s">
        <v>391</v>
      </c>
      <c r="V132" t="s">
        <v>298</v>
      </c>
      <c r="W132" t="s">
        <v>299</v>
      </c>
      <c r="X132">
        <v>45629</v>
      </c>
      <c r="Y132" t="s">
        <v>789</v>
      </c>
      <c r="Z132" t="s">
        <v>302</v>
      </c>
      <c r="AA132" t="s">
        <v>1298</v>
      </c>
    </row>
    <row r="133" spans="1:27">
      <c r="A133">
        <v>211</v>
      </c>
      <c r="B133" t="s">
        <v>150</v>
      </c>
      <c r="C133" t="s">
        <v>289</v>
      </c>
      <c r="D133" t="s">
        <v>790</v>
      </c>
      <c r="E133" t="s">
        <v>791</v>
      </c>
      <c r="F133" t="s">
        <v>546</v>
      </c>
      <c r="G133" t="s">
        <v>547</v>
      </c>
      <c r="H133" s="5">
        <v>45659</v>
      </c>
      <c r="I133" t="s">
        <v>218</v>
      </c>
      <c r="J133" t="s">
        <v>293</v>
      </c>
      <c r="K133" t="s">
        <v>41</v>
      </c>
      <c r="L133">
        <v>1450900088260</v>
      </c>
      <c r="M133">
        <v>7014904794</v>
      </c>
      <c r="N133" t="s">
        <v>213</v>
      </c>
      <c r="O133" t="s">
        <v>218</v>
      </c>
      <c r="P133" t="s">
        <v>294</v>
      </c>
      <c r="Q133" t="s">
        <v>294</v>
      </c>
      <c r="R133" t="s">
        <v>47</v>
      </c>
      <c r="S133" t="s">
        <v>314</v>
      </c>
      <c r="T133" t="s">
        <v>296</v>
      </c>
      <c r="U133" t="s">
        <v>297</v>
      </c>
      <c r="V133" t="s">
        <v>298</v>
      </c>
      <c r="W133" t="s">
        <v>299</v>
      </c>
      <c r="X133">
        <v>45660</v>
      </c>
      <c r="Y133" t="s">
        <v>792</v>
      </c>
      <c r="Z133" t="s">
        <v>302</v>
      </c>
      <c r="AA133" t="s">
        <v>1278</v>
      </c>
    </row>
    <row r="134" spans="1:27">
      <c r="A134">
        <v>212</v>
      </c>
      <c r="B134" t="s">
        <v>151</v>
      </c>
      <c r="C134" t="s">
        <v>307</v>
      </c>
      <c r="D134" t="s">
        <v>793</v>
      </c>
      <c r="E134" t="s">
        <v>794</v>
      </c>
      <c r="F134" t="s">
        <v>546</v>
      </c>
      <c r="G134" t="s">
        <v>547</v>
      </c>
      <c r="H134" s="5">
        <v>45671</v>
      </c>
      <c r="I134" t="s">
        <v>230</v>
      </c>
      <c r="J134" t="s">
        <v>293</v>
      </c>
      <c r="K134" t="s">
        <v>41</v>
      </c>
      <c r="L134">
        <v>1749800011520</v>
      </c>
      <c r="M134">
        <v>7014864858</v>
      </c>
      <c r="N134" t="s">
        <v>213</v>
      </c>
      <c r="O134" t="s">
        <v>230</v>
      </c>
      <c r="P134" t="s">
        <v>294</v>
      </c>
      <c r="Q134" t="s">
        <v>294</v>
      </c>
      <c r="R134" t="s">
        <v>59</v>
      </c>
      <c r="S134" t="s">
        <v>367</v>
      </c>
      <c r="T134" t="s">
        <v>355</v>
      </c>
      <c r="U134" t="s">
        <v>356</v>
      </c>
      <c r="V134" t="s">
        <v>298</v>
      </c>
      <c r="W134" t="s">
        <v>299</v>
      </c>
      <c r="X134">
        <v>45692</v>
      </c>
      <c r="Y134" t="s">
        <v>795</v>
      </c>
      <c r="Z134" t="s">
        <v>302</v>
      </c>
      <c r="AA134" t="s">
        <v>1290</v>
      </c>
    </row>
    <row r="135" spans="1:27">
      <c r="A135">
        <v>213</v>
      </c>
      <c r="B135" t="s">
        <v>152</v>
      </c>
      <c r="C135" t="s">
        <v>307</v>
      </c>
      <c r="D135" t="s">
        <v>796</v>
      </c>
      <c r="E135" t="s">
        <v>797</v>
      </c>
      <c r="F135" t="s">
        <v>546</v>
      </c>
      <c r="G135" t="s">
        <v>547</v>
      </c>
      <c r="H135" s="5">
        <v>45692</v>
      </c>
      <c r="I135" t="s">
        <v>230</v>
      </c>
      <c r="J135" t="s">
        <v>293</v>
      </c>
      <c r="K135" t="s">
        <v>41</v>
      </c>
      <c r="L135">
        <v>3540400063204</v>
      </c>
      <c r="M135">
        <v>7013324495</v>
      </c>
      <c r="N135" t="s">
        <v>213</v>
      </c>
      <c r="O135" t="s">
        <v>230</v>
      </c>
      <c r="P135" t="s">
        <v>294</v>
      </c>
      <c r="Q135" t="s">
        <v>294</v>
      </c>
      <c r="R135" t="s">
        <v>59</v>
      </c>
      <c r="S135" t="s">
        <v>367</v>
      </c>
      <c r="T135" t="s">
        <v>355</v>
      </c>
      <c r="U135" t="s">
        <v>356</v>
      </c>
      <c r="V135" t="s">
        <v>298</v>
      </c>
      <c r="W135" t="s">
        <v>299</v>
      </c>
      <c r="X135">
        <v>45706</v>
      </c>
      <c r="Y135" t="s">
        <v>798</v>
      </c>
      <c r="Z135" t="s">
        <v>302</v>
      </c>
      <c r="AA135" t="s">
        <v>1290</v>
      </c>
    </row>
    <row r="136" spans="1:27">
      <c r="A136">
        <v>214</v>
      </c>
      <c r="B136" t="s">
        <v>153</v>
      </c>
      <c r="C136" t="s">
        <v>307</v>
      </c>
      <c r="D136" t="s">
        <v>799</v>
      </c>
      <c r="E136" t="s">
        <v>800</v>
      </c>
      <c r="F136" t="s">
        <v>546</v>
      </c>
      <c r="G136" t="s">
        <v>547</v>
      </c>
      <c r="H136" s="5">
        <v>45692</v>
      </c>
      <c r="I136" t="s">
        <v>230</v>
      </c>
      <c r="J136" t="s">
        <v>293</v>
      </c>
      <c r="K136" t="s">
        <v>41</v>
      </c>
      <c r="L136">
        <v>3540200269623</v>
      </c>
      <c r="M136">
        <v>7014923662</v>
      </c>
      <c r="N136" t="s">
        <v>213</v>
      </c>
      <c r="O136" t="s">
        <v>230</v>
      </c>
      <c r="P136" t="s">
        <v>294</v>
      </c>
      <c r="Q136" t="s">
        <v>294</v>
      </c>
      <c r="R136" t="s">
        <v>59</v>
      </c>
      <c r="S136" t="s">
        <v>367</v>
      </c>
      <c r="T136" t="s">
        <v>355</v>
      </c>
      <c r="U136" t="s">
        <v>356</v>
      </c>
      <c r="V136" t="s">
        <v>298</v>
      </c>
      <c r="W136" t="s">
        <v>299</v>
      </c>
      <c r="X136">
        <v>45706</v>
      </c>
      <c r="Y136" t="s">
        <v>801</v>
      </c>
      <c r="Z136" t="s">
        <v>302</v>
      </c>
      <c r="AA136" t="s">
        <v>1290</v>
      </c>
    </row>
    <row r="137" spans="1:27">
      <c r="A137">
        <v>215</v>
      </c>
      <c r="B137" t="s">
        <v>154</v>
      </c>
      <c r="C137" t="s">
        <v>307</v>
      </c>
      <c r="D137" t="s">
        <v>802</v>
      </c>
      <c r="E137" t="s">
        <v>803</v>
      </c>
      <c r="F137" t="s">
        <v>546</v>
      </c>
      <c r="G137" t="s">
        <v>547</v>
      </c>
      <c r="H137" s="5">
        <v>45692</v>
      </c>
      <c r="I137" t="s">
        <v>222</v>
      </c>
      <c r="J137" t="s">
        <v>293</v>
      </c>
      <c r="K137" t="s">
        <v>41</v>
      </c>
      <c r="L137">
        <v>1229900557685</v>
      </c>
      <c r="M137">
        <v>7014976894</v>
      </c>
      <c r="N137" t="s">
        <v>213</v>
      </c>
      <c r="O137" t="s">
        <v>222</v>
      </c>
      <c r="P137" t="s">
        <v>294</v>
      </c>
      <c r="Q137" t="s">
        <v>294</v>
      </c>
      <c r="R137" t="s">
        <v>51</v>
      </c>
      <c r="S137" t="s">
        <v>332</v>
      </c>
      <c r="T137" t="s">
        <v>319</v>
      </c>
      <c r="U137" t="s">
        <v>320</v>
      </c>
      <c r="V137" t="s">
        <v>298</v>
      </c>
      <c r="W137" t="s">
        <v>299</v>
      </c>
      <c r="X137">
        <v>45706</v>
      </c>
      <c r="Y137" t="s">
        <v>804</v>
      </c>
      <c r="Z137" t="s">
        <v>302</v>
      </c>
      <c r="AA137" t="s">
        <v>1282</v>
      </c>
    </row>
    <row r="138" spans="1:27">
      <c r="A138">
        <v>216</v>
      </c>
      <c r="B138" t="s">
        <v>155</v>
      </c>
      <c r="C138" t="s">
        <v>509</v>
      </c>
      <c r="D138" t="s">
        <v>805</v>
      </c>
      <c r="E138" t="s">
        <v>806</v>
      </c>
      <c r="F138" t="s">
        <v>546</v>
      </c>
      <c r="G138" t="s">
        <v>547</v>
      </c>
      <c r="H138" s="5">
        <v>45699</v>
      </c>
      <c r="I138" t="s">
        <v>225</v>
      </c>
      <c r="J138" t="s">
        <v>293</v>
      </c>
      <c r="K138" t="s">
        <v>41</v>
      </c>
      <c r="L138">
        <v>3959900152171</v>
      </c>
      <c r="M138">
        <v>7014962362</v>
      </c>
      <c r="N138" t="s">
        <v>213</v>
      </c>
      <c r="O138" t="s">
        <v>225</v>
      </c>
      <c r="P138" t="s">
        <v>294</v>
      </c>
      <c r="Q138" t="s">
        <v>294</v>
      </c>
      <c r="R138" t="s">
        <v>54</v>
      </c>
      <c r="S138" t="s">
        <v>346</v>
      </c>
      <c r="T138" t="s">
        <v>337</v>
      </c>
      <c r="U138" t="s">
        <v>338</v>
      </c>
      <c r="V138" t="s">
        <v>298</v>
      </c>
      <c r="W138" t="s">
        <v>299</v>
      </c>
      <c r="X138">
        <v>45706</v>
      </c>
      <c r="Y138" t="s">
        <v>807</v>
      </c>
      <c r="Z138" t="s">
        <v>302</v>
      </c>
      <c r="AA138" t="s">
        <v>1285</v>
      </c>
    </row>
    <row r="139" spans="1:27">
      <c r="A139">
        <v>218</v>
      </c>
      <c r="B139" t="s">
        <v>156</v>
      </c>
      <c r="C139" t="s">
        <v>289</v>
      </c>
      <c r="D139" t="s">
        <v>808</v>
      </c>
      <c r="E139" t="s">
        <v>809</v>
      </c>
      <c r="F139" t="s">
        <v>743</v>
      </c>
      <c r="G139" t="s">
        <v>547</v>
      </c>
      <c r="H139" s="5">
        <v>45719</v>
      </c>
      <c r="I139" t="s">
        <v>225</v>
      </c>
      <c r="J139" t="s">
        <v>293</v>
      </c>
      <c r="K139" t="s">
        <v>41</v>
      </c>
      <c r="L139">
        <v>3102002076051</v>
      </c>
      <c r="M139">
        <v>7011439272</v>
      </c>
      <c r="N139" t="s">
        <v>213</v>
      </c>
      <c r="O139" t="s">
        <v>225</v>
      </c>
      <c r="P139" t="s">
        <v>294</v>
      </c>
      <c r="Q139" t="s">
        <v>294</v>
      </c>
      <c r="R139" t="s">
        <v>54</v>
      </c>
      <c r="S139" t="s">
        <v>346</v>
      </c>
      <c r="T139" t="s">
        <v>337</v>
      </c>
      <c r="U139" t="s">
        <v>338</v>
      </c>
      <c r="V139" t="s">
        <v>298</v>
      </c>
      <c r="W139" t="s">
        <v>299</v>
      </c>
      <c r="X139">
        <v>45720</v>
      </c>
      <c r="Y139" t="s">
        <v>810</v>
      </c>
      <c r="Z139" t="s">
        <v>302</v>
      </c>
      <c r="AA139" t="s">
        <v>1285</v>
      </c>
    </row>
    <row r="140" spans="1:27">
      <c r="A140">
        <v>219</v>
      </c>
      <c r="B140" t="s">
        <v>157</v>
      </c>
      <c r="C140" t="s">
        <v>289</v>
      </c>
      <c r="D140" t="s">
        <v>811</v>
      </c>
      <c r="E140" t="s">
        <v>812</v>
      </c>
      <c r="F140" t="s">
        <v>546</v>
      </c>
      <c r="G140" t="s">
        <v>547</v>
      </c>
      <c r="H140" s="5">
        <v>45719</v>
      </c>
      <c r="I140" t="s">
        <v>230</v>
      </c>
      <c r="J140" t="s">
        <v>293</v>
      </c>
      <c r="K140" t="s">
        <v>41</v>
      </c>
      <c r="L140">
        <v>3410102339628</v>
      </c>
      <c r="M140">
        <v>7015000008</v>
      </c>
      <c r="N140" t="s">
        <v>213</v>
      </c>
      <c r="O140" t="s">
        <v>230</v>
      </c>
      <c r="P140" t="s">
        <v>294</v>
      </c>
      <c r="Q140" t="s">
        <v>294</v>
      </c>
      <c r="R140" t="s">
        <v>59</v>
      </c>
      <c r="S140" t="s">
        <v>367</v>
      </c>
      <c r="T140" t="s">
        <v>355</v>
      </c>
      <c r="U140" t="s">
        <v>356</v>
      </c>
      <c r="V140" t="s">
        <v>298</v>
      </c>
      <c r="W140" t="s">
        <v>299</v>
      </c>
      <c r="X140">
        <v>45720</v>
      </c>
      <c r="Y140" t="s">
        <v>813</v>
      </c>
      <c r="Z140" t="s">
        <v>302</v>
      </c>
      <c r="AA140" t="s">
        <v>1290</v>
      </c>
    </row>
    <row r="141" spans="1:27">
      <c r="A141">
        <v>220</v>
      </c>
      <c r="B141" t="s">
        <v>158</v>
      </c>
      <c r="C141" t="s">
        <v>307</v>
      </c>
      <c r="D141" t="s">
        <v>814</v>
      </c>
      <c r="E141" t="s">
        <v>815</v>
      </c>
      <c r="F141" t="s">
        <v>546</v>
      </c>
      <c r="G141" t="s">
        <v>547</v>
      </c>
      <c r="H141" s="5">
        <v>45719</v>
      </c>
      <c r="I141" t="s">
        <v>230</v>
      </c>
      <c r="J141" t="s">
        <v>293</v>
      </c>
      <c r="K141" t="s">
        <v>41</v>
      </c>
      <c r="L141">
        <v>5650900019510</v>
      </c>
      <c r="M141">
        <v>7010921731</v>
      </c>
      <c r="N141" t="s">
        <v>213</v>
      </c>
      <c r="O141" t="s">
        <v>230</v>
      </c>
      <c r="P141" t="s">
        <v>294</v>
      </c>
      <c r="Q141" t="s">
        <v>294</v>
      </c>
      <c r="R141" t="s">
        <v>59</v>
      </c>
      <c r="S141" t="s">
        <v>367</v>
      </c>
      <c r="T141" t="s">
        <v>355</v>
      </c>
      <c r="U141" t="s">
        <v>356</v>
      </c>
      <c r="V141" t="s">
        <v>298</v>
      </c>
      <c r="W141" t="s">
        <v>299</v>
      </c>
      <c r="X141">
        <v>45720</v>
      </c>
      <c r="Y141" t="s">
        <v>816</v>
      </c>
      <c r="Z141" t="s">
        <v>302</v>
      </c>
      <c r="AA141" t="s">
        <v>1290</v>
      </c>
    </row>
    <row r="142" spans="1:27">
      <c r="A142">
        <v>222</v>
      </c>
      <c r="B142" t="s">
        <v>159</v>
      </c>
      <c r="C142" t="s">
        <v>289</v>
      </c>
      <c r="D142" t="s">
        <v>817</v>
      </c>
      <c r="E142" t="s">
        <v>818</v>
      </c>
      <c r="F142" t="s">
        <v>546</v>
      </c>
      <c r="G142" t="s">
        <v>547</v>
      </c>
      <c r="H142" s="5">
        <v>45720</v>
      </c>
      <c r="I142" t="s">
        <v>226</v>
      </c>
      <c r="J142" t="s">
        <v>293</v>
      </c>
      <c r="K142" t="s">
        <v>41</v>
      </c>
      <c r="L142">
        <v>1570900092894</v>
      </c>
      <c r="M142">
        <v>7014999615</v>
      </c>
      <c r="N142" t="s">
        <v>213</v>
      </c>
      <c r="O142" t="s">
        <v>226</v>
      </c>
      <c r="P142" t="s">
        <v>294</v>
      </c>
      <c r="Q142" t="s">
        <v>294</v>
      </c>
      <c r="R142" t="s">
        <v>55</v>
      </c>
      <c r="S142" t="s">
        <v>350</v>
      </c>
      <c r="T142" t="s">
        <v>337</v>
      </c>
      <c r="U142" t="s">
        <v>338</v>
      </c>
      <c r="V142" t="s">
        <v>298</v>
      </c>
      <c r="W142" t="s">
        <v>299</v>
      </c>
      <c r="X142">
        <v>45734</v>
      </c>
      <c r="Y142" t="s">
        <v>819</v>
      </c>
      <c r="Z142" t="s">
        <v>302</v>
      </c>
      <c r="AA142" t="s">
        <v>1286</v>
      </c>
    </row>
    <row r="143" spans="1:27">
      <c r="A143">
        <v>232</v>
      </c>
      <c r="B143" t="s">
        <v>160</v>
      </c>
      <c r="C143" t="s">
        <v>289</v>
      </c>
      <c r="D143" t="s">
        <v>820</v>
      </c>
      <c r="E143" t="s">
        <v>821</v>
      </c>
      <c r="F143" t="s">
        <v>546</v>
      </c>
      <c r="G143" t="s">
        <v>547</v>
      </c>
      <c r="H143" s="5">
        <v>45779</v>
      </c>
      <c r="I143" t="s">
        <v>234</v>
      </c>
      <c r="J143" t="s">
        <v>293</v>
      </c>
      <c r="K143" t="s">
        <v>41</v>
      </c>
      <c r="L143">
        <v>1412000005068</v>
      </c>
      <c r="M143">
        <v>7015100047</v>
      </c>
      <c r="N143" t="s">
        <v>214</v>
      </c>
      <c r="O143" t="s">
        <v>234</v>
      </c>
      <c r="P143" t="s">
        <v>294</v>
      </c>
      <c r="Q143" t="s">
        <v>294</v>
      </c>
      <c r="R143" t="s">
        <v>63</v>
      </c>
      <c r="S143" t="s">
        <v>385</v>
      </c>
      <c r="T143" t="s">
        <v>372</v>
      </c>
      <c r="U143" t="s">
        <v>373</v>
      </c>
      <c r="V143" t="s">
        <v>298</v>
      </c>
      <c r="W143" t="s">
        <v>299</v>
      </c>
      <c r="X143">
        <v>45796</v>
      </c>
      <c r="Y143" t="s">
        <v>822</v>
      </c>
      <c r="Z143" t="s">
        <v>302</v>
      </c>
      <c r="AA143" t="s">
        <v>1294</v>
      </c>
    </row>
    <row r="144" spans="1:27">
      <c r="A144">
        <v>233</v>
      </c>
      <c r="B144" t="s">
        <v>161</v>
      </c>
      <c r="C144" t="s">
        <v>289</v>
      </c>
      <c r="D144" t="s">
        <v>823</v>
      </c>
      <c r="E144" t="s">
        <v>384</v>
      </c>
      <c r="F144" t="s">
        <v>546</v>
      </c>
      <c r="G144" t="s">
        <v>547</v>
      </c>
      <c r="H144" s="5">
        <v>45779</v>
      </c>
      <c r="I144" t="s">
        <v>232</v>
      </c>
      <c r="J144" t="s">
        <v>293</v>
      </c>
      <c r="K144" t="s">
        <v>41</v>
      </c>
      <c r="L144">
        <v>1401800007510</v>
      </c>
      <c r="M144">
        <v>7015084105</v>
      </c>
      <c r="N144" t="s">
        <v>214</v>
      </c>
      <c r="O144" t="s">
        <v>232</v>
      </c>
      <c r="P144" t="s">
        <v>294</v>
      </c>
      <c r="Q144" t="s">
        <v>294</v>
      </c>
      <c r="R144" t="s">
        <v>61</v>
      </c>
      <c r="S144" t="s">
        <v>377</v>
      </c>
      <c r="T144" t="s">
        <v>372</v>
      </c>
      <c r="U144" t="s">
        <v>373</v>
      </c>
      <c r="V144" t="s">
        <v>298</v>
      </c>
      <c r="W144" t="s">
        <v>299</v>
      </c>
      <c r="X144">
        <v>45796</v>
      </c>
      <c r="Y144" t="s">
        <v>824</v>
      </c>
      <c r="Z144" t="s">
        <v>302</v>
      </c>
      <c r="AA144" t="s">
        <v>1292</v>
      </c>
    </row>
    <row r="145" spans="1:27">
      <c r="A145">
        <v>234</v>
      </c>
      <c r="B145" t="s">
        <v>162</v>
      </c>
      <c r="C145" t="s">
        <v>307</v>
      </c>
      <c r="D145" t="s">
        <v>825</v>
      </c>
      <c r="E145" t="s">
        <v>826</v>
      </c>
      <c r="F145" t="s">
        <v>546</v>
      </c>
      <c r="G145" t="s">
        <v>547</v>
      </c>
      <c r="H145" s="5">
        <v>45779</v>
      </c>
      <c r="I145" t="s">
        <v>234</v>
      </c>
      <c r="J145" t="s">
        <v>293</v>
      </c>
      <c r="K145" t="s">
        <v>41</v>
      </c>
      <c r="L145">
        <v>1539900315506</v>
      </c>
      <c r="M145">
        <v>7014072966</v>
      </c>
      <c r="N145" t="s">
        <v>214</v>
      </c>
      <c r="O145" t="s">
        <v>234</v>
      </c>
      <c r="P145" t="s">
        <v>294</v>
      </c>
      <c r="Q145" t="s">
        <v>294</v>
      </c>
      <c r="R145" t="s">
        <v>63</v>
      </c>
      <c r="S145" t="s">
        <v>385</v>
      </c>
      <c r="T145" t="s">
        <v>372</v>
      </c>
      <c r="U145" t="s">
        <v>373</v>
      </c>
      <c r="V145" t="s">
        <v>298</v>
      </c>
      <c r="W145" t="s">
        <v>299</v>
      </c>
      <c r="X145">
        <v>45796</v>
      </c>
      <c r="Y145" t="s">
        <v>827</v>
      </c>
      <c r="Z145" t="s">
        <v>302</v>
      </c>
      <c r="AA145" t="s">
        <v>1294</v>
      </c>
    </row>
    <row r="146" spans="1:27">
      <c r="A146">
        <v>235</v>
      </c>
      <c r="B146" t="s">
        <v>163</v>
      </c>
      <c r="C146" t="s">
        <v>307</v>
      </c>
      <c r="D146" t="s">
        <v>828</v>
      </c>
      <c r="E146" t="s">
        <v>829</v>
      </c>
      <c r="F146" t="s">
        <v>743</v>
      </c>
      <c r="G146" t="s">
        <v>547</v>
      </c>
      <c r="H146" s="5">
        <v>45779</v>
      </c>
      <c r="I146" t="s">
        <v>234</v>
      </c>
      <c r="J146" t="s">
        <v>293</v>
      </c>
      <c r="K146" t="s">
        <v>41</v>
      </c>
      <c r="L146">
        <v>1200100055041</v>
      </c>
      <c r="M146">
        <v>7015084898</v>
      </c>
      <c r="N146" t="s">
        <v>214</v>
      </c>
      <c r="O146" t="s">
        <v>234</v>
      </c>
      <c r="P146" t="s">
        <v>294</v>
      </c>
      <c r="Q146" t="s">
        <v>294</v>
      </c>
      <c r="R146" t="s">
        <v>63</v>
      </c>
      <c r="S146" t="s">
        <v>385</v>
      </c>
      <c r="T146" t="s">
        <v>372</v>
      </c>
      <c r="U146" t="s">
        <v>373</v>
      </c>
      <c r="V146" t="s">
        <v>298</v>
      </c>
      <c r="W146" t="s">
        <v>299</v>
      </c>
      <c r="X146">
        <v>45813</v>
      </c>
      <c r="Y146" t="s">
        <v>830</v>
      </c>
      <c r="Z146" t="s">
        <v>302</v>
      </c>
      <c r="AA146" t="s">
        <v>1294</v>
      </c>
    </row>
    <row r="147" spans="1:27">
      <c r="A147">
        <v>237</v>
      </c>
      <c r="B147" t="s">
        <v>164</v>
      </c>
      <c r="C147" t="s">
        <v>307</v>
      </c>
      <c r="D147" t="s">
        <v>831</v>
      </c>
      <c r="E147" t="s">
        <v>832</v>
      </c>
      <c r="F147" t="s">
        <v>546</v>
      </c>
      <c r="G147" t="s">
        <v>547</v>
      </c>
      <c r="H147" s="5">
        <v>45812</v>
      </c>
      <c r="I147" t="s">
        <v>217</v>
      </c>
      <c r="J147" t="s">
        <v>293</v>
      </c>
      <c r="K147" t="s">
        <v>41</v>
      </c>
      <c r="L147">
        <v>1130200003191</v>
      </c>
      <c r="M147">
        <v>7015239640</v>
      </c>
      <c r="N147" t="s">
        <v>213</v>
      </c>
      <c r="O147" t="s">
        <v>217</v>
      </c>
      <c r="P147" t="s">
        <v>294</v>
      </c>
      <c r="Q147" t="s">
        <v>294</v>
      </c>
      <c r="R147" t="s">
        <v>46</v>
      </c>
      <c r="S147" t="s">
        <v>310</v>
      </c>
      <c r="T147" t="s">
        <v>296</v>
      </c>
      <c r="U147" t="s">
        <v>297</v>
      </c>
      <c r="V147" t="s">
        <v>298</v>
      </c>
      <c r="W147" t="s">
        <v>299</v>
      </c>
      <c r="X147">
        <v>45825</v>
      </c>
      <c r="Y147" t="s">
        <v>833</v>
      </c>
      <c r="Z147" t="s">
        <v>302</v>
      </c>
      <c r="AA147" t="s">
        <v>1277</v>
      </c>
    </row>
    <row r="148" spans="1:27">
      <c r="A148">
        <v>238</v>
      </c>
      <c r="B148" t="s">
        <v>165</v>
      </c>
      <c r="C148" t="s">
        <v>307</v>
      </c>
      <c r="D148" t="s">
        <v>834</v>
      </c>
      <c r="E148" t="s">
        <v>835</v>
      </c>
      <c r="F148" t="s">
        <v>546</v>
      </c>
      <c r="G148" t="s">
        <v>547</v>
      </c>
      <c r="H148" s="5">
        <v>45812</v>
      </c>
      <c r="I148" t="s">
        <v>234</v>
      </c>
      <c r="J148" t="s">
        <v>293</v>
      </c>
      <c r="K148" t="s">
        <v>41</v>
      </c>
      <c r="L148">
        <v>3101600529783</v>
      </c>
      <c r="M148">
        <v>7015103262</v>
      </c>
      <c r="N148" t="s">
        <v>214</v>
      </c>
      <c r="O148" t="s">
        <v>234</v>
      </c>
      <c r="P148" t="s">
        <v>294</v>
      </c>
      <c r="Q148" t="s">
        <v>294</v>
      </c>
      <c r="R148" t="s">
        <v>63</v>
      </c>
      <c r="S148" t="s">
        <v>385</v>
      </c>
      <c r="T148" t="s">
        <v>372</v>
      </c>
      <c r="U148" t="s">
        <v>373</v>
      </c>
      <c r="V148" t="s">
        <v>298</v>
      </c>
      <c r="W148" t="s">
        <v>299</v>
      </c>
      <c r="X148">
        <v>45825</v>
      </c>
      <c r="Y148" t="s">
        <v>836</v>
      </c>
      <c r="Z148" t="s">
        <v>302</v>
      </c>
      <c r="AA148" t="s">
        <v>1294</v>
      </c>
    </row>
    <row r="149" spans="1:27">
      <c r="A149">
        <v>239</v>
      </c>
      <c r="B149" t="s">
        <v>166</v>
      </c>
      <c r="C149" t="s">
        <v>289</v>
      </c>
      <c r="D149" t="s">
        <v>837</v>
      </c>
      <c r="E149" t="s">
        <v>838</v>
      </c>
      <c r="F149" t="s">
        <v>546</v>
      </c>
      <c r="G149" t="s">
        <v>547</v>
      </c>
      <c r="H149" s="5">
        <v>45812</v>
      </c>
      <c r="I149" t="s">
        <v>238</v>
      </c>
      <c r="J149" t="s">
        <v>293</v>
      </c>
      <c r="K149" t="s">
        <v>41</v>
      </c>
      <c r="L149">
        <v>1200100113571</v>
      </c>
      <c r="M149">
        <v>7015118589</v>
      </c>
      <c r="N149" t="s">
        <v>214</v>
      </c>
      <c r="O149" t="s">
        <v>238</v>
      </c>
      <c r="P149" t="s">
        <v>294</v>
      </c>
      <c r="Q149" t="s">
        <v>294</v>
      </c>
      <c r="R149" t="s">
        <v>67</v>
      </c>
      <c r="S149" t="s">
        <v>403</v>
      </c>
      <c r="T149" t="s">
        <v>390</v>
      </c>
      <c r="U149" t="s">
        <v>391</v>
      </c>
      <c r="V149" t="s">
        <v>298</v>
      </c>
      <c r="W149" t="s">
        <v>299</v>
      </c>
      <c r="X149">
        <v>45825</v>
      </c>
      <c r="Y149" t="s">
        <v>839</v>
      </c>
      <c r="Z149" t="s">
        <v>302</v>
      </c>
      <c r="AA149" t="s">
        <v>1298</v>
      </c>
    </row>
    <row r="150" spans="1:27">
      <c r="A150">
        <v>242</v>
      </c>
      <c r="B150" t="s">
        <v>167</v>
      </c>
      <c r="C150" t="s">
        <v>289</v>
      </c>
      <c r="D150" t="s">
        <v>840</v>
      </c>
      <c r="E150" t="s">
        <v>841</v>
      </c>
      <c r="F150" t="s">
        <v>743</v>
      </c>
      <c r="G150" t="s">
        <v>547</v>
      </c>
      <c r="H150" s="5">
        <v>45870</v>
      </c>
      <c r="I150" t="s">
        <v>225</v>
      </c>
      <c r="J150" t="s">
        <v>293</v>
      </c>
      <c r="K150" t="s">
        <v>41</v>
      </c>
      <c r="L150">
        <v>3520300048131</v>
      </c>
      <c r="M150">
        <v>7014297864</v>
      </c>
      <c r="N150" t="s">
        <v>213</v>
      </c>
      <c r="O150" t="s">
        <v>225</v>
      </c>
      <c r="P150" t="s">
        <v>294</v>
      </c>
      <c r="Q150" t="s">
        <v>294</v>
      </c>
      <c r="R150" t="s">
        <v>54</v>
      </c>
      <c r="S150" t="s">
        <v>346</v>
      </c>
      <c r="T150" t="s">
        <v>337</v>
      </c>
      <c r="U150" t="s">
        <v>338</v>
      </c>
      <c r="V150" t="s">
        <v>298</v>
      </c>
      <c r="W150" t="s">
        <v>299</v>
      </c>
      <c r="X150">
        <v>45873</v>
      </c>
      <c r="Y150" t="s">
        <v>842</v>
      </c>
      <c r="Z150" t="s">
        <v>302</v>
      </c>
      <c r="AA150" t="s">
        <v>1285</v>
      </c>
    </row>
    <row r="151" spans="1:27">
      <c r="A151">
        <v>243</v>
      </c>
      <c r="B151" t="s">
        <v>168</v>
      </c>
      <c r="C151" t="s">
        <v>289</v>
      </c>
      <c r="D151" t="s">
        <v>843</v>
      </c>
      <c r="E151" t="s">
        <v>844</v>
      </c>
      <c r="F151" t="s">
        <v>546</v>
      </c>
      <c r="G151" t="s">
        <v>547</v>
      </c>
      <c r="H151" s="5">
        <v>45870</v>
      </c>
      <c r="I151" t="s">
        <v>218</v>
      </c>
      <c r="J151" t="s">
        <v>293</v>
      </c>
      <c r="K151" t="s">
        <v>41</v>
      </c>
      <c r="L151">
        <v>3100603331592</v>
      </c>
      <c r="M151">
        <v>7015363543</v>
      </c>
      <c r="N151" t="s">
        <v>213</v>
      </c>
      <c r="O151" t="s">
        <v>218</v>
      </c>
      <c r="P151" t="s">
        <v>294</v>
      </c>
      <c r="Q151" t="s">
        <v>294</v>
      </c>
      <c r="R151" t="s">
        <v>47</v>
      </c>
      <c r="S151" t="s">
        <v>314</v>
      </c>
      <c r="T151" t="s">
        <v>296</v>
      </c>
      <c r="U151" t="s">
        <v>297</v>
      </c>
      <c r="V151" t="s">
        <v>298</v>
      </c>
      <c r="W151" t="s">
        <v>299</v>
      </c>
      <c r="X151">
        <v>45873</v>
      </c>
      <c r="Y151" t="s">
        <v>845</v>
      </c>
      <c r="Z151" t="s">
        <v>302</v>
      </c>
      <c r="AA151" t="s">
        <v>1278</v>
      </c>
    </row>
    <row r="152" spans="1:27">
      <c r="A152">
        <v>245</v>
      </c>
      <c r="B152" t="s">
        <v>169</v>
      </c>
      <c r="C152" t="s">
        <v>289</v>
      </c>
      <c r="D152" t="s">
        <v>846</v>
      </c>
      <c r="E152" t="s">
        <v>847</v>
      </c>
      <c r="F152" t="s">
        <v>546</v>
      </c>
      <c r="G152" t="s">
        <v>547</v>
      </c>
      <c r="H152" s="5">
        <v>45874</v>
      </c>
      <c r="I152" t="s">
        <v>216</v>
      </c>
      <c r="J152" t="s">
        <v>293</v>
      </c>
      <c r="K152" t="s">
        <v>41</v>
      </c>
      <c r="L152">
        <v>3940400190300</v>
      </c>
      <c r="M152">
        <v>7015224492</v>
      </c>
      <c r="N152" t="s">
        <v>213</v>
      </c>
      <c r="O152" t="s">
        <v>216</v>
      </c>
      <c r="P152" t="s">
        <v>294</v>
      </c>
      <c r="Q152" t="s">
        <v>294</v>
      </c>
      <c r="R152" t="s">
        <v>45</v>
      </c>
      <c r="S152" t="s">
        <v>305</v>
      </c>
      <c r="T152" t="s">
        <v>296</v>
      </c>
      <c r="U152" t="s">
        <v>297</v>
      </c>
      <c r="V152" t="s">
        <v>298</v>
      </c>
      <c r="W152" t="s">
        <v>299</v>
      </c>
      <c r="X152">
        <v>45888</v>
      </c>
      <c r="Y152" t="s">
        <v>848</v>
      </c>
      <c r="Z152" t="s">
        <v>302</v>
      </c>
      <c r="AA152" t="s">
        <v>1276</v>
      </c>
    </row>
    <row r="153" spans="1:27">
      <c r="A153">
        <v>246</v>
      </c>
      <c r="B153" t="s">
        <v>170</v>
      </c>
      <c r="C153" t="s">
        <v>289</v>
      </c>
      <c r="D153" t="s">
        <v>849</v>
      </c>
      <c r="E153" t="s">
        <v>850</v>
      </c>
      <c r="F153" t="s">
        <v>546</v>
      </c>
      <c r="G153" t="s">
        <v>547</v>
      </c>
      <c r="H153" s="5">
        <v>45874</v>
      </c>
      <c r="I153" t="s">
        <v>234</v>
      </c>
      <c r="J153" t="s">
        <v>293</v>
      </c>
      <c r="K153" t="s">
        <v>41</v>
      </c>
      <c r="L153">
        <v>1100200508501</v>
      </c>
      <c r="M153">
        <v>7015264799</v>
      </c>
      <c r="N153" t="s">
        <v>214</v>
      </c>
      <c r="O153" t="s">
        <v>234</v>
      </c>
      <c r="P153" t="s">
        <v>294</v>
      </c>
      <c r="Q153" t="s">
        <v>294</v>
      </c>
      <c r="R153" t="s">
        <v>63</v>
      </c>
      <c r="S153" t="s">
        <v>385</v>
      </c>
      <c r="T153" t="s">
        <v>372</v>
      </c>
      <c r="U153" t="s">
        <v>373</v>
      </c>
      <c r="V153" t="s">
        <v>298</v>
      </c>
      <c r="W153" t="s">
        <v>299</v>
      </c>
      <c r="X153">
        <v>45888</v>
      </c>
      <c r="Y153" t="s">
        <v>851</v>
      </c>
      <c r="Z153" t="s">
        <v>302</v>
      </c>
      <c r="AA153" t="s">
        <v>1294</v>
      </c>
    </row>
    <row r="154" spans="1:27">
      <c r="A154">
        <v>247</v>
      </c>
      <c r="B154" t="s">
        <v>171</v>
      </c>
      <c r="C154" t="s">
        <v>289</v>
      </c>
      <c r="D154" t="s">
        <v>852</v>
      </c>
      <c r="E154" t="s">
        <v>853</v>
      </c>
      <c r="F154" t="s">
        <v>546</v>
      </c>
      <c r="G154" t="s">
        <v>547</v>
      </c>
      <c r="H154" s="5">
        <v>45931</v>
      </c>
      <c r="I154" t="s">
        <v>238</v>
      </c>
      <c r="J154" t="s">
        <v>293</v>
      </c>
      <c r="K154" t="s">
        <v>41</v>
      </c>
      <c r="L154">
        <v>3670101326245</v>
      </c>
      <c r="M154">
        <v>7015344732</v>
      </c>
      <c r="N154" t="s">
        <v>214</v>
      </c>
      <c r="O154" t="s">
        <v>238</v>
      </c>
      <c r="P154" t="s">
        <v>294</v>
      </c>
      <c r="Q154" t="s">
        <v>294</v>
      </c>
      <c r="R154" t="s">
        <v>67</v>
      </c>
      <c r="S154" t="s">
        <v>403</v>
      </c>
      <c r="T154" t="s">
        <v>390</v>
      </c>
      <c r="U154" t="s">
        <v>391</v>
      </c>
      <c r="V154" t="s">
        <v>298</v>
      </c>
      <c r="W154" t="s">
        <v>299</v>
      </c>
      <c r="X154">
        <v>45947</v>
      </c>
      <c r="Y154" t="s">
        <v>854</v>
      </c>
      <c r="Z154" t="s">
        <v>302</v>
      </c>
      <c r="AA154" t="s">
        <v>1298</v>
      </c>
    </row>
    <row r="155" spans="1:27">
      <c r="A155">
        <v>248</v>
      </c>
      <c r="B155" t="s">
        <v>172</v>
      </c>
      <c r="C155" t="s">
        <v>289</v>
      </c>
      <c r="D155" t="s">
        <v>855</v>
      </c>
      <c r="E155" t="s">
        <v>856</v>
      </c>
      <c r="F155" t="s">
        <v>546</v>
      </c>
      <c r="G155" t="s">
        <v>547</v>
      </c>
      <c r="H155" s="5">
        <v>45931</v>
      </c>
      <c r="I155" t="s">
        <v>235</v>
      </c>
      <c r="J155" t="s">
        <v>293</v>
      </c>
      <c r="K155" t="s">
        <v>41</v>
      </c>
      <c r="L155">
        <v>1200100246431</v>
      </c>
      <c r="M155">
        <v>7015337409</v>
      </c>
      <c r="N155" t="s">
        <v>214</v>
      </c>
      <c r="O155" t="s">
        <v>235</v>
      </c>
      <c r="P155" t="s">
        <v>294</v>
      </c>
      <c r="Q155" t="s">
        <v>294</v>
      </c>
      <c r="R155" t="s">
        <v>64</v>
      </c>
      <c r="S155" t="s">
        <v>389</v>
      </c>
      <c r="T155" t="s">
        <v>390</v>
      </c>
      <c r="U155" t="s">
        <v>391</v>
      </c>
      <c r="V155" t="s">
        <v>298</v>
      </c>
      <c r="W155" t="s">
        <v>299</v>
      </c>
      <c r="X155">
        <v>45947</v>
      </c>
      <c r="Y155" t="s">
        <v>857</v>
      </c>
      <c r="Z155" t="s">
        <v>302</v>
      </c>
      <c r="AA155" t="s">
        <v>1295</v>
      </c>
    </row>
    <row r="156" spans="1:27">
      <c r="A156">
        <v>249</v>
      </c>
      <c r="B156" t="s">
        <v>173</v>
      </c>
      <c r="C156" t="s">
        <v>289</v>
      </c>
      <c r="D156" t="s">
        <v>858</v>
      </c>
      <c r="E156" t="s">
        <v>859</v>
      </c>
      <c r="F156" t="s">
        <v>546</v>
      </c>
      <c r="G156" t="s">
        <v>547</v>
      </c>
      <c r="H156" s="5">
        <v>45931</v>
      </c>
      <c r="I156" t="s">
        <v>224</v>
      </c>
      <c r="J156" t="s">
        <v>293</v>
      </c>
      <c r="K156" t="s">
        <v>41</v>
      </c>
      <c r="L156">
        <v>3929900107396</v>
      </c>
      <c r="M156">
        <v>7015328384</v>
      </c>
      <c r="N156" t="s">
        <v>214</v>
      </c>
      <c r="O156" t="s">
        <v>224</v>
      </c>
      <c r="P156" t="s">
        <v>294</v>
      </c>
      <c r="Q156" t="s">
        <v>294</v>
      </c>
      <c r="R156" t="s">
        <v>53</v>
      </c>
      <c r="S156" t="s">
        <v>342</v>
      </c>
      <c r="T156" t="s">
        <v>337</v>
      </c>
      <c r="U156" t="s">
        <v>338</v>
      </c>
      <c r="V156" t="s">
        <v>298</v>
      </c>
      <c r="W156" t="s">
        <v>299</v>
      </c>
      <c r="X156">
        <v>45947</v>
      </c>
      <c r="Y156" t="s">
        <v>860</v>
      </c>
      <c r="Z156" t="s">
        <v>302</v>
      </c>
      <c r="AA156" t="s">
        <v>1284</v>
      </c>
    </row>
    <row r="157" spans="1:27">
      <c r="A157">
        <v>250</v>
      </c>
      <c r="B157" t="s">
        <v>174</v>
      </c>
      <c r="C157" t="s">
        <v>307</v>
      </c>
      <c r="D157" t="s">
        <v>861</v>
      </c>
      <c r="E157" t="s">
        <v>862</v>
      </c>
      <c r="F157" t="s">
        <v>546</v>
      </c>
      <c r="G157" t="s">
        <v>547</v>
      </c>
      <c r="H157" s="5">
        <v>45931</v>
      </c>
      <c r="I157" t="s">
        <v>238</v>
      </c>
      <c r="J157" t="s">
        <v>293</v>
      </c>
      <c r="K157" t="s">
        <v>41</v>
      </c>
      <c r="L157">
        <v>1200100112265</v>
      </c>
      <c r="M157">
        <v>7015342021</v>
      </c>
      <c r="N157" t="s">
        <v>214</v>
      </c>
      <c r="O157" t="s">
        <v>238</v>
      </c>
      <c r="P157" t="s">
        <v>294</v>
      </c>
      <c r="Q157" t="s">
        <v>294</v>
      </c>
      <c r="R157" t="s">
        <v>67</v>
      </c>
      <c r="S157" t="s">
        <v>403</v>
      </c>
      <c r="T157" t="s">
        <v>390</v>
      </c>
      <c r="U157" t="s">
        <v>391</v>
      </c>
      <c r="V157" t="s">
        <v>298</v>
      </c>
      <c r="W157" t="s">
        <v>299</v>
      </c>
      <c r="X157">
        <v>45947</v>
      </c>
      <c r="Y157" t="s">
        <v>863</v>
      </c>
      <c r="Z157" t="s">
        <v>302</v>
      </c>
      <c r="AA157" t="s">
        <v>1298</v>
      </c>
    </row>
    <row r="158" spans="1:27">
      <c r="A158">
        <v>251</v>
      </c>
      <c r="B158" t="s">
        <v>175</v>
      </c>
      <c r="C158" t="s">
        <v>289</v>
      </c>
      <c r="D158" t="s">
        <v>864</v>
      </c>
      <c r="E158" t="s">
        <v>865</v>
      </c>
      <c r="F158" t="s">
        <v>546</v>
      </c>
      <c r="G158" t="s">
        <v>547</v>
      </c>
      <c r="H158" s="5">
        <v>45964</v>
      </c>
      <c r="I158" t="s">
        <v>225</v>
      </c>
      <c r="J158" t="s">
        <v>293</v>
      </c>
      <c r="K158" t="s">
        <v>41</v>
      </c>
      <c r="L158">
        <v>3100902664127</v>
      </c>
      <c r="M158">
        <v>7015404824</v>
      </c>
      <c r="N158" t="s">
        <v>213</v>
      </c>
      <c r="O158" t="s">
        <v>225</v>
      </c>
      <c r="P158" t="s">
        <v>294</v>
      </c>
      <c r="Q158" t="s">
        <v>294</v>
      </c>
      <c r="R158" t="s">
        <v>54</v>
      </c>
      <c r="S158" t="s">
        <v>346</v>
      </c>
      <c r="T158" t="s">
        <v>337</v>
      </c>
      <c r="U158" t="s">
        <v>338</v>
      </c>
      <c r="V158" t="s">
        <v>298</v>
      </c>
      <c r="W158" t="s">
        <v>299</v>
      </c>
      <c r="X158">
        <v>45965</v>
      </c>
      <c r="Y158" t="s">
        <v>866</v>
      </c>
      <c r="Z158" t="s">
        <v>302</v>
      </c>
      <c r="AA158" t="s">
        <v>1285</v>
      </c>
    </row>
    <row r="159" spans="1:27">
      <c r="A159">
        <v>252</v>
      </c>
      <c r="B159" t="s">
        <v>176</v>
      </c>
      <c r="C159" t="s">
        <v>289</v>
      </c>
      <c r="D159" t="s">
        <v>867</v>
      </c>
      <c r="E159" t="s">
        <v>868</v>
      </c>
      <c r="F159" t="s">
        <v>546</v>
      </c>
      <c r="G159" t="s">
        <v>547</v>
      </c>
      <c r="H159" s="5">
        <v>45964</v>
      </c>
      <c r="I159" t="s">
        <v>229</v>
      </c>
      <c r="J159" t="s">
        <v>293</v>
      </c>
      <c r="K159" t="s">
        <v>41</v>
      </c>
      <c r="L159">
        <v>1101100186775</v>
      </c>
      <c r="M159">
        <v>7015448074</v>
      </c>
      <c r="N159" t="s">
        <v>213</v>
      </c>
      <c r="O159" t="s">
        <v>229</v>
      </c>
      <c r="P159" t="s">
        <v>294</v>
      </c>
      <c r="Q159" t="s">
        <v>294</v>
      </c>
      <c r="R159" t="s">
        <v>58</v>
      </c>
      <c r="S159" t="s">
        <v>363</v>
      </c>
      <c r="T159" t="s">
        <v>355</v>
      </c>
      <c r="U159" t="s">
        <v>356</v>
      </c>
      <c r="V159" t="s">
        <v>298</v>
      </c>
      <c r="W159" t="s">
        <v>299</v>
      </c>
      <c r="X159">
        <v>45965</v>
      </c>
      <c r="Y159" t="s">
        <v>869</v>
      </c>
      <c r="Z159" t="s">
        <v>302</v>
      </c>
      <c r="AA159" t="s">
        <v>1289</v>
      </c>
    </row>
    <row r="160" spans="1:27">
      <c r="A160">
        <v>253</v>
      </c>
      <c r="B160" t="s">
        <v>177</v>
      </c>
      <c r="C160" t="s">
        <v>289</v>
      </c>
      <c r="D160" t="s">
        <v>870</v>
      </c>
      <c r="E160" t="s">
        <v>871</v>
      </c>
      <c r="F160" t="s">
        <v>546</v>
      </c>
      <c r="G160" t="s">
        <v>547</v>
      </c>
      <c r="H160" s="5">
        <v>45965</v>
      </c>
      <c r="I160" t="s">
        <v>236</v>
      </c>
      <c r="J160" t="s">
        <v>293</v>
      </c>
      <c r="K160" t="s">
        <v>41</v>
      </c>
      <c r="L160">
        <v>3710500572273</v>
      </c>
      <c r="M160">
        <v>7015338818</v>
      </c>
      <c r="N160" t="s">
        <v>214</v>
      </c>
      <c r="O160" t="s">
        <v>236</v>
      </c>
      <c r="P160" t="s">
        <v>294</v>
      </c>
      <c r="Q160" t="s">
        <v>294</v>
      </c>
      <c r="R160" t="s">
        <v>65</v>
      </c>
      <c r="S160" t="s">
        <v>395</v>
      </c>
      <c r="T160" t="s">
        <v>390</v>
      </c>
      <c r="U160" t="s">
        <v>391</v>
      </c>
      <c r="V160" t="s">
        <v>298</v>
      </c>
      <c r="W160" t="s">
        <v>299</v>
      </c>
      <c r="X160">
        <v>45993</v>
      </c>
      <c r="Y160" t="s">
        <v>872</v>
      </c>
      <c r="Z160" t="s">
        <v>302</v>
      </c>
      <c r="AA160" t="s">
        <v>1296</v>
      </c>
    </row>
    <row r="161" spans="1:27">
      <c r="A161">
        <v>254</v>
      </c>
      <c r="B161" t="s">
        <v>178</v>
      </c>
      <c r="C161" t="s">
        <v>289</v>
      </c>
      <c r="D161" t="s">
        <v>873</v>
      </c>
      <c r="E161" t="s">
        <v>874</v>
      </c>
      <c r="F161" t="s">
        <v>546</v>
      </c>
      <c r="G161" t="s">
        <v>547</v>
      </c>
      <c r="H161" s="5">
        <v>45965</v>
      </c>
      <c r="I161" t="s">
        <v>236</v>
      </c>
      <c r="J161" t="s">
        <v>293</v>
      </c>
      <c r="K161" t="s">
        <v>41</v>
      </c>
      <c r="L161">
        <v>3760500480344</v>
      </c>
      <c r="M161">
        <v>7015384491</v>
      </c>
      <c r="N161" t="s">
        <v>214</v>
      </c>
      <c r="O161" t="s">
        <v>236</v>
      </c>
      <c r="P161" t="s">
        <v>294</v>
      </c>
      <c r="Q161" t="s">
        <v>294</v>
      </c>
      <c r="R161" t="s">
        <v>65</v>
      </c>
      <c r="S161" t="s">
        <v>395</v>
      </c>
      <c r="T161" t="s">
        <v>390</v>
      </c>
      <c r="U161" t="s">
        <v>391</v>
      </c>
      <c r="V161" t="s">
        <v>298</v>
      </c>
      <c r="W161" t="s">
        <v>299</v>
      </c>
      <c r="X161">
        <v>45993</v>
      </c>
      <c r="Y161" t="s">
        <v>875</v>
      </c>
      <c r="Z161" t="s">
        <v>302</v>
      </c>
      <c r="AA161" t="s">
        <v>1296</v>
      </c>
    </row>
    <row r="162" spans="1:27">
      <c r="A162">
        <v>255</v>
      </c>
      <c r="B162" t="s">
        <v>179</v>
      </c>
      <c r="C162" t="s">
        <v>307</v>
      </c>
      <c r="D162" t="s">
        <v>876</v>
      </c>
      <c r="E162" t="s">
        <v>877</v>
      </c>
      <c r="F162" t="s">
        <v>546</v>
      </c>
      <c r="G162" t="s">
        <v>547</v>
      </c>
      <c r="H162" s="5">
        <v>45992</v>
      </c>
      <c r="I162" t="s">
        <v>234</v>
      </c>
      <c r="J162" t="s">
        <v>293</v>
      </c>
      <c r="K162" t="s">
        <v>41</v>
      </c>
      <c r="L162">
        <v>1520600042778</v>
      </c>
      <c r="M162">
        <v>7012014114</v>
      </c>
      <c r="N162" t="s">
        <v>214</v>
      </c>
      <c r="O162" t="s">
        <v>234</v>
      </c>
      <c r="P162" t="s">
        <v>294</v>
      </c>
      <c r="Q162" t="s">
        <v>294</v>
      </c>
      <c r="R162" t="s">
        <v>63</v>
      </c>
      <c r="S162" t="s">
        <v>385</v>
      </c>
      <c r="T162" t="s">
        <v>372</v>
      </c>
      <c r="U162" t="s">
        <v>373</v>
      </c>
      <c r="V162" t="s">
        <v>298</v>
      </c>
      <c r="W162" t="s">
        <v>299</v>
      </c>
      <c r="X162">
        <v>45993</v>
      </c>
      <c r="Y162" t="s">
        <v>878</v>
      </c>
      <c r="Z162" t="s">
        <v>302</v>
      </c>
      <c r="AA162" t="s">
        <v>1294</v>
      </c>
    </row>
    <row r="163" spans="1:27">
      <c r="A163">
        <v>256</v>
      </c>
      <c r="B163" t="s">
        <v>180</v>
      </c>
      <c r="C163" t="s">
        <v>307</v>
      </c>
      <c r="D163" t="s">
        <v>879</v>
      </c>
      <c r="E163" t="s">
        <v>880</v>
      </c>
      <c r="F163" t="s">
        <v>743</v>
      </c>
      <c r="G163" t="s">
        <v>547</v>
      </c>
      <c r="H163" s="5">
        <v>45993</v>
      </c>
      <c r="I163" t="s">
        <v>230</v>
      </c>
      <c r="J163" t="s">
        <v>293</v>
      </c>
      <c r="K163" t="s">
        <v>41</v>
      </c>
      <c r="L163">
        <v>1329900759074</v>
      </c>
      <c r="M163">
        <v>7013546178</v>
      </c>
      <c r="N163" t="s">
        <v>213</v>
      </c>
      <c r="O163" t="s">
        <v>230</v>
      </c>
      <c r="P163" t="s">
        <v>294</v>
      </c>
      <c r="Q163" t="s">
        <v>294</v>
      </c>
      <c r="R163" t="s">
        <v>59</v>
      </c>
      <c r="S163" t="s">
        <v>367</v>
      </c>
      <c r="T163" t="s">
        <v>355</v>
      </c>
      <c r="U163" t="s">
        <v>356</v>
      </c>
      <c r="V163" t="s">
        <v>298</v>
      </c>
      <c r="W163" t="s">
        <v>299</v>
      </c>
      <c r="X163">
        <v>46008</v>
      </c>
      <c r="Y163" t="s">
        <v>881</v>
      </c>
      <c r="Z163" t="s">
        <v>302</v>
      </c>
      <c r="AA163" t="s">
        <v>1290</v>
      </c>
    </row>
    <row r="164" spans="1:27">
      <c r="A164">
        <v>257</v>
      </c>
      <c r="B164" t="s">
        <v>181</v>
      </c>
      <c r="C164" t="s">
        <v>307</v>
      </c>
      <c r="D164" t="s">
        <v>882</v>
      </c>
      <c r="E164" t="s">
        <v>883</v>
      </c>
      <c r="F164" t="s">
        <v>743</v>
      </c>
      <c r="G164" t="s">
        <v>547</v>
      </c>
      <c r="H164" s="5">
        <v>45992</v>
      </c>
      <c r="I164" t="s">
        <v>235</v>
      </c>
      <c r="J164" t="s">
        <v>293</v>
      </c>
      <c r="K164" t="s">
        <v>41</v>
      </c>
      <c r="L164">
        <v>1100400132157</v>
      </c>
      <c r="M164">
        <v>7015492041</v>
      </c>
      <c r="N164" t="s">
        <v>214</v>
      </c>
      <c r="O164" t="s">
        <v>235</v>
      </c>
      <c r="P164" t="s">
        <v>294</v>
      </c>
      <c r="Q164" t="s">
        <v>294</v>
      </c>
      <c r="R164" t="s">
        <v>64</v>
      </c>
      <c r="S164" t="s">
        <v>389</v>
      </c>
      <c r="T164" t="s">
        <v>390</v>
      </c>
      <c r="U164" t="s">
        <v>391</v>
      </c>
      <c r="V164" t="s">
        <v>298</v>
      </c>
      <c r="W164" t="s">
        <v>299</v>
      </c>
      <c r="X164">
        <v>46008</v>
      </c>
      <c r="Y164" t="s">
        <v>884</v>
      </c>
      <c r="Z164" t="s">
        <v>302</v>
      </c>
      <c r="AA164" t="s">
        <v>1295</v>
      </c>
    </row>
    <row r="165" spans="1:27">
      <c r="A165">
        <v>259</v>
      </c>
      <c r="B165" t="s">
        <v>182</v>
      </c>
      <c r="C165" t="s">
        <v>289</v>
      </c>
      <c r="D165" t="s">
        <v>885</v>
      </c>
      <c r="E165" t="s">
        <v>886</v>
      </c>
      <c r="F165" t="s">
        <v>546</v>
      </c>
      <c r="G165" t="s">
        <v>547</v>
      </c>
      <c r="H165" s="5">
        <v>46028</v>
      </c>
      <c r="I165" t="s">
        <v>227</v>
      </c>
      <c r="J165" t="s">
        <v>293</v>
      </c>
      <c r="K165" t="s">
        <v>41</v>
      </c>
      <c r="L165">
        <v>8500776002059</v>
      </c>
      <c r="M165">
        <v>7015645132</v>
      </c>
      <c r="N165" t="s">
        <v>214</v>
      </c>
      <c r="O165" t="s">
        <v>227</v>
      </c>
      <c r="P165" t="s">
        <v>294</v>
      </c>
      <c r="Q165" t="s">
        <v>294</v>
      </c>
      <c r="R165" t="s">
        <v>56</v>
      </c>
      <c r="S165" t="s">
        <v>354</v>
      </c>
      <c r="T165" t="s">
        <v>355</v>
      </c>
      <c r="U165" t="s">
        <v>356</v>
      </c>
      <c r="V165" t="s">
        <v>298</v>
      </c>
      <c r="W165" t="s">
        <v>299</v>
      </c>
      <c r="X165">
        <v>46041</v>
      </c>
      <c r="Y165" t="s">
        <v>887</v>
      </c>
      <c r="Z165" t="s">
        <v>302</v>
      </c>
      <c r="AA165" t="s">
        <v>1287</v>
      </c>
    </row>
    <row r="166" spans="1:27">
      <c r="A166">
        <v>262</v>
      </c>
      <c r="B166" t="s">
        <v>183</v>
      </c>
      <c r="C166" t="s">
        <v>289</v>
      </c>
      <c r="D166" t="s">
        <v>888</v>
      </c>
      <c r="E166" t="s">
        <v>889</v>
      </c>
      <c r="F166" t="s">
        <v>546</v>
      </c>
      <c r="G166" t="s">
        <v>547</v>
      </c>
      <c r="H166" s="5">
        <v>46056</v>
      </c>
      <c r="I166" t="s">
        <v>226</v>
      </c>
      <c r="J166" t="s">
        <v>293</v>
      </c>
      <c r="K166" t="s">
        <v>41</v>
      </c>
      <c r="L166">
        <v>3969900182215</v>
      </c>
      <c r="M166">
        <v>7004427869</v>
      </c>
      <c r="N166" t="s">
        <v>213</v>
      </c>
      <c r="O166" t="s">
        <v>226</v>
      </c>
      <c r="P166" t="s">
        <v>294</v>
      </c>
      <c r="Q166" t="s">
        <v>294</v>
      </c>
      <c r="R166" t="s">
        <v>55</v>
      </c>
      <c r="S166" t="s">
        <v>350</v>
      </c>
      <c r="T166" t="s">
        <v>337</v>
      </c>
      <c r="U166" t="s">
        <v>338</v>
      </c>
      <c r="V166" t="s">
        <v>298</v>
      </c>
      <c r="W166" t="s">
        <v>299</v>
      </c>
      <c r="X166">
        <v>46070</v>
      </c>
      <c r="Y166" t="s">
        <v>890</v>
      </c>
      <c r="Z166" t="s">
        <v>302</v>
      </c>
      <c r="AA166" t="s">
        <v>1286</v>
      </c>
    </row>
    <row r="167" spans="1:27">
      <c r="A167">
        <v>263</v>
      </c>
      <c r="B167" t="s">
        <v>184</v>
      </c>
      <c r="C167" t="s">
        <v>289</v>
      </c>
      <c r="D167" t="s">
        <v>891</v>
      </c>
      <c r="E167" t="s">
        <v>892</v>
      </c>
      <c r="F167" t="s">
        <v>546</v>
      </c>
      <c r="G167" t="s">
        <v>547</v>
      </c>
      <c r="H167" s="5">
        <v>46083</v>
      </c>
      <c r="I167" t="s">
        <v>219</v>
      </c>
      <c r="J167" t="s">
        <v>293</v>
      </c>
      <c r="K167" t="s">
        <v>41</v>
      </c>
      <c r="L167">
        <v>1160400202392</v>
      </c>
      <c r="M167">
        <v>7015649516</v>
      </c>
      <c r="N167" t="s">
        <v>213</v>
      </c>
      <c r="O167" t="s">
        <v>219</v>
      </c>
      <c r="P167" t="s">
        <v>294</v>
      </c>
      <c r="Q167" t="s">
        <v>294</v>
      </c>
      <c r="R167" t="s">
        <v>48</v>
      </c>
      <c r="S167" t="s">
        <v>318</v>
      </c>
      <c r="T167" t="s">
        <v>319</v>
      </c>
      <c r="U167" t="s">
        <v>320</v>
      </c>
      <c r="V167" t="s">
        <v>298</v>
      </c>
      <c r="W167" t="s">
        <v>299</v>
      </c>
      <c r="X167">
        <v>46085</v>
      </c>
      <c r="Y167" t="s">
        <v>893</v>
      </c>
      <c r="Z167" t="s">
        <v>302</v>
      </c>
      <c r="AA167" t="s">
        <v>1279</v>
      </c>
    </row>
    <row r="168" spans="1:27">
      <c r="A168">
        <v>264</v>
      </c>
      <c r="B168" t="s">
        <v>185</v>
      </c>
      <c r="C168" t="s">
        <v>289</v>
      </c>
      <c r="D168" t="s">
        <v>894</v>
      </c>
      <c r="E168" t="s">
        <v>895</v>
      </c>
      <c r="F168" t="s">
        <v>546</v>
      </c>
      <c r="G168" t="s">
        <v>547</v>
      </c>
      <c r="H168" s="5">
        <v>46085</v>
      </c>
      <c r="I168" t="s">
        <v>222</v>
      </c>
      <c r="J168" t="s">
        <v>293</v>
      </c>
      <c r="K168" t="s">
        <v>41</v>
      </c>
      <c r="L168">
        <v>1461200011401</v>
      </c>
      <c r="M168">
        <v>7015659438</v>
      </c>
      <c r="N168" t="s">
        <v>213</v>
      </c>
      <c r="O168" t="s">
        <v>222</v>
      </c>
      <c r="P168" t="s">
        <v>294</v>
      </c>
      <c r="Q168" t="s">
        <v>294</v>
      </c>
      <c r="R168" t="s">
        <v>51</v>
      </c>
      <c r="S168" t="s">
        <v>332</v>
      </c>
      <c r="T168" t="s">
        <v>319</v>
      </c>
      <c r="U168" t="s">
        <v>320</v>
      </c>
      <c r="V168" t="s">
        <v>298</v>
      </c>
      <c r="W168" t="s">
        <v>299</v>
      </c>
      <c r="X168">
        <v>46098</v>
      </c>
      <c r="Y168" t="s">
        <v>896</v>
      </c>
      <c r="Z168" t="s">
        <v>302</v>
      </c>
      <c r="AA168" t="s">
        <v>1282</v>
      </c>
    </row>
    <row r="169" spans="1:27">
      <c r="A169">
        <v>267</v>
      </c>
      <c r="B169" t="s">
        <v>186</v>
      </c>
      <c r="C169" t="s">
        <v>307</v>
      </c>
      <c r="D169" t="s">
        <v>897</v>
      </c>
      <c r="E169" t="s">
        <v>898</v>
      </c>
      <c r="F169" t="s">
        <v>546</v>
      </c>
      <c r="G169" t="s">
        <v>547</v>
      </c>
      <c r="H169" s="5">
        <v>46113</v>
      </c>
      <c r="I169" t="s">
        <v>225</v>
      </c>
      <c r="J169" t="s">
        <v>293</v>
      </c>
      <c r="K169" t="s">
        <v>41</v>
      </c>
      <c r="L169">
        <v>3100601410479</v>
      </c>
      <c r="M169">
        <v>7015649497</v>
      </c>
      <c r="N169" t="s">
        <v>213</v>
      </c>
      <c r="O169" t="s">
        <v>225</v>
      </c>
      <c r="P169" t="s">
        <v>294</v>
      </c>
      <c r="Q169" t="s">
        <v>294</v>
      </c>
      <c r="R169" t="s">
        <v>54</v>
      </c>
      <c r="S169" t="s">
        <v>346</v>
      </c>
      <c r="T169" t="s">
        <v>337</v>
      </c>
      <c r="U169" t="s">
        <v>338</v>
      </c>
      <c r="V169" t="s">
        <v>298</v>
      </c>
      <c r="W169" t="s">
        <v>299</v>
      </c>
      <c r="X169">
        <v>46114</v>
      </c>
      <c r="Y169" t="s">
        <v>899</v>
      </c>
      <c r="Z169" t="s">
        <v>302</v>
      </c>
      <c r="AA169" t="s">
        <v>1285</v>
      </c>
    </row>
    <row r="170" spans="1:27">
      <c r="A170">
        <v>272</v>
      </c>
      <c r="B170" t="s">
        <v>187</v>
      </c>
      <c r="C170" t="s">
        <v>289</v>
      </c>
      <c r="D170" t="s">
        <v>900</v>
      </c>
      <c r="E170" t="s">
        <v>901</v>
      </c>
      <c r="F170" t="s">
        <v>546</v>
      </c>
      <c r="G170" t="s">
        <v>547</v>
      </c>
      <c r="H170" s="5">
        <v>46113</v>
      </c>
      <c r="I170" t="s">
        <v>228</v>
      </c>
      <c r="J170" t="s">
        <v>293</v>
      </c>
      <c r="K170" t="s">
        <v>41</v>
      </c>
      <c r="L170">
        <v>1501700072017</v>
      </c>
      <c r="M170">
        <v>7015674958</v>
      </c>
      <c r="N170" t="s">
        <v>214</v>
      </c>
      <c r="O170" t="s">
        <v>228</v>
      </c>
      <c r="P170" t="s">
        <v>294</v>
      </c>
      <c r="Q170" t="s">
        <v>294</v>
      </c>
      <c r="R170" t="s">
        <v>57</v>
      </c>
      <c r="S170" t="s">
        <v>360</v>
      </c>
      <c r="T170" t="s">
        <v>355</v>
      </c>
      <c r="U170" t="s">
        <v>356</v>
      </c>
      <c r="V170" t="s">
        <v>298</v>
      </c>
      <c r="W170" t="s">
        <v>299</v>
      </c>
      <c r="X170">
        <v>46129</v>
      </c>
      <c r="Y170" t="s">
        <v>902</v>
      </c>
      <c r="Z170" t="s">
        <v>302</v>
      </c>
      <c r="AA170" t="s">
        <v>1288</v>
      </c>
    </row>
    <row r="171" spans="1:27">
      <c r="A171">
        <v>273</v>
      </c>
      <c r="B171" t="s">
        <v>188</v>
      </c>
      <c r="C171" t="s">
        <v>289</v>
      </c>
      <c r="D171" t="s">
        <v>903</v>
      </c>
      <c r="E171" t="s">
        <v>904</v>
      </c>
      <c r="F171" t="s">
        <v>546</v>
      </c>
      <c r="G171" t="s">
        <v>547</v>
      </c>
      <c r="H171" s="5">
        <v>46113</v>
      </c>
      <c r="I171" t="s">
        <v>228</v>
      </c>
      <c r="J171" t="s">
        <v>293</v>
      </c>
      <c r="K171" t="s">
        <v>41</v>
      </c>
      <c r="L171">
        <v>3509900112563</v>
      </c>
      <c r="M171">
        <v>7015715734</v>
      </c>
      <c r="N171" t="s">
        <v>214</v>
      </c>
      <c r="O171" t="s">
        <v>228</v>
      </c>
      <c r="P171" t="s">
        <v>294</v>
      </c>
      <c r="Q171" t="s">
        <v>294</v>
      </c>
      <c r="R171" t="s">
        <v>57</v>
      </c>
      <c r="S171" t="s">
        <v>360</v>
      </c>
      <c r="T171" t="s">
        <v>355</v>
      </c>
      <c r="U171" t="s">
        <v>356</v>
      </c>
      <c r="V171" t="s">
        <v>298</v>
      </c>
      <c r="W171" t="s">
        <v>299</v>
      </c>
      <c r="X171">
        <v>46129</v>
      </c>
      <c r="Y171" t="s">
        <v>905</v>
      </c>
      <c r="Z171" t="s">
        <v>302</v>
      </c>
      <c r="AA171" t="s">
        <v>1288</v>
      </c>
    </row>
    <row r="172" spans="1:27">
      <c r="A172">
        <v>274</v>
      </c>
      <c r="B172" t="s">
        <v>189</v>
      </c>
      <c r="C172" t="s">
        <v>509</v>
      </c>
      <c r="D172" t="s">
        <v>906</v>
      </c>
      <c r="E172" t="s">
        <v>907</v>
      </c>
      <c r="F172" t="s">
        <v>546</v>
      </c>
      <c r="G172" t="s">
        <v>547</v>
      </c>
      <c r="H172" s="5">
        <v>46119</v>
      </c>
      <c r="I172" t="s">
        <v>216</v>
      </c>
      <c r="J172" t="s">
        <v>293</v>
      </c>
      <c r="K172" t="s">
        <v>41</v>
      </c>
      <c r="L172">
        <v>3102201490213</v>
      </c>
      <c r="M172">
        <v>7015665483</v>
      </c>
      <c r="N172" t="s">
        <v>213</v>
      </c>
      <c r="O172" t="s">
        <v>216</v>
      </c>
      <c r="P172" t="s">
        <v>294</v>
      </c>
      <c r="Q172" t="s">
        <v>294</v>
      </c>
      <c r="R172" t="s">
        <v>45</v>
      </c>
      <c r="S172" t="s">
        <v>305</v>
      </c>
      <c r="T172" t="s">
        <v>296</v>
      </c>
      <c r="U172" t="s">
        <v>297</v>
      </c>
      <c r="V172" t="s">
        <v>298</v>
      </c>
      <c r="W172" t="s">
        <v>299</v>
      </c>
      <c r="X172">
        <v>46129</v>
      </c>
      <c r="Y172" t="s">
        <v>908</v>
      </c>
      <c r="Z172" t="s">
        <v>302</v>
      </c>
      <c r="AA172" t="s">
        <v>1276</v>
      </c>
    </row>
    <row r="173" spans="1:27">
      <c r="A173">
        <v>275</v>
      </c>
      <c r="B173" t="s">
        <v>190</v>
      </c>
      <c r="C173" t="s">
        <v>289</v>
      </c>
      <c r="D173" t="s">
        <v>909</v>
      </c>
      <c r="E173" t="s">
        <v>910</v>
      </c>
      <c r="F173" t="s">
        <v>546</v>
      </c>
      <c r="G173" t="s">
        <v>547</v>
      </c>
      <c r="H173" s="5">
        <v>46119</v>
      </c>
      <c r="I173" t="s">
        <v>222</v>
      </c>
      <c r="J173" t="s">
        <v>293</v>
      </c>
      <c r="K173" t="s">
        <v>41</v>
      </c>
      <c r="L173">
        <v>3100602805370</v>
      </c>
      <c r="M173">
        <v>7015698914</v>
      </c>
      <c r="N173" t="s">
        <v>213</v>
      </c>
      <c r="O173" t="s">
        <v>222</v>
      </c>
      <c r="P173" t="s">
        <v>294</v>
      </c>
      <c r="Q173" t="s">
        <v>294</v>
      </c>
      <c r="R173" t="s">
        <v>51</v>
      </c>
      <c r="S173" t="s">
        <v>332</v>
      </c>
      <c r="T173" t="s">
        <v>319</v>
      </c>
      <c r="U173" t="s">
        <v>320</v>
      </c>
      <c r="V173" t="s">
        <v>298</v>
      </c>
      <c r="W173" t="s">
        <v>299</v>
      </c>
      <c r="X173">
        <v>46129</v>
      </c>
      <c r="Y173" t="s">
        <v>911</v>
      </c>
      <c r="Z173" t="s">
        <v>302</v>
      </c>
      <c r="AA173" t="s">
        <v>1282</v>
      </c>
    </row>
    <row r="174" spans="1:27">
      <c r="A174">
        <v>276</v>
      </c>
      <c r="B174" t="s">
        <v>191</v>
      </c>
      <c r="C174" t="s">
        <v>307</v>
      </c>
      <c r="D174" t="s">
        <v>912</v>
      </c>
      <c r="E174" t="s">
        <v>913</v>
      </c>
      <c r="F174" t="s">
        <v>546</v>
      </c>
      <c r="G174" t="s">
        <v>547</v>
      </c>
      <c r="H174" s="5">
        <v>46119</v>
      </c>
      <c r="I174" t="s">
        <v>230</v>
      </c>
      <c r="J174" t="s">
        <v>293</v>
      </c>
      <c r="K174" t="s">
        <v>41</v>
      </c>
      <c r="L174">
        <v>3101401267304</v>
      </c>
      <c r="M174">
        <v>7015747925</v>
      </c>
      <c r="N174" t="s">
        <v>213</v>
      </c>
      <c r="O174" t="s">
        <v>230</v>
      </c>
      <c r="P174" t="s">
        <v>294</v>
      </c>
      <c r="Q174" t="s">
        <v>294</v>
      </c>
      <c r="R174" t="s">
        <v>59</v>
      </c>
      <c r="S174" t="s">
        <v>367</v>
      </c>
      <c r="T174" t="s">
        <v>355</v>
      </c>
      <c r="U174" t="s">
        <v>356</v>
      </c>
      <c r="V174" t="s">
        <v>298</v>
      </c>
      <c r="W174" t="s">
        <v>299</v>
      </c>
      <c r="X174">
        <v>46129</v>
      </c>
      <c r="Y174" t="s">
        <v>914</v>
      </c>
      <c r="Z174" t="s">
        <v>302</v>
      </c>
      <c r="AA174" t="s">
        <v>1290</v>
      </c>
    </row>
    <row r="175" spans="1:27">
      <c r="A175">
        <v>277</v>
      </c>
      <c r="B175" t="s">
        <v>192</v>
      </c>
      <c r="C175" t="s">
        <v>289</v>
      </c>
      <c r="D175" t="s">
        <v>915</v>
      </c>
      <c r="E175" t="s">
        <v>916</v>
      </c>
      <c r="F175" t="s">
        <v>546</v>
      </c>
      <c r="G175" t="s">
        <v>547</v>
      </c>
      <c r="H175" s="5">
        <v>46113</v>
      </c>
      <c r="I175" t="s">
        <v>238</v>
      </c>
      <c r="J175" t="s">
        <v>293</v>
      </c>
      <c r="K175" t="s">
        <v>41</v>
      </c>
      <c r="L175">
        <v>3100504133393</v>
      </c>
      <c r="M175">
        <v>7015688630</v>
      </c>
      <c r="N175" t="s">
        <v>214</v>
      </c>
      <c r="O175" t="s">
        <v>238</v>
      </c>
      <c r="P175" t="s">
        <v>294</v>
      </c>
      <c r="Q175" t="s">
        <v>294</v>
      </c>
      <c r="R175" t="s">
        <v>67</v>
      </c>
      <c r="S175" t="s">
        <v>403</v>
      </c>
      <c r="T175" t="s">
        <v>390</v>
      </c>
      <c r="U175" t="s">
        <v>391</v>
      </c>
      <c r="V175" t="s">
        <v>298</v>
      </c>
      <c r="W175" t="s">
        <v>299</v>
      </c>
      <c r="X175">
        <v>46129</v>
      </c>
      <c r="Y175" t="s">
        <v>917</v>
      </c>
      <c r="Z175" t="s">
        <v>302</v>
      </c>
      <c r="AA175" t="s">
        <v>1298</v>
      </c>
    </row>
    <row r="176" spans="1:27">
      <c r="A176">
        <v>278</v>
      </c>
      <c r="B176" t="s">
        <v>193</v>
      </c>
      <c r="C176" t="s">
        <v>289</v>
      </c>
      <c r="D176" t="s">
        <v>918</v>
      </c>
      <c r="E176" t="s">
        <v>919</v>
      </c>
      <c r="F176" t="s">
        <v>546</v>
      </c>
      <c r="G176" t="s">
        <v>547</v>
      </c>
      <c r="H176" s="5">
        <v>46119</v>
      </c>
      <c r="I176" t="s">
        <v>228</v>
      </c>
      <c r="J176" t="s">
        <v>293</v>
      </c>
      <c r="K176" t="s">
        <v>41</v>
      </c>
      <c r="L176">
        <v>1639800201800</v>
      </c>
      <c r="M176">
        <v>7015681362</v>
      </c>
      <c r="N176" t="s">
        <v>214</v>
      </c>
      <c r="O176" t="s">
        <v>228</v>
      </c>
      <c r="P176" t="s">
        <v>294</v>
      </c>
      <c r="Q176" t="s">
        <v>294</v>
      </c>
      <c r="R176" t="s">
        <v>57</v>
      </c>
      <c r="S176" t="s">
        <v>360</v>
      </c>
      <c r="T176" t="s">
        <v>355</v>
      </c>
      <c r="U176" t="s">
        <v>356</v>
      </c>
      <c r="V176" t="s">
        <v>298</v>
      </c>
      <c r="W176" t="s">
        <v>299</v>
      </c>
      <c r="X176">
        <v>46148</v>
      </c>
      <c r="Y176" t="s">
        <v>920</v>
      </c>
      <c r="Z176" t="s">
        <v>302</v>
      </c>
      <c r="AA176" t="s">
        <v>1288</v>
      </c>
    </row>
    <row r="177" spans="1:27">
      <c r="A177">
        <v>286</v>
      </c>
      <c r="B177" t="s">
        <v>194</v>
      </c>
      <c r="C177" t="s">
        <v>289</v>
      </c>
      <c r="D177" t="s">
        <v>921</v>
      </c>
      <c r="E177" t="s">
        <v>922</v>
      </c>
      <c r="F177" t="s">
        <v>546</v>
      </c>
      <c r="G177" t="s">
        <v>547</v>
      </c>
      <c r="H177" s="5">
        <v>46147</v>
      </c>
      <c r="I177" t="s">
        <v>238</v>
      </c>
      <c r="J177" t="s">
        <v>293</v>
      </c>
      <c r="K177" t="s">
        <v>41</v>
      </c>
      <c r="L177">
        <v>1200600097761</v>
      </c>
      <c r="M177">
        <v>7015793065</v>
      </c>
      <c r="N177" t="s">
        <v>214</v>
      </c>
      <c r="O177" t="s">
        <v>238</v>
      </c>
      <c r="P177" t="s">
        <v>294</v>
      </c>
      <c r="Q177" t="s">
        <v>294</v>
      </c>
      <c r="R177" t="s">
        <v>67</v>
      </c>
      <c r="S177" t="s">
        <v>403</v>
      </c>
      <c r="T177" t="s">
        <v>390</v>
      </c>
      <c r="U177" t="s">
        <v>391</v>
      </c>
      <c r="V177" t="s">
        <v>298</v>
      </c>
      <c r="W177" t="s">
        <v>299</v>
      </c>
      <c r="X177">
        <v>46160</v>
      </c>
      <c r="Y177" t="s">
        <v>923</v>
      </c>
      <c r="Z177" t="s">
        <v>302</v>
      </c>
      <c r="AA177" t="s">
        <v>1298</v>
      </c>
    </row>
    <row r="178" spans="1:27">
      <c r="A178">
        <v>287</v>
      </c>
      <c r="B178" t="s">
        <v>195</v>
      </c>
      <c r="C178" t="s">
        <v>289</v>
      </c>
      <c r="D178" t="s">
        <v>924</v>
      </c>
      <c r="E178" t="s">
        <v>925</v>
      </c>
      <c r="F178" t="s">
        <v>546</v>
      </c>
      <c r="G178" t="s">
        <v>547</v>
      </c>
      <c r="H178" s="5">
        <v>46147</v>
      </c>
      <c r="I178" t="s">
        <v>237</v>
      </c>
      <c r="J178" t="s">
        <v>293</v>
      </c>
      <c r="K178" t="s">
        <v>41</v>
      </c>
      <c r="L178">
        <v>3340100274333</v>
      </c>
      <c r="M178">
        <v>7015099589</v>
      </c>
      <c r="N178" t="s">
        <v>214</v>
      </c>
      <c r="O178" t="s">
        <v>237</v>
      </c>
      <c r="P178" t="s">
        <v>294</v>
      </c>
      <c r="Q178" t="s">
        <v>294</v>
      </c>
      <c r="R178" t="s">
        <v>66</v>
      </c>
      <c r="S178" t="s">
        <v>399</v>
      </c>
      <c r="T178" t="s">
        <v>390</v>
      </c>
      <c r="U178" t="s">
        <v>391</v>
      </c>
      <c r="V178" t="s">
        <v>298</v>
      </c>
      <c r="W178" t="s">
        <v>299</v>
      </c>
      <c r="X178">
        <v>46160</v>
      </c>
      <c r="Y178" t="s">
        <v>926</v>
      </c>
      <c r="Z178" t="s">
        <v>302</v>
      </c>
      <c r="AA178" t="s">
        <v>1297</v>
      </c>
    </row>
    <row r="179" spans="1:27">
      <c r="A179">
        <v>294</v>
      </c>
      <c r="B179" t="s">
        <v>196</v>
      </c>
      <c r="C179" t="s">
        <v>307</v>
      </c>
      <c r="D179" t="s">
        <v>927</v>
      </c>
      <c r="E179" t="s">
        <v>928</v>
      </c>
      <c r="F179" t="s">
        <v>546</v>
      </c>
      <c r="G179" t="s">
        <v>929</v>
      </c>
      <c r="H179" s="5">
        <v>46175</v>
      </c>
      <c r="I179" t="s">
        <v>216</v>
      </c>
      <c r="J179" t="s">
        <v>293</v>
      </c>
      <c r="K179" t="s">
        <v>41</v>
      </c>
      <c r="L179">
        <v>1103702906468</v>
      </c>
      <c r="M179">
        <v>7015754953</v>
      </c>
      <c r="N179" t="s">
        <v>213</v>
      </c>
      <c r="O179" t="s">
        <v>216</v>
      </c>
      <c r="P179" t="s">
        <v>294</v>
      </c>
      <c r="Q179" t="s">
        <v>294</v>
      </c>
      <c r="R179" t="s">
        <v>45</v>
      </c>
      <c r="S179" t="s">
        <v>305</v>
      </c>
      <c r="T179" t="s">
        <v>296</v>
      </c>
      <c r="U179" t="s">
        <v>297</v>
      </c>
      <c r="V179" t="s">
        <v>298</v>
      </c>
      <c r="W179" t="s">
        <v>299</v>
      </c>
      <c r="X179">
        <v>46177</v>
      </c>
      <c r="Y179" t="s">
        <v>930</v>
      </c>
      <c r="Z179" t="s">
        <v>302</v>
      </c>
      <c r="AA179" t="s">
        <v>1276</v>
      </c>
    </row>
    <row r="180" spans="1:27">
      <c r="A180">
        <v>295</v>
      </c>
      <c r="B180" t="s">
        <v>197</v>
      </c>
      <c r="C180" t="s">
        <v>289</v>
      </c>
      <c r="D180" t="s">
        <v>931</v>
      </c>
      <c r="E180" t="s">
        <v>932</v>
      </c>
      <c r="F180" t="s">
        <v>546</v>
      </c>
      <c r="G180" t="s">
        <v>929</v>
      </c>
      <c r="H180" s="5">
        <v>46175</v>
      </c>
      <c r="I180" t="s">
        <v>219</v>
      </c>
      <c r="J180" t="s">
        <v>293</v>
      </c>
      <c r="K180" t="s">
        <v>41</v>
      </c>
      <c r="L180">
        <v>1239900142281</v>
      </c>
      <c r="M180">
        <v>7015756090</v>
      </c>
      <c r="N180" t="s">
        <v>213</v>
      </c>
      <c r="O180" t="s">
        <v>219</v>
      </c>
      <c r="P180" t="s">
        <v>294</v>
      </c>
      <c r="Q180" t="s">
        <v>294</v>
      </c>
      <c r="R180" t="s">
        <v>48</v>
      </c>
      <c r="S180" t="s">
        <v>318</v>
      </c>
      <c r="T180" t="s">
        <v>319</v>
      </c>
      <c r="U180" t="s">
        <v>320</v>
      </c>
      <c r="V180" t="s">
        <v>298</v>
      </c>
      <c r="W180" t="s">
        <v>299</v>
      </c>
      <c r="X180">
        <v>46177</v>
      </c>
      <c r="Y180" t="s">
        <v>933</v>
      </c>
      <c r="Z180" t="s">
        <v>302</v>
      </c>
      <c r="AA180" t="s">
        <v>1279</v>
      </c>
    </row>
    <row r="181" spans="1:27">
      <c r="A181">
        <v>296</v>
      </c>
      <c r="B181" t="s">
        <v>198</v>
      </c>
      <c r="C181" t="s">
        <v>289</v>
      </c>
      <c r="D181" t="s">
        <v>934</v>
      </c>
      <c r="E181" t="s">
        <v>935</v>
      </c>
      <c r="F181" t="s">
        <v>743</v>
      </c>
      <c r="G181" t="s">
        <v>547</v>
      </c>
      <c r="H181" s="5">
        <v>46175</v>
      </c>
      <c r="I181" t="s">
        <v>218</v>
      </c>
      <c r="J181" t="s">
        <v>293</v>
      </c>
      <c r="K181" t="s">
        <v>41</v>
      </c>
      <c r="L181">
        <v>3100100485131</v>
      </c>
      <c r="M181">
        <v>7014949408</v>
      </c>
      <c r="N181" t="s">
        <v>213</v>
      </c>
      <c r="O181" t="s">
        <v>218</v>
      </c>
      <c r="P181" t="s">
        <v>294</v>
      </c>
      <c r="Q181" t="s">
        <v>294</v>
      </c>
      <c r="R181" t="s">
        <v>47</v>
      </c>
      <c r="S181" t="s">
        <v>314</v>
      </c>
      <c r="T181" t="s">
        <v>296</v>
      </c>
      <c r="U181" t="s">
        <v>297</v>
      </c>
      <c r="V181" t="s">
        <v>298</v>
      </c>
      <c r="W181" t="s">
        <v>299</v>
      </c>
      <c r="X181">
        <v>46177</v>
      </c>
      <c r="Y181" t="s">
        <v>936</v>
      </c>
      <c r="Z181" t="s">
        <v>302</v>
      </c>
      <c r="AA181" t="s">
        <v>1278</v>
      </c>
    </row>
    <row r="182" spans="1:27">
      <c r="A182">
        <v>297</v>
      </c>
      <c r="B182" t="s">
        <v>199</v>
      </c>
      <c r="C182" t="s">
        <v>289</v>
      </c>
      <c r="D182" t="s">
        <v>937</v>
      </c>
      <c r="E182" t="s">
        <v>938</v>
      </c>
      <c r="F182" t="s">
        <v>546</v>
      </c>
      <c r="G182" t="s">
        <v>929</v>
      </c>
      <c r="H182" s="5">
        <v>46175</v>
      </c>
      <c r="I182" t="s">
        <v>228</v>
      </c>
      <c r="J182" t="s">
        <v>293</v>
      </c>
      <c r="K182" t="s">
        <v>41</v>
      </c>
      <c r="L182">
        <v>1509900462827</v>
      </c>
      <c r="M182">
        <v>7015730347</v>
      </c>
      <c r="N182" t="s">
        <v>214</v>
      </c>
      <c r="O182" t="s">
        <v>228</v>
      </c>
      <c r="P182" t="s">
        <v>294</v>
      </c>
      <c r="Q182" t="s">
        <v>294</v>
      </c>
      <c r="R182" t="s">
        <v>57</v>
      </c>
      <c r="S182" t="s">
        <v>360</v>
      </c>
      <c r="T182" t="s">
        <v>355</v>
      </c>
      <c r="U182" t="s">
        <v>356</v>
      </c>
      <c r="V182" t="s">
        <v>298</v>
      </c>
      <c r="W182" t="s">
        <v>299</v>
      </c>
      <c r="X182">
        <v>46177</v>
      </c>
      <c r="Y182" t="s">
        <v>939</v>
      </c>
      <c r="Z182" t="s">
        <v>302</v>
      </c>
      <c r="AA182" t="s">
        <v>1288</v>
      </c>
    </row>
    <row r="183" spans="1:27">
      <c r="A183">
        <v>299</v>
      </c>
      <c r="B183" t="s">
        <v>200</v>
      </c>
      <c r="C183" t="s">
        <v>289</v>
      </c>
      <c r="D183" t="s">
        <v>940</v>
      </c>
      <c r="E183" t="s">
        <v>941</v>
      </c>
      <c r="F183" t="s">
        <v>546</v>
      </c>
      <c r="G183" t="s">
        <v>929</v>
      </c>
      <c r="H183" s="5">
        <v>46175</v>
      </c>
      <c r="I183" t="s">
        <v>216</v>
      </c>
      <c r="J183" t="s">
        <v>293</v>
      </c>
      <c r="K183" t="s">
        <v>41</v>
      </c>
      <c r="L183">
        <v>3540300158556</v>
      </c>
      <c r="M183">
        <v>7015742001</v>
      </c>
      <c r="N183" t="s">
        <v>213</v>
      </c>
      <c r="O183" t="s">
        <v>216</v>
      </c>
      <c r="P183" t="s">
        <v>294</v>
      </c>
      <c r="Q183" t="s">
        <v>294</v>
      </c>
      <c r="R183" t="s">
        <v>45</v>
      </c>
      <c r="S183" t="s">
        <v>305</v>
      </c>
      <c r="T183" t="s">
        <v>296</v>
      </c>
      <c r="U183" t="s">
        <v>297</v>
      </c>
      <c r="V183" t="s">
        <v>298</v>
      </c>
      <c r="W183" t="s">
        <v>299</v>
      </c>
      <c r="X183">
        <v>46190</v>
      </c>
      <c r="Y183" t="s">
        <v>942</v>
      </c>
      <c r="Z183" t="s">
        <v>302</v>
      </c>
      <c r="AA183" t="s">
        <v>1276</v>
      </c>
    </row>
    <row r="184" spans="1:27">
      <c r="A184">
        <v>300</v>
      </c>
      <c r="B184" t="s">
        <v>201</v>
      </c>
      <c r="C184" t="s">
        <v>307</v>
      </c>
      <c r="D184" t="s">
        <v>943</v>
      </c>
      <c r="E184" t="s">
        <v>944</v>
      </c>
      <c r="F184" t="s">
        <v>546</v>
      </c>
      <c r="G184" t="s">
        <v>929</v>
      </c>
      <c r="H184" s="5">
        <v>46175</v>
      </c>
      <c r="I184" t="s">
        <v>222</v>
      </c>
      <c r="J184" t="s">
        <v>293</v>
      </c>
      <c r="K184" t="s">
        <v>41</v>
      </c>
      <c r="L184">
        <v>3490500199796</v>
      </c>
      <c r="M184">
        <v>7015755805</v>
      </c>
      <c r="N184" t="s">
        <v>213</v>
      </c>
      <c r="O184" t="s">
        <v>222</v>
      </c>
      <c r="P184" t="s">
        <v>294</v>
      </c>
      <c r="Q184" t="s">
        <v>294</v>
      </c>
      <c r="R184" t="s">
        <v>51</v>
      </c>
      <c r="S184" t="s">
        <v>332</v>
      </c>
      <c r="T184" t="s">
        <v>319</v>
      </c>
      <c r="U184" t="s">
        <v>320</v>
      </c>
      <c r="V184" t="s">
        <v>298</v>
      </c>
      <c r="W184" t="s">
        <v>299</v>
      </c>
      <c r="X184">
        <v>46190</v>
      </c>
      <c r="Y184" t="s">
        <v>945</v>
      </c>
      <c r="Z184" t="s">
        <v>302</v>
      </c>
      <c r="AA184" t="s">
        <v>1282</v>
      </c>
    </row>
    <row r="185" spans="1:27">
      <c r="A185">
        <v>326</v>
      </c>
      <c r="B185" t="s">
        <v>946</v>
      </c>
      <c r="C185" t="s">
        <v>289</v>
      </c>
      <c r="D185" t="s">
        <v>947</v>
      </c>
      <c r="E185" t="s">
        <v>948</v>
      </c>
      <c r="F185" t="s">
        <v>546</v>
      </c>
      <c r="G185" t="s">
        <v>929</v>
      </c>
      <c r="H185" s="5">
        <v>46204</v>
      </c>
      <c r="I185" t="s">
        <v>239</v>
      </c>
      <c r="J185" t="s">
        <v>408</v>
      </c>
      <c r="K185" t="s">
        <v>409</v>
      </c>
      <c r="L185">
        <v>1739900583011</v>
      </c>
      <c r="M185">
        <v>7015750981</v>
      </c>
      <c r="N185" t="s">
        <v>213</v>
      </c>
      <c r="O185" t="s">
        <v>239</v>
      </c>
      <c r="P185" t="s">
        <v>294</v>
      </c>
      <c r="Q185" t="s">
        <v>294</v>
      </c>
      <c r="R185" t="s">
        <v>405</v>
      </c>
      <c r="S185" t="s">
        <v>410</v>
      </c>
      <c r="T185" t="s">
        <v>411</v>
      </c>
      <c r="U185" t="s">
        <v>412</v>
      </c>
      <c r="V185" t="s">
        <v>413</v>
      </c>
      <c r="W185" t="s">
        <v>414</v>
      </c>
      <c r="X185">
        <v>46204</v>
      </c>
      <c r="Y185" t="s">
        <v>949</v>
      </c>
      <c r="Z185" t="s">
        <v>302</v>
      </c>
      <c r="AA185" t="s">
        <v>1299</v>
      </c>
    </row>
    <row r="186" spans="1:27">
      <c r="A186">
        <v>327</v>
      </c>
      <c r="B186" t="s">
        <v>950</v>
      </c>
      <c r="C186" t="s">
        <v>307</v>
      </c>
      <c r="D186" t="s">
        <v>951</v>
      </c>
      <c r="E186" t="s">
        <v>952</v>
      </c>
      <c r="F186" t="s">
        <v>743</v>
      </c>
      <c r="G186" t="s">
        <v>547</v>
      </c>
      <c r="H186" s="5">
        <v>46204</v>
      </c>
      <c r="I186" t="s">
        <v>239</v>
      </c>
      <c r="J186" t="s">
        <v>408</v>
      </c>
      <c r="K186" t="s">
        <v>409</v>
      </c>
      <c r="L186">
        <v>3110101164509</v>
      </c>
      <c r="M186">
        <v>7007662810</v>
      </c>
      <c r="N186" t="s">
        <v>213</v>
      </c>
      <c r="O186" t="s">
        <v>239</v>
      </c>
      <c r="P186" t="s">
        <v>294</v>
      </c>
      <c r="Q186" t="s">
        <v>294</v>
      </c>
      <c r="R186" t="s">
        <v>405</v>
      </c>
      <c r="S186" t="s">
        <v>410</v>
      </c>
      <c r="T186" t="s">
        <v>411</v>
      </c>
      <c r="U186" t="s">
        <v>412</v>
      </c>
      <c r="V186" t="s">
        <v>413</v>
      </c>
      <c r="W186" t="s">
        <v>414</v>
      </c>
      <c r="X186">
        <v>46204</v>
      </c>
      <c r="Y186" t="s">
        <v>953</v>
      </c>
      <c r="Z186" t="s">
        <v>302</v>
      </c>
      <c r="AA186" t="s">
        <v>1299</v>
      </c>
    </row>
    <row r="187" spans="1:27">
      <c r="A187">
        <v>328</v>
      </c>
      <c r="B187" t="s">
        <v>954</v>
      </c>
      <c r="C187" t="s">
        <v>307</v>
      </c>
      <c r="D187" t="s">
        <v>955</v>
      </c>
      <c r="E187" t="s">
        <v>956</v>
      </c>
      <c r="F187" t="s">
        <v>743</v>
      </c>
      <c r="G187" t="s">
        <v>547</v>
      </c>
      <c r="H187" s="5">
        <v>46204</v>
      </c>
      <c r="I187" t="s">
        <v>241</v>
      </c>
      <c r="J187" t="s">
        <v>408</v>
      </c>
      <c r="K187" t="s">
        <v>409</v>
      </c>
      <c r="L187">
        <v>1100800088121</v>
      </c>
      <c r="M187">
        <v>7011355455</v>
      </c>
      <c r="N187" t="s">
        <v>213</v>
      </c>
      <c r="O187" t="s">
        <v>241</v>
      </c>
      <c r="P187" t="s">
        <v>294</v>
      </c>
      <c r="Q187" t="s">
        <v>294</v>
      </c>
      <c r="R187" t="s">
        <v>423</v>
      </c>
      <c r="S187" t="s">
        <v>426</v>
      </c>
      <c r="T187" t="s">
        <v>411</v>
      </c>
      <c r="U187" t="s">
        <v>412</v>
      </c>
      <c r="V187" t="s">
        <v>413</v>
      </c>
      <c r="W187" t="s">
        <v>414</v>
      </c>
      <c r="X187">
        <v>46204</v>
      </c>
      <c r="Y187" t="s">
        <v>957</v>
      </c>
      <c r="Z187" t="s">
        <v>302</v>
      </c>
      <c r="AA187" t="s">
        <v>1301</v>
      </c>
    </row>
    <row r="188" spans="1:27">
      <c r="A188">
        <v>329</v>
      </c>
      <c r="B188" t="s">
        <v>958</v>
      </c>
      <c r="C188" t="s">
        <v>509</v>
      </c>
      <c r="D188" t="s">
        <v>959</v>
      </c>
      <c r="E188" t="s">
        <v>960</v>
      </c>
      <c r="F188" t="s">
        <v>743</v>
      </c>
      <c r="G188" t="s">
        <v>547</v>
      </c>
      <c r="H188" s="5">
        <v>46204</v>
      </c>
      <c r="I188" t="s">
        <v>247</v>
      </c>
      <c r="J188" t="s">
        <v>408</v>
      </c>
      <c r="K188" t="s">
        <v>409</v>
      </c>
      <c r="L188">
        <v>3470800001550</v>
      </c>
      <c r="M188">
        <v>7014794868</v>
      </c>
      <c r="N188" t="s">
        <v>213</v>
      </c>
      <c r="O188" t="s">
        <v>247</v>
      </c>
      <c r="P188" t="s">
        <v>294</v>
      </c>
      <c r="Q188" t="s">
        <v>294</v>
      </c>
      <c r="R188" t="s">
        <v>455</v>
      </c>
      <c r="S188" t="s">
        <v>458</v>
      </c>
      <c r="T188" t="s">
        <v>459</v>
      </c>
      <c r="U188" t="s">
        <v>460</v>
      </c>
      <c r="V188" t="s">
        <v>413</v>
      </c>
      <c r="W188" t="s">
        <v>414</v>
      </c>
      <c r="X188">
        <v>46205</v>
      </c>
      <c r="Y188" t="s">
        <v>961</v>
      </c>
      <c r="Z188" t="s">
        <v>302</v>
      </c>
      <c r="AA188" t="s">
        <v>1307</v>
      </c>
    </row>
    <row r="189" spans="1:27">
      <c r="A189">
        <v>330</v>
      </c>
      <c r="B189" t="s">
        <v>962</v>
      </c>
      <c r="C189" t="s">
        <v>289</v>
      </c>
      <c r="D189" t="s">
        <v>963</v>
      </c>
      <c r="E189" t="s">
        <v>964</v>
      </c>
      <c r="F189" t="s">
        <v>743</v>
      </c>
      <c r="G189" t="s">
        <v>547</v>
      </c>
      <c r="H189" s="5">
        <v>46204</v>
      </c>
      <c r="I189" t="s">
        <v>247</v>
      </c>
      <c r="J189" t="s">
        <v>408</v>
      </c>
      <c r="K189" t="s">
        <v>409</v>
      </c>
      <c r="L189">
        <v>1719900232757</v>
      </c>
      <c r="M189">
        <v>7011105741</v>
      </c>
      <c r="N189" t="s">
        <v>213</v>
      </c>
      <c r="O189" t="s">
        <v>247</v>
      </c>
      <c r="P189" t="s">
        <v>294</v>
      </c>
      <c r="Q189" t="s">
        <v>294</v>
      </c>
      <c r="R189" t="s">
        <v>455</v>
      </c>
      <c r="S189" t="s">
        <v>458</v>
      </c>
      <c r="T189" t="s">
        <v>459</v>
      </c>
      <c r="U189" t="s">
        <v>460</v>
      </c>
      <c r="V189" t="s">
        <v>413</v>
      </c>
      <c r="W189" t="s">
        <v>414</v>
      </c>
      <c r="X189">
        <v>46205</v>
      </c>
      <c r="Y189" t="s">
        <v>965</v>
      </c>
      <c r="Z189" t="s">
        <v>302</v>
      </c>
      <c r="AA189" t="s">
        <v>1307</v>
      </c>
    </row>
    <row r="190" spans="1:27">
      <c r="A190">
        <v>331</v>
      </c>
      <c r="B190" t="s">
        <v>966</v>
      </c>
      <c r="C190" t="s">
        <v>307</v>
      </c>
      <c r="D190" t="s">
        <v>967</v>
      </c>
      <c r="E190" t="s">
        <v>968</v>
      </c>
      <c r="F190" t="s">
        <v>743</v>
      </c>
      <c r="G190" t="s">
        <v>547</v>
      </c>
      <c r="H190" s="5">
        <v>46204</v>
      </c>
      <c r="I190" t="s">
        <v>248</v>
      </c>
      <c r="J190" t="s">
        <v>408</v>
      </c>
      <c r="K190" t="s">
        <v>409</v>
      </c>
      <c r="L190">
        <v>1100400454162</v>
      </c>
      <c r="M190">
        <v>7011316624</v>
      </c>
      <c r="N190" t="s">
        <v>213</v>
      </c>
      <c r="O190" t="s">
        <v>248</v>
      </c>
      <c r="P190" t="s">
        <v>294</v>
      </c>
      <c r="Q190" t="s">
        <v>294</v>
      </c>
      <c r="R190" t="s">
        <v>462</v>
      </c>
      <c r="S190" t="s">
        <v>465</v>
      </c>
      <c r="T190" t="s">
        <v>459</v>
      </c>
      <c r="U190" t="s">
        <v>460</v>
      </c>
      <c r="V190" t="s">
        <v>413</v>
      </c>
      <c r="W190" t="s">
        <v>414</v>
      </c>
      <c r="X190">
        <v>46205</v>
      </c>
      <c r="Y190" t="s">
        <v>969</v>
      </c>
      <c r="Z190" t="s">
        <v>302</v>
      </c>
      <c r="AA190" t="s">
        <v>1308</v>
      </c>
    </row>
    <row r="191" spans="1:27">
      <c r="A191">
        <v>332</v>
      </c>
      <c r="B191" t="s">
        <v>970</v>
      </c>
      <c r="C191" t="s">
        <v>289</v>
      </c>
      <c r="D191" t="s">
        <v>971</v>
      </c>
      <c r="E191" t="s">
        <v>972</v>
      </c>
      <c r="F191" t="s">
        <v>743</v>
      </c>
      <c r="G191" t="s">
        <v>547</v>
      </c>
      <c r="H191" s="5">
        <v>46204</v>
      </c>
      <c r="I191" t="s">
        <v>248</v>
      </c>
      <c r="J191" t="s">
        <v>408</v>
      </c>
      <c r="K191" t="s">
        <v>409</v>
      </c>
      <c r="L191">
        <v>3849900118640</v>
      </c>
      <c r="M191">
        <v>7001664303</v>
      </c>
      <c r="N191" t="s">
        <v>213</v>
      </c>
      <c r="O191" t="s">
        <v>248</v>
      </c>
      <c r="P191" t="s">
        <v>294</v>
      </c>
      <c r="Q191" t="s">
        <v>294</v>
      </c>
      <c r="R191" t="s">
        <v>462</v>
      </c>
      <c r="S191" t="s">
        <v>465</v>
      </c>
      <c r="T191" t="s">
        <v>459</v>
      </c>
      <c r="U191" t="s">
        <v>460</v>
      </c>
      <c r="V191" t="s">
        <v>413</v>
      </c>
      <c r="W191" t="s">
        <v>414</v>
      </c>
      <c r="X191">
        <v>46205</v>
      </c>
      <c r="Y191" t="s">
        <v>973</v>
      </c>
      <c r="Z191" t="s">
        <v>302</v>
      </c>
      <c r="AA191" t="s">
        <v>1308</v>
      </c>
    </row>
    <row r="192" spans="1:27">
      <c r="A192">
        <v>333</v>
      </c>
      <c r="B192" t="s">
        <v>974</v>
      </c>
      <c r="C192" t="s">
        <v>289</v>
      </c>
      <c r="D192" t="s">
        <v>975</v>
      </c>
      <c r="E192" t="s">
        <v>976</v>
      </c>
      <c r="F192" t="s">
        <v>743</v>
      </c>
      <c r="G192" t="s">
        <v>547</v>
      </c>
      <c r="H192" s="5">
        <v>46204</v>
      </c>
      <c r="I192" t="s">
        <v>252</v>
      </c>
      <c r="J192" t="s">
        <v>408</v>
      </c>
      <c r="K192" t="s">
        <v>409</v>
      </c>
      <c r="L192">
        <v>3900700713600</v>
      </c>
      <c r="M192">
        <v>7010918244</v>
      </c>
      <c r="N192" t="s">
        <v>213</v>
      </c>
      <c r="O192" t="s">
        <v>252</v>
      </c>
      <c r="P192" t="s">
        <v>294</v>
      </c>
      <c r="Q192" t="s">
        <v>294</v>
      </c>
      <c r="R192" t="s">
        <v>483</v>
      </c>
      <c r="S192" t="s">
        <v>486</v>
      </c>
      <c r="T192" t="s">
        <v>459</v>
      </c>
      <c r="U192" t="s">
        <v>460</v>
      </c>
      <c r="V192" t="s">
        <v>413</v>
      </c>
      <c r="W192" t="s">
        <v>414</v>
      </c>
      <c r="X192">
        <v>46205</v>
      </c>
      <c r="Y192" t="s">
        <v>977</v>
      </c>
      <c r="Z192" t="s">
        <v>302</v>
      </c>
      <c r="AA192" t="s">
        <v>1312</v>
      </c>
    </row>
    <row r="193" spans="1:27">
      <c r="A193">
        <v>334</v>
      </c>
      <c r="B193" t="s">
        <v>978</v>
      </c>
      <c r="C193" t="s">
        <v>509</v>
      </c>
      <c r="D193" t="s">
        <v>979</v>
      </c>
      <c r="E193" t="s">
        <v>980</v>
      </c>
      <c r="F193" t="s">
        <v>546</v>
      </c>
      <c r="G193" t="s">
        <v>929</v>
      </c>
      <c r="H193" s="5">
        <v>46204</v>
      </c>
      <c r="I193" t="s">
        <v>252</v>
      </c>
      <c r="J193" t="s">
        <v>408</v>
      </c>
      <c r="K193" t="s">
        <v>409</v>
      </c>
      <c r="L193">
        <v>1339900368806</v>
      </c>
      <c r="M193">
        <v>7011268189</v>
      </c>
      <c r="N193" t="s">
        <v>213</v>
      </c>
      <c r="O193" t="s">
        <v>252</v>
      </c>
      <c r="P193" t="s">
        <v>294</v>
      </c>
      <c r="Q193" t="s">
        <v>294</v>
      </c>
      <c r="R193" t="s">
        <v>483</v>
      </c>
      <c r="S193" t="s">
        <v>486</v>
      </c>
      <c r="T193" t="s">
        <v>459</v>
      </c>
      <c r="U193" t="s">
        <v>460</v>
      </c>
      <c r="V193" t="s">
        <v>413</v>
      </c>
      <c r="W193" t="s">
        <v>414</v>
      </c>
      <c r="X193">
        <v>46205</v>
      </c>
      <c r="Y193" t="s">
        <v>981</v>
      </c>
      <c r="Z193" t="s">
        <v>302</v>
      </c>
      <c r="AA193" t="s">
        <v>1312</v>
      </c>
    </row>
    <row r="194" spans="1:27">
      <c r="A194">
        <v>335</v>
      </c>
      <c r="B194" t="s">
        <v>982</v>
      </c>
      <c r="C194" t="s">
        <v>289</v>
      </c>
      <c r="D194" t="s">
        <v>983</v>
      </c>
      <c r="E194" t="s">
        <v>984</v>
      </c>
      <c r="F194" t="s">
        <v>743</v>
      </c>
      <c r="G194" t="s">
        <v>547</v>
      </c>
      <c r="H194" s="5">
        <v>46204</v>
      </c>
      <c r="I194" t="s">
        <v>252</v>
      </c>
      <c r="J194" t="s">
        <v>408</v>
      </c>
      <c r="K194" t="s">
        <v>409</v>
      </c>
      <c r="L194">
        <v>3220400293776</v>
      </c>
      <c r="M194">
        <v>7013421683</v>
      </c>
      <c r="N194" t="s">
        <v>213</v>
      </c>
      <c r="O194" t="s">
        <v>252</v>
      </c>
      <c r="P194" t="s">
        <v>294</v>
      </c>
      <c r="Q194" t="s">
        <v>294</v>
      </c>
      <c r="R194" t="s">
        <v>483</v>
      </c>
      <c r="S194" t="s">
        <v>486</v>
      </c>
      <c r="T194" t="s">
        <v>459</v>
      </c>
      <c r="U194" t="s">
        <v>460</v>
      </c>
      <c r="V194" t="s">
        <v>413</v>
      </c>
      <c r="W194" t="s">
        <v>414</v>
      </c>
      <c r="X194">
        <v>46205</v>
      </c>
      <c r="Y194" t="s">
        <v>985</v>
      </c>
      <c r="Z194" t="s">
        <v>302</v>
      </c>
      <c r="AA194" t="s">
        <v>1312</v>
      </c>
    </row>
    <row r="195" spans="1:27">
      <c r="A195">
        <v>336</v>
      </c>
      <c r="B195" t="s">
        <v>986</v>
      </c>
      <c r="C195" t="s">
        <v>307</v>
      </c>
      <c r="D195" t="s">
        <v>987</v>
      </c>
      <c r="E195" t="s">
        <v>988</v>
      </c>
      <c r="F195" t="s">
        <v>743</v>
      </c>
      <c r="G195" t="s">
        <v>547</v>
      </c>
      <c r="H195" s="5">
        <v>46204</v>
      </c>
      <c r="I195" t="s">
        <v>251</v>
      </c>
      <c r="J195" t="s">
        <v>408</v>
      </c>
      <c r="K195" t="s">
        <v>409</v>
      </c>
      <c r="L195">
        <v>1840100076557</v>
      </c>
      <c r="M195">
        <v>7014824670</v>
      </c>
      <c r="N195" t="s">
        <v>214</v>
      </c>
      <c r="O195" t="s">
        <v>251</v>
      </c>
      <c r="P195" t="s">
        <v>294</v>
      </c>
      <c r="Q195" t="s">
        <v>294</v>
      </c>
      <c r="R195" t="s">
        <v>478</v>
      </c>
      <c r="S195" t="s">
        <v>481</v>
      </c>
      <c r="T195" t="s">
        <v>459</v>
      </c>
      <c r="U195" t="s">
        <v>460</v>
      </c>
      <c r="V195" t="s">
        <v>413</v>
      </c>
      <c r="W195" t="s">
        <v>414</v>
      </c>
      <c r="X195">
        <v>46205</v>
      </c>
      <c r="Y195" t="s">
        <v>989</v>
      </c>
      <c r="Z195" t="s">
        <v>302</v>
      </c>
      <c r="AA195" t="s">
        <v>1311</v>
      </c>
    </row>
    <row r="196" spans="1:27">
      <c r="A196">
        <v>337</v>
      </c>
      <c r="B196" t="s">
        <v>990</v>
      </c>
      <c r="C196" t="s">
        <v>289</v>
      </c>
      <c r="D196" t="s">
        <v>424</v>
      </c>
      <c r="E196" t="s">
        <v>991</v>
      </c>
      <c r="F196" t="s">
        <v>743</v>
      </c>
      <c r="G196" t="s">
        <v>547</v>
      </c>
      <c r="H196" s="5">
        <v>46204</v>
      </c>
      <c r="I196" t="s">
        <v>261</v>
      </c>
      <c r="J196" t="s">
        <v>408</v>
      </c>
      <c r="K196" t="s">
        <v>409</v>
      </c>
      <c r="L196">
        <v>1520800090482</v>
      </c>
      <c r="M196">
        <v>7013575201</v>
      </c>
      <c r="N196" t="s">
        <v>214</v>
      </c>
      <c r="O196" t="s">
        <v>261</v>
      </c>
      <c r="P196" t="s">
        <v>294</v>
      </c>
      <c r="Q196" t="s">
        <v>294</v>
      </c>
      <c r="R196" t="s">
        <v>529</v>
      </c>
      <c r="S196" t="s">
        <v>532</v>
      </c>
      <c r="T196" t="s">
        <v>459</v>
      </c>
      <c r="U196" t="s">
        <v>460</v>
      </c>
      <c r="V196" t="s">
        <v>413</v>
      </c>
      <c r="W196" t="s">
        <v>414</v>
      </c>
      <c r="X196">
        <v>46205</v>
      </c>
      <c r="Y196" t="s">
        <v>992</v>
      </c>
      <c r="Z196" t="s">
        <v>302</v>
      </c>
      <c r="AA196" t="s">
        <v>1321</v>
      </c>
    </row>
    <row r="197" spans="1:27">
      <c r="A197">
        <v>338</v>
      </c>
      <c r="B197" t="s">
        <v>993</v>
      </c>
      <c r="C197" t="s">
        <v>509</v>
      </c>
      <c r="D197" t="s">
        <v>994</v>
      </c>
      <c r="E197" t="s">
        <v>995</v>
      </c>
      <c r="F197" t="s">
        <v>743</v>
      </c>
      <c r="G197" t="s">
        <v>547</v>
      </c>
      <c r="H197" s="5">
        <v>46204</v>
      </c>
      <c r="I197" t="s">
        <v>254</v>
      </c>
      <c r="J197" t="s">
        <v>408</v>
      </c>
      <c r="K197" t="s">
        <v>409</v>
      </c>
      <c r="L197">
        <v>3100700371200</v>
      </c>
      <c r="M197">
        <v>7010757528</v>
      </c>
      <c r="N197" t="s">
        <v>213</v>
      </c>
      <c r="O197" t="s">
        <v>254</v>
      </c>
      <c r="P197" t="s">
        <v>294</v>
      </c>
      <c r="Q197" t="s">
        <v>294</v>
      </c>
      <c r="R197" t="s">
        <v>493</v>
      </c>
      <c r="S197" t="s">
        <v>496</v>
      </c>
      <c r="T197" t="s">
        <v>470</v>
      </c>
      <c r="U197" t="s">
        <v>471</v>
      </c>
      <c r="V197" t="s">
        <v>413</v>
      </c>
      <c r="W197" t="s">
        <v>414</v>
      </c>
      <c r="X197">
        <v>46205</v>
      </c>
      <c r="Y197" t="s">
        <v>996</v>
      </c>
      <c r="Z197" t="s">
        <v>302</v>
      </c>
      <c r="AA197" t="s">
        <v>1314</v>
      </c>
    </row>
    <row r="198" spans="1:27">
      <c r="A198">
        <v>339</v>
      </c>
      <c r="B198" t="s">
        <v>997</v>
      </c>
      <c r="C198" t="s">
        <v>307</v>
      </c>
      <c r="D198" t="s">
        <v>998</v>
      </c>
      <c r="E198" t="s">
        <v>999</v>
      </c>
      <c r="F198" t="s">
        <v>743</v>
      </c>
      <c r="G198" t="s">
        <v>547</v>
      </c>
      <c r="H198" s="5">
        <v>46204</v>
      </c>
      <c r="I198" t="s">
        <v>254</v>
      </c>
      <c r="J198" t="s">
        <v>408</v>
      </c>
      <c r="K198" t="s">
        <v>409</v>
      </c>
      <c r="L198">
        <v>1101401586594</v>
      </c>
      <c r="M198">
        <v>7000964790</v>
      </c>
      <c r="N198" t="s">
        <v>213</v>
      </c>
      <c r="O198" t="s">
        <v>254</v>
      </c>
      <c r="P198" t="s">
        <v>294</v>
      </c>
      <c r="Q198" t="s">
        <v>294</v>
      </c>
      <c r="R198" t="s">
        <v>493</v>
      </c>
      <c r="S198" t="s">
        <v>496</v>
      </c>
      <c r="T198" t="s">
        <v>470</v>
      </c>
      <c r="U198" t="s">
        <v>471</v>
      </c>
      <c r="V198" t="s">
        <v>413</v>
      </c>
      <c r="W198" t="s">
        <v>414</v>
      </c>
      <c r="X198">
        <v>46205</v>
      </c>
      <c r="Y198" t="s">
        <v>1000</v>
      </c>
      <c r="Z198" t="s">
        <v>302</v>
      </c>
      <c r="AA198" t="s">
        <v>1314</v>
      </c>
    </row>
    <row r="199" spans="1:27">
      <c r="A199">
        <v>340</v>
      </c>
      <c r="B199" t="s">
        <v>1001</v>
      </c>
      <c r="C199" t="s">
        <v>289</v>
      </c>
      <c r="D199" t="s">
        <v>1002</v>
      </c>
      <c r="E199" t="s">
        <v>1003</v>
      </c>
      <c r="F199" t="s">
        <v>743</v>
      </c>
      <c r="G199" t="s">
        <v>547</v>
      </c>
      <c r="H199" s="5">
        <v>46204</v>
      </c>
      <c r="I199" t="s">
        <v>255</v>
      </c>
      <c r="J199" t="s">
        <v>408</v>
      </c>
      <c r="K199" t="s">
        <v>409</v>
      </c>
      <c r="L199">
        <v>1259700064774</v>
      </c>
      <c r="M199">
        <v>7010639525</v>
      </c>
      <c r="N199" t="s">
        <v>214</v>
      </c>
      <c r="O199" t="s">
        <v>255</v>
      </c>
      <c r="P199" t="s">
        <v>294</v>
      </c>
      <c r="Q199" t="s">
        <v>294</v>
      </c>
      <c r="R199" t="s">
        <v>498</v>
      </c>
      <c r="S199" t="s">
        <v>501</v>
      </c>
      <c r="T199" t="s">
        <v>470</v>
      </c>
      <c r="U199" t="s">
        <v>471</v>
      </c>
      <c r="V199" t="s">
        <v>413</v>
      </c>
      <c r="W199" t="s">
        <v>414</v>
      </c>
      <c r="X199">
        <v>46205</v>
      </c>
      <c r="Y199" t="s">
        <v>1004</v>
      </c>
      <c r="Z199" t="s">
        <v>302</v>
      </c>
      <c r="AA199" t="s">
        <v>1315</v>
      </c>
    </row>
    <row r="200" spans="1:27">
      <c r="A200">
        <v>341</v>
      </c>
      <c r="B200" t="s">
        <v>1005</v>
      </c>
      <c r="C200" t="s">
        <v>289</v>
      </c>
      <c r="D200" t="s">
        <v>1006</v>
      </c>
      <c r="E200" t="s">
        <v>1007</v>
      </c>
      <c r="F200" t="s">
        <v>743</v>
      </c>
      <c r="G200" t="s">
        <v>547</v>
      </c>
      <c r="H200" s="5">
        <v>46204</v>
      </c>
      <c r="I200" t="s">
        <v>257</v>
      </c>
      <c r="J200" t="s">
        <v>408</v>
      </c>
      <c r="K200" t="s">
        <v>409</v>
      </c>
      <c r="L200">
        <v>3700101165101</v>
      </c>
      <c r="M200">
        <v>7004264325</v>
      </c>
      <c r="N200" t="s">
        <v>213</v>
      </c>
      <c r="O200" t="s">
        <v>257</v>
      </c>
      <c r="P200" t="s">
        <v>294</v>
      </c>
      <c r="Q200" t="s">
        <v>294</v>
      </c>
      <c r="R200" t="s">
        <v>508</v>
      </c>
      <c r="S200" t="s">
        <v>512</v>
      </c>
      <c r="T200" t="s">
        <v>437</v>
      </c>
      <c r="U200" t="s">
        <v>438</v>
      </c>
      <c r="V200" t="s">
        <v>413</v>
      </c>
      <c r="W200" t="s">
        <v>414</v>
      </c>
      <c r="X200">
        <v>46204</v>
      </c>
      <c r="Y200" t="s">
        <v>1008</v>
      </c>
      <c r="Z200" t="s">
        <v>302</v>
      </c>
      <c r="AA200" t="s">
        <v>1317</v>
      </c>
    </row>
    <row r="201" spans="1:27">
      <c r="A201">
        <v>342</v>
      </c>
      <c r="B201" t="s">
        <v>1009</v>
      </c>
      <c r="C201" t="s">
        <v>307</v>
      </c>
      <c r="D201" t="s">
        <v>1010</v>
      </c>
      <c r="E201" t="s">
        <v>1011</v>
      </c>
      <c r="F201" t="s">
        <v>546</v>
      </c>
      <c r="G201" t="s">
        <v>929</v>
      </c>
      <c r="H201" s="5">
        <v>46204</v>
      </c>
      <c r="I201" t="s">
        <v>258</v>
      </c>
      <c r="J201" t="s">
        <v>408</v>
      </c>
      <c r="K201" t="s">
        <v>409</v>
      </c>
      <c r="L201">
        <v>1440700089858</v>
      </c>
      <c r="M201">
        <v>7008788932</v>
      </c>
      <c r="N201" t="s">
        <v>213</v>
      </c>
      <c r="O201" t="s">
        <v>258</v>
      </c>
      <c r="P201" t="s">
        <v>294</v>
      </c>
      <c r="Q201" t="s">
        <v>294</v>
      </c>
      <c r="R201" t="s">
        <v>514</v>
      </c>
      <c r="S201" t="s">
        <v>517</v>
      </c>
      <c r="T201" t="s">
        <v>437</v>
      </c>
      <c r="U201" t="s">
        <v>438</v>
      </c>
      <c r="V201" t="s">
        <v>413</v>
      </c>
      <c r="W201" t="s">
        <v>414</v>
      </c>
      <c r="X201">
        <v>46204</v>
      </c>
      <c r="Y201" t="s">
        <v>1012</v>
      </c>
      <c r="Z201" t="s">
        <v>302</v>
      </c>
      <c r="AA201" t="s">
        <v>1318</v>
      </c>
    </row>
    <row r="202" spans="1:27">
      <c r="A202">
        <v>343</v>
      </c>
      <c r="B202" t="s">
        <v>1013</v>
      </c>
      <c r="C202" t="s">
        <v>289</v>
      </c>
      <c r="D202" t="s">
        <v>1014</v>
      </c>
      <c r="E202" t="s">
        <v>1015</v>
      </c>
      <c r="F202" t="s">
        <v>743</v>
      </c>
      <c r="G202" t="s">
        <v>547</v>
      </c>
      <c r="H202" s="5">
        <v>46204</v>
      </c>
      <c r="I202" t="s">
        <v>258</v>
      </c>
      <c r="J202" t="s">
        <v>408</v>
      </c>
      <c r="K202" t="s">
        <v>409</v>
      </c>
      <c r="L202">
        <v>3801400004192</v>
      </c>
      <c r="M202">
        <v>7011122841</v>
      </c>
      <c r="N202" t="s">
        <v>213</v>
      </c>
      <c r="O202" t="s">
        <v>258</v>
      </c>
      <c r="P202" t="s">
        <v>294</v>
      </c>
      <c r="Q202" t="s">
        <v>294</v>
      </c>
      <c r="R202" t="s">
        <v>514</v>
      </c>
      <c r="S202" t="s">
        <v>517</v>
      </c>
      <c r="T202" t="s">
        <v>437</v>
      </c>
      <c r="U202" t="s">
        <v>438</v>
      </c>
      <c r="V202" t="s">
        <v>413</v>
      </c>
      <c r="W202" t="s">
        <v>414</v>
      </c>
      <c r="X202">
        <v>46204</v>
      </c>
      <c r="Y202" t="s">
        <v>1016</v>
      </c>
      <c r="Z202" t="s">
        <v>302</v>
      </c>
      <c r="AA202" t="s">
        <v>1318</v>
      </c>
    </row>
    <row r="203" spans="1:27">
      <c r="A203">
        <v>344</v>
      </c>
      <c r="B203" t="s">
        <v>1017</v>
      </c>
      <c r="C203" t="s">
        <v>307</v>
      </c>
      <c r="D203" t="s">
        <v>1018</v>
      </c>
      <c r="E203" t="s">
        <v>1019</v>
      </c>
      <c r="F203" t="s">
        <v>743</v>
      </c>
      <c r="G203" t="s">
        <v>547</v>
      </c>
      <c r="H203" s="5">
        <v>46204</v>
      </c>
      <c r="I203" t="s">
        <v>259</v>
      </c>
      <c r="J203" t="s">
        <v>408</v>
      </c>
      <c r="K203" t="s">
        <v>409</v>
      </c>
      <c r="L203">
        <v>3100502596019</v>
      </c>
      <c r="M203">
        <v>7014872469</v>
      </c>
      <c r="N203" t="s">
        <v>213</v>
      </c>
      <c r="O203" t="s">
        <v>259</v>
      </c>
      <c r="P203" t="s">
        <v>294</v>
      </c>
      <c r="Q203" t="s">
        <v>294</v>
      </c>
      <c r="R203" t="s">
        <v>519</v>
      </c>
      <c r="S203" t="s">
        <v>522</v>
      </c>
      <c r="T203" t="s">
        <v>420</v>
      </c>
      <c r="U203" t="s">
        <v>421</v>
      </c>
      <c r="V203" t="s">
        <v>413</v>
      </c>
      <c r="W203" t="s">
        <v>414</v>
      </c>
      <c r="X203">
        <v>46204</v>
      </c>
      <c r="Y203" t="s">
        <v>1020</v>
      </c>
      <c r="Z203" t="s">
        <v>302</v>
      </c>
      <c r="AA203" t="s">
        <v>1319</v>
      </c>
    </row>
    <row r="204" spans="1:27">
      <c r="A204">
        <v>345</v>
      </c>
      <c r="B204" t="s">
        <v>1021</v>
      </c>
      <c r="C204" t="s">
        <v>289</v>
      </c>
      <c r="D204" t="s">
        <v>1022</v>
      </c>
      <c r="E204" t="s">
        <v>1023</v>
      </c>
      <c r="F204" t="s">
        <v>546</v>
      </c>
      <c r="G204" t="s">
        <v>929</v>
      </c>
      <c r="H204" s="5">
        <v>46204</v>
      </c>
      <c r="I204" t="s">
        <v>240</v>
      </c>
      <c r="J204" t="s">
        <v>408</v>
      </c>
      <c r="K204" t="s">
        <v>409</v>
      </c>
      <c r="L204">
        <v>3102400514309</v>
      </c>
      <c r="M204">
        <v>7015756252</v>
      </c>
      <c r="N204" t="s">
        <v>213</v>
      </c>
      <c r="O204" t="s">
        <v>240</v>
      </c>
      <c r="P204" t="s">
        <v>294</v>
      </c>
      <c r="Q204" t="s">
        <v>294</v>
      </c>
      <c r="R204" t="s">
        <v>416</v>
      </c>
      <c r="S204" t="s">
        <v>419</v>
      </c>
      <c r="T204" t="s">
        <v>420</v>
      </c>
      <c r="U204" t="s">
        <v>421</v>
      </c>
      <c r="V204" t="s">
        <v>413</v>
      </c>
      <c r="W204" t="s">
        <v>414</v>
      </c>
      <c r="X204">
        <v>46204</v>
      </c>
      <c r="Y204" t="s">
        <v>1024</v>
      </c>
      <c r="Z204" t="s">
        <v>302</v>
      </c>
      <c r="AA204" t="s">
        <v>1300</v>
      </c>
    </row>
    <row r="205" spans="1:27">
      <c r="A205">
        <v>346</v>
      </c>
      <c r="B205" t="s">
        <v>1025</v>
      </c>
      <c r="C205" t="s">
        <v>289</v>
      </c>
      <c r="D205" t="s">
        <v>1026</v>
      </c>
      <c r="E205" t="s">
        <v>1027</v>
      </c>
      <c r="F205" t="s">
        <v>546</v>
      </c>
      <c r="G205" t="s">
        <v>929</v>
      </c>
      <c r="H205" s="5">
        <v>46204</v>
      </c>
      <c r="I205" t="s">
        <v>246</v>
      </c>
      <c r="J205" t="s">
        <v>408</v>
      </c>
      <c r="K205" t="s">
        <v>409</v>
      </c>
      <c r="L205">
        <v>3300200228198</v>
      </c>
      <c r="M205">
        <v>7015766148</v>
      </c>
      <c r="N205" t="s">
        <v>214</v>
      </c>
      <c r="O205" t="s">
        <v>246</v>
      </c>
      <c r="P205" t="s">
        <v>294</v>
      </c>
      <c r="Q205" t="s">
        <v>294</v>
      </c>
      <c r="R205" t="s">
        <v>450</v>
      </c>
      <c r="S205" t="s">
        <v>453</v>
      </c>
      <c r="T205" t="s">
        <v>420</v>
      </c>
      <c r="U205" t="s">
        <v>421</v>
      </c>
      <c r="V205" t="s">
        <v>413</v>
      </c>
      <c r="W205" t="s">
        <v>414</v>
      </c>
      <c r="X205">
        <v>46204</v>
      </c>
      <c r="Y205" t="s">
        <v>1028</v>
      </c>
      <c r="Z205" t="s">
        <v>302</v>
      </c>
      <c r="AA205" t="s">
        <v>1306</v>
      </c>
    </row>
    <row r="206" spans="1:27">
      <c r="A206">
        <v>347</v>
      </c>
      <c r="B206" t="s">
        <v>1029</v>
      </c>
      <c r="C206" t="s">
        <v>289</v>
      </c>
      <c r="D206" t="s">
        <v>1030</v>
      </c>
      <c r="E206" t="s">
        <v>1031</v>
      </c>
      <c r="F206" t="s">
        <v>743</v>
      </c>
      <c r="G206" t="s">
        <v>547</v>
      </c>
      <c r="H206" s="5">
        <v>46204</v>
      </c>
      <c r="I206" t="s">
        <v>253</v>
      </c>
      <c r="J206" t="s">
        <v>408</v>
      </c>
      <c r="K206" t="s">
        <v>409</v>
      </c>
      <c r="L206">
        <v>1100200467783</v>
      </c>
      <c r="M206">
        <v>7013580166</v>
      </c>
      <c r="N206" t="s">
        <v>213</v>
      </c>
      <c r="O206" t="s">
        <v>253</v>
      </c>
      <c r="P206" t="s">
        <v>294</v>
      </c>
      <c r="Q206" t="s">
        <v>294</v>
      </c>
      <c r="R206" t="s">
        <v>488</v>
      </c>
      <c r="S206" t="s">
        <v>491</v>
      </c>
      <c r="T206" t="s">
        <v>420</v>
      </c>
      <c r="U206" t="s">
        <v>421</v>
      </c>
      <c r="V206" t="s">
        <v>413</v>
      </c>
      <c r="W206" t="s">
        <v>414</v>
      </c>
      <c r="X206">
        <v>46204</v>
      </c>
      <c r="Y206" t="s">
        <v>1032</v>
      </c>
      <c r="Z206" t="s">
        <v>302</v>
      </c>
      <c r="AA206" t="s">
        <v>1313</v>
      </c>
    </row>
    <row r="207" spans="1:27">
      <c r="A207">
        <v>348</v>
      </c>
      <c r="B207" t="s">
        <v>1033</v>
      </c>
      <c r="C207" t="s">
        <v>289</v>
      </c>
      <c r="D207" t="s">
        <v>1034</v>
      </c>
      <c r="E207" t="s">
        <v>1035</v>
      </c>
      <c r="F207" t="s">
        <v>743</v>
      </c>
      <c r="G207" t="s">
        <v>547</v>
      </c>
      <c r="H207" s="5">
        <v>46204</v>
      </c>
      <c r="I207" t="s">
        <v>241</v>
      </c>
      <c r="J207" t="s">
        <v>408</v>
      </c>
      <c r="K207" t="s">
        <v>409</v>
      </c>
      <c r="L207">
        <v>1600400006891</v>
      </c>
      <c r="M207">
        <v>7010561789</v>
      </c>
      <c r="N207" t="s">
        <v>213</v>
      </c>
      <c r="O207" t="s">
        <v>241</v>
      </c>
      <c r="P207" t="s">
        <v>294</v>
      </c>
      <c r="Q207" t="s">
        <v>294</v>
      </c>
      <c r="R207" t="s">
        <v>423</v>
      </c>
      <c r="S207" t="s">
        <v>426</v>
      </c>
      <c r="T207" t="s">
        <v>411</v>
      </c>
      <c r="U207" t="s">
        <v>412</v>
      </c>
      <c r="V207" t="s">
        <v>413</v>
      </c>
      <c r="W207" t="s">
        <v>414</v>
      </c>
      <c r="X207">
        <v>46204</v>
      </c>
      <c r="Y207" t="s">
        <v>1036</v>
      </c>
      <c r="Z207" t="s">
        <v>302</v>
      </c>
      <c r="AA207" t="s">
        <v>1301</v>
      </c>
    </row>
    <row r="208" spans="1:27">
      <c r="A208">
        <v>349</v>
      </c>
      <c r="B208" t="s">
        <v>1037</v>
      </c>
      <c r="C208" t="s">
        <v>289</v>
      </c>
      <c r="D208" t="s">
        <v>1038</v>
      </c>
      <c r="E208" t="s">
        <v>1039</v>
      </c>
      <c r="F208" t="s">
        <v>743</v>
      </c>
      <c r="G208" t="s">
        <v>547</v>
      </c>
      <c r="H208" s="5">
        <v>46204</v>
      </c>
      <c r="I208" t="s">
        <v>245</v>
      </c>
      <c r="J208" t="s">
        <v>408</v>
      </c>
      <c r="K208" t="s">
        <v>409</v>
      </c>
      <c r="L208">
        <v>1909900210590</v>
      </c>
      <c r="M208">
        <v>7010809485</v>
      </c>
      <c r="N208" t="s">
        <v>214</v>
      </c>
      <c r="O208" t="s">
        <v>245</v>
      </c>
      <c r="P208" t="s">
        <v>294</v>
      </c>
      <c r="Q208" t="s">
        <v>294</v>
      </c>
      <c r="R208" t="s">
        <v>445</v>
      </c>
      <c r="S208" t="s">
        <v>448</v>
      </c>
      <c r="T208" t="s">
        <v>411</v>
      </c>
      <c r="U208" t="s">
        <v>412</v>
      </c>
      <c r="V208" t="s">
        <v>413</v>
      </c>
      <c r="W208" t="s">
        <v>414</v>
      </c>
      <c r="X208">
        <v>46204</v>
      </c>
      <c r="Y208" t="s">
        <v>1040</v>
      </c>
      <c r="Z208" t="s">
        <v>302</v>
      </c>
      <c r="AA208" t="s">
        <v>1305</v>
      </c>
    </row>
    <row r="209" spans="1:27">
      <c r="A209">
        <v>350</v>
      </c>
      <c r="B209" t="s">
        <v>1041</v>
      </c>
      <c r="C209" t="s">
        <v>289</v>
      </c>
      <c r="D209" t="s">
        <v>745</v>
      </c>
      <c r="E209" t="s">
        <v>1042</v>
      </c>
      <c r="F209" t="s">
        <v>743</v>
      </c>
      <c r="G209" t="s">
        <v>547</v>
      </c>
      <c r="H209" s="5">
        <v>46204</v>
      </c>
      <c r="I209" t="s">
        <v>245</v>
      </c>
      <c r="J209" t="s">
        <v>408</v>
      </c>
      <c r="K209" t="s">
        <v>409</v>
      </c>
      <c r="L209">
        <v>1930300013744</v>
      </c>
      <c r="M209">
        <v>7012668082</v>
      </c>
      <c r="N209" t="s">
        <v>214</v>
      </c>
      <c r="O209" t="s">
        <v>245</v>
      </c>
      <c r="P209" t="s">
        <v>294</v>
      </c>
      <c r="Q209" t="s">
        <v>294</v>
      </c>
      <c r="R209" t="s">
        <v>445</v>
      </c>
      <c r="S209" t="s">
        <v>448</v>
      </c>
      <c r="T209" t="s">
        <v>411</v>
      </c>
      <c r="U209" t="s">
        <v>412</v>
      </c>
      <c r="V209" t="s">
        <v>413</v>
      </c>
      <c r="W209" t="s">
        <v>414</v>
      </c>
      <c r="X209">
        <v>46204</v>
      </c>
      <c r="Y209" t="s">
        <v>1043</v>
      </c>
      <c r="Z209" t="s">
        <v>302</v>
      </c>
      <c r="AA209" t="s">
        <v>1305</v>
      </c>
    </row>
    <row r="210" spans="1:27">
      <c r="A210">
        <v>351</v>
      </c>
      <c r="B210" t="s">
        <v>1044</v>
      </c>
      <c r="C210" t="s">
        <v>289</v>
      </c>
      <c r="D210" t="s">
        <v>1045</v>
      </c>
      <c r="E210" t="s">
        <v>1046</v>
      </c>
      <c r="F210" t="s">
        <v>743</v>
      </c>
      <c r="G210" t="s">
        <v>547</v>
      </c>
      <c r="H210" s="5">
        <v>46204</v>
      </c>
      <c r="I210" t="s">
        <v>247</v>
      </c>
      <c r="J210" t="s">
        <v>408</v>
      </c>
      <c r="K210" t="s">
        <v>409</v>
      </c>
      <c r="L210">
        <v>1739900475692</v>
      </c>
      <c r="M210">
        <v>7012710044</v>
      </c>
      <c r="N210" t="s">
        <v>213</v>
      </c>
      <c r="O210" t="s">
        <v>247</v>
      </c>
      <c r="P210" t="s">
        <v>294</v>
      </c>
      <c r="Q210" t="s">
        <v>294</v>
      </c>
      <c r="R210" t="s">
        <v>455</v>
      </c>
      <c r="S210" t="s">
        <v>458</v>
      </c>
      <c r="T210" t="s">
        <v>459</v>
      </c>
      <c r="U210" t="s">
        <v>460</v>
      </c>
      <c r="V210" t="s">
        <v>413</v>
      </c>
      <c r="W210" t="s">
        <v>414</v>
      </c>
      <c r="X210">
        <v>46205</v>
      </c>
      <c r="Y210" t="s">
        <v>1047</v>
      </c>
      <c r="Z210" t="s">
        <v>302</v>
      </c>
      <c r="AA210" t="s">
        <v>1307</v>
      </c>
    </row>
    <row r="211" spans="1:27">
      <c r="A211">
        <v>352</v>
      </c>
      <c r="B211" t="s">
        <v>1048</v>
      </c>
      <c r="C211" t="s">
        <v>307</v>
      </c>
      <c r="D211" t="s">
        <v>1049</v>
      </c>
      <c r="E211" t="s">
        <v>1050</v>
      </c>
      <c r="F211" t="s">
        <v>743</v>
      </c>
      <c r="G211" t="s">
        <v>547</v>
      </c>
      <c r="H211" s="5">
        <v>46204</v>
      </c>
      <c r="I211" t="s">
        <v>247</v>
      </c>
      <c r="J211" t="s">
        <v>408</v>
      </c>
      <c r="K211" t="s">
        <v>409</v>
      </c>
      <c r="L211">
        <v>3311100290313</v>
      </c>
      <c r="M211">
        <v>7009668377</v>
      </c>
      <c r="N211" t="s">
        <v>213</v>
      </c>
      <c r="O211" t="s">
        <v>247</v>
      </c>
      <c r="P211" t="s">
        <v>294</v>
      </c>
      <c r="Q211" t="s">
        <v>294</v>
      </c>
      <c r="R211" t="s">
        <v>455</v>
      </c>
      <c r="S211" t="s">
        <v>458</v>
      </c>
      <c r="T211" t="s">
        <v>459</v>
      </c>
      <c r="U211" t="s">
        <v>460</v>
      </c>
      <c r="V211" t="s">
        <v>413</v>
      </c>
      <c r="W211" t="s">
        <v>414</v>
      </c>
      <c r="X211">
        <v>46205</v>
      </c>
      <c r="Y211" t="s">
        <v>1051</v>
      </c>
      <c r="Z211" t="s">
        <v>302</v>
      </c>
      <c r="AA211" t="s">
        <v>1307</v>
      </c>
    </row>
    <row r="212" spans="1:27">
      <c r="A212">
        <v>353</v>
      </c>
      <c r="B212" t="s">
        <v>1052</v>
      </c>
      <c r="C212" t="s">
        <v>307</v>
      </c>
      <c r="D212" t="s">
        <v>1053</v>
      </c>
      <c r="E212" t="s">
        <v>464</v>
      </c>
      <c r="F212" t="s">
        <v>546</v>
      </c>
      <c r="G212" t="s">
        <v>929</v>
      </c>
      <c r="H212" s="5">
        <v>46204</v>
      </c>
      <c r="I212" t="s">
        <v>248</v>
      </c>
      <c r="J212" t="s">
        <v>408</v>
      </c>
      <c r="K212" t="s">
        <v>409</v>
      </c>
      <c r="L212">
        <v>1529902329091</v>
      </c>
      <c r="M212">
        <v>7015845203</v>
      </c>
      <c r="N212" t="s">
        <v>213</v>
      </c>
      <c r="O212" t="s">
        <v>248</v>
      </c>
      <c r="P212" t="s">
        <v>294</v>
      </c>
      <c r="Q212" t="s">
        <v>294</v>
      </c>
      <c r="R212" t="s">
        <v>462</v>
      </c>
      <c r="S212" t="s">
        <v>465</v>
      </c>
      <c r="T212" t="s">
        <v>459</v>
      </c>
      <c r="U212" t="s">
        <v>460</v>
      </c>
      <c r="V212" t="s">
        <v>413</v>
      </c>
      <c r="W212" t="s">
        <v>414</v>
      </c>
      <c r="X212">
        <v>46205</v>
      </c>
      <c r="Y212" t="s">
        <v>1054</v>
      </c>
      <c r="Z212" t="s">
        <v>302</v>
      </c>
      <c r="AA212" t="s">
        <v>1308</v>
      </c>
    </row>
    <row r="213" spans="1:27">
      <c r="A213">
        <v>354</v>
      </c>
      <c r="B213" t="s">
        <v>1055</v>
      </c>
      <c r="C213" t="s">
        <v>289</v>
      </c>
      <c r="D213" t="s">
        <v>1056</v>
      </c>
      <c r="E213" t="s">
        <v>1057</v>
      </c>
      <c r="F213" t="s">
        <v>743</v>
      </c>
      <c r="G213" t="s">
        <v>547</v>
      </c>
      <c r="H213" s="5">
        <v>46204</v>
      </c>
      <c r="I213" t="s">
        <v>261</v>
      </c>
      <c r="J213" t="s">
        <v>408</v>
      </c>
      <c r="K213" t="s">
        <v>409</v>
      </c>
      <c r="L213">
        <v>1539900235731</v>
      </c>
      <c r="M213">
        <v>7011091599</v>
      </c>
      <c r="N213" t="s">
        <v>214</v>
      </c>
      <c r="O213" t="s">
        <v>261</v>
      </c>
      <c r="P213" t="s">
        <v>294</v>
      </c>
      <c r="Q213" t="s">
        <v>294</v>
      </c>
      <c r="R213" t="s">
        <v>529</v>
      </c>
      <c r="S213" t="s">
        <v>532</v>
      </c>
      <c r="T213" t="s">
        <v>459</v>
      </c>
      <c r="U213" t="s">
        <v>460</v>
      </c>
      <c r="V213" t="s">
        <v>413</v>
      </c>
      <c r="W213" t="s">
        <v>414</v>
      </c>
      <c r="X213">
        <v>46205</v>
      </c>
      <c r="Y213" t="s">
        <v>1058</v>
      </c>
      <c r="Z213" t="s">
        <v>302</v>
      </c>
      <c r="AA213" t="s">
        <v>1321</v>
      </c>
    </row>
    <row r="214" spans="1:27">
      <c r="A214">
        <v>355</v>
      </c>
      <c r="B214" t="s">
        <v>1059</v>
      </c>
      <c r="C214" t="s">
        <v>289</v>
      </c>
      <c r="D214" t="s">
        <v>787</v>
      </c>
      <c r="E214" t="s">
        <v>1060</v>
      </c>
      <c r="F214" t="s">
        <v>743</v>
      </c>
      <c r="G214" t="s">
        <v>547</v>
      </c>
      <c r="H214" s="5">
        <v>46204</v>
      </c>
      <c r="I214" t="s">
        <v>254</v>
      </c>
      <c r="J214" t="s">
        <v>408</v>
      </c>
      <c r="K214" t="s">
        <v>409</v>
      </c>
      <c r="L214">
        <v>1141000053846</v>
      </c>
      <c r="M214">
        <v>7012898695</v>
      </c>
      <c r="N214" t="s">
        <v>213</v>
      </c>
      <c r="O214" t="s">
        <v>254</v>
      </c>
      <c r="P214" t="s">
        <v>294</v>
      </c>
      <c r="Q214" t="s">
        <v>294</v>
      </c>
      <c r="R214" t="s">
        <v>493</v>
      </c>
      <c r="S214" t="s">
        <v>496</v>
      </c>
      <c r="T214" t="s">
        <v>470</v>
      </c>
      <c r="U214" t="s">
        <v>471</v>
      </c>
      <c r="V214" t="s">
        <v>413</v>
      </c>
      <c r="W214" t="s">
        <v>414</v>
      </c>
      <c r="X214">
        <v>46205</v>
      </c>
      <c r="Y214" t="s">
        <v>1061</v>
      </c>
      <c r="Z214" t="s">
        <v>302</v>
      </c>
      <c r="AA214" t="s">
        <v>1314</v>
      </c>
    </row>
    <row r="215" spans="1:27">
      <c r="A215">
        <v>356</v>
      </c>
      <c r="B215" t="s">
        <v>1062</v>
      </c>
      <c r="C215" t="s">
        <v>289</v>
      </c>
      <c r="D215" t="s">
        <v>1063</v>
      </c>
      <c r="E215" t="s">
        <v>1064</v>
      </c>
      <c r="F215" t="s">
        <v>546</v>
      </c>
      <c r="G215" t="s">
        <v>929</v>
      </c>
      <c r="H215" s="5">
        <v>46204</v>
      </c>
      <c r="I215" t="s">
        <v>249</v>
      </c>
      <c r="J215" t="s">
        <v>408</v>
      </c>
      <c r="K215" t="s">
        <v>409</v>
      </c>
      <c r="L215">
        <v>1209700075181</v>
      </c>
      <c r="M215">
        <v>7015800220</v>
      </c>
      <c r="N215" t="s">
        <v>214</v>
      </c>
      <c r="O215" t="s">
        <v>249</v>
      </c>
      <c r="P215" t="s">
        <v>294</v>
      </c>
      <c r="Q215" t="s">
        <v>294</v>
      </c>
      <c r="R215" t="s">
        <v>467</v>
      </c>
      <c r="S215" t="s">
        <v>469</v>
      </c>
      <c r="T215" t="s">
        <v>470</v>
      </c>
      <c r="U215" t="s">
        <v>471</v>
      </c>
      <c r="V215" t="s">
        <v>413</v>
      </c>
      <c r="W215" t="s">
        <v>414</v>
      </c>
      <c r="X215">
        <v>46205</v>
      </c>
      <c r="Y215" t="s">
        <v>1065</v>
      </c>
      <c r="Z215" t="s">
        <v>302</v>
      </c>
      <c r="AA215" t="s">
        <v>1309</v>
      </c>
    </row>
    <row r="216" spans="1:27">
      <c r="A216">
        <v>357</v>
      </c>
      <c r="B216" t="s">
        <v>1066</v>
      </c>
      <c r="C216" t="s">
        <v>307</v>
      </c>
      <c r="D216" t="s">
        <v>1067</v>
      </c>
      <c r="E216" t="s">
        <v>511</v>
      </c>
      <c r="F216" t="s">
        <v>546</v>
      </c>
      <c r="G216" t="s">
        <v>929</v>
      </c>
      <c r="H216" s="5">
        <v>46204</v>
      </c>
      <c r="I216" t="s">
        <v>257</v>
      </c>
      <c r="J216" t="s">
        <v>408</v>
      </c>
      <c r="K216" t="s">
        <v>409</v>
      </c>
      <c r="L216">
        <v>3110101465380</v>
      </c>
      <c r="M216">
        <v>7015773445</v>
      </c>
      <c r="N216" t="s">
        <v>213</v>
      </c>
      <c r="O216" t="s">
        <v>257</v>
      </c>
      <c r="P216" t="s">
        <v>294</v>
      </c>
      <c r="Q216" t="s">
        <v>294</v>
      </c>
      <c r="R216" t="s">
        <v>508</v>
      </c>
      <c r="S216" t="s">
        <v>512</v>
      </c>
      <c r="T216" t="s">
        <v>437</v>
      </c>
      <c r="U216" t="s">
        <v>438</v>
      </c>
      <c r="V216" t="s">
        <v>413</v>
      </c>
      <c r="W216" t="s">
        <v>414</v>
      </c>
      <c r="X216">
        <v>46204</v>
      </c>
      <c r="Y216" t="s">
        <v>1068</v>
      </c>
      <c r="Z216" t="s">
        <v>302</v>
      </c>
      <c r="AA216" t="s">
        <v>1317</v>
      </c>
    </row>
    <row r="217" spans="1:27">
      <c r="A217">
        <v>358</v>
      </c>
      <c r="B217" t="s">
        <v>1069</v>
      </c>
      <c r="C217" t="s">
        <v>289</v>
      </c>
      <c r="D217" t="s">
        <v>1070</v>
      </c>
      <c r="E217" t="s">
        <v>1071</v>
      </c>
      <c r="F217" t="s">
        <v>743</v>
      </c>
      <c r="G217" t="s">
        <v>547</v>
      </c>
      <c r="H217" s="5">
        <v>46204</v>
      </c>
      <c r="I217" t="s">
        <v>257</v>
      </c>
      <c r="J217" t="s">
        <v>408</v>
      </c>
      <c r="K217" t="s">
        <v>409</v>
      </c>
      <c r="L217">
        <v>1101800095594</v>
      </c>
      <c r="M217">
        <v>7012423102</v>
      </c>
      <c r="N217" t="s">
        <v>213</v>
      </c>
      <c r="O217" t="s">
        <v>257</v>
      </c>
      <c r="P217" t="s">
        <v>294</v>
      </c>
      <c r="Q217" t="s">
        <v>294</v>
      </c>
      <c r="R217" t="s">
        <v>508</v>
      </c>
      <c r="S217" t="s">
        <v>512</v>
      </c>
      <c r="T217" t="s">
        <v>437</v>
      </c>
      <c r="U217" t="s">
        <v>438</v>
      </c>
      <c r="V217" t="s">
        <v>413</v>
      </c>
      <c r="W217" t="s">
        <v>414</v>
      </c>
      <c r="X217">
        <v>46204</v>
      </c>
      <c r="Y217" t="s">
        <v>1072</v>
      </c>
      <c r="Z217" t="s">
        <v>302</v>
      </c>
      <c r="AA217" t="s">
        <v>1317</v>
      </c>
    </row>
    <row r="218" spans="1:27">
      <c r="A218">
        <v>359</v>
      </c>
      <c r="B218" t="s">
        <v>1073</v>
      </c>
      <c r="C218" t="s">
        <v>289</v>
      </c>
      <c r="D218" t="s">
        <v>1074</v>
      </c>
      <c r="E218" t="s">
        <v>1075</v>
      </c>
      <c r="F218" t="s">
        <v>743</v>
      </c>
      <c r="G218" t="s">
        <v>547</v>
      </c>
      <c r="H218" s="5">
        <v>46204</v>
      </c>
      <c r="I218" t="s">
        <v>258</v>
      </c>
      <c r="J218" t="s">
        <v>408</v>
      </c>
      <c r="K218" t="s">
        <v>409</v>
      </c>
      <c r="L218">
        <v>3330500980022</v>
      </c>
      <c r="M218">
        <v>7009861356</v>
      </c>
      <c r="N218" t="s">
        <v>213</v>
      </c>
      <c r="O218" t="s">
        <v>258</v>
      </c>
      <c r="P218" t="s">
        <v>294</v>
      </c>
      <c r="Q218" t="s">
        <v>294</v>
      </c>
      <c r="R218" t="s">
        <v>514</v>
      </c>
      <c r="S218" t="s">
        <v>517</v>
      </c>
      <c r="T218" t="s">
        <v>437</v>
      </c>
      <c r="U218" t="s">
        <v>438</v>
      </c>
      <c r="V218" t="s">
        <v>413</v>
      </c>
      <c r="W218" t="s">
        <v>414</v>
      </c>
      <c r="X218">
        <v>46204</v>
      </c>
      <c r="Y218" t="s">
        <v>1076</v>
      </c>
      <c r="Z218" t="s">
        <v>302</v>
      </c>
      <c r="AA218" t="s">
        <v>1318</v>
      </c>
    </row>
    <row r="219" spans="1:27">
      <c r="A219">
        <v>360</v>
      </c>
      <c r="B219" t="s">
        <v>1077</v>
      </c>
      <c r="C219" t="s">
        <v>289</v>
      </c>
      <c r="D219" t="s">
        <v>1078</v>
      </c>
      <c r="E219" t="s">
        <v>1079</v>
      </c>
      <c r="F219" t="s">
        <v>743</v>
      </c>
      <c r="G219" t="s">
        <v>547</v>
      </c>
      <c r="H219" s="5">
        <v>46204</v>
      </c>
      <c r="I219" t="s">
        <v>258</v>
      </c>
      <c r="J219" t="s">
        <v>408</v>
      </c>
      <c r="K219" t="s">
        <v>409</v>
      </c>
      <c r="L219">
        <v>1101200174540</v>
      </c>
      <c r="M219">
        <v>7013282274</v>
      </c>
      <c r="N219" t="s">
        <v>213</v>
      </c>
      <c r="O219" t="s">
        <v>258</v>
      </c>
      <c r="P219" t="s">
        <v>294</v>
      </c>
      <c r="Q219" t="s">
        <v>294</v>
      </c>
      <c r="R219" t="s">
        <v>514</v>
      </c>
      <c r="S219" t="s">
        <v>517</v>
      </c>
      <c r="T219" t="s">
        <v>437</v>
      </c>
      <c r="U219" t="s">
        <v>438</v>
      </c>
      <c r="V219" t="s">
        <v>413</v>
      </c>
      <c r="W219" t="s">
        <v>414</v>
      </c>
      <c r="X219">
        <v>46204</v>
      </c>
      <c r="Y219" t="s">
        <v>1080</v>
      </c>
      <c r="Z219" t="s">
        <v>302</v>
      </c>
      <c r="AA219" t="s">
        <v>1318</v>
      </c>
    </row>
    <row r="220" spans="1:27">
      <c r="A220">
        <v>361</v>
      </c>
      <c r="B220" t="s">
        <v>1081</v>
      </c>
      <c r="C220" t="s">
        <v>289</v>
      </c>
      <c r="D220" t="s">
        <v>1082</v>
      </c>
      <c r="E220" t="s">
        <v>1083</v>
      </c>
      <c r="F220" t="s">
        <v>743</v>
      </c>
      <c r="G220" t="s">
        <v>547</v>
      </c>
      <c r="H220" s="5">
        <v>46204</v>
      </c>
      <c r="I220" t="s">
        <v>260</v>
      </c>
      <c r="J220" t="s">
        <v>408</v>
      </c>
      <c r="K220" t="s">
        <v>409</v>
      </c>
      <c r="L220">
        <v>3209800123701</v>
      </c>
      <c r="M220">
        <v>7003467112</v>
      </c>
      <c r="N220" t="s">
        <v>214</v>
      </c>
      <c r="O220" t="s">
        <v>260</v>
      </c>
      <c r="P220" t="s">
        <v>294</v>
      </c>
      <c r="Q220" t="s">
        <v>294</v>
      </c>
      <c r="R220" t="s">
        <v>524</v>
      </c>
      <c r="S220" t="s">
        <v>527</v>
      </c>
      <c r="T220" t="s">
        <v>437</v>
      </c>
      <c r="U220" t="s">
        <v>438</v>
      </c>
      <c r="V220" t="s">
        <v>413</v>
      </c>
      <c r="W220" t="s">
        <v>414</v>
      </c>
      <c r="X220">
        <v>46204</v>
      </c>
      <c r="Y220" t="s">
        <v>1084</v>
      </c>
      <c r="Z220" t="s">
        <v>302</v>
      </c>
      <c r="AA220" t="s">
        <v>1320</v>
      </c>
    </row>
    <row r="221" spans="1:27">
      <c r="A221">
        <v>362</v>
      </c>
      <c r="B221" t="s">
        <v>1085</v>
      </c>
      <c r="C221" t="s">
        <v>509</v>
      </c>
      <c r="D221" t="s">
        <v>1086</v>
      </c>
      <c r="E221" t="s">
        <v>1087</v>
      </c>
      <c r="F221" t="s">
        <v>546</v>
      </c>
      <c r="G221" t="s">
        <v>929</v>
      </c>
      <c r="H221" s="5">
        <v>46204</v>
      </c>
      <c r="I221" t="s">
        <v>259</v>
      </c>
      <c r="J221" t="s">
        <v>408</v>
      </c>
      <c r="K221" t="s">
        <v>409</v>
      </c>
      <c r="L221">
        <v>3200900153388</v>
      </c>
      <c r="M221">
        <v>7015783886</v>
      </c>
      <c r="N221" t="s">
        <v>213</v>
      </c>
      <c r="O221" t="s">
        <v>259</v>
      </c>
      <c r="P221" t="s">
        <v>294</v>
      </c>
      <c r="Q221" t="s">
        <v>294</v>
      </c>
      <c r="R221" t="s">
        <v>519</v>
      </c>
      <c r="S221" t="s">
        <v>522</v>
      </c>
      <c r="T221" t="s">
        <v>420</v>
      </c>
      <c r="U221" t="s">
        <v>421</v>
      </c>
      <c r="V221" t="s">
        <v>413</v>
      </c>
      <c r="W221" t="s">
        <v>414</v>
      </c>
      <c r="X221">
        <v>46204</v>
      </c>
      <c r="Y221" t="s">
        <v>1088</v>
      </c>
      <c r="Z221" t="s">
        <v>302</v>
      </c>
      <c r="AA221" t="s">
        <v>1319</v>
      </c>
    </row>
    <row r="222" spans="1:27">
      <c r="A222">
        <v>363</v>
      </c>
      <c r="B222" t="s">
        <v>1089</v>
      </c>
      <c r="C222" t="s">
        <v>289</v>
      </c>
      <c r="D222" t="s">
        <v>1090</v>
      </c>
      <c r="E222" t="s">
        <v>1091</v>
      </c>
      <c r="F222" t="s">
        <v>743</v>
      </c>
      <c r="G222" t="s">
        <v>547</v>
      </c>
      <c r="H222" s="5">
        <v>46204</v>
      </c>
      <c r="I222" t="s">
        <v>240</v>
      </c>
      <c r="J222" t="s">
        <v>408</v>
      </c>
      <c r="K222" t="s">
        <v>409</v>
      </c>
      <c r="L222">
        <v>1410500083091</v>
      </c>
      <c r="M222">
        <v>7013636952</v>
      </c>
      <c r="N222" t="s">
        <v>213</v>
      </c>
      <c r="O222" t="s">
        <v>240</v>
      </c>
      <c r="P222" t="s">
        <v>294</v>
      </c>
      <c r="Q222" t="s">
        <v>294</v>
      </c>
      <c r="R222" t="s">
        <v>416</v>
      </c>
      <c r="S222" t="s">
        <v>419</v>
      </c>
      <c r="T222" t="s">
        <v>420</v>
      </c>
      <c r="U222" t="s">
        <v>421</v>
      </c>
      <c r="V222" t="s">
        <v>413</v>
      </c>
      <c r="W222" t="s">
        <v>414</v>
      </c>
      <c r="X222">
        <v>46204</v>
      </c>
      <c r="Y222" t="s">
        <v>1092</v>
      </c>
      <c r="Z222" t="s">
        <v>302</v>
      </c>
      <c r="AA222" t="s">
        <v>1300</v>
      </c>
    </row>
    <row r="223" spans="1:27">
      <c r="A223">
        <v>364</v>
      </c>
      <c r="B223" t="s">
        <v>1093</v>
      </c>
      <c r="C223" t="s">
        <v>289</v>
      </c>
      <c r="D223" t="s">
        <v>1094</v>
      </c>
      <c r="E223" t="s">
        <v>1095</v>
      </c>
      <c r="F223" t="s">
        <v>546</v>
      </c>
      <c r="G223" t="s">
        <v>929</v>
      </c>
      <c r="H223" s="5">
        <v>46204</v>
      </c>
      <c r="I223" t="s">
        <v>240</v>
      </c>
      <c r="J223" t="s">
        <v>408</v>
      </c>
      <c r="K223" t="s">
        <v>409</v>
      </c>
      <c r="L223">
        <v>3730500004461</v>
      </c>
      <c r="M223">
        <v>7015784302</v>
      </c>
      <c r="N223" t="s">
        <v>213</v>
      </c>
      <c r="O223" t="s">
        <v>240</v>
      </c>
      <c r="P223" t="s">
        <v>294</v>
      </c>
      <c r="Q223" t="s">
        <v>294</v>
      </c>
      <c r="R223" t="s">
        <v>416</v>
      </c>
      <c r="S223" t="s">
        <v>419</v>
      </c>
      <c r="T223" t="s">
        <v>420</v>
      </c>
      <c r="U223" t="s">
        <v>421</v>
      </c>
      <c r="V223" t="s">
        <v>413</v>
      </c>
      <c r="W223" t="s">
        <v>414</v>
      </c>
      <c r="X223">
        <v>46204</v>
      </c>
      <c r="Y223" t="s">
        <v>1096</v>
      </c>
      <c r="Z223" t="s">
        <v>302</v>
      </c>
      <c r="AA223" t="s">
        <v>1300</v>
      </c>
    </row>
    <row r="224" spans="1:27">
      <c r="A224">
        <v>365</v>
      </c>
      <c r="B224" t="s">
        <v>1097</v>
      </c>
      <c r="C224" t="s">
        <v>509</v>
      </c>
      <c r="D224" t="s">
        <v>1098</v>
      </c>
      <c r="E224" t="s">
        <v>1099</v>
      </c>
      <c r="F224" t="s">
        <v>546</v>
      </c>
      <c r="G224" t="s">
        <v>929</v>
      </c>
      <c r="H224" s="5">
        <v>46204</v>
      </c>
      <c r="I224" t="s">
        <v>246</v>
      </c>
      <c r="J224" t="s">
        <v>408</v>
      </c>
      <c r="K224" t="s">
        <v>409</v>
      </c>
      <c r="L224">
        <v>3471100317300</v>
      </c>
      <c r="M224">
        <v>7015852481</v>
      </c>
      <c r="N224" t="s">
        <v>214</v>
      </c>
      <c r="O224" t="s">
        <v>246</v>
      </c>
      <c r="P224" t="s">
        <v>294</v>
      </c>
      <c r="Q224" t="s">
        <v>294</v>
      </c>
      <c r="R224" t="s">
        <v>450</v>
      </c>
      <c r="S224" t="s">
        <v>453</v>
      </c>
      <c r="T224" t="s">
        <v>420</v>
      </c>
      <c r="U224" t="s">
        <v>421</v>
      </c>
      <c r="V224" t="s">
        <v>413</v>
      </c>
      <c r="W224" t="s">
        <v>414</v>
      </c>
      <c r="X224">
        <v>46204</v>
      </c>
      <c r="Y224" t="s">
        <v>1100</v>
      </c>
      <c r="Z224" t="s">
        <v>302</v>
      </c>
      <c r="AA224" t="s">
        <v>1306</v>
      </c>
    </row>
    <row r="225" spans="1:27">
      <c r="A225">
        <v>366</v>
      </c>
      <c r="B225" t="s">
        <v>1101</v>
      </c>
      <c r="C225" t="s">
        <v>289</v>
      </c>
      <c r="D225" t="s">
        <v>864</v>
      </c>
      <c r="E225" t="s">
        <v>1102</v>
      </c>
      <c r="F225" t="s">
        <v>546</v>
      </c>
      <c r="G225" t="s">
        <v>929</v>
      </c>
      <c r="H225" s="5">
        <v>46204</v>
      </c>
      <c r="I225" t="s">
        <v>246</v>
      </c>
      <c r="J225" t="s">
        <v>408</v>
      </c>
      <c r="K225" t="s">
        <v>409</v>
      </c>
      <c r="L225">
        <v>1309900946567</v>
      </c>
      <c r="M225">
        <v>7015852336</v>
      </c>
      <c r="N225" t="s">
        <v>214</v>
      </c>
      <c r="O225" t="s">
        <v>246</v>
      </c>
      <c r="P225" t="s">
        <v>294</v>
      </c>
      <c r="Q225" t="s">
        <v>294</v>
      </c>
      <c r="R225" t="s">
        <v>450</v>
      </c>
      <c r="S225" t="s">
        <v>453</v>
      </c>
      <c r="T225" t="s">
        <v>420</v>
      </c>
      <c r="U225" t="s">
        <v>421</v>
      </c>
      <c r="V225" t="s">
        <v>413</v>
      </c>
      <c r="W225" t="s">
        <v>414</v>
      </c>
      <c r="X225">
        <v>46204</v>
      </c>
      <c r="Y225" t="s">
        <v>1103</v>
      </c>
      <c r="Z225" t="s">
        <v>302</v>
      </c>
      <c r="AA225" t="s">
        <v>1306</v>
      </c>
    </row>
    <row r="226" spans="1:27">
      <c r="A226">
        <v>367</v>
      </c>
      <c r="B226" t="s">
        <v>1104</v>
      </c>
      <c r="C226" t="s">
        <v>289</v>
      </c>
      <c r="D226" t="s">
        <v>1105</v>
      </c>
      <c r="E226" t="s">
        <v>1106</v>
      </c>
      <c r="F226" t="s">
        <v>743</v>
      </c>
      <c r="G226" t="s">
        <v>547</v>
      </c>
      <c r="H226" s="5">
        <v>46204</v>
      </c>
      <c r="I226" t="s">
        <v>263</v>
      </c>
      <c r="J226" t="s">
        <v>408</v>
      </c>
      <c r="K226" t="s">
        <v>409</v>
      </c>
      <c r="L226">
        <v>1349900397997</v>
      </c>
      <c r="M226">
        <v>7012331443</v>
      </c>
      <c r="N226" t="s">
        <v>214</v>
      </c>
      <c r="O226" t="s">
        <v>263</v>
      </c>
      <c r="P226" t="s">
        <v>294</v>
      </c>
      <c r="Q226" t="s">
        <v>294</v>
      </c>
      <c r="R226" t="s">
        <v>539</v>
      </c>
      <c r="S226" t="s">
        <v>542</v>
      </c>
      <c r="T226" t="s">
        <v>420</v>
      </c>
      <c r="U226" t="s">
        <v>421</v>
      </c>
      <c r="V226" t="s">
        <v>413</v>
      </c>
      <c r="W226" t="s">
        <v>414</v>
      </c>
      <c r="X226">
        <v>46204</v>
      </c>
      <c r="Y226" t="s">
        <v>1107</v>
      </c>
      <c r="Z226" t="s">
        <v>302</v>
      </c>
      <c r="AA226" t="s">
        <v>1323</v>
      </c>
    </row>
    <row r="227" spans="1:27">
      <c r="A227">
        <v>368</v>
      </c>
      <c r="B227" t="s">
        <v>1108</v>
      </c>
      <c r="C227" t="s">
        <v>307</v>
      </c>
      <c r="D227" t="s">
        <v>1109</v>
      </c>
      <c r="E227" t="s">
        <v>1110</v>
      </c>
      <c r="F227" t="s">
        <v>546</v>
      </c>
      <c r="G227" t="s">
        <v>929</v>
      </c>
      <c r="H227" s="5">
        <v>46204</v>
      </c>
      <c r="I227" t="s">
        <v>244</v>
      </c>
      <c r="J227" t="s">
        <v>408</v>
      </c>
      <c r="K227" t="s">
        <v>409</v>
      </c>
      <c r="L227">
        <v>1809900031866</v>
      </c>
      <c r="M227">
        <v>7015823546</v>
      </c>
      <c r="N227" t="s">
        <v>213</v>
      </c>
      <c r="O227" t="s">
        <v>244</v>
      </c>
      <c r="P227" t="s">
        <v>294</v>
      </c>
      <c r="Q227" t="s">
        <v>294</v>
      </c>
      <c r="R227" t="s">
        <v>440</v>
      </c>
      <c r="S227" t="s">
        <v>443</v>
      </c>
      <c r="T227" t="s">
        <v>411</v>
      </c>
      <c r="U227" t="s">
        <v>412</v>
      </c>
      <c r="V227" t="s">
        <v>413</v>
      </c>
      <c r="W227" t="s">
        <v>414</v>
      </c>
      <c r="X227">
        <v>46204</v>
      </c>
      <c r="Y227" t="s">
        <v>1111</v>
      </c>
      <c r="Z227" t="s">
        <v>302</v>
      </c>
      <c r="AA227" t="s">
        <v>1304</v>
      </c>
    </row>
    <row r="228" spans="1:27">
      <c r="A228">
        <v>369</v>
      </c>
      <c r="B228" t="s">
        <v>1112</v>
      </c>
      <c r="C228" t="s">
        <v>289</v>
      </c>
      <c r="D228" t="s">
        <v>1113</v>
      </c>
      <c r="E228" t="s">
        <v>1114</v>
      </c>
      <c r="F228" t="s">
        <v>546</v>
      </c>
      <c r="G228" t="s">
        <v>929</v>
      </c>
      <c r="H228" s="5">
        <v>46204</v>
      </c>
      <c r="I228" t="s">
        <v>244</v>
      </c>
      <c r="J228" t="s">
        <v>408</v>
      </c>
      <c r="K228" t="s">
        <v>409</v>
      </c>
      <c r="L228">
        <v>1200100335167</v>
      </c>
      <c r="M228">
        <v>7012107575</v>
      </c>
      <c r="N228" t="s">
        <v>213</v>
      </c>
      <c r="O228" t="s">
        <v>244</v>
      </c>
      <c r="P228" t="s">
        <v>294</v>
      </c>
      <c r="Q228" t="s">
        <v>294</v>
      </c>
      <c r="R228" t="s">
        <v>440</v>
      </c>
      <c r="S228" t="s">
        <v>443</v>
      </c>
      <c r="T228" t="s">
        <v>411</v>
      </c>
      <c r="U228" t="s">
        <v>412</v>
      </c>
      <c r="V228" t="s">
        <v>413</v>
      </c>
      <c r="W228" t="s">
        <v>414</v>
      </c>
      <c r="X228">
        <v>46204</v>
      </c>
      <c r="Y228" t="s">
        <v>1115</v>
      </c>
      <c r="Z228" t="s">
        <v>302</v>
      </c>
      <c r="AA228" t="s">
        <v>1304</v>
      </c>
    </row>
    <row r="229" spans="1:27">
      <c r="A229">
        <v>370</v>
      </c>
      <c r="B229" t="s">
        <v>1116</v>
      </c>
      <c r="C229" t="s">
        <v>289</v>
      </c>
      <c r="D229" t="s">
        <v>1117</v>
      </c>
      <c r="E229" t="s">
        <v>1118</v>
      </c>
      <c r="F229" t="s">
        <v>546</v>
      </c>
      <c r="G229" t="s">
        <v>929</v>
      </c>
      <c r="H229" s="5">
        <v>46204</v>
      </c>
      <c r="I229" t="s">
        <v>244</v>
      </c>
      <c r="J229" t="s">
        <v>408</v>
      </c>
      <c r="K229" t="s">
        <v>409</v>
      </c>
      <c r="L229">
        <v>1209700010488</v>
      </c>
      <c r="M229">
        <v>7008435090</v>
      </c>
      <c r="N229" t="s">
        <v>213</v>
      </c>
      <c r="O229" t="s">
        <v>244</v>
      </c>
      <c r="P229" t="s">
        <v>294</v>
      </c>
      <c r="Q229" t="s">
        <v>294</v>
      </c>
      <c r="R229" t="s">
        <v>440</v>
      </c>
      <c r="S229" t="s">
        <v>443</v>
      </c>
      <c r="T229" t="s">
        <v>411</v>
      </c>
      <c r="U229" t="s">
        <v>412</v>
      </c>
      <c r="V229" t="s">
        <v>413</v>
      </c>
      <c r="W229" t="s">
        <v>414</v>
      </c>
      <c r="X229">
        <v>46204</v>
      </c>
      <c r="Y229" t="s">
        <v>1119</v>
      </c>
      <c r="Z229" t="s">
        <v>302</v>
      </c>
      <c r="AA229" t="s">
        <v>1304</v>
      </c>
    </row>
    <row r="230" spans="1:27">
      <c r="A230">
        <v>371</v>
      </c>
      <c r="B230" t="s">
        <v>1120</v>
      </c>
      <c r="C230" t="s">
        <v>307</v>
      </c>
      <c r="D230" t="s">
        <v>1121</v>
      </c>
      <c r="E230" t="s">
        <v>1122</v>
      </c>
      <c r="F230" t="s">
        <v>743</v>
      </c>
      <c r="G230" t="s">
        <v>547</v>
      </c>
      <c r="H230" s="5">
        <v>46204</v>
      </c>
      <c r="I230" t="s">
        <v>245</v>
      </c>
      <c r="J230" t="s">
        <v>408</v>
      </c>
      <c r="K230" t="s">
        <v>409</v>
      </c>
      <c r="L230">
        <v>1909800060669</v>
      </c>
      <c r="M230">
        <v>7009787208</v>
      </c>
      <c r="N230" t="s">
        <v>214</v>
      </c>
      <c r="O230" t="s">
        <v>245</v>
      </c>
      <c r="P230" t="s">
        <v>294</v>
      </c>
      <c r="Q230" t="s">
        <v>294</v>
      </c>
      <c r="R230" t="s">
        <v>445</v>
      </c>
      <c r="S230" t="s">
        <v>448</v>
      </c>
      <c r="T230" t="s">
        <v>411</v>
      </c>
      <c r="U230" t="s">
        <v>412</v>
      </c>
      <c r="V230" t="s">
        <v>413</v>
      </c>
      <c r="W230" t="s">
        <v>414</v>
      </c>
      <c r="X230">
        <v>46204</v>
      </c>
      <c r="Y230" t="s">
        <v>1123</v>
      </c>
      <c r="Z230" t="s">
        <v>302</v>
      </c>
      <c r="AA230" t="s">
        <v>1305</v>
      </c>
    </row>
    <row r="231" spans="1:27">
      <c r="A231">
        <v>372</v>
      </c>
      <c r="B231" t="s">
        <v>1124</v>
      </c>
      <c r="C231" t="s">
        <v>289</v>
      </c>
      <c r="D231" t="s">
        <v>1125</v>
      </c>
      <c r="E231" t="s">
        <v>1126</v>
      </c>
      <c r="F231" t="s">
        <v>546</v>
      </c>
      <c r="G231" t="s">
        <v>929</v>
      </c>
      <c r="H231" s="5">
        <v>46204</v>
      </c>
      <c r="I231" t="s">
        <v>242</v>
      </c>
      <c r="J231" t="s">
        <v>408</v>
      </c>
      <c r="K231" t="s">
        <v>409</v>
      </c>
      <c r="L231">
        <v>3101801029834</v>
      </c>
      <c r="M231">
        <v>7015777748</v>
      </c>
      <c r="N231" t="s">
        <v>214</v>
      </c>
      <c r="O231" t="s">
        <v>242</v>
      </c>
      <c r="P231" t="s">
        <v>294</v>
      </c>
      <c r="Q231" t="s">
        <v>294</v>
      </c>
      <c r="R231" t="s">
        <v>428</v>
      </c>
      <c r="S231" t="s">
        <v>431</v>
      </c>
      <c r="T231" t="s">
        <v>411</v>
      </c>
      <c r="U231" t="s">
        <v>412</v>
      </c>
      <c r="V231" t="s">
        <v>413</v>
      </c>
      <c r="W231" t="s">
        <v>414</v>
      </c>
      <c r="X231">
        <v>46204</v>
      </c>
      <c r="Y231" t="s">
        <v>1127</v>
      </c>
      <c r="Z231" t="s">
        <v>302</v>
      </c>
      <c r="AA231" t="s">
        <v>1302</v>
      </c>
    </row>
    <row r="232" spans="1:27">
      <c r="A232">
        <v>373</v>
      </c>
      <c r="B232" t="s">
        <v>1128</v>
      </c>
      <c r="C232" t="s">
        <v>289</v>
      </c>
      <c r="D232" t="s">
        <v>1129</v>
      </c>
      <c r="E232" t="s">
        <v>1130</v>
      </c>
      <c r="F232" t="s">
        <v>546</v>
      </c>
      <c r="G232" t="s">
        <v>929</v>
      </c>
      <c r="H232" s="5">
        <v>46204</v>
      </c>
      <c r="I232" t="s">
        <v>242</v>
      </c>
      <c r="J232" t="s">
        <v>408</v>
      </c>
      <c r="K232" t="s">
        <v>409</v>
      </c>
      <c r="L232">
        <v>3229700058100</v>
      </c>
      <c r="M232">
        <v>7015780330</v>
      </c>
      <c r="N232" t="s">
        <v>214</v>
      </c>
      <c r="O232" t="s">
        <v>242</v>
      </c>
      <c r="P232" t="s">
        <v>294</v>
      </c>
      <c r="Q232" t="s">
        <v>294</v>
      </c>
      <c r="R232" t="s">
        <v>428</v>
      </c>
      <c r="S232" t="s">
        <v>431</v>
      </c>
      <c r="T232" t="s">
        <v>411</v>
      </c>
      <c r="U232" t="s">
        <v>412</v>
      </c>
      <c r="V232" t="s">
        <v>413</v>
      </c>
      <c r="W232" t="s">
        <v>414</v>
      </c>
      <c r="X232">
        <v>46204</v>
      </c>
      <c r="Y232" t="s">
        <v>1131</v>
      </c>
      <c r="Z232" t="s">
        <v>302</v>
      </c>
      <c r="AA232" t="s">
        <v>1302</v>
      </c>
    </row>
    <row r="233" spans="1:27">
      <c r="A233">
        <v>374</v>
      </c>
      <c r="B233" t="s">
        <v>1132</v>
      </c>
      <c r="C233" t="s">
        <v>307</v>
      </c>
      <c r="D233" t="s">
        <v>1133</v>
      </c>
      <c r="E233" t="s">
        <v>1134</v>
      </c>
      <c r="F233" t="s">
        <v>546</v>
      </c>
      <c r="G233" t="s">
        <v>929</v>
      </c>
      <c r="H233" s="5">
        <v>46204</v>
      </c>
      <c r="I233" t="s">
        <v>242</v>
      </c>
      <c r="J233" t="s">
        <v>408</v>
      </c>
      <c r="K233" t="s">
        <v>409</v>
      </c>
      <c r="L233">
        <v>3199700042247</v>
      </c>
      <c r="M233">
        <v>7015801946</v>
      </c>
      <c r="N233" t="s">
        <v>214</v>
      </c>
      <c r="O233" t="s">
        <v>242</v>
      </c>
      <c r="P233" t="s">
        <v>294</v>
      </c>
      <c r="Q233" t="s">
        <v>294</v>
      </c>
      <c r="R233" t="s">
        <v>428</v>
      </c>
      <c r="S233" t="s">
        <v>431</v>
      </c>
      <c r="T233" t="s">
        <v>411</v>
      </c>
      <c r="U233" t="s">
        <v>412</v>
      </c>
      <c r="V233" t="s">
        <v>413</v>
      </c>
      <c r="W233" t="s">
        <v>414</v>
      </c>
      <c r="X233">
        <v>46204</v>
      </c>
      <c r="Y233" t="s">
        <v>1135</v>
      </c>
      <c r="Z233" t="s">
        <v>302</v>
      </c>
      <c r="AA233" t="s">
        <v>1302</v>
      </c>
    </row>
    <row r="234" spans="1:27">
      <c r="A234">
        <v>375</v>
      </c>
      <c r="B234" t="s">
        <v>1136</v>
      </c>
      <c r="C234" t="s">
        <v>307</v>
      </c>
      <c r="D234" t="s">
        <v>1137</v>
      </c>
      <c r="E234" t="s">
        <v>1138</v>
      </c>
      <c r="F234" t="s">
        <v>546</v>
      </c>
      <c r="G234" t="s">
        <v>929</v>
      </c>
      <c r="H234" s="5">
        <v>46204</v>
      </c>
      <c r="I234" t="s">
        <v>242</v>
      </c>
      <c r="J234" t="s">
        <v>408</v>
      </c>
      <c r="K234" t="s">
        <v>409</v>
      </c>
      <c r="L234">
        <v>1200900109005</v>
      </c>
      <c r="M234">
        <v>7011402755</v>
      </c>
      <c r="N234" t="s">
        <v>214</v>
      </c>
      <c r="O234" t="s">
        <v>242</v>
      </c>
      <c r="P234" t="s">
        <v>294</v>
      </c>
      <c r="Q234" t="s">
        <v>294</v>
      </c>
      <c r="R234" t="s">
        <v>428</v>
      </c>
      <c r="S234" t="s">
        <v>431</v>
      </c>
      <c r="T234" t="s">
        <v>411</v>
      </c>
      <c r="U234" t="s">
        <v>412</v>
      </c>
      <c r="V234" t="s">
        <v>413</v>
      </c>
      <c r="W234" t="s">
        <v>414</v>
      </c>
      <c r="X234">
        <v>46204</v>
      </c>
      <c r="Y234" t="s">
        <v>1139</v>
      </c>
      <c r="Z234" t="s">
        <v>302</v>
      </c>
      <c r="AA234" t="s">
        <v>1302</v>
      </c>
    </row>
    <row r="235" spans="1:27">
      <c r="A235">
        <v>376</v>
      </c>
      <c r="B235" t="s">
        <v>1140</v>
      </c>
      <c r="C235" t="s">
        <v>289</v>
      </c>
      <c r="D235" t="s">
        <v>1141</v>
      </c>
      <c r="E235" t="s">
        <v>1142</v>
      </c>
      <c r="F235" t="s">
        <v>743</v>
      </c>
      <c r="G235" t="s">
        <v>547</v>
      </c>
      <c r="H235" s="5">
        <v>46204</v>
      </c>
      <c r="I235" t="s">
        <v>258</v>
      </c>
      <c r="J235" t="s">
        <v>408</v>
      </c>
      <c r="K235" t="s">
        <v>409</v>
      </c>
      <c r="L235">
        <v>3331000919201</v>
      </c>
      <c r="M235">
        <v>7012213090</v>
      </c>
      <c r="N235" t="s">
        <v>213</v>
      </c>
      <c r="O235" t="s">
        <v>258</v>
      </c>
      <c r="P235" t="s">
        <v>294</v>
      </c>
      <c r="Q235" t="s">
        <v>294</v>
      </c>
      <c r="R235" t="s">
        <v>514</v>
      </c>
      <c r="S235" t="s">
        <v>517</v>
      </c>
      <c r="T235" t="s">
        <v>437</v>
      </c>
      <c r="U235" t="s">
        <v>438</v>
      </c>
      <c r="V235" t="s">
        <v>413</v>
      </c>
      <c r="W235" t="s">
        <v>414</v>
      </c>
      <c r="X235">
        <v>46205</v>
      </c>
      <c r="Y235" t="s">
        <v>1143</v>
      </c>
      <c r="Z235" t="s">
        <v>302</v>
      </c>
      <c r="AA235" t="s">
        <v>1318</v>
      </c>
    </row>
    <row r="236" spans="1:27">
      <c r="A236">
        <v>377</v>
      </c>
      <c r="B236" t="s">
        <v>1144</v>
      </c>
      <c r="C236" t="s">
        <v>289</v>
      </c>
      <c r="D236" t="s">
        <v>1145</v>
      </c>
      <c r="E236" t="s">
        <v>1146</v>
      </c>
      <c r="F236" t="s">
        <v>546</v>
      </c>
      <c r="G236" t="s">
        <v>929</v>
      </c>
      <c r="H236" s="5">
        <v>46204</v>
      </c>
      <c r="I236" t="s">
        <v>255</v>
      </c>
      <c r="J236" t="s">
        <v>408</v>
      </c>
      <c r="K236" t="s">
        <v>409</v>
      </c>
      <c r="L236">
        <v>1539900022088</v>
      </c>
      <c r="M236">
        <v>7015813224</v>
      </c>
      <c r="N236" t="s">
        <v>214</v>
      </c>
      <c r="O236" t="s">
        <v>255</v>
      </c>
      <c r="P236" t="s">
        <v>294</v>
      </c>
      <c r="Q236" t="s">
        <v>294</v>
      </c>
      <c r="R236" t="s">
        <v>498</v>
      </c>
      <c r="S236" t="s">
        <v>501</v>
      </c>
      <c r="T236" t="s">
        <v>470</v>
      </c>
      <c r="U236" t="s">
        <v>471</v>
      </c>
      <c r="V236" t="s">
        <v>413</v>
      </c>
      <c r="W236" t="s">
        <v>414</v>
      </c>
      <c r="X236">
        <v>46205</v>
      </c>
      <c r="Y236" t="s">
        <v>1147</v>
      </c>
      <c r="Z236" t="s">
        <v>302</v>
      </c>
      <c r="AA236" t="s">
        <v>1315</v>
      </c>
    </row>
    <row r="237" spans="1:27">
      <c r="A237">
        <v>378</v>
      </c>
      <c r="B237" t="s">
        <v>1148</v>
      </c>
      <c r="C237" t="s">
        <v>289</v>
      </c>
      <c r="D237" t="s">
        <v>1149</v>
      </c>
      <c r="E237" t="s">
        <v>1150</v>
      </c>
      <c r="F237" t="s">
        <v>546</v>
      </c>
      <c r="G237" t="s">
        <v>929</v>
      </c>
      <c r="H237" s="5">
        <v>46204</v>
      </c>
      <c r="I237" t="s">
        <v>255</v>
      </c>
      <c r="J237" t="s">
        <v>408</v>
      </c>
      <c r="K237" t="s">
        <v>409</v>
      </c>
      <c r="L237">
        <v>1829900010311</v>
      </c>
      <c r="M237">
        <v>7006048185</v>
      </c>
      <c r="N237" t="s">
        <v>214</v>
      </c>
      <c r="O237" t="s">
        <v>255</v>
      </c>
      <c r="P237" t="s">
        <v>294</v>
      </c>
      <c r="Q237" t="s">
        <v>294</v>
      </c>
      <c r="R237" t="s">
        <v>498</v>
      </c>
      <c r="S237" t="s">
        <v>501</v>
      </c>
      <c r="T237" t="s">
        <v>470</v>
      </c>
      <c r="U237" t="s">
        <v>471</v>
      </c>
      <c r="V237" t="s">
        <v>413</v>
      </c>
      <c r="W237" t="s">
        <v>414</v>
      </c>
      <c r="X237">
        <v>46205</v>
      </c>
      <c r="Y237" t="s">
        <v>1151</v>
      </c>
      <c r="Z237" t="s">
        <v>302</v>
      </c>
      <c r="AA237" t="s">
        <v>1315</v>
      </c>
    </row>
    <row r="238" spans="1:27">
      <c r="A238">
        <v>379</v>
      </c>
      <c r="B238" t="s">
        <v>1152</v>
      </c>
      <c r="C238" t="s">
        <v>289</v>
      </c>
      <c r="D238" t="s">
        <v>1153</v>
      </c>
      <c r="E238" t="s">
        <v>1154</v>
      </c>
      <c r="F238" t="s">
        <v>546</v>
      </c>
      <c r="G238" t="s">
        <v>929</v>
      </c>
      <c r="H238" s="5">
        <v>46204</v>
      </c>
      <c r="I238" t="s">
        <v>255</v>
      </c>
      <c r="J238" t="s">
        <v>408</v>
      </c>
      <c r="K238" t="s">
        <v>409</v>
      </c>
      <c r="L238">
        <v>3670500205409</v>
      </c>
      <c r="M238">
        <v>7015811882</v>
      </c>
      <c r="N238" t="s">
        <v>214</v>
      </c>
      <c r="O238" t="s">
        <v>255</v>
      </c>
      <c r="P238" t="s">
        <v>294</v>
      </c>
      <c r="Q238" t="s">
        <v>294</v>
      </c>
      <c r="R238" t="s">
        <v>498</v>
      </c>
      <c r="S238" t="s">
        <v>501</v>
      </c>
      <c r="T238" t="s">
        <v>470</v>
      </c>
      <c r="U238" t="s">
        <v>471</v>
      </c>
      <c r="V238" t="s">
        <v>413</v>
      </c>
      <c r="W238" t="s">
        <v>414</v>
      </c>
      <c r="X238">
        <v>46205</v>
      </c>
      <c r="Y238" t="s">
        <v>1155</v>
      </c>
      <c r="Z238" t="s">
        <v>302</v>
      </c>
      <c r="AA238" t="s">
        <v>1315</v>
      </c>
    </row>
    <row r="239" spans="1:27">
      <c r="A239">
        <v>380</v>
      </c>
      <c r="B239" t="s">
        <v>1156</v>
      </c>
      <c r="C239" t="s">
        <v>289</v>
      </c>
      <c r="D239" t="s">
        <v>934</v>
      </c>
      <c r="E239" t="s">
        <v>1157</v>
      </c>
      <c r="F239" t="s">
        <v>743</v>
      </c>
      <c r="G239" t="s">
        <v>547</v>
      </c>
      <c r="H239" s="5">
        <v>46204</v>
      </c>
      <c r="I239" t="s">
        <v>255</v>
      </c>
      <c r="J239" t="s">
        <v>408</v>
      </c>
      <c r="K239" t="s">
        <v>409</v>
      </c>
      <c r="L239">
        <v>1450500120140</v>
      </c>
      <c r="M239">
        <v>7009411771</v>
      </c>
      <c r="N239" t="s">
        <v>214</v>
      </c>
      <c r="O239" t="s">
        <v>255</v>
      </c>
      <c r="P239" t="s">
        <v>294</v>
      </c>
      <c r="Q239" t="s">
        <v>294</v>
      </c>
      <c r="R239" t="s">
        <v>498</v>
      </c>
      <c r="S239" t="s">
        <v>501</v>
      </c>
      <c r="T239" t="s">
        <v>470</v>
      </c>
      <c r="U239" t="s">
        <v>471</v>
      </c>
      <c r="V239" t="s">
        <v>413</v>
      </c>
      <c r="W239" t="s">
        <v>414</v>
      </c>
      <c r="X239">
        <v>46205</v>
      </c>
      <c r="Y239" t="s">
        <v>1158</v>
      </c>
      <c r="Z239" t="s">
        <v>302</v>
      </c>
      <c r="AA239" t="s">
        <v>1315</v>
      </c>
    </row>
    <row r="240" spans="1:27">
      <c r="A240">
        <v>381</v>
      </c>
      <c r="B240" t="s">
        <v>1159</v>
      </c>
      <c r="C240" t="s">
        <v>289</v>
      </c>
      <c r="D240" t="s">
        <v>1160</v>
      </c>
      <c r="E240" t="s">
        <v>1161</v>
      </c>
      <c r="F240" t="s">
        <v>743</v>
      </c>
      <c r="G240" t="s">
        <v>547</v>
      </c>
      <c r="H240" s="5">
        <v>46204</v>
      </c>
      <c r="I240" t="s">
        <v>250</v>
      </c>
      <c r="J240" t="s">
        <v>408</v>
      </c>
      <c r="K240" t="s">
        <v>409</v>
      </c>
      <c r="L240">
        <v>3830300138986</v>
      </c>
      <c r="M240">
        <v>7006416186</v>
      </c>
      <c r="N240" t="s">
        <v>214</v>
      </c>
      <c r="O240" t="s">
        <v>250</v>
      </c>
      <c r="P240" t="s">
        <v>294</v>
      </c>
      <c r="Q240" t="s">
        <v>294</v>
      </c>
      <c r="R240" t="s">
        <v>473</v>
      </c>
      <c r="S240" t="s">
        <v>476</v>
      </c>
      <c r="T240" t="s">
        <v>470</v>
      </c>
      <c r="U240" t="s">
        <v>471</v>
      </c>
      <c r="V240" t="s">
        <v>413</v>
      </c>
      <c r="W240" t="s">
        <v>414</v>
      </c>
      <c r="X240">
        <v>46205</v>
      </c>
      <c r="Y240" t="s">
        <v>1162</v>
      </c>
      <c r="Z240" t="s">
        <v>302</v>
      </c>
      <c r="AA240" t="s">
        <v>1310</v>
      </c>
    </row>
    <row r="241" spans="1:27">
      <c r="A241">
        <v>382</v>
      </c>
      <c r="B241" t="s">
        <v>1163</v>
      </c>
      <c r="C241" t="s">
        <v>289</v>
      </c>
      <c r="D241" t="s">
        <v>1164</v>
      </c>
      <c r="E241" t="s">
        <v>1165</v>
      </c>
      <c r="F241" t="s">
        <v>743</v>
      </c>
      <c r="G241" t="s">
        <v>547</v>
      </c>
      <c r="H241" s="5">
        <v>46204</v>
      </c>
      <c r="I241" t="s">
        <v>250</v>
      </c>
      <c r="J241" t="s">
        <v>408</v>
      </c>
      <c r="K241" t="s">
        <v>409</v>
      </c>
      <c r="L241">
        <v>5830100016433</v>
      </c>
      <c r="M241">
        <v>7004723238</v>
      </c>
      <c r="N241" t="s">
        <v>214</v>
      </c>
      <c r="O241" t="s">
        <v>250</v>
      </c>
      <c r="P241" t="s">
        <v>294</v>
      </c>
      <c r="Q241" t="s">
        <v>294</v>
      </c>
      <c r="R241" t="s">
        <v>473</v>
      </c>
      <c r="S241" t="s">
        <v>476</v>
      </c>
      <c r="T241" t="s">
        <v>470</v>
      </c>
      <c r="U241" t="s">
        <v>471</v>
      </c>
      <c r="V241" t="s">
        <v>413</v>
      </c>
      <c r="W241" t="s">
        <v>414</v>
      </c>
      <c r="X241">
        <v>46205</v>
      </c>
      <c r="Y241" t="s">
        <v>1166</v>
      </c>
      <c r="Z241" t="s">
        <v>302</v>
      </c>
      <c r="AA241" t="s">
        <v>1310</v>
      </c>
    </row>
    <row r="242" spans="1:27">
      <c r="A242">
        <v>383</v>
      </c>
      <c r="B242" t="s">
        <v>1167</v>
      </c>
      <c r="C242" t="s">
        <v>289</v>
      </c>
      <c r="D242" t="s">
        <v>1168</v>
      </c>
      <c r="E242" t="s">
        <v>1169</v>
      </c>
      <c r="F242" t="s">
        <v>546</v>
      </c>
      <c r="G242" t="s">
        <v>929</v>
      </c>
      <c r="H242" s="5">
        <v>46204</v>
      </c>
      <c r="I242" t="s">
        <v>258</v>
      </c>
      <c r="J242" t="s">
        <v>408</v>
      </c>
      <c r="K242" t="s">
        <v>409</v>
      </c>
      <c r="L242">
        <v>3100902270081</v>
      </c>
      <c r="M242">
        <v>7015798189</v>
      </c>
      <c r="N242" t="s">
        <v>213</v>
      </c>
      <c r="O242" t="s">
        <v>258</v>
      </c>
      <c r="P242" t="s">
        <v>294</v>
      </c>
      <c r="Q242" t="s">
        <v>294</v>
      </c>
      <c r="R242" t="s">
        <v>514</v>
      </c>
      <c r="S242" t="s">
        <v>517</v>
      </c>
      <c r="T242" t="s">
        <v>437</v>
      </c>
      <c r="U242" t="s">
        <v>438</v>
      </c>
      <c r="V242" t="s">
        <v>413</v>
      </c>
      <c r="W242" t="s">
        <v>414</v>
      </c>
      <c r="X242">
        <v>46205</v>
      </c>
      <c r="Y242" t="s">
        <v>1170</v>
      </c>
      <c r="Z242" t="s">
        <v>302</v>
      </c>
      <c r="AA242" t="s">
        <v>1318</v>
      </c>
    </row>
    <row r="243" spans="1:27">
      <c r="A243">
        <v>384</v>
      </c>
      <c r="B243" t="s">
        <v>1171</v>
      </c>
      <c r="C243" t="s">
        <v>307</v>
      </c>
      <c r="D243" t="s">
        <v>1172</v>
      </c>
      <c r="E243" t="s">
        <v>1173</v>
      </c>
      <c r="F243" t="s">
        <v>743</v>
      </c>
      <c r="G243" t="s">
        <v>547</v>
      </c>
      <c r="H243" s="5">
        <v>46204</v>
      </c>
      <c r="I243" t="s">
        <v>262</v>
      </c>
      <c r="J243" t="s">
        <v>408</v>
      </c>
      <c r="K243" t="s">
        <v>409</v>
      </c>
      <c r="L243">
        <v>3251200519232</v>
      </c>
      <c r="M243">
        <v>7009999338</v>
      </c>
      <c r="N243" t="s">
        <v>214</v>
      </c>
      <c r="O243" t="s">
        <v>262</v>
      </c>
      <c r="P243" t="s">
        <v>294</v>
      </c>
      <c r="Q243" t="s">
        <v>294</v>
      </c>
      <c r="R243" t="s">
        <v>534</v>
      </c>
      <c r="S243" t="s">
        <v>537</v>
      </c>
      <c r="T243" t="s">
        <v>437</v>
      </c>
      <c r="U243" t="s">
        <v>438</v>
      </c>
      <c r="V243" t="s">
        <v>413</v>
      </c>
      <c r="W243" t="s">
        <v>414</v>
      </c>
      <c r="X243">
        <v>46205</v>
      </c>
      <c r="Y243" t="s">
        <v>1174</v>
      </c>
      <c r="Z243" t="s">
        <v>302</v>
      </c>
      <c r="AA243" t="s">
        <v>1322</v>
      </c>
    </row>
    <row r="244" spans="1:27">
      <c r="A244">
        <v>385</v>
      </c>
      <c r="B244" t="s">
        <v>1175</v>
      </c>
      <c r="C244" t="s">
        <v>289</v>
      </c>
      <c r="D244" t="s">
        <v>1176</v>
      </c>
      <c r="E244" t="s">
        <v>1177</v>
      </c>
      <c r="F244" t="s">
        <v>743</v>
      </c>
      <c r="G244" t="s">
        <v>547</v>
      </c>
      <c r="H244" s="5">
        <v>46204</v>
      </c>
      <c r="I244" t="s">
        <v>262</v>
      </c>
      <c r="J244" t="s">
        <v>408</v>
      </c>
      <c r="K244" t="s">
        <v>409</v>
      </c>
      <c r="L244">
        <v>1759900186119</v>
      </c>
      <c r="M244">
        <v>7013198759</v>
      </c>
      <c r="N244" t="s">
        <v>214</v>
      </c>
      <c r="O244" t="s">
        <v>262</v>
      </c>
      <c r="P244" t="s">
        <v>294</v>
      </c>
      <c r="Q244" t="s">
        <v>294</v>
      </c>
      <c r="R244" t="s">
        <v>534</v>
      </c>
      <c r="S244" t="s">
        <v>537</v>
      </c>
      <c r="T244" t="s">
        <v>437</v>
      </c>
      <c r="U244" t="s">
        <v>438</v>
      </c>
      <c r="V244" t="s">
        <v>413</v>
      </c>
      <c r="W244" t="s">
        <v>414</v>
      </c>
      <c r="X244">
        <v>46205</v>
      </c>
      <c r="Y244" t="s">
        <v>1178</v>
      </c>
      <c r="Z244" t="s">
        <v>302</v>
      </c>
      <c r="AA244" t="s">
        <v>1322</v>
      </c>
    </row>
    <row r="245" spans="1:27">
      <c r="A245">
        <v>386</v>
      </c>
      <c r="B245" t="s">
        <v>1179</v>
      </c>
      <c r="C245" t="s">
        <v>289</v>
      </c>
      <c r="D245" t="s">
        <v>891</v>
      </c>
      <c r="E245" t="s">
        <v>1180</v>
      </c>
      <c r="F245" t="s">
        <v>546</v>
      </c>
      <c r="G245" t="s">
        <v>929</v>
      </c>
      <c r="H245" s="5">
        <v>46204</v>
      </c>
      <c r="I245" t="s">
        <v>243</v>
      </c>
      <c r="J245" t="s">
        <v>408</v>
      </c>
      <c r="K245" t="s">
        <v>409</v>
      </c>
      <c r="L245">
        <v>2103100001210</v>
      </c>
      <c r="M245">
        <v>7015808814</v>
      </c>
      <c r="N245" t="s">
        <v>214</v>
      </c>
      <c r="O245" t="s">
        <v>243</v>
      </c>
      <c r="P245" t="s">
        <v>294</v>
      </c>
      <c r="Q245" t="s">
        <v>294</v>
      </c>
      <c r="R245" t="s">
        <v>433</v>
      </c>
      <c r="S245" t="s">
        <v>436</v>
      </c>
      <c r="T245" t="s">
        <v>437</v>
      </c>
      <c r="U245" t="s">
        <v>438</v>
      </c>
      <c r="V245" t="s">
        <v>413</v>
      </c>
      <c r="W245" t="s">
        <v>414</v>
      </c>
      <c r="X245">
        <v>46205</v>
      </c>
      <c r="Y245" t="s">
        <v>1181</v>
      </c>
      <c r="Z245" t="s">
        <v>302</v>
      </c>
      <c r="AA245" t="s">
        <v>1303</v>
      </c>
    </row>
    <row r="246" spans="1:27">
      <c r="A246">
        <v>387</v>
      </c>
      <c r="B246" t="s">
        <v>1182</v>
      </c>
      <c r="C246" t="s">
        <v>307</v>
      </c>
      <c r="D246" t="s">
        <v>1183</v>
      </c>
      <c r="E246" t="s">
        <v>1184</v>
      </c>
      <c r="F246" t="s">
        <v>743</v>
      </c>
      <c r="G246" t="s">
        <v>547</v>
      </c>
      <c r="H246" s="5">
        <v>46204</v>
      </c>
      <c r="I246" t="s">
        <v>251</v>
      </c>
      <c r="J246" t="s">
        <v>408</v>
      </c>
      <c r="K246" t="s">
        <v>409</v>
      </c>
      <c r="L246">
        <v>3800600390176</v>
      </c>
      <c r="M246">
        <v>7010312622</v>
      </c>
      <c r="N246" t="s">
        <v>214</v>
      </c>
      <c r="O246" t="s">
        <v>251</v>
      </c>
      <c r="P246" t="s">
        <v>294</v>
      </c>
      <c r="Q246" t="s">
        <v>294</v>
      </c>
      <c r="R246" t="s">
        <v>478</v>
      </c>
      <c r="S246" t="s">
        <v>481</v>
      </c>
      <c r="T246" t="s">
        <v>459</v>
      </c>
      <c r="U246" t="s">
        <v>460</v>
      </c>
      <c r="V246" t="s">
        <v>413</v>
      </c>
      <c r="W246" t="s">
        <v>414</v>
      </c>
      <c r="X246">
        <v>46205</v>
      </c>
      <c r="Y246" t="s">
        <v>1185</v>
      </c>
      <c r="Z246" t="s">
        <v>302</v>
      </c>
      <c r="AA246" t="s">
        <v>1311</v>
      </c>
    </row>
    <row r="247" spans="1:27">
      <c r="A247">
        <v>388</v>
      </c>
      <c r="B247" t="s">
        <v>1186</v>
      </c>
      <c r="C247" t="s">
        <v>307</v>
      </c>
      <c r="D247" t="s">
        <v>1187</v>
      </c>
      <c r="E247" t="s">
        <v>402</v>
      </c>
      <c r="F247" t="s">
        <v>546</v>
      </c>
      <c r="G247" t="s">
        <v>929</v>
      </c>
      <c r="H247" s="5">
        <v>46204</v>
      </c>
      <c r="I247" t="s">
        <v>249</v>
      </c>
      <c r="J247" t="s">
        <v>408</v>
      </c>
      <c r="K247" t="s">
        <v>409</v>
      </c>
      <c r="L247">
        <v>3200100566408</v>
      </c>
      <c r="M247">
        <v>7015799950</v>
      </c>
      <c r="N247" t="s">
        <v>214</v>
      </c>
      <c r="O247" t="s">
        <v>249</v>
      </c>
      <c r="P247" t="s">
        <v>294</v>
      </c>
      <c r="Q247" t="s">
        <v>294</v>
      </c>
      <c r="R247" t="s">
        <v>467</v>
      </c>
      <c r="S247" t="s">
        <v>469</v>
      </c>
      <c r="T247" t="s">
        <v>470</v>
      </c>
      <c r="U247" t="s">
        <v>471</v>
      </c>
      <c r="V247" t="s">
        <v>413</v>
      </c>
      <c r="W247" t="s">
        <v>414</v>
      </c>
      <c r="X247">
        <v>46205</v>
      </c>
      <c r="Y247" t="s">
        <v>1188</v>
      </c>
      <c r="Z247" t="s">
        <v>302</v>
      </c>
      <c r="AA247" t="s">
        <v>1309</v>
      </c>
    </row>
    <row r="248" spans="1:27">
      <c r="A248">
        <v>389</v>
      </c>
      <c r="B248" t="s">
        <v>1189</v>
      </c>
      <c r="C248" t="s">
        <v>289</v>
      </c>
      <c r="D248" t="s">
        <v>1190</v>
      </c>
      <c r="E248" t="s">
        <v>1191</v>
      </c>
      <c r="F248" t="s">
        <v>743</v>
      </c>
      <c r="G248" t="s">
        <v>547</v>
      </c>
      <c r="H248" s="5">
        <v>46204</v>
      </c>
      <c r="I248" t="s">
        <v>248</v>
      </c>
      <c r="J248" t="s">
        <v>408</v>
      </c>
      <c r="K248" t="s">
        <v>409</v>
      </c>
      <c r="L248">
        <v>1119900133134</v>
      </c>
      <c r="M248">
        <v>7011354622</v>
      </c>
      <c r="N248" t="s">
        <v>213</v>
      </c>
      <c r="O248" t="s">
        <v>248</v>
      </c>
      <c r="P248" t="s">
        <v>294</v>
      </c>
      <c r="Q248" t="s">
        <v>294</v>
      </c>
      <c r="R248" t="s">
        <v>462</v>
      </c>
      <c r="S248" t="s">
        <v>465</v>
      </c>
      <c r="T248" t="s">
        <v>459</v>
      </c>
      <c r="U248" t="s">
        <v>460</v>
      </c>
      <c r="V248" t="s">
        <v>413</v>
      </c>
      <c r="W248" t="s">
        <v>414</v>
      </c>
      <c r="X248">
        <v>46205</v>
      </c>
      <c r="Y248" t="s">
        <v>1192</v>
      </c>
      <c r="Z248" t="s">
        <v>302</v>
      </c>
      <c r="AA248" t="s">
        <v>1308</v>
      </c>
    </row>
    <row r="249" spans="1:27">
      <c r="A249">
        <v>390</v>
      </c>
      <c r="B249" t="s">
        <v>1193</v>
      </c>
      <c r="C249" t="s">
        <v>289</v>
      </c>
      <c r="D249" t="s">
        <v>1194</v>
      </c>
      <c r="E249" t="s">
        <v>1195</v>
      </c>
      <c r="F249" t="s">
        <v>546</v>
      </c>
      <c r="G249" t="s">
        <v>929</v>
      </c>
      <c r="H249" s="5">
        <v>46204</v>
      </c>
      <c r="I249" t="s">
        <v>256</v>
      </c>
      <c r="J249" t="s">
        <v>408</v>
      </c>
      <c r="K249" t="s">
        <v>409</v>
      </c>
      <c r="L249">
        <v>3140700340452</v>
      </c>
      <c r="M249">
        <v>7015814857</v>
      </c>
      <c r="N249" t="s">
        <v>214</v>
      </c>
      <c r="O249" t="s">
        <v>256</v>
      </c>
      <c r="P249" t="s">
        <v>294</v>
      </c>
      <c r="Q249" t="s">
        <v>294</v>
      </c>
      <c r="R249" t="s">
        <v>503</v>
      </c>
      <c r="S249" t="s">
        <v>506</v>
      </c>
      <c r="T249" t="s">
        <v>470</v>
      </c>
      <c r="U249" t="s">
        <v>471</v>
      </c>
      <c r="V249" t="s">
        <v>413</v>
      </c>
      <c r="W249" t="s">
        <v>414</v>
      </c>
      <c r="X249">
        <v>46205</v>
      </c>
      <c r="Y249" t="s">
        <v>1196</v>
      </c>
      <c r="Z249" t="s">
        <v>302</v>
      </c>
      <c r="AA249" t="s">
        <v>1316</v>
      </c>
    </row>
    <row r="250" spans="1:27">
      <c r="A250">
        <v>391</v>
      </c>
      <c r="B250" t="s">
        <v>1197</v>
      </c>
      <c r="C250" t="s">
        <v>289</v>
      </c>
      <c r="D250" t="s">
        <v>1198</v>
      </c>
      <c r="E250" t="s">
        <v>1199</v>
      </c>
      <c r="F250" t="s">
        <v>546</v>
      </c>
      <c r="G250" t="s">
        <v>929</v>
      </c>
      <c r="H250" s="5">
        <v>46204</v>
      </c>
      <c r="I250" t="s">
        <v>240</v>
      </c>
      <c r="J250" t="s">
        <v>408</v>
      </c>
      <c r="K250" t="s">
        <v>409</v>
      </c>
      <c r="L250">
        <v>3101401188935</v>
      </c>
      <c r="M250">
        <v>7015810992</v>
      </c>
      <c r="N250" t="s">
        <v>213</v>
      </c>
      <c r="O250" t="s">
        <v>240</v>
      </c>
      <c r="P250" t="s">
        <v>294</v>
      </c>
      <c r="Q250" t="s">
        <v>294</v>
      </c>
      <c r="R250" t="s">
        <v>416</v>
      </c>
      <c r="S250" t="s">
        <v>419</v>
      </c>
      <c r="T250" t="s">
        <v>420</v>
      </c>
      <c r="U250" t="s">
        <v>421</v>
      </c>
      <c r="V250" t="s">
        <v>413</v>
      </c>
      <c r="W250" t="s">
        <v>414</v>
      </c>
      <c r="X250">
        <v>46205</v>
      </c>
      <c r="Y250" t="s">
        <v>1200</v>
      </c>
      <c r="Z250" t="s">
        <v>302</v>
      </c>
      <c r="AA250" t="s">
        <v>1300</v>
      </c>
    </row>
    <row r="251" spans="1:27">
      <c r="A251">
        <v>392</v>
      </c>
      <c r="B251" t="s">
        <v>1201</v>
      </c>
      <c r="C251" t="s">
        <v>307</v>
      </c>
      <c r="D251" t="s">
        <v>1202</v>
      </c>
      <c r="E251" t="s">
        <v>1203</v>
      </c>
      <c r="F251" t="s">
        <v>743</v>
      </c>
      <c r="G251" t="s">
        <v>547</v>
      </c>
      <c r="H251" s="5">
        <v>46204</v>
      </c>
      <c r="I251" t="s">
        <v>253</v>
      </c>
      <c r="J251" t="s">
        <v>408</v>
      </c>
      <c r="K251" t="s">
        <v>409</v>
      </c>
      <c r="L251">
        <v>3120600519574</v>
      </c>
      <c r="M251">
        <v>7011960342</v>
      </c>
      <c r="N251" t="s">
        <v>213</v>
      </c>
      <c r="O251" t="s">
        <v>253</v>
      </c>
      <c r="P251" t="s">
        <v>294</v>
      </c>
      <c r="Q251" t="s">
        <v>294</v>
      </c>
      <c r="R251" t="s">
        <v>488</v>
      </c>
      <c r="S251" t="s">
        <v>491</v>
      </c>
      <c r="T251" t="s">
        <v>420</v>
      </c>
      <c r="U251" t="s">
        <v>421</v>
      </c>
      <c r="V251" t="s">
        <v>413</v>
      </c>
      <c r="W251" t="s">
        <v>414</v>
      </c>
      <c r="X251">
        <v>46205</v>
      </c>
      <c r="Y251" t="s">
        <v>1204</v>
      </c>
      <c r="Z251" t="s">
        <v>302</v>
      </c>
      <c r="AA251" t="s">
        <v>1313</v>
      </c>
    </row>
    <row r="252" spans="1:27">
      <c r="A252">
        <v>393</v>
      </c>
      <c r="B252" t="s">
        <v>1205</v>
      </c>
      <c r="C252" t="s">
        <v>307</v>
      </c>
      <c r="D252" t="s">
        <v>1206</v>
      </c>
      <c r="E252" t="s">
        <v>1207</v>
      </c>
      <c r="F252" t="s">
        <v>743</v>
      </c>
      <c r="G252" t="s">
        <v>547</v>
      </c>
      <c r="H252" s="5">
        <v>46204</v>
      </c>
      <c r="I252" t="s">
        <v>253</v>
      </c>
      <c r="J252" t="s">
        <v>408</v>
      </c>
      <c r="K252" t="s">
        <v>409</v>
      </c>
      <c r="L252">
        <v>1100400061322</v>
      </c>
      <c r="M252">
        <v>7011417296</v>
      </c>
      <c r="N252" t="s">
        <v>213</v>
      </c>
      <c r="O252" t="s">
        <v>253</v>
      </c>
      <c r="P252" t="s">
        <v>294</v>
      </c>
      <c r="Q252" t="s">
        <v>294</v>
      </c>
      <c r="R252" t="s">
        <v>488</v>
      </c>
      <c r="S252" t="s">
        <v>491</v>
      </c>
      <c r="T252" t="s">
        <v>420</v>
      </c>
      <c r="U252" t="s">
        <v>421</v>
      </c>
      <c r="V252" t="s">
        <v>413</v>
      </c>
      <c r="W252" t="s">
        <v>414</v>
      </c>
      <c r="X252">
        <v>46205</v>
      </c>
      <c r="Y252" t="s">
        <v>1208</v>
      </c>
      <c r="Z252" t="s">
        <v>302</v>
      </c>
      <c r="AA252" t="s">
        <v>1313</v>
      </c>
    </row>
    <row r="253" spans="1:27">
      <c r="A253">
        <v>394</v>
      </c>
      <c r="B253" t="s">
        <v>202</v>
      </c>
      <c r="C253" t="s">
        <v>509</v>
      </c>
      <c r="D253" t="s">
        <v>1209</v>
      </c>
      <c r="E253" t="s">
        <v>1210</v>
      </c>
      <c r="F253" t="s">
        <v>743</v>
      </c>
      <c r="G253" t="s">
        <v>547</v>
      </c>
      <c r="H253" s="5">
        <v>46204</v>
      </c>
      <c r="I253" t="s">
        <v>220</v>
      </c>
      <c r="J253" t="s">
        <v>293</v>
      </c>
      <c r="K253" t="s">
        <v>41</v>
      </c>
      <c r="L253">
        <v>1102000360171</v>
      </c>
      <c r="M253">
        <v>7009731382</v>
      </c>
      <c r="N253" t="s">
        <v>213</v>
      </c>
      <c r="O253" t="s">
        <v>220</v>
      </c>
      <c r="P253" t="s">
        <v>294</v>
      </c>
      <c r="Q253" t="s">
        <v>294</v>
      </c>
      <c r="R253" t="s">
        <v>49</v>
      </c>
      <c r="S253" t="s">
        <v>324</v>
      </c>
      <c r="T253" t="s">
        <v>319</v>
      </c>
      <c r="U253" t="s">
        <v>320</v>
      </c>
      <c r="V253" t="s">
        <v>298</v>
      </c>
      <c r="W253" t="s">
        <v>299</v>
      </c>
      <c r="X253">
        <v>46205</v>
      </c>
      <c r="Y253" t="s">
        <v>1211</v>
      </c>
      <c r="Z253" t="s">
        <v>302</v>
      </c>
      <c r="AA253" t="s">
        <v>1280</v>
      </c>
    </row>
    <row r="254" spans="1:27">
      <c r="A254">
        <v>395</v>
      </c>
      <c r="B254" t="s">
        <v>203</v>
      </c>
      <c r="C254" t="s">
        <v>307</v>
      </c>
      <c r="D254" t="s">
        <v>1212</v>
      </c>
      <c r="E254" t="s">
        <v>1213</v>
      </c>
      <c r="F254" t="s">
        <v>743</v>
      </c>
      <c r="G254" t="s">
        <v>547</v>
      </c>
      <c r="H254" s="5">
        <v>46204</v>
      </c>
      <c r="I254" t="s">
        <v>225</v>
      </c>
      <c r="J254" t="s">
        <v>293</v>
      </c>
      <c r="K254" t="s">
        <v>41</v>
      </c>
      <c r="L254">
        <v>3730300012487</v>
      </c>
      <c r="M254">
        <v>7014880082</v>
      </c>
      <c r="N254" t="s">
        <v>213</v>
      </c>
      <c r="O254" t="s">
        <v>225</v>
      </c>
      <c r="P254" t="s">
        <v>294</v>
      </c>
      <c r="Q254" t="s">
        <v>294</v>
      </c>
      <c r="R254" t="s">
        <v>54</v>
      </c>
      <c r="S254" t="s">
        <v>346</v>
      </c>
      <c r="T254" t="s">
        <v>337</v>
      </c>
      <c r="U254" t="s">
        <v>338</v>
      </c>
      <c r="V254" t="s">
        <v>298</v>
      </c>
      <c r="W254" t="s">
        <v>299</v>
      </c>
      <c r="X254">
        <v>46205</v>
      </c>
      <c r="Y254" t="s">
        <v>1214</v>
      </c>
      <c r="Z254" t="s">
        <v>302</v>
      </c>
      <c r="AA254" t="s">
        <v>1285</v>
      </c>
    </row>
    <row r="255" spans="1:27">
      <c r="A255">
        <v>396</v>
      </c>
      <c r="B255" t="s">
        <v>1215</v>
      </c>
      <c r="C255" t="s">
        <v>289</v>
      </c>
      <c r="D255" t="s">
        <v>1216</v>
      </c>
      <c r="E255" t="s">
        <v>1217</v>
      </c>
      <c r="F255" t="s">
        <v>743</v>
      </c>
      <c r="G255" t="s">
        <v>547</v>
      </c>
      <c r="H255" s="5">
        <v>46204</v>
      </c>
      <c r="I255" t="s">
        <v>248</v>
      </c>
      <c r="J255" t="s">
        <v>408</v>
      </c>
      <c r="K255" t="s">
        <v>409</v>
      </c>
      <c r="L255">
        <v>1410400006833</v>
      </c>
      <c r="M255">
        <v>7013293012</v>
      </c>
      <c r="N255" t="s">
        <v>213</v>
      </c>
      <c r="O255" t="s">
        <v>248</v>
      </c>
      <c r="P255" t="s">
        <v>294</v>
      </c>
      <c r="Q255" t="s">
        <v>294</v>
      </c>
      <c r="R255" t="s">
        <v>462</v>
      </c>
      <c r="S255" t="s">
        <v>465</v>
      </c>
      <c r="T255" t="s">
        <v>459</v>
      </c>
      <c r="U255" t="s">
        <v>460</v>
      </c>
      <c r="V255" t="s">
        <v>413</v>
      </c>
      <c r="W255" t="s">
        <v>414</v>
      </c>
      <c r="X255">
        <v>46205</v>
      </c>
      <c r="Y255" t="s">
        <v>1218</v>
      </c>
      <c r="Z255" t="s">
        <v>302</v>
      </c>
      <c r="AA255" t="s">
        <v>1308</v>
      </c>
    </row>
    <row r="256" spans="1:27">
      <c r="A256">
        <v>397</v>
      </c>
      <c r="B256" t="s">
        <v>204</v>
      </c>
      <c r="C256" t="s">
        <v>289</v>
      </c>
      <c r="D256" t="s">
        <v>1219</v>
      </c>
      <c r="E256" t="s">
        <v>1220</v>
      </c>
      <c r="F256" t="s">
        <v>743</v>
      </c>
      <c r="G256" t="s">
        <v>547</v>
      </c>
      <c r="H256" s="5">
        <v>46204</v>
      </c>
      <c r="I256" t="s">
        <v>222</v>
      </c>
      <c r="J256" t="s">
        <v>293</v>
      </c>
      <c r="K256" t="s">
        <v>41</v>
      </c>
      <c r="L256">
        <v>5250500022681</v>
      </c>
      <c r="M256">
        <v>7013305991</v>
      </c>
      <c r="N256" t="s">
        <v>213</v>
      </c>
      <c r="O256" t="s">
        <v>222</v>
      </c>
      <c r="P256" t="s">
        <v>294</v>
      </c>
      <c r="Q256" t="s">
        <v>294</v>
      </c>
      <c r="R256" t="s">
        <v>51</v>
      </c>
      <c r="S256" t="s">
        <v>332</v>
      </c>
      <c r="T256" t="s">
        <v>319</v>
      </c>
      <c r="U256" t="s">
        <v>320</v>
      </c>
      <c r="V256" t="s">
        <v>298</v>
      </c>
      <c r="W256" t="s">
        <v>299</v>
      </c>
      <c r="X256">
        <v>46220</v>
      </c>
      <c r="Y256" t="s">
        <v>1221</v>
      </c>
      <c r="Z256" t="s">
        <v>302</v>
      </c>
      <c r="AA256" t="s">
        <v>1282</v>
      </c>
    </row>
    <row r="257" spans="1:27">
      <c r="A257">
        <v>398</v>
      </c>
      <c r="B257" t="s">
        <v>205</v>
      </c>
      <c r="C257" t="s">
        <v>307</v>
      </c>
      <c r="D257" t="s">
        <v>1222</v>
      </c>
      <c r="E257" t="s">
        <v>1223</v>
      </c>
      <c r="F257" t="s">
        <v>546</v>
      </c>
      <c r="G257" t="s">
        <v>929</v>
      </c>
      <c r="H257" s="5">
        <v>46204</v>
      </c>
      <c r="I257" t="s">
        <v>225</v>
      </c>
      <c r="J257" t="s">
        <v>293</v>
      </c>
      <c r="K257" t="s">
        <v>41</v>
      </c>
      <c r="L257">
        <v>3100800607884</v>
      </c>
      <c r="M257">
        <v>7015823922</v>
      </c>
      <c r="N257" t="s">
        <v>213</v>
      </c>
      <c r="O257" t="s">
        <v>225</v>
      </c>
      <c r="P257" t="s">
        <v>294</v>
      </c>
      <c r="Q257" t="s">
        <v>294</v>
      </c>
      <c r="R257" t="s">
        <v>54</v>
      </c>
      <c r="S257" t="s">
        <v>346</v>
      </c>
      <c r="T257" t="s">
        <v>337</v>
      </c>
      <c r="U257" t="s">
        <v>338</v>
      </c>
      <c r="V257" t="s">
        <v>298</v>
      </c>
      <c r="W257" t="s">
        <v>299</v>
      </c>
      <c r="X257">
        <v>46220</v>
      </c>
      <c r="Y257" t="s">
        <v>1224</v>
      </c>
      <c r="Z257" t="s">
        <v>302</v>
      </c>
      <c r="AA257" t="s">
        <v>1285</v>
      </c>
    </row>
    <row r="258" spans="1:27">
      <c r="A258">
        <v>399</v>
      </c>
      <c r="B258" t="s">
        <v>206</v>
      </c>
      <c r="C258" t="s">
        <v>289</v>
      </c>
      <c r="D258" t="s">
        <v>504</v>
      </c>
      <c r="E258" t="s">
        <v>1225</v>
      </c>
      <c r="F258" t="s">
        <v>546</v>
      </c>
      <c r="G258" t="s">
        <v>929</v>
      </c>
      <c r="H258" s="5">
        <v>46204</v>
      </c>
      <c r="I258" t="s">
        <v>226</v>
      </c>
      <c r="J258" t="s">
        <v>293</v>
      </c>
      <c r="K258" t="s">
        <v>41</v>
      </c>
      <c r="L258">
        <v>3100500444670</v>
      </c>
      <c r="M258">
        <v>7015811563</v>
      </c>
      <c r="N258" t="s">
        <v>213</v>
      </c>
      <c r="O258" t="s">
        <v>226</v>
      </c>
      <c r="P258" t="s">
        <v>294</v>
      </c>
      <c r="Q258" t="s">
        <v>294</v>
      </c>
      <c r="R258" t="s">
        <v>55</v>
      </c>
      <c r="S258" t="s">
        <v>350</v>
      </c>
      <c r="T258" t="s">
        <v>337</v>
      </c>
      <c r="U258" t="s">
        <v>338</v>
      </c>
      <c r="V258" t="s">
        <v>298</v>
      </c>
      <c r="W258" t="s">
        <v>299</v>
      </c>
      <c r="X258">
        <v>46220</v>
      </c>
      <c r="Y258" t="s">
        <v>1226</v>
      </c>
      <c r="Z258" t="s">
        <v>302</v>
      </c>
      <c r="AA258" t="s">
        <v>1286</v>
      </c>
    </row>
    <row r="259" spans="1:27">
      <c r="A259">
        <v>413</v>
      </c>
      <c r="B259" t="s">
        <v>1227</v>
      </c>
      <c r="C259" t="s">
        <v>289</v>
      </c>
      <c r="D259" t="s">
        <v>1141</v>
      </c>
      <c r="E259" t="s">
        <v>1228</v>
      </c>
      <c r="F259" t="s">
        <v>743</v>
      </c>
      <c r="G259" t="s">
        <v>547</v>
      </c>
      <c r="H259" s="5">
        <v>46204</v>
      </c>
      <c r="I259" t="s">
        <v>247</v>
      </c>
      <c r="J259" t="s">
        <v>408</v>
      </c>
      <c r="K259" t="s">
        <v>409</v>
      </c>
      <c r="L259">
        <v>1410390001214</v>
      </c>
      <c r="M259">
        <v>7014675668</v>
      </c>
      <c r="N259" t="s">
        <v>213</v>
      </c>
      <c r="O259" t="s">
        <v>247</v>
      </c>
      <c r="P259" t="s">
        <v>294</v>
      </c>
      <c r="Q259" t="s">
        <v>294</v>
      </c>
      <c r="R259" t="s">
        <v>455</v>
      </c>
      <c r="S259" t="s">
        <v>458</v>
      </c>
      <c r="T259" t="s">
        <v>459</v>
      </c>
      <c r="U259" t="s">
        <v>460</v>
      </c>
      <c r="V259" t="s">
        <v>413</v>
      </c>
      <c r="W259" t="s">
        <v>414</v>
      </c>
      <c r="X259">
        <v>46220</v>
      </c>
      <c r="Y259" t="s">
        <v>1229</v>
      </c>
      <c r="Z259" t="s">
        <v>302</v>
      </c>
      <c r="AA259" t="s">
        <v>1307</v>
      </c>
    </row>
    <row r="260" spans="1:27">
      <c r="A260">
        <v>414</v>
      </c>
      <c r="B260" t="s">
        <v>1230</v>
      </c>
      <c r="C260" t="s">
        <v>289</v>
      </c>
      <c r="D260" t="s">
        <v>1231</v>
      </c>
      <c r="E260" t="s">
        <v>1232</v>
      </c>
      <c r="F260" t="s">
        <v>743</v>
      </c>
      <c r="G260" t="s">
        <v>547</v>
      </c>
      <c r="H260" s="5">
        <v>46204</v>
      </c>
      <c r="I260" t="s">
        <v>247</v>
      </c>
      <c r="J260" t="s">
        <v>408</v>
      </c>
      <c r="K260" t="s">
        <v>409</v>
      </c>
      <c r="L260">
        <v>1340100102901</v>
      </c>
      <c r="M260">
        <v>7014882850</v>
      </c>
      <c r="N260" t="s">
        <v>213</v>
      </c>
      <c r="O260" t="s">
        <v>247</v>
      </c>
      <c r="P260" t="s">
        <v>294</v>
      </c>
      <c r="Q260" t="s">
        <v>294</v>
      </c>
      <c r="R260" t="s">
        <v>455</v>
      </c>
      <c r="S260" t="s">
        <v>458</v>
      </c>
      <c r="T260" t="s">
        <v>459</v>
      </c>
      <c r="U260" t="s">
        <v>460</v>
      </c>
      <c r="V260" t="s">
        <v>413</v>
      </c>
      <c r="W260" t="s">
        <v>414</v>
      </c>
      <c r="X260">
        <v>46220</v>
      </c>
      <c r="Y260" t="s">
        <v>1233</v>
      </c>
      <c r="Z260" t="s">
        <v>302</v>
      </c>
      <c r="AA260" t="s">
        <v>1307</v>
      </c>
    </row>
    <row r="261" spans="1:27">
      <c r="A261">
        <v>415</v>
      </c>
      <c r="B261" t="s">
        <v>1234</v>
      </c>
      <c r="C261" t="s">
        <v>289</v>
      </c>
      <c r="D261" t="s">
        <v>1235</v>
      </c>
      <c r="E261" t="s">
        <v>1173</v>
      </c>
      <c r="F261" t="s">
        <v>546</v>
      </c>
      <c r="G261" t="s">
        <v>929</v>
      </c>
      <c r="H261" s="5">
        <v>46204</v>
      </c>
      <c r="I261" t="s">
        <v>262</v>
      </c>
      <c r="J261" t="s">
        <v>408</v>
      </c>
      <c r="K261" t="s">
        <v>409</v>
      </c>
      <c r="L261">
        <v>1279900145638</v>
      </c>
      <c r="M261">
        <v>7015788443</v>
      </c>
      <c r="N261" t="s">
        <v>214</v>
      </c>
      <c r="O261" t="s">
        <v>262</v>
      </c>
      <c r="P261" t="s">
        <v>294</v>
      </c>
      <c r="Q261" t="s">
        <v>294</v>
      </c>
      <c r="R261" t="s">
        <v>534</v>
      </c>
      <c r="S261" t="s">
        <v>537</v>
      </c>
      <c r="T261" t="s">
        <v>437</v>
      </c>
      <c r="U261" t="s">
        <v>438</v>
      </c>
      <c r="V261" t="s">
        <v>413</v>
      </c>
      <c r="W261" t="s">
        <v>414</v>
      </c>
      <c r="X261">
        <v>46220</v>
      </c>
      <c r="Y261" t="s">
        <v>1236</v>
      </c>
      <c r="Z261" t="s">
        <v>302</v>
      </c>
      <c r="AA261" t="s">
        <v>1322</v>
      </c>
    </row>
    <row r="262" spans="1:27">
      <c r="A262">
        <v>416</v>
      </c>
      <c r="B262" t="s">
        <v>1237</v>
      </c>
      <c r="C262" t="s">
        <v>307</v>
      </c>
      <c r="D262" t="s">
        <v>1238</v>
      </c>
      <c r="E262" t="s">
        <v>1239</v>
      </c>
      <c r="F262" t="s">
        <v>743</v>
      </c>
      <c r="G262" t="s">
        <v>547</v>
      </c>
      <c r="H262" s="5">
        <v>46204</v>
      </c>
      <c r="I262" t="s">
        <v>262</v>
      </c>
      <c r="J262" t="s">
        <v>408</v>
      </c>
      <c r="K262" t="s">
        <v>409</v>
      </c>
      <c r="L262">
        <v>1269900057674</v>
      </c>
      <c r="M262">
        <v>7007049748</v>
      </c>
      <c r="N262" t="s">
        <v>214</v>
      </c>
      <c r="O262" t="s">
        <v>262</v>
      </c>
      <c r="P262" t="s">
        <v>294</v>
      </c>
      <c r="Q262" t="s">
        <v>294</v>
      </c>
      <c r="R262" t="s">
        <v>534</v>
      </c>
      <c r="S262" t="s">
        <v>537</v>
      </c>
      <c r="T262" t="s">
        <v>437</v>
      </c>
      <c r="U262" t="s">
        <v>438</v>
      </c>
      <c r="V262" t="s">
        <v>413</v>
      </c>
      <c r="W262" t="s">
        <v>414</v>
      </c>
      <c r="X262">
        <v>46220</v>
      </c>
      <c r="Y262" t="s">
        <v>1240</v>
      </c>
      <c r="Z262" t="s">
        <v>302</v>
      </c>
      <c r="AA262" t="s">
        <v>1322</v>
      </c>
    </row>
    <row r="263" spans="1:27">
      <c r="A263">
        <v>423</v>
      </c>
      <c r="B263" t="s">
        <v>207</v>
      </c>
      <c r="C263" t="s">
        <v>307</v>
      </c>
      <c r="D263" t="s">
        <v>401</v>
      </c>
      <c r="E263" t="s">
        <v>1241</v>
      </c>
      <c r="F263" t="s">
        <v>546</v>
      </c>
      <c r="G263" t="s">
        <v>929</v>
      </c>
      <c r="H263" s="5">
        <v>46210</v>
      </c>
      <c r="I263" t="s">
        <v>230</v>
      </c>
      <c r="J263" t="s">
        <v>293</v>
      </c>
      <c r="K263" t="s">
        <v>41</v>
      </c>
      <c r="L263">
        <v>1451400157701</v>
      </c>
      <c r="M263">
        <v>7015812491</v>
      </c>
      <c r="N263" t="s">
        <v>213</v>
      </c>
      <c r="O263" t="s">
        <v>230</v>
      </c>
      <c r="P263" t="s">
        <v>294</v>
      </c>
      <c r="Q263" t="s">
        <v>294</v>
      </c>
      <c r="R263" t="s">
        <v>59</v>
      </c>
      <c r="S263" t="s">
        <v>367</v>
      </c>
      <c r="T263" t="s">
        <v>355</v>
      </c>
      <c r="U263" t="s">
        <v>356</v>
      </c>
      <c r="V263" t="s">
        <v>298</v>
      </c>
      <c r="W263" t="s">
        <v>299</v>
      </c>
      <c r="X263">
        <v>46220</v>
      </c>
      <c r="Y263" t="s">
        <v>1242</v>
      </c>
      <c r="Z263" t="s">
        <v>302</v>
      </c>
      <c r="AA263" t="s">
        <v>1290</v>
      </c>
    </row>
    <row r="264" spans="1:27">
      <c r="A264">
        <v>424</v>
      </c>
      <c r="B264" t="s">
        <v>208</v>
      </c>
      <c r="C264" t="s">
        <v>289</v>
      </c>
      <c r="D264" t="s">
        <v>1243</v>
      </c>
      <c r="E264" t="s">
        <v>1244</v>
      </c>
      <c r="F264" t="s">
        <v>546</v>
      </c>
      <c r="G264" t="s">
        <v>929</v>
      </c>
      <c r="H264" s="5">
        <v>46210</v>
      </c>
      <c r="I264" t="s">
        <v>230</v>
      </c>
      <c r="J264" t="s">
        <v>293</v>
      </c>
      <c r="K264" t="s">
        <v>41</v>
      </c>
      <c r="L264">
        <v>1570500198954</v>
      </c>
      <c r="M264">
        <v>7015813505</v>
      </c>
      <c r="N264" t="s">
        <v>213</v>
      </c>
      <c r="O264" t="s">
        <v>230</v>
      </c>
      <c r="P264" t="s">
        <v>294</v>
      </c>
      <c r="Q264" t="s">
        <v>294</v>
      </c>
      <c r="R264" t="s">
        <v>59</v>
      </c>
      <c r="S264" t="s">
        <v>367</v>
      </c>
      <c r="T264" t="s">
        <v>355</v>
      </c>
      <c r="U264" t="s">
        <v>356</v>
      </c>
      <c r="V264" t="s">
        <v>298</v>
      </c>
      <c r="W264" t="s">
        <v>299</v>
      </c>
      <c r="X264">
        <v>46220</v>
      </c>
      <c r="Y264" t="s">
        <v>1245</v>
      </c>
      <c r="Z264" t="s">
        <v>302</v>
      </c>
      <c r="AA264" t="s">
        <v>1290</v>
      </c>
    </row>
    <row r="265" spans="1:27">
      <c r="A265">
        <v>425</v>
      </c>
      <c r="B265" t="s">
        <v>209</v>
      </c>
      <c r="C265" t="s">
        <v>289</v>
      </c>
      <c r="D265" t="s">
        <v>1246</v>
      </c>
      <c r="E265" t="s">
        <v>1247</v>
      </c>
      <c r="F265" t="s">
        <v>743</v>
      </c>
      <c r="G265" t="s">
        <v>547</v>
      </c>
      <c r="H265" s="5">
        <v>46204</v>
      </c>
      <c r="I265" t="s">
        <v>237</v>
      </c>
      <c r="J265" t="s">
        <v>293</v>
      </c>
      <c r="K265" t="s">
        <v>41</v>
      </c>
      <c r="L265">
        <v>2601200019491</v>
      </c>
      <c r="M265">
        <v>7014592729</v>
      </c>
      <c r="N265" t="s">
        <v>214</v>
      </c>
      <c r="O265" t="s">
        <v>237</v>
      </c>
      <c r="P265" t="s">
        <v>294</v>
      </c>
      <c r="Q265" t="s">
        <v>294</v>
      </c>
      <c r="R265" t="s">
        <v>66</v>
      </c>
      <c r="S265" t="s">
        <v>399</v>
      </c>
      <c r="T265" t="s">
        <v>390</v>
      </c>
      <c r="U265" t="s">
        <v>391</v>
      </c>
      <c r="V265" t="s">
        <v>298</v>
      </c>
      <c r="W265" t="s">
        <v>299</v>
      </c>
      <c r="X265">
        <v>46220</v>
      </c>
      <c r="Y265" t="s">
        <v>1248</v>
      </c>
      <c r="Z265" t="s">
        <v>302</v>
      </c>
      <c r="AA265" t="s">
        <v>1297</v>
      </c>
    </row>
    <row r="266" spans="1:27">
      <c r="A266">
        <v>426</v>
      </c>
      <c r="B266" t="s">
        <v>1249</v>
      </c>
      <c r="C266" t="s">
        <v>289</v>
      </c>
      <c r="D266" t="s">
        <v>1250</v>
      </c>
      <c r="E266" t="s">
        <v>1251</v>
      </c>
      <c r="F266" t="s">
        <v>546</v>
      </c>
      <c r="G266" t="s">
        <v>929</v>
      </c>
      <c r="H266" s="5">
        <v>46210</v>
      </c>
      <c r="I266" t="s">
        <v>260</v>
      </c>
      <c r="J266" t="s">
        <v>408</v>
      </c>
      <c r="K266" t="s">
        <v>409</v>
      </c>
      <c r="L266">
        <v>1200601353931</v>
      </c>
      <c r="M266">
        <v>7015807312</v>
      </c>
      <c r="N266" t="s">
        <v>214</v>
      </c>
      <c r="O266" t="s">
        <v>260</v>
      </c>
      <c r="P266" t="s">
        <v>294</v>
      </c>
      <c r="Q266" t="s">
        <v>294</v>
      </c>
      <c r="R266" t="s">
        <v>524</v>
      </c>
      <c r="S266" t="s">
        <v>527</v>
      </c>
      <c r="T266" t="s">
        <v>437</v>
      </c>
      <c r="U266" t="s">
        <v>438</v>
      </c>
      <c r="V266" t="s">
        <v>413</v>
      </c>
      <c r="W266" t="s">
        <v>414</v>
      </c>
      <c r="X266">
        <v>46220</v>
      </c>
      <c r="Y266" t="s">
        <v>1252</v>
      </c>
      <c r="Z266" t="s">
        <v>302</v>
      </c>
      <c r="AA266" t="s">
        <v>1320</v>
      </c>
    </row>
    <row r="267" spans="1:27">
      <c r="A267">
        <v>427</v>
      </c>
      <c r="B267" t="s">
        <v>1253</v>
      </c>
      <c r="C267" t="s">
        <v>289</v>
      </c>
      <c r="D267" t="s">
        <v>1254</v>
      </c>
      <c r="E267" t="s">
        <v>1255</v>
      </c>
      <c r="F267" t="s">
        <v>546</v>
      </c>
      <c r="G267" t="s">
        <v>929</v>
      </c>
      <c r="H267" s="5">
        <v>46210</v>
      </c>
      <c r="I267" t="s">
        <v>256</v>
      </c>
      <c r="J267" t="s">
        <v>408</v>
      </c>
      <c r="K267" t="s">
        <v>409</v>
      </c>
      <c r="L267">
        <v>3700900066294</v>
      </c>
      <c r="M267">
        <v>7014512749</v>
      </c>
      <c r="N267" t="s">
        <v>214</v>
      </c>
      <c r="O267" t="s">
        <v>256</v>
      </c>
      <c r="P267" t="s">
        <v>294</v>
      </c>
      <c r="Q267" t="s">
        <v>294</v>
      </c>
      <c r="R267" t="s">
        <v>503</v>
      </c>
      <c r="S267" t="s">
        <v>506</v>
      </c>
      <c r="T267" t="s">
        <v>470</v>
      </c>
      <c r="U267" t="s">
        <v>471</v>
      </c>
      <c r="V267" t="s">
        <v>413</v>
      </c>
      <c r="W267" t="s">
        <v>414</v>
      </c>
      <c r="X267">
        <v>46220</v>
      </c>
      <c r="Y267" t="s">
        <v>1256</v>
      </c>
      <c r="Z267" t="s">
        <v>302</v>
      </c>
      <c r="AA267" t="s">
        <v>1316</v>
      </c>
    </row>
    <row r="268" spans="1:27">
      <c r="A268">
        <v>428</v>
      </c>
      <c r="B268" t="s">
        <v>1257</v>
      </c>
      <c r="C268" t="s">
        <v>307</v>
      </c>
      <c r="D268" t="s">
        <v>1258</v>
      </c>
      <c r="E268" t="s">
        <v>1259</v>
      </c>
      <c r="F268" t="s">
        <v>546</v>
      </c>
      <c r="G268" t="s">
        <v>929</v>
      </c>
      <c r="H268" s="5">
        <v>46204</v>
      </c>
      <c r="I268" t="s">
        <v>262</v>
      </c>
      <c r="J268" t="s">
        <v>408</v>
      </c>
      <c r="K268" t="s">
        <v>409</v>
      </c>
      <c r="L268">
        <v>1102000164673</v>
      </c>
      <c r="M268">
        <v>7015787339</v>
      </c>
      <c r="N268" t="s">
        <v>214</v>
      </c>
      <c r="O268" t="s">
        <v>262</v>
      </c>
      <c r="P268" t="s">
        <v>294</v>
      </c>
      <c r="Q268" t="s">
        <v>294</v>
      </c>
      <c r="R268" t="s">
        <v>534</v>
      </c>
      <c r="S268" t="s">
        <v>537</v>
      </c>
      <c r="T268" t="s">
        <v>437</v>
      </c>
      <c r="U268" t="s">
        <v>438</v>
      </c>
      <c r="V268" t="s">
        <v>413</v>
      </c>
      <c r="W268" t="s">
        <v>414</v>
      </c>
      <c r="X268">
        <v>46220</v>
      </c>
      <c r="Y268" t="s">
        <v>1260</v>
      </c>
      <c r="Z268" t="s">
        <v>302</v>
      </c>
      <c r="AA268" t="s">
        <v>1322</v>
      </c>
    </row>
    <row r="269" spans="1:27">
      <c r="A269">
        <v>429</v>
      </c>
      <c r="B269" t="s">
        <v>210</v>
      </c>
      <c r="C269" t="s">
        <v>289</v>
      </c>
      <c r="D269" t="s">
        <v>1261</v>
      </c>
      <c r="E269" t="s">
        <v>1262</v>
      </c>
      <c r="F269" t="s">
        <v>743</v>
      </c>
      <c r="G269" t="s">
        <v>547</v>
      </c>
      <c r="H269" s="5">
        <v>46204</v>
      </c>
      <c r="I269" t="s">
        <v>235</v>
      </c>
      <c r="J269" t="s">
        <v>293</v>
      </c>
      <c r="K269" t="s">
        <v>41</v>
      </c>
      <c r="L269">
        <v>1100701393375</v>
      </c>
      <c r="M269">
        <v>7005541244</v>
      </c>
      <c r="N269" t="s">
        <v>214</v>
      </c>
      <c r="O269" t="s">
        <v>235</v>
      </c>
      <c r="P269" t="s">
        <v>294</v>
      </c>
      <c r="Q269" t="s">
        <v>294</v>
      </c>
      <c r="R269" t="s">
        <v>64</v>
      </c>
      <c r="S269" t="s">
        <v>389</v>
      </c>
      <c r="T269" t="s">
        <v>390</v>
      </c>
      <c r="U269" t="s">
        <v>391</v>
      </c>
      <c r="V269" t="s">
        <v>298</v>
      </c>
      <c r="W269" t="s">
        <v>299</v>
      </c>
      <c r="X269">
        <v>0</v>
      </c>
      <c r="Y269" t="s">
        <v>1263</v>
      </c>
      <c r="Z269" t="s">
        <v>302</v>
      </c>
      <c r="AA269" t="s">
        <v>1295</v>
      </c>
    </row>
    <row r="270" spans="1:27">
      <c r="A270">
        <v>430</v>
      </c>
      <c r="B270" t="s">
        <v>211</v>
      </c>
      <c r="C270" t="s">
        <v>307</v>
      </c>
      <c r="D270" t="s">
        <v>1264</v>
      </c>
      <c r="E270" t="s">
        <v>1265</v>
      </c>
      <c r="F270" t="s">
        <v>546</v>
      </c>
      <c r="G270" t="s">
        <v>929</v>
      </c>
      <c r="H270" s="5">
        <v>46210</v>
      </c>
      <c r="I270" t="s">
        <v>234</v>
      </c>
      <c r="J270" t="s">
        <v>293</v>
      </c>
      <c r="K270" t="s">
        <v>41</v>
      </c>
      <c r="L270">
        <v>1100300075216</v>
      </c>
      <c r="M270">
        <v>7015824200</v>
      </c>
      <c r="N270" t="s">
        <v>214</v>
      </c>
      <c r="O270" t="s">
        <v>234</v>
      </c>
      <c r="P270" t="s">
        <v>294</v>
      </c>
      <c r="Q270" t="s">
        <v>294</v>
      </c>
      <c r="R270" t="s">
        <v>63</v>
      </c>
      <c r="S270" t="s">
        <v>385</v>
      </c>
      <c r="T270" t="s">
        <v>372</v>
      </c>
      <c r="U270" t="s">
        <v>373</v>
      </c>
      <c r="V270" t="s">
        <v>298</v>
      </c>
      <c r="W270" t="s">
        <v>299</v>
      </c>
      <c r="X270">
        <v>0</v>
      </c>
      <c r="Y270" t="s">
        <v>1266</v>
      </c>
      <c r="Z270" t="s">
        <v>302</v>
      </c>
      <c r="AA270" t="s">
        <v>1294</v>
      </c>
    </row>
    <row r="271" spans="1:27">
      <c r="A271">
        <v>431</v>
      </c>
      <c r="B271" t="s">
        <v>1267</v>
      </c>
      <c r="C271" t="s">
        <v>289</v>
      </c>
      <c r="D271" t="s">
        <v>1268</v>
      </c>
      <c r="E271" t="s">
        <v>1269</v>
      </c>
      <c r="F271" t="s">
        <v>546</v>
      </c>
      <c r="G271" t="s">
        <v>929</v>
      </c>
      <c r="H271" s="5">
        <v>46210</v>
      </c>
      <c r="I271" t="s">
        <v>250</v>
      </c>
      <c r="J271" t="s">
        <v>408</v>
      </c>
      <c r="K271" t="s">
        <v>409</v>
      </c>
      <c r="L271">
        <v>1839900008660</v>
      </c>
      <c r="M271">
        <v>7007028795</v>
      </c>
      <c r="N271" t="s">
        <v>214</v>
      </c>
      <c r="O271" t="s">
        <v>250</v>
      </c>
      <c r="P271" t="s">
        <v>294</v>
      </c>
      <c r="Q271" t="s">
        <v>294</v>
      </c>
      <c r="R271" t="s">
        <v>473</v>
      </c>
      <c r="S271" t="s">
        <v>476</v>
      </c>
      <c r="T271" t="s">
        <v>470</v>
      </c>
      <c r="U271" t="s">
        <v>471</v>
      </c>
      <c r="V271" t="s">
        <v>413</v>
      </c>
      <c r="W271" t="s">
        <v>414</v>
      </c>
      <c r="X271">
        <v>0</v>
      </c>
      <c r="Y271" t="s">
        <v>1270</v>
      </c>
      <c r="Z271" t="s">
        <v>302</v>
      </c>
      <c r="AA271" t="s">
        <v>1310</v>
      </c>
    </row>
    <row r="272" spans="1:27">
      <c r="A272">
        <v>432</v>
      </c>
      <c r="B272" t="s">
        <v>212</v>
      </c>
      <c r="C272" t="s">
        <v>289</v>
      </c>
      <c r="D272" t="s">
        <v>1271</v>
      </c>
      <c r="E272" t="s">
        <v>1272</v>
      </c>
      <c r="F272" t="s">
        <v>743</v>
      </c>
      <c r="G272" t="s">
        <v>547</v>
      </c>
      <c r="H272" s="5">
        <v>46204</v>
      </c>
      <c r="I272" t="s">
        <v>228</v>
      </c>
      <c r="J272" t="s">
        <v>293</v>
      </c>
      <c r="K272" t="s">
        <v>41</v>
      </c>
      <c r="L272">
        <v>1510100118279</v>
      </c>
      <c r="M272">
        <v>7003072661</v>
      </c>
      <c r="N272" t="s">
        <v>214</v>
      </c>
      <c r="O272" t="s">
        <v>228</v>
      </c>
      <c r="P272" t="s">
        <v>294</v>
      </c>
      <c r="Q272" t="s">
        <v>294</v>
      </c>
      <c r="R272" t="s">
        <v>57</v>
      </c>
      <c r="S272" t="s">
        <v>360</v>
      </c>
      <c r="T272" t="s">
        <v>355</v>
      </c>
      <c r="U272" t="s">
        <v>356</v>
      </c>
      <c r="V272" t="s">
        <v>298</v>
      </c>
      <c r="W272" t="s">
        <v>299</v>
      </c>
      <c r="X272">
        <v>0</v>
      </c>
      <c r="Y272" t="s">
        <v>1273</v>
      </c>
      <c r="Z272" t="s">
        <v>302</v>
      </c>
      <c r="AA272" t="s">
        <v>1288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zoomScaleNormal="100" workbookViewId="0">
      <selection activeCell="A4" sqref="A4"/>
    </sheetView>
  </sheetViews>
  <sheetFormatPr defaultRowHeight="14"/>
  <cols>
    <col min="1" max="2" width="12.58203125" bestFit="1" customWidth="1"/>
  </cols>
  <sheetData>
    <row r="1" spans="1:2">
      <c r="A1" t="s">
        <v>42</v>
      </c>
      <c r="B1" t="s">
        <v>43</v>
      </c>
    </row>
    <row r="2" spans="1:2">
      <c r="A2" t="str" cm="1">
        <f t="array" ref="A2:A25">_xlfn._xlws.SORT(_xlfn.UNIQUE(_xlfn._xlws.FILTER(Sales_Agent_info!$AA:$AA, Sales_Agent_info!$K:$K="Direct Sales 1")), 1, 1)</f>
        <v>DS1_1_1</v>
      </c>
      <c r="B2" t="str" cm="1">
        <f t="array" ref="B2:B26">_xlfn._xlws.SORT(_xlfn.UNIQUE(_xlfn._xlws.FILTER(Sales_Agent_info!$AA:$AA, Sales_Agent_info!$K:$K="Direct Sales 2")), 1, 1)</f>
        <v>DS2_1_1</v>
      </c>
    </row>
    <row r="3" spans="1:2">
      <c r="A3" t="str">
        <v>DS1_1_2</v>
      </c>
      <c r="B3" t="str">
        <v>DS2_1_2</v>
      </c>
    </row>
    <row r="4" spans="1:2">
      <c r="A4" t="str">
        <v>DS1_1_3</v>
      </c>
      <c r="B4" t="str">
        <v>DS2_1_3</v>
      </c>
    </row>
    <row r="5" spans="1:2">
      <c r="A5" t="str">
        <v>DS1_1_4</v>
      </c>
      <c r="B5" t="str">
        <v>DS2_1_4</v>
      </c>
    </row>
    <row r="6" spans="1:2">
      <c r="A6" t="str">
        <v>DS1_2_1</v>
      </c>
      <c r="B6" t="str">
        <v>DS2_1_5</v>
      </c>
    </row>
    <row r="7" spans="1:2">
      <c r="A7" t="str">
        <v>DS1_2_2</v>
      </c>
      <c r="B7" t="str">
        <v>DS2_2_1</v>
      </c>
    </row>
    <row r="8" spans="1:2">
      <c r="A8" t="str">
        <v>DS1_2_3</v>
      </c>
      <c r="B8" t="str">
        <v>DS2_2_2</v>
      </c>
    </row>
    <row r="9" spans="1:2">
      <c r="A9" t="str">
        <v>DS1_2_4</v>
      </c>
      <c r="B9" t="str">
        <v>DS2_2_3</v>
      </c>
    </row>
    <row r="10" spans="1:2">
      <c r="A10" t="str">
        <v>DS1_3_1</v>
      </c>
      <c r="B10" t="str">
        <v>DS2_2_4</v>
      </c>
    </row>
    <row r="11" spans="1:2">
      <c r="A11" t="str">
        <v>DS1_3_2</v>
      </c>
      <c r="B11" t="str">
        <v>DS2_2_5</v>
      </c>
    </row>
    <row r="12" spans="1:2">
      <c r="A12" t="str">
        <v>DS1_3_3</v>
      </c>
      <c r="B12" t="str">
        <v>DS2_3_1</v>
      </c>
    </row>
    <row r="13" spans="1:2">
      <c r="A13" t="str">
        <v>DS1_3_4</v>
      </c>
      <c r="B13" t="str">
        <v>DS2_3_2</v>
      </c>
    </row>
    <row r="14" spans="1:2">
      <c r="A14" t="str">
        <v>DS1_4_1</v>
      </c>
      <c r="B14" t="str">
        <v>DS2_3_3</v>
      </c>
    </row>
    <row r="15" spans="1:2">
      <c r="A15" t="str">
        <v>DS1_4_2</v>
      </c>
      <c r="B15" t="str">
        <v>DS2_3_4</v>
      </c>
    </row>
    <row r="16" spans="1:2">
      <c r="A16" t="str">
        <v>DS1_4_3</v>
      </c>
      <c r="B16" t="str">
        <v>DS2_3_5</v>
      </c>
    </row>
    <row r="17" spans="1:2">
      <c r="A17" t="str">
        <v>DS1_4_4</v>
      </c>
      <c r="B17" t="str">
        <v>DS2_4_1</v>
      </c>
    </row>
    <row r="18" spans="1:2">
      <c r="A18" t="str">
        <v>DS1_5_1</v>
      </c>
      <c r="B18" t="str">
        <v>DS2_4_2</v>
      </c>
    </row>
    <row r="19" spans="1:2">
      <c r="A19" t="str">
        <v>DS1_5_2</v>
      </c>
      <c r="B19" t="str">
        <v>DS2_4_3</v>
      </c>
    </row>
    <row r="20" spans="1:2">
      <c r="A20" t="str">
        <v>DS1_5_3</v>
      </c>
      <c r="B20" t="str">
        <v>DS2_4_4</v>
      </c>
    </row>
    <row r="21" spans="1:2">
      <c r="A21" t="str">
        <v>DS1_5_4</v>
      </c>
      <c r="B21" t="str">
        <v>DS2_4_5</v>
      </c>
    </row>
    <row r="22" spans="1:2">
      <c r="A22" t="str">
        <v>DS1_6_1</v>
      </c>
      <c r="B22" t="str">
        <v>DS2_5_1</v>
      </c>
    </row>
    <row r="23" spans="1:2">
      <c r="A23" t="str">
        <v>DS1_6_2</v>
      </c>
      <c r="B23" t="str">
        <v>DS2_5_2</v>
      </c>
    </row>
    <row r="24" spans="1:2">
      <c r="A24" t="str">
        <v>DS1_6_3</v>
      </c>
      <c r="B24" t="str">
        <v>DS2_5_3</v>
      </c>
    </row>
    <row r="25" spans="1:2">
      <c r="A25" t="str">
        <v>DS1_6_4</v>
      </c>
      <c r="B25" t="str">
        <v>DS2_5_4</v>
      </c>
    </row>
    <row r="26" spans="1:2">
      <c r="B26" t="str">
        <v>DS2_5_5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topLeftCell="AC1" workbookViewId="0">
      <selection activeCell="A4" sqref="A4"/>
    </sheetView>
  </sheetViews>
  <sheetFormatPr defaultRowHeight="14"/>
  <sheetData>
    <row r="1" spans="1:49">
      <c r="A1" t="s">
        <v>1275</v>
      </c>
      <c r="B1" t="s">
        <v>1276</v>
      </c>
      <c r="C1" t="s">
        <v>1277</v>
      </c>
      <c r="D1" t="s">
        <v>1278</v>
      </c>
      <c r="E1" t="s">
        <v>1279</v>
      </c>
      <c r="F1" t="s">
        <v>1280</v>
      </c>
      <c r="G1" t="s">
        <v>1281</v>
      </c>
      <c r="H1" t="s">
        <v>1282</v>
      </c>
      <c r="I1" t="s">
        <v>1283</v>
      </c>
      <c r="J1" t="s">
        <v>1284</v>
      </c>
      <c r="K1" t="s">
        <v>1285</v>
      </c>
      <c r="L1" t="s">
        <v>1286</v>
      </c>
      <c r="M1" t="s">
        <v>1287</v>
      </c>
      <c r="N1" t="s">
        <v>1288</v>
      </c>
      <c r="O1" t="s">
        <v>1289</v>
      </c>
      <c r="P1" t="s">
        <v>1290</v>
      </c>
      <c r="Q1" t="s">
        <v>1291</v>
      </c>
      <c r="R1" t="s">
        <v>1292</v>
      </c>
      <c r="S1" t="s">
        <v>1293</v>
      </c>
      <c r="T1" t="s">
        <v>1294</v>
      </c>
      <c r="U1" t="s">
        <v>1295</v>
      </c>
      <c r="V1" t="s">
        <v>1296</v>
      </c>
      <c r="W1" t="s">
        <v>1297</v>
      </c>
      <c r="X1" t="s">
        <v>1298</v>
      </c>
      <c r="Y1" t="s">
        <v>1299</v>
      </c>
      <c r="Z1" t="s">
        <v>1301</v>
      </c>
      <c r="AA1" t="s">
        <v>1304</v>
      </c>
      <c r="AB1" t="s">
        <v>1305</v>
      </c>
      <c r="AC1" t="s">
        <v>1302</v>
      </c>
      <c r="AD1" t="s">
        <v>1307</v>
      </c>
      <c r="AE1" t="s">
        <v>1308</v>
      </c>
      <c r="AF1" t="s">
        <v>1312</v>
      </c>
      <c r="AG1" t="s">
        <v>1311</v>
      </c>
      <c r="AH1" t="s">
        <v>1321</v>
      </c>
      <c r="AI1" t="s">
        <v>1314</v>
      </c>
      <c r="AJ1" t="s">
        <v>1309</v>
      </c>
      <c r="AK1" t="s">
        <v>1316</v>
      </c>
      <c r="AL1" t="s">
        <v>1315</v>
      </c>
      <c r="AM1" t="s">
        <v>1310</v>
      </c>
      <c r="AN1" t="s">
        <v>1317</v>
      </c>
      <c r="AO1" t="s">
        <v>1318</v>
      </c>
      <c r="AP1" t="s">
        <v>1320</v>
      </c>
      <c r="AQ1" t="s">
        <v>1322</v>
      </c>
      <c r="AR1" t="s">
        <v>1303</v>
      </c>
      <c r="AS1" t="s">
        <v>1319</v>
      </c>
      <c r="AT1" t="s">
        <v>1300</v>
      </c>
      <c r="AU1" t="s">
        <v>1306</v>
      </c>
      <c r="AV1" t="s">
        <v>1313</v>
      </c>
      <c r="AW1" t="s">
        <v>1323</v>
      </c>
    </row>
    <row r="2" spans="1:49">
      <c r="A2" t="str" cm="1">
        <f t="array" ref="A2:A7">_xlfn._xlws.FILTER(Sales_Agent_info!$B:$B, Sales_Agent_info!$AA:$AA= A$1)</f>
        <v>2010607</v>
      </c>
      <c r="B2" t="str" cm="1">
        <f t="array" ref="B2:B10">_xlfn._xlws.FILTER(Sales_Agent_info!$B:$B, Sales_Agent_info!$AA:$AA= B$1)</f>
        <v>2020440</v>
      </c>
      <c r="C2" t="str" cm="1">
        <f t="array" ref="C2:C8">_xlfn._xlws.FILTER(Sales_Agent_info!$B:$B, Sales_Agent_info!$AA:$AA= C$1)</f>
        <v>2020799</v>
      </c>
      <c r="D2" t="str" cm="1">
        <f t="array" ref="D2:D6">_xlfn._xlws.FILTER(Sales_Agent_info!$B:$B, Sales_Agent_info!$AA:$AA= D$1)</f>
        <v>2020911</v>
      </c>
      <c r="E2" t="str" cm="1">
        <f t="array" ref="E2:E8">_xlfn._xlws.FILTER(Sales_Agent_info!$B:$B, Sales_Agent_info!$AA:$AA= E$1)</f>
        <v>2020887</v>
      </c>
      <c r="F2" t="str" cm="1">
        <f t="array" ref="F2:F7">_xlfn._xlws.FILTER(Sales_Agent_info!$B:$B, Sales_Agent_info!$AA:$AA= F$1)</f>
        <v>5300754</v>
      </c>
      <c r="G2" t="str" cm="1">
        <f t="array" ref="G2:G8">_xlfn._xlws.FILTER(Sales_Agent_info!$B:$B, Sales_Agent_info!$AA:$AA= G$1)</f>
        <v>5349609</v>
      </c>
      <c r="H2" t="str" cm="1">
        <f t="array" ref="H2:H8">_xlfn._xlws.FILTER(Sales_Agent_info!$B:$B, Sales_Agent_info!$AA:$AA= H$1)</f>
        <v>5421894</v>
      </c>
      <c r="I2" t="str" cm="1">
        <f t="array" ref="I2:I8">_xlfn._xlws.FILTER(Sales_Agent_info!$B:$B, Sales_Agent_info!$AA:$AA= I$1)</f>
        <v>2017843</v>
      </c>
      <c r="J2" t="str" cm="1">
        <f t="array" ref="J2:J7">_xlfn._xlws.FILTER(Sales_Agent_info!$B:$B, Sales_Agent_info!$AA:$AA= J$1)</f>
        <v>2017884</v>
      </c>
      <c r="K2" t="str" cm="1">
        <f t="array" ref="K2:K9">_xlfn._xlws.FILTER(Sales_Agent_info!$B:$B, Sales_Agent_info!$AA:$AA= K$1)</f>
        <v>2018033</v>
      </c>
      <c r="L2" t="str" cm="1">
        <f t="array" ref="L2:L6">_xlfn._xlws.FILTER(Sales_Agent_info!$B:$B, Sales_Agent_info!$AA:$AA= L$1)</f>
        <v>2020624</v>
      </c>
      <c r="M2" t="str" cm="1">
        <f t="array" ref="M2:M12">_xlfn._xlws.FILTER(Sales_Agent_info!$B:$B, Sales_Agent_info!$AA:$AA= M$1)</f>
        <v>2017137</v>
      </c>
      <c r="N2" t="str" cm="1">
        <f t="array" ref="N2:N7">_xlfn._xlws.FILTER(Sales_Agent_info!$B:$B, Sales_Agent_info!$AA:$AA= N$1)</f>
        <v>2020497</v>
      </c>
      <c r="O2" t="str" cm="1">
        <f t="array" ref="O2:O10">_xlfn._xlws.FILTER(Sales_Agent_info!$B:$B, Sales_Agent_info!$AA:$AA= O$1)</f>
        <v>5349231</v>
      </c>
      <c r="P2" t="str" cm="1">
        <f t="array" ref="P2:P11">_xlfn._xlws.FILTER(Sales_Agent_info!$B:$B, Sales_Agent_info!$AA:$AA= P$1)</f>
        <v>5422177</v>
      </c>
      <c r="Q2" t="str" cm="1">
        <f t="array" ref="Q2:Q7">_xlfn._xlws.FILTER(Sales_Agent_info!$B:$B, Sales_Agent_info!$AA:$AA= Q$1)</f>
        <v>2014504</v>
      </c>
      <c r="R2" t="str" cm="1">
        <f t="array" ref="R2:R8">_xlfn._xlws.FILTER(Sales_Agent_info!$B:$B, Sales_Agent_info!$AA:$AA= R$1)</f>
        <v>2020314</v>
      </c>
      <c r="S2" t="str" cm="1">
        <f t="array" ref="S2:S7">_xlfn._xlws.FILTER(Sales_Agent_info!$B:$B, Sales_Agent_info!$AA:$AA= S$1)</f>
        <v>2020309</v>
      </c>
      <c r="T2" t="str" cm="1">
        <f t="array" ref="T2:T10">_xlfn._xlws.FILTER(Sales_Agent_info!$B:$B, Sales_Agent_info!$AA:$AA= T$1)</f>
        <v>5424797</v>
      </c>
      <c r="U2" t="str" cm="1">
        <f t="array" ref="U2:U7">_xlfn._xlws.FILTER(Sales_Agent_info!$B:$B, Sales_Agent_info!$AA:$AA= U$1)</f>
        <v>2014899</v>
      </c>
      <c r="V2" t="str" cm="1">
        <f t="array" ref="V2:V7">_xlfn._xlws.FILTER(Sales_Agent_info!$B:$B, Sales_Agent_info!$AA:$AA= V$1)</f>
        <v>2020310</v>
      </c>
      <c r="W2" t="str" cm="1">
        <f t="array" ref="W2:W6">_xlfn._xlws.FILTER(Sales_Agent_info!$B:$B, Sales_Agent_info!$AA:$AA= W$1)</f>
        <v>5397723</v>
      </c>
      <c r="X2" t="str" cm="1">
        <f t="array" ref="X2:X9">_xlfn._xlws.FILTER(Sales_Agent_info!$B:$B, Sales_Agent_info!$AA:$AA= X$1)</f>
        <v>5429310</v>
      </c>
      <c r="Y2" t="str" cm="1">
        <f t="array" ref="Y2:Y4">_xlfn._xlws.FILTER(Sales_Agent_info!$B:$B, Sales_Agent_info!$AA:$AA= Y$1)</f>
        <v>2018437</v>
      </c>
      <c r="Z2" t="str" cm="1">
        <f t="array" ref="Z2:Z4">_xlfn._xlws.FILTER(Sales_Agent_info!$B:$B, Sales_Agent_info!$AA:$AA= Z$1)</f>
        <v>2019298</v>
      </c>
      <c r="AA2" t="str" cm="1">
        <f t="array" ref="AA2:AA5">_xlfn._xlws.FILTER(Sales_Agent_info!$B:$B, Sales_Agent_info!$AA:$AA= AA$1)</f>
        <v>2015066</v>
      </c>
      <c r="AB2" t="str" cm="1">
        <f t="array" ref="AB2:AB5">_xlfn._xlws.FILTER(Sales_Agent_info!$B:$B, Sales_Agent_info!$AA:$AA= AB$1)</f>
        <v>2010212</v>
      </c>
      <c r="AC2" t="str" cm="1">
        <f t="array" ref="AC2:AC6">_xlfn._xlws.FILTER(Sales_Agent_info!$B:$B, Sales_Agent_info!$AA:$AA= AC$1)</f>
        <v>2019243</v>
      </c>
      <c r="AD2" t="str" cm="1">
        <f t="array" ref="AD2:AD8">_xlfn._xlws.FILTER(Sales_Agent_info!$B:$B, Sales_Agent_info!$AA:$AA= AD$1)</f>
        <v>5304046</v>
      </c>
      <c r="AE2" t="str" cm="1">
        <f t="array" ref="AE2:AE7">_xlfn._xlws.FILTER(Sales_Agent_info!$B:$B, Sales_Agent_info!$AA:$AA= AE$1)</f>
        <v>5362157</v>
      </c>
      <c r="AF2" t="str" cm="1">
        <f t="array" ref="AF2:AF5">_xlfn._xlws.FILTER(Sales_Agent_info!$B:$B, Sales_Agent_info!$AA:$AA= AF$1)</f>
        <v>2009436</v>
      </c>
      <c r="AG2" t="str" cm="1">
        <f t="array" ref="AG2:AG4">_xlfn._xlws.FILTER(Sales_Agent_info!$B:$B, Sales_Agent_info!$AA:$AA= AG$1)</f>
        <v>2015946</v>
      </c>
      <c r="AH2" t="str" cm="1">
        <f t="array" ref="AH2:AH4">_xlfn._xlws.FILTER(Sales_Agent_info!$B:$B, Sales_Agent_info!$AA:$AA= AH$1)</f>
        <v>2017666</v>
      </c>
      <c r="AI2" t="str" cm="1">
        <f t="array" ref="AI2:AI5">_xlfn._xlws.FILTER(Sales_Agent_info!$B:$B, Sales_Agent_info!$AA:$AA= AI$1)</f>
        <v>2020089</v>
      </c>
      <c r="AJ2" t="str" cm="1">
        <f t="array" ref="AJ2:AJ4">_xlfn._xlws.FILTER(Sales_Agent_info!$B:$B, Sales_Agent_info!$AA:$AA= AJ$1)</f>
        <v>2017705</v>
      </c>
      <c r="AK2" t="str" cm="1">
        <f t="array" ref="AK2:AK4">_xlfn._xlws.FILTER(Sales_Agent_info!$B:$B, Sales_Agent_info!$AA:$AA= AK$1)</f>
        <v>5389331</v>
      </c>
      <c r="AL2" t="str" cm="1">
        <f t="array" ref="AL2:AL7">_xlfn._xlws.FILTER(Sales_Agent_info!$B:$B, Sales_Agent_info!$AA:$AA= AL$1)</f>
        <v>2013925</v>
      </c>
      <c r="AM2" t="str" cm="1">
        <f t="array" ref="AM2:AM5">_xlfn._xlws.FILTER(Sales_Agent_info!$B:$B, Sales_Agent_info!$AA:$AA= AM$1)</f>
        <v>2015161</v>
      </c>
      <c r="AN2" t="str" cm="1">
        <f t="array" ref="AN2:AN5">_xlfn._xlws.FILTER(Sales_Agent_info!$B:$B, Sales_Agent_info!$AA:$AA= AN$1)</f>
        <v>2017368</v>
      </c>
      <c r="AO2" t="str" cm="1">
        <f t="array" ref="AO2:AO8">_xlfn._xlws.FILTER(Sales_Agent_info!$B:$B, Sales_Agent_info!$AA:$AA= AO$1)</f>
        <v>2010690</v>
      </c>
      <c r="AP2" t="str" cm="1">
        <f t="array" ref="AP2:AP4">_xlfn._xlws.FILTER(Sales_Agent_info!$B:$B, Sales_Agent_info!$AA:$AA= AP$1)</f>
        <v>2020753</v>
      </c>
      <c r="AQ2" t="str" cm="1">
        <f t="array" ref="AQ2:AQ7">_xlfn._xlws.FILTER(Sales_Agent_info!$B:$B, Sales_Agent_info!$AA:$AA= AQ$1)</f>
        <v>2014879</v>
      </c>
      <c r="AR2" t="str" cm="1">
        <f t="array" ref="AR2:AR3">_xlfn._xlws.FILTER(Sales_Agent_info!$B:$B, Sales_Agent_info!$AA:$AA= AR$1)</f>
        <v>2013948</v>
      </c>
      <c r="AS2" t="str" cm="1">
        <f t="array" ref="AS2:AS4">_xlfn._xlws.FILTER(Sales_Agent_info!$B:$B, Sales_Agent_info!$AA:$AA= AS$1)</f>
        <v>5300931</v>
      </c>
      <c r="AT2" t="str" cm="1">
        <f t="array" ref="AT2:AT6">_xlfn._xlws.FILTER(Sales_Agent_info!$B:$B, Sales_Agent_info!$AA:$AA= AT$1)</f>
        <v>2020598</v>
      </c>
      <c r="AU2" t="str" cm="1">
        <f t="array" ref="AU2:AU5">_xlfn._xlws.FILTER(Sales_Agent_info!$B:$B, Sales_Agent_info!$AA:$AA= AU$1)</f>
        <v>5404943</v>
      </c>
      <c r="AV2" t="str" cm="1">
        <f t="array" ref="AV2:AV5">_xlfn._xlws.FILTER(Sales_Agent_info!$B:$B, Sales_Agent_info!$AA:$AA= AV$1)</f>
        <v>5366603</v>
      </c>
      <c r="AW2" t="str" cm="1">
        <f t="array" ref="AW2:AW3">_xlfn._xlws.FILTER(Sales_Agent_info!$B:$B, Sales_Agent_info!$AA:$AA= AW$1)</f>
        <v>5392829</v>
      </c>
    </row>
    <row r="3" spans="1:49">
      <c r="A3" t="str">
        <v>6560385</v>
      </c>
      <c r="B3" t="str">
        <v>6560394</v>
      </c>
      <c r="C3" t="str">
        <v>6560407</v>
      </c>
      <c r="D3" t="str">
        <v>6560414</v>
      </c>
      <c r="E3" t="str">
        <v>6560369</v>
      </c>
      <c r="F3" t="str">
        <v>6560378</v>
      </c>
      <c r="G3" t="str">
        <v>6560362</v>
      </c>
      <c r="H3" t="str">
        <v>6560436</v>
      </c>
      <c r="I3" t="str">
        <v>6560342</v>
      </c>
      <c r="J3" t="str">
        <v>6560479</v>
      </c>
      <c r="K3" t="str">
        <v>6860049</v>
      </c>
      <c r="L3" t="str">
        <v>6560330</v>
      </c>
      <c r="M3" t="str">
        <v>6560465</v>
      </c>
      <c r="N3" t="str">
        <v>6960052</v>
      </c>
      <c r="O3" t="str">
        <v>6560426</v>
      </c>
      <c r="P3" t="str">
        <v>6860023</v>
      </c>
      <c r="Q3" t="str">
        <v>6560522</v>
      </c>
      <c r="R3" t="str">
        <v>6560508</v>
      </c>
      <c r="S3" t="str">
        <v>6560488</v>
      </c>
      <c r="T3" t="str">
        <v>6560513</v>
      </c>
      <c r="U3" t="str">
        <v>6560449</v>
      </c>
      <c r="V3" t="str">
        <v>6560498</v>
      </c>
      <c r="W3" t="str">
        <v>6560372</v>
      </c>
      <c r="X3" t="str">
        <v>6560497</v>
      </c>
      <c r="Y3" t="str">
        <v>6930127</v>
      </c>
      <c r="Z3" t="str">
        <v>6930129</v>
      </c>
      <c r="AA3" t="str">
        <v>6930171</v>
      </c>
      <c r="AB3" t="str">
        <v>6930151</v>
      </c>
      <c r="AC3" t="str">
        <v>6930175</v>
      </c>
      <c r="AD3" t="str">
        <v>6930130</v>
      </c>
      <c r="AE3" t="str">
        <v>6930133</v>
      </c>
      <c r="AF3" t="str">
        <v>6930135</v>
      </c>
      <c r="AG3" t="str">
        <v>6930138</v>
      </c>
      <c r="AH3" t="str">
        <v>6930139</v>
      </c>
      <c r="AI3" t="str">
        <v>6930140</v>
      </c>
      <c r="AJ3" t="str">
        <v>6930159</v>
      </c>
      <c r="AK3" t="str">
        <v>6930193</v>
      </c>
      <c r="AL3" t="str">
        <v>6930142</v>
      </c>
      <c r="AM3" t="str">
        <v>6930184</v>
      </c>
      <c r="AN3" t="str">
        <v>6930143</v>
      </c>
      <c r="AO3" t="str">
        <v>6930144</v>
      </c>
      <c r="AP3" t="str">
        <v>6930164</v>
      </c>
      <c r="AQ3" t="str">
        <v>6930187</v>
      </c>
      <c r="AR3" t="str">
        <v>6930189</v>
      </c>
      <c r="AS3" t="str">
        <v>6930146</v>
      </c>
      <c r="AT3" t="str">
        <v>6930147</v>
      </c>
      <c r="AU3" t="str">
        <v>6930148</v>
      </c>
      <c r="AV3" t="str">
        <v>6930149</v>
      </c>
      <c r="AW3" t="str">
        <v>6930170</v>
      </c>
    </row>
    <row r="4" spans="1:49">
      <c r="A4" t="str">
        <v>6560395</v>
      </c>
      <c r="B4" t="str">
        <v>6560401</v>
      </c>
      <c r="C4" t="str">
        <v>6560409</v>
      </c>
      <c r="D4" t="str">
        <v>6860015</v>
      </c>
      <c r="E4" t="str">
        <v>6560447</v>
      </c>
      <c r="F4" t="str">
        <v>6560374</v>
      </c>
      <c r="G4" t="str">
        <v>6560354</v>
      </c>
      <c r="H4" t="str">
        <v>6860042</v>
      </c>
      <c r="I4" t="str">
        <v>6560353</v>
      </c>
      <c r="J4" t="str">
        <v>6560480</v>
      </c>
      <c r="K4" t="str">
        <v>6860063</v>
      </c>
      <c r="L4" t="str">
        <v>6860084</v>
      </c>
      <c r="M4" t="str">
        <v>6560471</v>
      </c>
      <c r="N4" t="str">
        <v>6960053</v>
      </c>
      <c r="O4" t="str">
        <v>6560440</v>
      </c>
      <c r="P4" t="str">
        <v>6860039</v>
      </c>
      <c r="Q4" t="str">
        <v>6560523</v>
      </c>
      <c r="R4" t="str">
        <v>6560516</v>
      </c>
      <c r="S4" t="str">
        <v>6560491</v>
      </c>
      <c r="T4" t="str">
        <v>6860139</v>
      </c>
      <c r="U4" t="str">
        <v>6560451</v>
      </c>
      <c r="V4" t="str">
        <v>6560504</v>
      </c>
      <c r="W4" t="str">
        <v>6760250</v>
      </c>
      <c r="X4" t="str">
        <v>6760421</v>
      </c>
      <c r="Y4" t="str">
        <v>6930128</v>
      </c>
      <c r="Z4" t="str">
        <v>6930150</v>
      </c>
      <c r="AA4" t="str">
        <v>6930172</v>
      </c>
      <c r="AB4" t="str">
        <v>6930152</v>
      </c>
      <c r="AC4" t="str">
        <v>6930176</v>
      </c>
      <c r="AD4" t="str">
        <v>6930131</v>
      </c>
      <c r="AE4" t="str">
        <v>6930134</v>
      </c>
      <c r="AF4" t="str">
        <v>6930136</v>
      </c>
      <c r="AG4" t="str">
        <v>6930190</v>
      </c>
      <c r="AH4" t="str">
        <v>6930156</v>
      </c>
      <c r="AI4" t="str">
        <v>6930141</v>
      </c>
      <c r="AJ4" t="str">
        <v>6930191</v>
      </c>
      <c r="AK4" t="str">
        <v>6930236</v>
      </c>
      <c r="AL4" t="str">
        <v>6930180</v>
      </c>
      <c r="AM4" t="str">
        <v>6930185</v>
      </c>
      <c r="AN4" t="str">
        <v>6930160</v>
      </c>
      <c r="AO4" t="str">
        <v>6930145</v>
      </c>
      <c r="AP4" t="str">
        <v>6930235</v>
      </c>
      <c r="AQ4" t="str">
        <v>6930188</v>
      </c>
      <c r="AS4" t="str">
        <v>6930165</v>
      </c>
      <c r="AT4" t="str">
        <v>6930166</v>
      </c>
      <c r="AU4" t="str">
        <v>6930168</v>
      </c>
      <c r="AV4" t="str">
        <v>6930195</v>
      </c>
    </row>
    <row r="5" spans="1:49">
      <c r="A5" t="str">
        <v>6660278</v>
      </c>
      <c r="B5" t="str">
        <v>6660262</v>
      </c>
      <c r="C5" t="str">
        <v>6660008</v>
      </c>
      <c r="D5" t="str">
        <v>6860211</v>
      </c>
      <c r="E5" t="str">
        <v>6660582</v>
      </c>
      <c r="F5" t="str">
        <v>6560376</v>
      </c>
      <c r="G5" t="str">
        <v>6560355</v>
      </c>
      <c r="H5" t="str">
        <v>6960033</v>
      </c>
      <c r="I5" t="str">
        <v>6660002</v>
      </c>
      <c r="J5" t="str">
        <v>6560484</v>
      </c>
      <c r="K5" t="str">
        <v>6860210</v>
      </c>
      <c r="L5" t="str">
        <v>6960023</v>
      </c>
      <c r="M5" t="str">
        <v>6560475</v>
      </c>
      <c r="N5" t="str">
        <v>6960058</v>
      </c>
      <c r="O5" t="str">
        <v>6560433</v>
      </c>
      <c r="P5" t="str">
        <v>6860040</v>
      </c>
      <c r="Q5" t="str">
        <v>6560525</v>
      </c>
      <c r="R5" t="str">
        <v>6560517</v>
      </c>
      <c r="S5" t="str">
        <v>6560492</v>
      </c>
      <c r="T5" t="str">
        <v>6860147</v>
      </c>
      <c r="U5" t="str">
        <v>6860274</v>
      </c>
      <c r="V5" t="str">
        <v>6660029</v>
      </c>
      <c r="W5" t="str">
        <v>6960077</v>
      </c>
      <c r="X5" t="str">
        <v>6860175</v>
      </c>
      <c r="AA5" t="str">
        <v>6930173</v>
      </c>
      <c r="AB5" t="str">
        <v>6930174</v>
      </c>
      <c r="AC5" t="str">
        <v>6930177</v>
      </c>
      <c r="AD5" t="str">
        <v>6930153</v>
      </c>
      <c r="AE5" t="str">
        <v>6930155</v>
      </c>
      <c r="AF5" t="str">
        <v>6930137</v>
      </c>
      <c r="AI5" t="str">
        <v>6930158</v>
      </c>
      <c r="AL5" t="str">
        <v>6930181</v>
      </c>
      <c r="AM5" t="str">
        <v>6930240</v>
      </c>
      <c r="AN5" t="str">
        <v>6930161</v>
      </c>
      <c r="AO5" t="str">
        <v>6930162</v>
      </c>
      <c r="AQ5" t="str">
        <v>6930224</v>
      </c>
      <c r="AT5" t="str">
        <v>6930167</v>
      </c>
      <c r="AU5" t="str">
        <v>6930169</v>
      </c>
      <c r="AV5" t="str">
        <v>6930196</v>
      </c>
    </row>
    <row r="6" spans="1:49">
      <c r="A6" t="str">
        <v>6660446</v>
      </c>
      <c r="B6" t="str">
        <v>6760372</v>
      </c>
      <c r="C6" t="str">
        <v>6660159</v>
      </c>
      <c r="D6" t="str">
        <v>6960097</v>
      </c>
      <c r="E6" t="str">
        <v>6760420</v>
      </c>
      <c r="F6" t="str">
        <v>6760124</v>
      </c>
      <c r="G6" t="str">
        <v>6560356</v>
      </c>
      <c r="H6" t="str">
        <v>6960055</v>
      </c>
      <c r="I6" t="str">
        <v>6660210</v>
      </c>
      <c r="J6" t="str">
        <v>6560481</v>
      </c>
      <c r="K6" t="str">
        <v>6860286</v>
      </c>
      <c r="L6" t="str">
        <v>6960202</v>
      </c>
      <c r="M6" t="str">
        <v>6560466</v>
      </c>
      <c r="N6" t="str">
        <v>6960098</v>
      </c>
      <c r="O6" t="str">
        <v>6660173</v>
      </c>
      <c r="P6" t="str">
        <v>6860065</v>
      </c>
      <c r="Q6" t="str">
        <v>6660026</v>
      </c>
      <c r="R6" t="str">
        <v>6560518</v>
      </c>
      <c r="S6" t="str">
        <v>6760062</v>
      </c>
      <c r="T6" t="str">
        <v>6860149</v>
      </c>
      <c r="U6" t="str">
        <v>6860315</v>
      </c>
      <c r="V6" t="str">
        <v>6860294</v>
      </c>
      <c r="W6" t="str">
        <v>6960234</v>
      </c>
      <c r="X6" t="str">
        <v>6860273</v>
      </c>
      <c r="AC6" t="str">
        <v>6930178</v>
      </c>
      <c r="AD6" t="str">
        <v>6930154</v>
      </c>
      <c r="AE6" t="str">
        <v>6930192</v>
      </c>
      <c r="AL6" t="str">
        <v>6930182</v>
      </c>
      <c r="AO6" t="str">
        <v>6930163</v>
      </c>
      <c r="AQ6" t="str">
        <v>6930225</v>
      </c>
      <c r="AT6" t="str">
        <v>6930194</v>
      </c>
    </row>
    <row r="7" spans="1:49">
      <c r="A7" t="str">
        <v>6660631</v>
      </c>
      <c r="B7" t="str">
        <v>6860239</v>
      </c>
      <c r="C7" t="str">
        <v>6660211</v>
      </c>
      <c r="E7" t="str">
        <v>6960032</v>
      </c>
      <c r="F7" t="str">
        <v>6960197</v>
      </c>
      <c r="G7" t="str">
        <v>6560360</v>
      </c>
      <c r="H7" t="str">
        <v>6960101</v>
      </c>
      <c r="I7" t="str">
        <v>6660293</v>
      </c>
      <c r="J7" t="str">
        <v>6860276</v>
      </c>
      <c r="K7" t="str">
        <v>6960037</v>
      </c>
      <c r="M7" t="str">
        <v>6560467</v>
      </c>
      <c r="N7" t="str">
        <v>6960241</v>
      </c>
      <c r="O7" t="str">
        <v>6660193</v>
      </c>
      <c r="P7" t="str">
        <v>6860067</v>
      </c>
      <c r="Q7" t="str">
        <v>6660517</v>
      </c>
      <c r="R7" t="str">
        <v>6760135</v>
      </c>
      <c r="S7" t="str">
        <v>6760190</v>
      </c>
      <c r="T7" t="str">
        <v>6860174</v>
      </c>
      <c r="U7" t="str">
        <v>6960238</v>
      </c>
      <c r="V7" t="str">
        <v>6860295</v>
      </c>
      <c r="X7" t="str">
        <v>6860280</v>
      </c>
      <c r="AD7" t="str">
        <v>6930222</v>
      </c>
      <c r="AE7" t="str">
        <v>6930199</v>
      </c>
      <c r="AL7" t="str">
        <v>6930183</v>
      </c>
      <c r="AO7" t="str">
        <v>6930179</v>
      </c>
      <c r="AQ7" t="str">
        <v>6930237</v>
      </c>
    </row>
    <row r="8" spans="1:49">
      <c r="B8" t="str">
        <v>6960054</v>
      </c>
      <c r="C8" t="str">
        <v>6860170</v>
      </c>
      <c r="E8" t="str">
        <v>6960096</v>
      </c>
      <c r="G8" t="str">
        <v>6660574</v>
      </c>
      <c r="H8" t="str">
        <v>6960200</v>
      </c>
      <c r="I8" t="str">
        <v>6760011</v>
      </c>
      <c r="K8" t="str">
        <v>6960198</v>
      </c>
      <c r="M8" t="str">
        <v>6560468</v>
      </c>
      <c r="O8" t="str">
        <v>6660462</v>
      </c>
      <c r="P8" t="str">
        <v>6860311</v>
      </c>
      <c r="R8" t="str">
        <v>6860142</v>
      </c>
      <c r="T8" t="str">
        <v>6860243</v>
      </c>
      <c r="X8" t="str">
        <v>6960057</v>
      </c>
      <c r="AD8" t="str">
        <v>6930223</v>
      </c>
      <c r="AO8" t="str">
        <v>6930186</v>
      </c>
    </row>
    <row r="9" spans="1:49">
      <c r="B9" t="str">
        <v>6960095</v>
      </c>
      <c r="K9" t="str">
        <v>6960201</v>
      </c>
      <c r="M9" t="str">
        <v>6560472</v>
      </c>
      <c r="O9" t="str">
        <v>6760388</v>
      </c>
      <c r="P9" t="str">
        <v>6960056</v>
      </c>
      <c r="T9" t="str">
        <v>6860305</v>
      </c>
      <c r="X9" t="str">
        <v>6960076</v>
      </c>
    </row>
    <row r="10" spans="1:49">
      <c r="B10" t="str">
        <v>6960100</v>
      </c>
      <c r="M10" t="str">
        <v>6560476</v>
      </c>
      <c r="O10" t="str">
        <v>6860287</v>
      </c>
      <c r="P10" t="str">
        <v>6960232</v>
      </c>
      <c r="T10" t="str">
        <v>6960239</v>
      </c>
    </row>
    <row r="11" spans="1:49">
      <c r="M11" t="str">
        <v>6560477</v>
      </c>
      <c r="P11" t="str">
        <v>6960233</v>
      </c>
    </row>
    <row r="12" spans="1:49">
      <c r="M12" t="str">
        <v>6960014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4" sqref="A4"/>
    </sheetView>
  </sheetViews>
  <sheetFormatPr defaultRowHeight="14"/>
  <cols>
    <col min="1" max="1" width="32.58203125" bestFit="1" customWidth="1"/>
    <col min="2" max="2" width="12.58203125" customWidth="1"/>
    <col min="3" max="3" width="15.08203125" bestFit="1" customWidth="1"/>
  </cols>
  <sheetData>
    <row r="1" spans="1:3">
      <c r="A1" t="s">
        <v>0</v>
      </c>
      <c r="B1" t="s">
        <v>7</v>
      </c>
      <c r="C1" t="s">
        <v>8</v>
      </c>
    </row>
    <row r="2" spans="1:3">
      <c r="A2" t="s">
        <v>10</v>
      </c>
      <c r="B2" t="s">
        <v>12</v>
      </c>
      <c r="C2" t="s">
        <v>14</v>
      </c>
    </row>
    <row r="3" spans="1:3">
      <c r="A3" t="s">
        <v>11</v>
      </c>
      <c r="C3" t="s">
        <v>15</v>
      </c>
    </row>
    <row r="4" spans="1:3">
      <c r="A4" t="s">
        <v>16</v>
      </c>
      <c r="C4" t="s">
        <v>9</v>
      </c>
    </row>
    <row r="5" spans="1:3">
      <c r="A5" t="s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B1" workbookViewId="0">
      <selection activeCell="A4" sqref="A4"/>
    </sheetView>
  </sheetViews>
  <sheetFormatPr defaultRowHeight="14"/>
  <cols>
    <col min="1" max="1" width="38.58203125" bestFit="1" customWidth="1"/>
    <col min="2" max="2" width="41" bestFit="1" customWidth="1"/>
    <col min="3" max="3" width="21.75" bestFit="1" customWidth="1"/>
    <col min="4" max="4" width="25.58203125" bestFit="1" customWidth="1"/>
    <col min="5" max="5" width="13.83203125" bestFit="1" customWidth="1"/>
    <col min="6" max="7" width="19.75" bestFit="1" customWidth="1"/>
    <col min="8" max="8" width="10.25" bestFit="1" customWidth="1"/>
  </cols>
  <sheetData>
    <row r="1" spans="1:8">
      <c r="A1" s="1" t="s">
        <v>10</v>
      </c>
      <c r="B1" s="2" t="s">
        <v>11</v>
      </c>
      <c r="C1" s="2" t="s">
        <v>16</v>
      </c>
      <c r="D1" s="2" t="s">
        <v>17</v>
      </c>
      <c r="E1" s="2" t="s">
        <v>13</v>
      </c>
      <c r="F1" s="2" t="s">
        <v>14</v>
      </c>
      <c r="G1" s="2" t="s">
        <v>15</v>
      </c>
      <c r="H1" s="2" t="s">
        <v>9</v>
      </c>
    </row>
    <row r="2" spans="1:8">
      <c r="A2">
        <v>3</v>
      </c>
      <c r="B2">
        <v>3</v>
      </c>
    </row>
    <row r="3" spans="1:8">
      <c r="A3">
        <v>5</v>
      </c>
      <c r="B3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6" sqref="B16"/>
    </sheetView>
  </sheetViews>
  <sheetFormatPr defaultRowHeight="14"/>
  <cols>
    <col min="1" max="1" width="33.58203125" bestFit="1" customWidth="1"/>
    <col min="2" max="2" width="17.58203125" bestFit="1" customWidth="1"/>
  </cols>
  <sheetData>
    <row r="1" spans="1:2">
      <c r="A1" t="s">
        <v>30</v>
      </c>
      <c r="B1" t="s">
        <v>29</v>
      </c>
    </row>
    <row r="2" spans="1:2">
      <c r="A2" t="s">
        <v>19</v>
      </c>
      <c r="B2" t="s">
        <v>19</v>
      </c>
    </row>
    <row r="3" spans="1:2">
      <c r="A3" t="s">
        <v>20</v>
      </c>
      <c r="B3" t="s">
        <v>20</v>
      </c>
    </row>
    <row r="4" spans="1:2">
      <c r="A4" t="s">
        <v>21</v>
      </c>
      <c r="B4" t="s">
        <v>21</v>
      </c>
    </row>
    <row r="5" spans="1:2">
      <c r="A5" t="s">
        <v>22</v>
      </c>
      <c r="B5" t="s">
        <v>22</v>
      </c>
    </row>
    <row r="6" spans="1:2">
      <c r="A6" t="s">
        <v>23</v>
      </c>
      <c r="B6" t="s">
        <v>23</v>
      </c>
    </row>
    <row r="7" spans="1:2">
      <c r="A7" t="s">
        <v>24</v>
      </c>
      <c r="B7" t="s">
        <v>24</v>
      </c>
    </row>
    <row r="8" spans="1:2">
      <c r="A8" t="s">
        <v>25</v>
      </c>
      <c r="B8" t="s">
        <v>25</v>
      </c>
    </row>
    <row r="9" spans="1:2">
      <c r="A9" t="s">
        <v>26</v>
      </c>
      <c r="B9" t="s">
        <v>26</v>
      </c>
    </row>
    <row r="10" spans="1:2">
      <c r="A10" t="s">
        <v>27</v>
      </c>
      <c r="B10" t="s">
        <v>27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5" sqref="C5"/>
    </sheetView>
  </sheetViews>
  <sheetFormatPr defaultRowHeight="14"/>
  <cols>
    <col min="1" max="1" width="17.75" customWidth="1"/>
    <col min="2" max="2" width="34.83203125" bestFit="1" customWidth="1"/>
    <col min="3" max="3" width="9.08203125" customWidth="1"/>
  </cols>
  <sheetData>
    <row r="1" spans="1:3">
      <c r="A1" t="s">
        <v>18</v>
      </c>
      <c r="B1" t="s">
        <v>30</v>
      </c>
      <c r="C1" t="s">
        <v>29</v>
      </c>
    </row>
    <row r="2" spans="1:3">
      <c r="A2" t="s">
        <v>19</v>
      </c>
      <c r="B2">
        <v>1.1000000000000001</v>
      </c>
      <c r="C2">
        <v>1.1000000000000001</v>
      </c>
    </row>
    <row r="3" spans="1:3">
      <c r="A3" t="s">
        <v>20</v>
      </c>
      <c r="B3">
        <v>1</v>
      </c>
      <c r="C3">
        <v>1</v>
      </c>
    </row>
    <row r="4" spans="1:3">
      <c r="A4" t="s">
        <v>21</v>
      </c>
      <c r="B4">
        <v>1</v>
      </c>
      <c r="C4">
        <v>0.95</v>
      </c>
    </row>
    <row r="5" spans="1:3">
      <c r="A5" t="s">
        <v>22</v>
      </c>
      <c r="B5">
        <v>1</v>
      </c>
      <c r="C5">
        <v>0.9</v>
      </c>
    </row>
    <row r="6" spans="1:3">
      <c r="A6" t="s">
        <v>23</v>
      </c>
      <c r="B6">
        <v>0.95</v>
      </c>
      <c r="C6">
        <v>0.85</v>
      </c>
    </row>
    <row r="7" spans="1:3">
      <c r="A7" t="s">
        <v>24</v>
      </c>
      <c r="B7">
        <v>0.9</v>
      </c>
      <c r="C7">
        <v>0.8</v>
      </c>
    </row>
    <row r="8" spans="1:3">
      <c r="A8" t="s">
        <v>25</v>
      </c>
      <c r="B8">
        <v>0.85</v>
      </c>
      <c r="C8">
        <v>0.75</v>
      </c>
    </row>
    <row r="9" spans="1:3">
      <c r="A9" t="s">
        <v>26</v>
      </c>
      <c r="B9">
        <v>0.8</v>
      </c>
      <c r="C9">
        <v>0.7</v>
      </c>
    </row>
    <row r="10" spans="1:3">
      <c r="A10" t="s">
        <v>27</v>
      </c>
      <c r="B10">
        <v>0.6</v>
      </c>
      <c r="C10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84F34-8975-40FC-A556-A1F19CDEE5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62</vt:i4>
      </vt:variant>
    </vt:vector>
  </HeadingPairs>
  <TitlesOfParts>
    <vt:vector size="73" baseType="lpstr">
      <vt:lpstr>Detail_Simulation</vt:lpstr>
      <vt:lpstr>Summary_Commission_Simulation</vt:lpstr>
      <vt:lpstr>Secured_Commission</vt:lpstr>
      <vt:lpstr>Unsecured_Commission</vt:lpstr>
      <vt:lpstr>Sales_Agent_info</vt:lpstr>
      <vt:lpstr>Dropdown_DS_Zone</vt:lpstr>
      <vt:lpstr>Dropdown_DS_Staff</vt:lpstr>
      <vt:lpstr>Dropdown_Product</vt:lpstr>
      <vt:lpstr>Dropdown_HomeLoan</vt:lpstr>
      <vt:lpstr>Dropdown_Deviate</vt:lpstr>
      <vt:lpstr>Deviate_Table</vt:lpstr>
      <vt:lpstr>Banca</vt:lpstr>
      <vt:lpstr>BT_with_5_year_lock_in_period</vt:lpstr>
      <vt:lpstr>DS1_1_1</vt:lpstr>
      <vt:lpstr>DS1_1_2</vt:lpstr>
      <vt:lpstr>DS1_1_3</vt:lpstr>
      <vt:lpstr>DS1_1_4</vt:lpstr>
      <vt:lpstr>DS1_2_1</vt:lpstr>
      <vt:lpstr>DS1_2_2</vt:lpstr>
      <vt:lpstr>DS1_2_3</vt:lpstr>
      <vt:lpstr>DS1_2_4</vt:lpstr>
      <vt:lpstr>DS1_3_1</vt:lpstr>
      <vt:lpstr>DS1_3_2</vt:lpstr>
      <vt:lpstr>DS1_3_3</vt:lpstr>
      <vt:lpstr>DS1_3_4</vt:lpstr>
      <vt:lpstr>DS1_4_1</vt:lpstr>
      <vt:lpstr>DS1_4_2</vt:lpstr>
      <vt:lpstr>DS1_4_3</vt:lpstr>
      <vt:lpstr>DS1_4_4</vt:lpstr>
      <vt:lpstr>DS1_5_1</vt:lpstr>
      <vt:lpstr>DS1_5_2</vt:lpstr>
      <vt:lpstr>DS1_5_3</vt:lpstr>
      <vt:lpstr>DS1_5_4</vt:lpstr>
      <vt:lpstr>DS1_6_1</vt:lpstr>
      <vt:lpstr>DS1_6_2</vt:lpstr>
      <vt:lpstr>DS1_6_3</vt:lpstr>
      <vt:lpstr>DS1_6_4</vt:lpstr>
      <vt:lpstr>DS2_1_1</vt:lpstr>
      <vt:lpstr>DS2_1_2</vt:lpstr>
      <vt:lpstr>DS2_1_3</vt:lpstr>
      <vt:lpstr>DS2_1_4</vt:lpstr>
      <vt:lpstr>DS2_1_5</vt:lpstr>
      <vt:lpstr>DS2_2_1</vt:lpstr>
      <vt:lpstr>DS2_2_2</vt:lpstr>
      <vt:lpstr>DS2_2_3</vt:lpstr>
      <vt:lpstr>DS2_2_4</vt:lpstr>
      <vt:lpstr>DS2_2_5</vt:lpstr>
      <vt:lpstr>DS2_3_1</vt:lpstr>
      <vt:lpstr>DS2_3_2</vt:lpstr>
      <vt:lpstr>DS2_3_3</vt:lpstr>
      <vt:lpstr>DS2_3_4</vt:lpstr>
      <vt:lpstr>DS2_3_5</vt:lpstr>
      <vt:lpstr>DS2_4_1</vt:lpstr>
      <vt:lpstr>DS2_4_2</vt:lpstr>
      <vt:lpstr>DS2_4_3</vt:lpstr>
      <vt:lpstr>DS2_4_4</vt:lpstr>
      <vt:lpstr>DS2_4_5</vt:lpstr>
      <vt:lpstr>DS2_5_1</vt:lpstr>
      <vt:lpstr>DS2_5_2</vt:lpstr>
      <vt:lpstr>DS2_5_3</vt:lpstr>
      <vt:lpstr>DS2_5_4</vt:lpstr>
      <vt:lpstr>DS2_5_5</vt:lpstr>
      <vt:lpstr>Extra_Cash</vt:lpstr>
      <vt:lpstr>HomeLoan_BT_less_than_2_Percent</vt:lpstr>
      <vt:lpstr>HomeLoan_BT_more_than_2_Percent</vt:lpstr>
      <vt:lpstr>HomeLoan_Non_BT</vt:lpstr>
      <vt:lpstr>Mortgage_Power_Term</vt:lpstr>
      <vt:lpstr>MRTA_3_Percent</vt:lpstr>
      <vt:lpstr>MRTA_6_Percent</vt:lpstr>
      <vt:lpstr>others</vt:lpstr>
      <vt:lpstr>Secured</vt:lpstr>
      <vt:lpstr>SOMPO</vt:lpstr>
      <vt:lpstr>Unsecured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Tangtrakulcharoen</dc:creator>
  <cp:lastModifiedBy>Chayakrit Lumtien</cp:lastModifiedBy>
  <dcterms:created xsi:type="dcterms:W3CDTF">2015-06-05T18:17:20Z</dcterms:created>
  <dcterms:modified xsi:type="dcterms:W3CDTF">2026-08-14T02:07:01Z</dcterms:modified>
</cp:coreProperties>
</file>