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5393608\Desktop\"/>
    </mc:Choice>
  </mc:AlternateContent>
  <xr:revisionPtr revIDLastSave="0" documentId="13_ncr:1_{AF92AEFB-D48A-474F-AFBA-99C86473FB13}" xr6:coauthVersionLast="47" xr6:coauthVersionMax="47" xr10:uidLastSave="{00000000-0000-0000-0000-000000000000}"/>
  <bookViews>
    <workbookView xWindow="-120" yWindow="-120" windowWidth="20730" windowHeight="11040" tabRatio="797" xr2:uid="{4B1B50F0-40ED-44FC-B5B7-EDF187C85013}"/>
  </bookViews>
  <sheets>
    <sheet name="1.ลดดอกเบี้ย" sheetId="1" r:id="rId1"/>
    <sheet name="2.นำเสนอดอกเบี้ย" sheetId="11" r:id="rId2"/>
    <sheet name="ตาราง-HL-เสนอลด" sheetId="16" r:id="rId3"/>
    <sheet name="ตาราง-HL-ตามมติ" sheetId="14" r:id="rId4"/>
    <sheet name="ตาราง-MP-ตามมติ" sheetId="17" r:id="rId5"/>
    <sheet name="ตาราง-MP-เสนอลด" sheetId="19" r:id="rId6"/>
    <sheet name="pam" sheetId="2" r:id="rId7"/>
    <sheet name="province" sheetId="20" state="veryHidden" r:id="rId8"/>
    <sheet name="Straight-HL" sheetId="3" state="veryHidden" r:id="rId9"/>
    <sheet name="Straight-MP" sheetId="6" state="veryHidden" r:id="rId10"/>
    <sheet name="Step-HL" sheetId="4" state="veryHidden" r:id="rId11"/>
    <sheet name="Step-MP" sheetId="5" state="veryHidden" r:id="rId12"/>
  </sheets>
  <externalReferences>
    <externalReference r:id="rId13"/>
    <externalReference r:id="rId14"/>
  </externalReferences>
  <definedNames>
    <definedName name="_xlnm.Print_Area" localSheetId="3">'ตาราง-HL-ตามมติ'!$B$1:$H$439</definedName>
    <definedName name="_xlnm.Print_Area" localSheetId="2">'ตาราง-HL-เสนอลด'!$B$1:$H$439</definedName>
    <definedName name="_xlnm.Print_Area" localSheetId="4">'ตาราง-MP-ตามมติ'!$B$1:$H$439</definedName>
    <definedName name="_xlnm.Print_Area" localSheetId="5">'ตาราง-MP-เสนอลด'!$B$1:$H$439</definedName>
    <definedName name="_xlnm.Print_Titles" localSheetId="3">'ตาราง-HL-ตามมติ'!$19:$19</definedName>
    <definedName name="_xlnm.Print_Titles" localSheetId="2">'ตาราง-HL-เสนอลด'!$19:$19</definedName>
    <definedName name="_xlnm.Print_Titles" localSheetId="4">'ตาราง-MP-ตามมติ'!$19:$19</definedName>
    <definedName name="_xlnm.Print_Titles" localSheetId="5">'ตาราง-MP-เสนอลด'!$19:$19</definedName>
    <definedName name="PRV_ALL">[1]List!$H$4:$H$929</definedName>
    <definedName name="table">#REF!</definedName>
    <definedName name="TableML">#REF!</definedName>
    <definedName name="กระบี่">province!$B$2:$B$51</definedName>
    <definedName name="กรุงเทพมหานคร">province!$A$2:$A$51</definedName>
    <definedName name="กาญจนบุรี">province!$C$2:$C$51</definedName>
    <definedName name="กาฬสินธุ์">province!$D$2:$D$51</definedName>
    <definedName name="กำแพงเพชร">province!$E$2:$E$51</definedName>
    <definedName name="ขอนแก่น">province!$F$2:$F$51</definedName>
    <definedName name="จังหวัด">#REF!</definedName>
    <definedName name="จังหวัด2">#REF!</definedName>
    <definedName name="จันทบุรี">province!$G$2:$G$51</definedName>
    <definedName name="ฉะเชิงเทรา">province!$H$2:$H$51</definedName>
    <definedName name="ชลบุรี">province!$I$2:$I$51</definedName>
    <definedName name="ชัยนาท">province!$J$2:$J$51</definedName>
    <definedName name="ชัยภูมิ">province!$K$2:$K$51</definedName>
    <definedName name="ชุมพร">province!$L$2:$L$51</definedName>
    <definedName name="เชียงราย">province!$M$2:$M$51</definedName>
    <definedName name="เชียงใหม่">province!$N$2:$N$51</definedName>
    <definedName name="ตรัง">province!$O$2:$O$51</definedName>
    <definedName name="ตราด">province!$P$2:$P$51</definedName>
    <definedName name="ตาก">province!$Q$2:$Q$51</definedName>
    <definedName name="นครนายก">province!$R$2:$R$51</definedName>
    <definedName name="นครปฐม">province!$S$2:$S$51</definedName>
    <definedName name="นครพนม">province!$T$2:$T$51</definedName>
    <definedName name="นครราชสีมา">province!$U$2:$U$51</definedName>
    <definedName name="นครศรีธรรมราช">province!$V$2:$V$51</definedName>
    <definedName name="นครสวรรค์">province!$W$2:$W$51</definedName>
    <definedName name="นนทบุรี">province!$X$2:$X$51</definedName>
    <definedName name="นราธิวาส">province!$Y$2:$Y$51</definedName>
    <definedName name="น่าน">province!$Z$2:$Z$51</definedName>
    <definedName name="บุรีรัมย์">province!$AA$2:$AA$51</definedName>
    <definedName name="ปทุมธานี">province!$AB$2:$AB$51</definedName>
    <definedName name="ประจวบคีรีขันธ์">province!$AC$2:$AC$51</definedName>
    <definedName name="ปราจีนบุรี">province!$AD$2:$AD$51</definedName>
    <definedName name="ปัตตานี">province!$AE$2:$AE$51</definedName>
    <definedName name="พระนครศรีอยุธยา">province!$AF$2:$AF$51</definedName>
    <definedName name="พะเยา">province!$AN$2:$AN$51</definedName>
    <definedName name="พังงา">province!$AG$2:$AG$51</definedName>
    <definedName name="พัทลุง">province!$AH$2:$AH$51</definedName>
    <definedName name="พิจิตร">province!$AI$2:$AI$51</definedName>
    <definedName name="พิษณุโลก">province!$AJ$2:$AJ$51</definedName>
    <definedName name="เพชรบุรี">province!$AK$2:$AK$51</definedName>
    <definedName name="เพชรบูรณ์">province!$AL$2:$AL$51</definedName>
    <definedName name="แพร่">province!$AM$2:$AM$51</definedName>
    <definedName name="ภูเก็ต">province!$AO$2:$AO$51</definedName>
    <definedName name="มหาสารคาม">province!$AP$2:$AP$51</definedName>
    <definedName name="มุกดาหาร">province!$AQ$2:$AQ$51</definedName>
    <definedName name="เมืองสุรินทร์">#REF!</definedName>
    <definedName name="เมืองหนองคาย">#REF!</definedName>
    <definedName name="แม่ฮ่องสอน">province!$AR$2:$AR$51</definedName>
    <definedName name="ยโสธร">province!$AT$2:$AT$51</definedName>
    <definedName name="ยะลา">province!$AS$2:$AS$51</definedName>
    <definedName name="ร้อยเอ็ด">province!$AU$2:$AU$51</definedName>
    <definedName name="ระนอง">province!$AV$2:$AV$51</definedName>
    <definedName name="ระยอง">province!$AW$2:$AW$51</definedName>
    <definedName name="ราชบุรี">province!$AX$2:$AX$51</definedName>
    <definedName name="ลพบุรี">province!$AY$2:$AY$51</definedName>
    <definedName name="ลำปาง">province!$AZ$2:$AZ$51</definedName>
    <definedName name="ลำพูน">province!$BA$2:$BA$51</definedName>
    <definedName name="เลย">province!$BB$2:$BB$51</definedName>
    <definedName name="ศีรสะเกษ">province!$BC$2:$BC$51</definedName>
    <definedName name="สกลนคร">province!$BD$2:$BD$51</definedName>
    <definedName name="สงขลา">province!$BE$2:$BE$51</definedName>
    <definedName name="สตูล">province!$BF$2:$BF$51</definedName>
    <definedName name="สมุทรปราการ">province!$BG$2:$BG$51</definedName>
    <definedName name="สมุทรสงคราม">province!$BH$2:$BH$51</definedName>
    <definedName name="สมุทรสาคร">province!$BI$2:$BI$51</definedName>
    <definedName name="สระแก้ว">province!$BJ$2:$BJ$51</definedName>
    <definedName name="สระบุรี">province!$BK$2:$BK$51</definedName>
    <definedName name="สิงห์บุรี">province!$BL$2:$BL$51</definedName>
    <definedName name="สุโขทัย">province!$BM$2:$BM$51</definedName>
    <definedName name="สุพรรณบุรี">province!$BN$2:$BN$51</definedName>
    <definedName name="สุราษฎร์ธานี">province!$BO$2:$BO$51</definedName>
    <definedName name="สุรินทร์">province!$BP$2:$BP$51</definedName>
    <definedName name="หนองคาย">province!$BQ$2:$BQ$51</definedName>
    <definedName name="หนองบัวลำภู">province!$BR$2:$BR$51</definedName>
    <definedName name="อ่างทอง">province!$BS$2:$BS$51</definedName>
    <definedName name="อำนาจเจริญ">province!$BX$2:$BX$51</definedName>
    <definedName name="อุดรธานี">province!$BT$2:$BT$51</definedName>
    <definedName name="อุตรดิตถ์">province!$BV$2:$BV$51</definedName>
    <definedName name="อุทัยธานี">province!$BU$2:$BU$51</definedName>
    <definedName name="อุบลราชธานี">province!$BW$2:$BW$51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" l="1"/>
  <c r="AD29" i="1"/>
  <c r="AD28" i="1"/>
  <c r="AD31" i="1"/>
  <c r="AR33" i="1"/>
  <c r="AR32" i="1"/>
  <c r="AR31" i="1"/>
  <c r="AR30" i="1"/>
  <c r="AR29" i="1"/>
  <c r="AR28" i="1"/>
  <c r="AI33" i="1" l="1"/>
  <c r="AI32" i="1"/>
  <c r="AI31" i="1"/>
  <c r="AI30" i="1"/>
  <c r="AI29" i="1"/>
  <c r="AI28" i="1"/>
  <c r="AF31" i="1"/>
  <c r="AF30" i="1"/>
  <c r="AF29" i="1"/>
  <c r="AF28" i="1"/>
  <c r="X10" i="2"/>
  <c r="X9" i="2"/>
  <c r="X8" i="2"/>
  <c r="X7" i="2"/>
  <c r="X6" i="2"/>
  <c r="AD27" i="1" l="1"/>
  <c r="AD26" i="1"/>
  <c r="N21" i="11"/>
  <c r="N1" i="11"/>
  <c r="I30" i="1"/>
  <c r="AD32" i="1" l="1"/>
  <c r="AD34" i="1" s="1"/>
  <c r="AD18" i="1" s="1"/>
  <c r="P29" i="1"/>
  <c r="C5" i="19"/>
  <c r="C4" i="19"/>
  <c r="C5" i="17"/>
  <c r="C4" i="17"/>
  <c r="G3" i="14" a="1"/>
  <c r="G3" i="14" s="1"/>
  <c r="G3" i="16" a="1"/>
  <c r="G3" i="16" s="1"/>
  <c r="B21" i="19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B250" i="19" s="1"/>
  <c r="B251" i="19" s="1"/>
  <c r="B252" i="19" s="1"/>
  <c r="B253" i="19" s="1"/>
  <c r="B254" i="19" s="1"/>
  <c r="B255" i="19" s="1"/>
  <c r="B256" i="19" s="1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B281" i="19" s="1"/>
  <c r="B282" i="19" s="1"/>
  <c r="B283" i="19" s="1"/>
  <c r="B284" i="19" s="1"/>
  <c r="B285" i="19" s="1"/>
  <c r="B286" i="19" s="1"/>
  <c r="B287" i="19" s="1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B312" i="19" s="1"/>
  <c r="B313" i="19" s="1"/>
  <c r="B314" i="19" s="1"/>
  <c r="B315" i="19" s="1"/>
  <c r="B316" i="19" s="1"/>
  <c r="B317" i="19" s="1"/>
  <c r="B318" i="19" s="1"/>
  <c r="B319" i="19" s="1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B343" i="19" s="1"/>
  <c r="B344" i="19" s="1"/>
  <c r="B345" i="19" s="1"/>
  <c r="B346" i="19" s="1"/>
  <c r="B347" i="19" s="1"/>
  <c r="B348" i="19" s="1"/>
  <c r="B349" i="19" s="1"/>
  <c r="B350" i="19" s="1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69" i="19" s="1"/>
  <c r="B370" i="19" s="1"/>
  <c r="B371" i="19" s="1"/>
  <c r="B372" i="19" s="1"/>
  <c r="B373" i="19" s="1"/>
  <c r="B374" i="19" s="1"/>
  <c r="B375" i="19" s="1"/>
  <c r="B376" i="19" s="1"/>
  <c r="B377" i="19" s="1"/>
  <c r="B378" i="19" s="1"/>
  <c r="B379" i="19" s="1"/>
  <c r="B380" i="19" s="1"/>
  <c r="B381" i="19" s="1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 s="1"/>
  <c r="B406" i="19" s="1"/>
  <c r="B407" i="19" s="1"/>
  <c r="B408" i="19" s="1"/>
  <c r="B409" i="19" s="1"/>
  <c r="B410" i="19" s="1"/>
  <c r="B411" i="19" s="1"/>
  <c r="B412" i="19" s="1"/>
  <c r="B413" i="19" s="1"/>
  <c r="B414" i="19" s="1"/>
  <c r="B415" i="19" s="1"/>
  <c r="B416" i="19" s="1"/>
  <c r="B417" i="19" s="1"/>
  <c r="B418" i="19" s="1"/>
  <c r="B419" i="19" s="1"/>
  <c r="B420" i="19" s="1"/>
  <c r="B421" i="19" s="1"/>
  <c r="B422" i="19" s="1"/>
  <c r="B423" i="19" s="1"/>
  <c r="B424" i="19" s="1"/>
  <c r="B425" i="19" s="1"/>
  <c r="B426" i="19" s="1"/>
  <c r="B427" i="19" s="1"/>
  <c r="B428" i="19" s="1"/>
  <c r="B429" i="19" s="1"/>
  <c r="B430" i="19" s="1"/>
  <c r="B431" i="19" s="1"/>
  <c r="B432" i="19" s="1"/>
  <c r="B433" i="19" s="1"/>
  <c r="B434" i="19" s="1"/>
  <c r="B435" i="19" s="1"/>
  <c r="B436" i="19" s="1"/>
  <c r="B437" i="19" s="1"/>
  <c r="B438" i="19" s="1"/>
  <c r="B439" i="19" s="1"/>
  <c r="I11" i="19"/>
  <c r="H11" i="19"/>
  <c r="G11" i="19"/>
  <c r="F11" i="19"/>
  <c r="E11" i="19"/>
  <c r="D11" i="19"/>
  <c r="C3" i="19"/>
  <c r="C2" i="19"/>
  <c r="F7" i="17"/>
  <c r="F6" i="17"/>
  <c r="H8" i="17" s="1"/>
  <c r="F5" i="17"/>
  <c r="H7" i="17" s="1"/>
  <c r="F4" i="17"/>
  <c r="H6" i="17" s="1"/>
  <c r="H34" i="11"/>
  <c r="H35" i="11"/>
  <c r="H15" i="11"/>
  <c r="K26" i="11"/>
  <c r="F7" i="19" s="1"/>
  <c r="G10" i="19" s="1"/>
  <c r="I10" i="19" s="1"/>
  <c r="H5" i="19" s="1"/>
  <c r="K25" i="11"/>
  <c r="F6" i="19" s="1"/>
  <c r="H8" i="19" s="1"/>
  <c r="K24" i="11"/>
  <c r="F5" i="19" s="1"/>
  <c r="H7" i="19" s="1"/>
  <c r="K23" i="11"/>
  <c r="F4" i="19" s="1"/>
  <c r="H6" i="19" s="1"/>
  <c r="I26" i="11"/>
  <c r="I25" i="11"/>
  <c r="I24" i="11"/>
  <c r="I23" i="11"/>
  <c r="B44" i="17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02" i="17" s="1"/>
  <c r="B203" i="17" s="1"/>
  <c r="B204" i="17" s="1"/>
  <c r="B205" i="17" s="1"/>
  <c r="B206" i="17" s="1"/>
  <c r="B207" i="17" s="1"/>
  <c r="B208" i="17" s="1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B266" i="17" s="1"/>
  <c r="B267" i="17" s="1"/>
  <c r="B268" i="17" s="1"/>
  <c r="B269" i="17" s="1"/>
  <c r="B270" i="17" s="1"/>
  <c r="B271" i="17" s="1"/>
  <c r="B272" i="17" s="1"/>
  <c r="B273" i="17" s="1"/>
  <c r="B274" i="17" s="1"/>
  <c r="B275" i="17" s="1"/>
  <c r="B276" i="17" s="1"/>
  <c r="B277" i="17" s="1"/>
  <c r="B278" i="17" s="1"/>
  <c r="B279" i="17" s="1"/>
  <c r="B280" i="17" s="1"/>
  <c r="B281" i="17" s="1"/>
  <c r="B282" i="17" s="1"/>
  <c r="B283" i="17" s="1"/>
  <c r="B284" i="17" s="1"/>
  <c r="B285" i="17" s="1"/>
  <c r="B286" i="17" s="1"/>
  <c r="B287" i="17" s="1"/>
  <c r="B288" i="17" s="1"/>
  <c r="B289" i="17" s="1"/>
  <c r="B290" i="17" s="1"/>
  <c r="B291" i="17" s="1"/>
  <c r="B292" i="17" s="1"/>
  <c r="B293" i="17" s="1"/>
  <c r="B294" i="17" s="1"/>
  <c r="B295" i="17" s="1"/>
  <c r="B296" i="17" s="1"/>
  <c r="B297" i="17" s="1"/>
  <c r="B298" i="17" s="1"/>
  <c r="B299" i="17" s="1"/>
  <c r="B300" i="17" s="1"/>
  <c r="B301" i="17" s="1"/>
  <c r="B302" i="17" s="1"/>
  <c r="B303" i="17" s="1"/>
  <c r="B304" i="17" s="1"/>
  <c r="B305" i="17" s="1"/>
  <c r="B306" i="17" s="1"/>
  <c r="B307" i="17" s="1"/>
  <c r="B308" i="17" s="1"/>
  <c r="B309" i="17" s="1"/>
  <c r="B310" i="17" s="1"/>
  <c r="B311" i="17" s="1"/>
  <c r="B312" i="17" s="1"/>
  <c r="B313" i="17" s="1"/>
  <c r="B314" i="17" s="1"/>
  <c r="B315" i="17" s="1"/>
  <c r="B316" i="17" s="1"/>
  <c r="B317" i="17" s="1"/>
  <c r="B318" i="17" s="1"/>
  <c r="B319" i="17" s="1"/>
  <c r="B320" i="17" s="1"/>
  <c r="B321" i="17" s="1"/>
  <c r="B322" i="17" s="1"/>
  <c r="B323" i="17" s="1"/>
  <c r="B324" i="17" s="1"/>
  <c r="B325" i="17" s="1"/>
  <c r="B326" i="17" s="1"/>
  <c r="B327" i="17" s="1"/>
  <c r="B328" i="17" s="1"/>
  <c r="B329" i="17" s="1"/>
  <c r="B330" i="17" s="1"/>
  <c r="B331" i="17" s="1"/>
  <c r="B332" i="17" s="1"/>
  <c r="B333" i="17" s="1"/>
  <c r="B334" i="17" s="1"/>
  <c r="B335" i="17" s="1"/>
  <c r="B336" i="17" s="1"/>
  <c r="B337" i="17" s="1"/>
  <c r="B338" i="17" s="1"/>
  <c r="B339" i="17" s="1"/>
  <c r="B340" i="17" s="1"/>
  <c r="B341" i="17" s="1"/>
  <c r="B342" i="17" s="1"/>
  <c r="B343" i="17" s="1"/>
  <c r="B344" i="17" s="1"/>
  <c r="B345" i="17" s="1"/>
  <c r="B346" i="17" s="1"/>
  <c r="B347" i="17" s="1"/>
  <c r="B348" i="17" s="1"/>
  <c r="B349" i="17" s="1"/>
  <c r="B350" i="17" s="1"/>
  <c r="B351" i="17" s="1"/>
  <c r="B352" i="17" s="1"/>
  <c r="B353" i="17" s="1"/>
  <c r="B354" i="17" s="1"/>
  <c r="B355" i="17" s="1"/>
  <c r="B356" i="17" s="1"/>
  <c r="B357" i="17" s="1"/>
  <c r="B358" i="17" s="1"/>
  <c r="B359" i="17" s="1"/>
  <c r="B360" i="17" s="1"/>
  <c r="B361" i="17" s="1"/>
  <c r="B362" i="17" s="1"/>
  <c r="B363" i="17" s="1"/>
  <c r="B364" i="17" s="1"/>
  <c r="B365" i="17" s="1"/>
  <c r="B366" i="17" s="1"/>
  <c r="B367" i="17" s="1"/>
  <c r="B368" i="17" s="1"/>
  <c r="B369" i="17" s="1"/>
  <c r="B370" i="17" s="1"/>
  <c r="B371" i="17" s="1"/>
  <c r="B372" i="17" s="1"/>
  <c r="B373" i="17" s="1"/>
  <c r="B374" i="17" s="1"/>
  <c r="B375" i="17" s="1"/>
  <c r="B376" i="17" s="1"/>
  <c r="B377" i="17" s="1"/>
  <c r="B378" i="17" s="1"/>
  <c r="B379" i="17" s="1"/>
  <c r="B380" i="17" s="1"/>
  <c r="B381" i="17" s="1"/>
  <c r="B382" i="17" s="1"/>
  <c r="B383" i="17" s="1"/>
  <c r="B384" i="17" s="1"/>
  <c r="B385" i="17" s="1"/>
  <c r="B386" i="17" s="1"/>
  <c r="B387" i="17" s="1"/>
  <c r="B388" i="17" s="1"/>
  <c r="B389" i="17" s="1"/>
  <c r="B390" i="17" s="1"/>
  <c r="B391" i="17" s="1"/>
  <c r="B392" i="17" s="1"/>
  <c r="B393" i="17" s="1"/>
  <c r="B394" i="17" s="1"/>
  <c r="B395" i="17" s="1"/>
  <c r="B396" i="17" s="1"/>
  <c r="B397" i="17" s="1"/>
  <c r="B398" i="17" s="1"/>
  <c r="B399" i="17" s="1"/>
  <c r="B400" i="17" s="1"/>
  <c r="B401" i="17" s="1"/>
  <c r="B402" i="17" s="1"/>
  <c r="B403" i="17" s="1"/>
  <c r="B404" i="17" s="1"/>
  <c r="B405" i="17" s="1"/>
  <c r="B406" i="17" s="1"/>
  <c r="B407" i="17" s="1"/>
  <c r="B408" i="17" s="1"/>
  <c r="B409" i="17" s="1"/>
  <c r="B410" i="17" s="1"/>
  <c r="B411" i="17" s="1"/>
  <c r="B412" i="17" s="1"/>
  <c r="B413" i="17" s="1"/>
  <c r="B414" i="17" s="1"/>
  <c r="B415" i="17" s="1"/>
  <c r="B416" i="17" s="1"/>
  <c r="B417" i="17" s="1"/>
  <c r="B418" i="17" s="1"/>
  <c r="B419" i="17" s="1"/>
  <c r="B420" i="17" s="1"/>
  <c r="B421" i="17" s="1"/>
  <c r="B422" i="17" s="1"/>
  <c r="B423" i="17" s="1"/>
  <c r="B424" i="17" s="1"/>
  <c r="B425" i="17" s="1"/>
  <c r="B426" i="17" s="1"/>
  <c r="B427" i="17" s="1"/>
  <c r="B428" i="17" s="1"/>
  <c r="B429" i="17" s="1"/>
  <c r="B430" i="17" s="1"/>
  <c r="B431" i="17" s="1"/>
  <c r="B432" i="17" s="1"/>
  <c r="B433" i="17" s="1"/>
  <c r="B434" i="17" s="1"/>
  <c r="B435" i="17" s="1"/>
  <c r="B436" i="17" s="1"/>
  <c r="B437" i="17" s="1"/>
  <c r="B438" i="17" s="1"/>
  <c r="B439" i="17" s="1"/>
  <c r="B22" i="17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21" i="17"/>
  <c r="I11" i="17"/>
  <c r="H11" i="17"/>
  <c r="G11" i="17"/>
  <c r="F11" i="17"/>
  <c r="E11" i="17"/>
  <c r="D11" i="17"/>
  <c r="C3" i="17"/>
  <c r="C2" i="17"/>
  <c r="N37" i="11"/>
  <c r="E30" i="11"/>
  <c r="M33" i="11"/>
  <c r="N29" i="11"/>
  <c r="N9" i="11"/>
  <c r="E10" i="11"/>
  <c r="E29" i="11"/>
  <c r="E9" i="11"/>
  <c r="H27" i="11"/>
  <c r="A24" i="11"/>
  <c r="C25" i="11"/>
  <c r="C24" i="11"/>
  <c r="B24" i="16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B124" i="16" s="1"/>
  <c r="B125" i="16" s="1"/>
  <c r="B126" i="16" s="1"/>
  <c r="B127" i="16" s="1"/>
  <c r="B128" i="16" s="1"/>
  <c r="B129" i="16" s="1"/>
  <c r="B130" i="16" s="1"/>
  <c r="B131" i="16" s="1"/>
  <c r="B132" i="16" s="1"/>
  <c r="B133" i="16" s="1"/>
  <c r="B134" i="16" s="1"/>
  <c r="B135" i="16" s="1"/>
  <c r="B136" i="16" s="1"/>
  <c r="B137" i="16" s="1"/>
  <c r="B138" i="16" s="1"/>
  <c r="B139" i="16" s="1"/>
  <c r="B140" i="16" s="1"/>
  <c r="B141" i="16" s="1"/>
  <c r="B142" i="16" s="1"/>
  <c r="B143" i="16" s="1"/>
  <c r="B144" i="16" s="1"/>
  <c r="B145" i="16" s="1"/>
  <c r="B146" i="16" s="1"/>
  <c r="B147" i="16" s="1"/>
  <c r="B148" i="16" s="1"/>
  <c r="B149" i="16" s="1"/>
  <c r="B150" i="16" s="1"/>
  <c r="B151" i="16" s="1"/>
  <c r="B152" i="16" s="1"/>
  <c r="B153" i="16" s="1"/>
  <c r="B154" i="16" s="1"/>
  <c r="B155" i="16" s="1"/>
  <c r="B156" i="16" s="1"/>
  <c r="B157" i="16" s="1"/>
  <c r="B158" i="16" s="1"/>
  <c r="B159" i="16" s="1"/>
  <c r="B160" i="16" s="1"/>
  <c r="B161" i="16" s="1"/>
  <c r="B162" i="16" s="1"/>
  <c r="B163" i="16" s="1"/>
  <c r="B164" i="16" s="1"/>
  <c r="B165" i="16" s="1"/>
  <c r="B166" i="16" s="1"/>
  <c r="B167" i="16" s="1"/>
  <c r="B168" i="16" s="1"/>
  <c r="B169" i="16" s="1"/>
  <c r="B170" i="16" s="1"/>
  <c r="B171" i="16" s="1"/>
  <c r="B172" i="16" s="1"/>
  <c r="B173" i="16" s="1"/>
  <c r="B174" i="16" s="1"/>
  <c r="B175" i="16" s="1"/>
  <c r="B176" i="16" s="1"/>
  <c r="B177" i="16" s="1"/>
  <c r="B178" i="16" s="1"/>
  <c r="B179" i="16" s="1"/>
  <c r="B180" i="16" s="1"/>
  <c r="B181" i="16" s="1"/>
  <c r="B182" i="16" s="1"/>
  <c r="B183" i="16" s="1"/>
  <c r="B184" i="16" s="1"/>
  <c r="B185" i="16" s="1"/>
  <c r="B186" i="16" s="1"/>
  <c r="B187" i="16" s="1"/>
  <c r="B188" i="16" s="1"/>
  <c r="B189" i="16" s="1"/>
  <c r="B190" i="16" s="1"/>
  <c r="B191" i="16" s="1"/>
  <c r="B192" i="16" s="1"/>
  <c r="B193" i="16" s="1"/>
  <c r="B194" i="16" s="1"/>
  <c r="B195" i="16" s="1"/>
  <c r="B196" i="16" s="1"/>
  <c r="B197" i="16" s="1"/>
  <c r="B198" i="16" s="1"/>
  <c r="B199" i="16" s="1"/>
  <c r="B200" i="16" s="1"/>
  <c r="B201" i="16" s="1"/>
  <c r="B202" i="16" s="1"/>
  <c r="B203" i="16" s="1"/>
  <c r="B204" i="16" s="1"/>
  <c r="B205" i="16" s="1"/>
  <c r="B206" i="16" s="1"/>
  <c r="B207" i="16" s="1"/>
  <c r="B208" i="16" s="1"/>
  <c r="B209" i="16" s="1"/>
  <c r="B210" i="16" s="1"/>
  <c r="B211" i="16" s="1"/>
  <c r="B212" i="16" s="1"/>
  <c r="B213" i="16" s="1"/>
  <c r="B214" i="16" s="1"/>
  <c r="B215" i="16" s="1"/>
  <c r="B216" i="16" s="1"/>
  <c r="B217" i="16" s="1"/>
  <c r="B218" i="16" s="1"/>
  <c r="B219" i="16" s="1"/>
  <c r="B220" i="16" s="1"/>
  <c r="B221" i="16" s="1"/>
  <c r="B222" i="16" s="1"/>
  <c r="B223" i="16" s="1"/>
  <c r="B224" i="16" s="1"/>
  <c r="B225" i="16" s="1"/>
  <c r="B226" i="16" s="1"/>
  <c r="B227" i="16" s="1"/>
  <c r="B228" i="16" s="1"/>
  <c r="B229" i="16" s="1"/>
  <c r="B230" i="16" s="1"/>
  <c r="B231" i="16" s="1"/>
  <c r="B232" i="16" s="1"/>
  <c r="B233" i="16" s="1"/>
  <c r="B234" i="16" s="1"/>
  <c r="B235" i="16" s="1"/>
  <c r="B236" i="16" s="1"/>
  <c r="B237" i="16" s="1"/>
  <c r="B238" i="16" s="1"/>
  <c r="B239" i="16" s="1"/>
  <c r="B240" i="16" s="1"/>
  <c r="B241" i="16" s="1"/>
  <c r="B242" i="16" s="1"/>
  <c r="B243" i="16" s="1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B260" i="16" s="1"/>
  <c r="B261" i="16" s="1"/>
  <c r="B262" i="16" s="1"/>
  <c r="B263" i="16" s="1"/>
  <c r="B264" i="16" s="1"/>
  <c r="B265" i="16" s="1"/>
  <c r="B266" i="16" s="1"/>
  <c r="B267" i="16" s="1"/>
  <c r="B268" i="16" s="1"/>
  <c r="B269" i="16" s="1"/>
  <c r="B270" i="16" s="1"/>
  <c r="B271" i="16" s="1"/>
  <c r="B272" i="16" s="1"/>
  <c r="B273" i="16" s="1"/>
  <c r="B274" i="16" s="1"/>
  <c r="B275" i="16" s="1"/>
  <c r="B276" i="16" s="1"/>
  <c r="B277" i="16" s="1"/>
  <c r="B278" i="16" s="1"/>
  <c r="B279" i="16" s="1"/>
  <c r="B280" i="16" s="1"/>
  <c r="B281" i="16" s="1"/>
  <c r="B282" i="16" s="1"/>
  <c r="B283" i="16" s="1"/>
  <c r="B284" i="16" s="1"/>
  <c r="B285" i="16" s="1"/>
  <c r="B286" i="16" s="1"/>
  <c r="B287" i="16" s="1"/>
  <c r="B288" i="16" s="1"/>
  <c r="B289" i="16" s="1"/>
  <c r="B290" i="16" s="1"/>
  <c r="B291" i="16" s="1"/>
  <c r="B292" i="16" s="1"/>
  <c r="B293" i="16" s="1"/>
  <c r="B294" i="16" s="1"/>
  <c r="B295" i="16" s="1"/>
  <c r="B296" i="16" s="1"/>
  <c r="B297" i="16" s="1"/>
  <c r="B298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B308" i="16" s="1"/>
  <c r="B309" i="16" s="1"/>
  <c r="B310" i="16" s="1"/>
  <c r="B311" i="16" s="1"/>
  <c r="B312" i="16" s="1"/>
  <c r="B313" i="16" s="1"/>
  <c r="B314" i="16" s="1"/>
  <c r="B315" i="16" s="1"/>
  <c r="B316" i="16" s="1"/>
  <c r="B317" i="16" s="1"/>
  <c r="B318" i="16" s="1"/>
  <c r="B319" i="16" s="1"/>
  <c r="B320" i="16" s="1"/>
  <c r="B321" i="16" s="1"/>
  <c r="B322" i="16" s="1"/>
  <c r="B323" i="16" s="1"/>
  <c r="B324" i="16" s="1"/>
  <c r="B325" i="16" s="1"/>
  <c r="B326" i="16" s="1"/>
  <c r="B327" i="16" s="1"/>
  <c r="B328" i="16" s="1"/>
  <c r="B329" i="16" s="1"/>
  <c r="B330" i="16" s="1"/>
  <c r="B331" i="16" s="1"/>
  <c r="B332" i="16" s="1"/>
  <c r="B333" i="16" s="1"/>
  <c r="B334" i="16" s="1"/>
  <c r="B335" i="16" s="1"/>
  <c r="B336" i="16" s="1"/>
  <c r="B337" i="16" s="1"/>
  <c r="B338" i="16" s="1"/>
  <c r="B339" i="16" s="1"/>
  <c r="B340" i="16" s="1"/>
  <c r="B341" i="16" s="1"/>
  <c r="B342" i="16" s="1"/>
  <c r="B343" i="16" s="1"/>
  <c r="B344" i="16" s="1"/>
  <c r="B345" i="16" s="1"/>
  <c r="B346" i="16" s="1"/>
  <c r="B347" i="16" s="1"/>
  <c r="B348" i="16" s="1"/>
  <c r="B349" i="16" s="1"/>
  <c r="B350" i="16" s="1"/>
  <c r="B351" i="16" s="1"/>
  <c r="B352" i="16" s="1"/>
  <c r="B353" i="16" s="1"/>
  <c r="B354" i="16" s="1"/>
  <c r="B355" i="16" s="1"/>
  <c r="B356" i="16" s="1"/>
  <c r="B357" i="16" s="1"/>
  <c r="B358" i="16" s="1"/>
  <c r="B359" i="16" s="1"/>
  <c r="B360" i="16" s="1"/>
  <c r="B361" i="16" s="1"/>
  <c r="B362" i="16" s="1"/>
  <c r="B363" i="16" s="1"/>
  <c r="B364" i="16" s="1"/>
  <c r="B365" i="16" s="1"/>
  <c r="B366" i="16" s="1"/>
  <c r="B367" i="16" s="1"/>
  <c r="B368" i="16" s="1"/>
  <c r="B369" i="16" s="1"/>
  <c r="B370" i="16" s="1"/>
  <c r="B371" i="16" s="1"/>
  <c r="B372" i="16" s="1"/>
  <c r="B373" i="16" s="1"/>
  <c r="B374" i="16" s="1"/>
  <c r="B375" i="16" s="1"/>
  <c r="B376" i="16" s="1"/>
  <c r="B377" i="16" s="1"/>
  <c r="B378" i="16" s="1"/>
  <c r="B379" i="16" s="1"/>
  <c r="B380" i="16" s="1"/>
  <c r="B381" i="16" s="1"/>
  <c r="B382" i="16" s="1"/>
  <c r="B383" i="16" s="1"/>
  <c r="B384" i="16" s="1"/>
  <c r="B385" i="16" s="1"/>
  <c r="B386" i="16" s="1"/>
  <c r="B387" i="16" s="1"/>
  <c r="B388" i="16" s="1"/>
  <c r="B389" i="16" s="1"/>
  <c r="B390" i="16" s="1"/>
  <c r="B391" i="16" s="1"/>
  <c r="B392" i="16" s="1"/>
  <c r="B393" i="16" s="1"/>
  <c r="B394" i="16" s="1"/>
  <c r="B395" i="16" s="1"/>
  <c r="B396" i="16" s="1"/>
  <c r="B397" i="16" s="1"/>
  <c r="B398" i="16" s="1"/>
  <c r="B399" i="16" s="1"/>
  <c r="B400" i="16" s="1"/>
  <c r="B401" i="16" s="1"/>
  <c r="B402" i="16" s="1"/>
  <c r="B403" i="16" s="1"/>
  <c r="B404" i="16" s="1"/>
  <c r="B405" i="16" s="1"/>
  <c r="B406" i="16" s="1"/>
  <c r="B407" i="16" s="1"/>
  <c r="B408" i="16" s="1"/>
  <c r="B409" i="16" s="1"/>
  <c r="B410" i="16" s="1"/>
  <c r="B411" i="16" s="1"/>
  <c r="B412" i="16" s="1"/>
  <c r="B413" i="16" s="1"/>
  <c r="B414" i="16" s="1"/>
  <c r="B415" i="16" s="1"/>
  <c r="B416" i="16" s="1"/>
  <c r="B417" i="16" s="1"/>
  <c r="B418" i="16" s="1"/>
  <c r="B419" i="16" s="1"/>
  <c r="B420" i="16" s="1"/>
  <c r="B421" i="16" s="1"/>
  <c r="B422" i="16" s="1"/>
  <c r="B423" i="16" s="1"/>
  <c r="B424" i="16" s="1"/>
  <c r="B425" i="16" s="1"/>
  <c r="B426" i="16" s="1"/>
  <c r="B427" i="16" s="1"/>
  <c r="B428" i="16" s="1"/>
  <c r="B429" i="16" s="1"/>
  <c r="B430" i="16" s="1"/>
  <c r="B431" i="16" s="1"/>
  <c r="B432" i="16" s="1"/>
  <c r="B433" i="16" s="1"/>
  <c r="B434" i="16" s="1"/>
  <c r="B435" i="16" s="1"/>
  <c r="B436" i="16" s="1"/>
  <c r="B437" i="16" s="1"/>
  <c r="B438" i="16" s="1"/>
  <c r="B439" i="16" s="1"/>
  <c r="B23" i="16"/>
  <c r="B21" i="16"/>
  <c r="B22" i="16" s="1"/>
  <c r="I11" i="16"/>
  <c r="H11" i="16"/>
  <c r="G11" i="16"/>
  <c r="F11" i="16"/>
  <c r="E11" i="16"/>
  <c r="D11" i="16"/>
  <c r="C5" i="16"/>
  <c r="C3" i="16"/>
  <c r="C2" i="16"/>
  <c r="C3" i="14"/>
  <c r="C5" i="14"/>
  <c r="C2" i="14"/>
  <c r="F7" i="14"/>
  <c r="G10" i="14" s="1"/>
  <c r="I10" i="14" s="1"/>
  <c r="F6" i="14"/>
  <c r="H8" i="14" s="1"/>
  <c r="F5" i="14"/>
  <c r="H7" i="14" s="1"/>
  <c r="F4" i="14"/>
  <c r="H6" i="14" s="1"/>
  <c r="B21" i="14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I11" i="14"/>
  <c r="H11" i="14"/>
  <c r="G11" i="14"/>
  <c r="F11" i="14"/>
  <c r="E11" i="14"/>
  <c r="D11" i="14"/>
  <c r="N17" i="11"/>
  <c r="M13" i="11"/>
  <c r="I6" i="11"/>
  <c r="H9" i="19" l="1"/>
  <c r="G10" i="17"/>
  <c r="I10" i="17" s="1"/>
  <c r="H5" i="17" s="1"/>
  <c r="H9" i="17"/>
  <c r="H9" i="14"/>
  <c r="H5" i="14"/>
  <c r="I5" i="11"/>
  <c r="I4" i="11"/>
  <c r="I3" i="11"/>
  <c r="K6" i="11"/>
  <c r="K5" i="11"/>
  <c r="K4" i="11"/>
  <c r="K3" i="11"/>
  <c r="A4" i="11"/>
  <c r="H7" i="11"/>
  <c r="C5" i="11"/>
  <c r="C4" i="11"/>
  <c r="E13" i="11"/>
  <c r="G14" i="11"/>
  <c r="D20" i="19" s="1"/>
  <c r="C20" i="19" s="1"/>
  <c r="G20" i="19" s="1"/>
  <c r="C4" i="16" l="1"/>
  <c r="D20" i="16" s="1"/>
  <c r="D20" i="17"/>
  <c r="C20" i="17" s="1"/>
  <c r="G20" i="17" s="1"/>
  <c r="C4" i="14"/>
  <c r="D20" i="14" s="1"/>
  <c r="C20" i="14" s="1"/>
  <c r="G20" i="14" s="1"/>
  <c r="F4" i="16"/>
  <c r="H6" i="16" s="1"/>
  <c r="F5" i="16"/>
  <c r="H7" i="16" s="1"/>
  <c r="F6" i="16"/>
  <c r="H8" i="16" s="1"/>
  <c r="F7" i="16"/>
  <c r="K7" i="11"/>
  <c r="L7" i="11" s="1"/>
  <c r="Q13" i="2"/>
  <c r="H9" i="16" l="1"/>
  <c r="G10" i="16"/>
  <c r="I10" i="16" s="1"/>
  <c r="H5" i="16" s="1"/>
  <c r="C20" i="16"/>
  <c r="G20" i="16" s="1"/>
  <c r="R13" i="2"/>
  <c r="R14" i="2"/>
  <c r="Q14" i="2"/>
  <c r="P14" i="2"/>
  <c r="P13" i="2"/>
  <c r="S13" i="2" l="1"/>
  <c r="S14" i="2"/>
  <c r="R10" i="1"/>
  <c r="O10" i="1"/>
  <c r="O11" i="1" s="1"/>
  <c r="O19" i="1"/>
  <c r="O16" i="1"/>
  <c r="S10" i="1"/>
  <c r="Q10" i="1"/>
  <c r="P10" i="1"/>
  <c r="M10" i="1"/>
  <c r="L10" i="1"/>
  <c r="K10" i="1"/>
  <c r="C2" i="5"/>
  <c r="B1" i="5"/>
  <c r="C2" i="6"/>
  <c r="C1" i="6"/>
  <c r="P22" i="2"/>
  <c r="P21" i="2"/>
  <c r="R12" i="2"/>
  <c r="Q12" i="2"/>
  <c r="P12" i="2"/>
  <c r="R11" i="2"/>
  <c r="Q11" i="2"/>
  <c r="P11" i="2"/>
  <c r="R10" i="2"/>
  <c r="Q10" i="2"/>
  <c r="P10" i="2"/>
  <c r="R15" i="2"/>
  <c r="Q15" i="2"/>
  <c r="P15" i="2"/>
  <c r="S15" i="2" l="1"/>
  <c r="Q22" i="2"/>
  <c r="F34" i="1" s="1"/>
  <c r="O14" i="1" s="1"/>
  <c r="Q11" i="1"/>
  <c r="Q13" i="1" s="1"/>
  <c r="S11" i="1"/>
  <c r="S10" i="2"/>
  <c r="S11" i="2"/>
  <c r="S12" i="2"/>
  <c r="Q21" i="2" s="1"/>
  <c r="D34" i="1" s="1"/>
  <c r="O17" i="1"/>
  <c r="O13" i="1"/>
  <c r="I19" i="1" l="1"/>
  <c r="O18" i="1"/>
  <c r="C10" i="1" l="1"/>
  <c r="D33" i="1" l="1"/>
  <c r="D32" i="1"/>
  <c r="I28" i="1"/>
  <c r="I18" i="1" s="1"/>
  <c r="O4" i="2"/>
  <c r="O3" i="2"/>
  <c r="D35" i="1" s="1"/>
  <c r="E10" i="1" l="1"/>
  <c r="F33" i="1" l="1"/>
  <c r="S13" i="1" s="1"/>
  <c r="F32" i="1"/>
  <c r="F35" i="1"/>
  <c r="K27" i="11" s="1"/>
  <c r="L27" i="11" s="1"/>
  <c r="C6" i="6"/>
  <c r="B166" i="6" s="1"/>
  <c r="C5" i="6"/>
  <c r="B47" i="6" s="1"/>
  <c r="C4" i="6"/>
  <c r="B32" i="6" s="1"/>
  <c r="C3" i="6"/>
  <c r="B20" i="6" s="1"/>
  <c r="C14" i="6"/>
  <c r="G1" i="6"/>
  <c r="C6" i="3"/>
  <c r="C5" i="3"/>
  <c r="C4" i="3"/>
  <c r="C3" i="3"/>
  <c r="C2" i="3"/>
  <c r="C1" i="3"/>
  <c r="B2" i="5"/>
  <c r="M20" i="5"/>
  <c r="C14" i="5"/>
  <c r="N14" i="5" s="1"/>
  <c r="C13" i="5"/>
  <c r="N13" i="5" s="1"/>
  <c r="C12" i="5"/>
  <c r="N12" i="5" s="1"/>
  <c r="C11" i="5"/>
  <c r="N11" i="5" s="1"/>
  <c r="C10" i="5"/>
  <c r="A23" i="5" s="1"/>
  <c r="B23" i="5" s="1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A12" i="5"/>
  <c r="A11" i="5"/>
  <c r="C14" i="4"/>
  <c r="N14" i="4" s="1"/>
  <c r="C13" i="4"/>
  <c r="N13" i="4" s="1"/>
  <c r="C12" i="4"/>
  <c r="J12" i="4" s="1"/>
  <c r="C11" i="4"/>
  <c r="J11" i="4" s="1"/>
  <c r="C10" i="4"/>
  <c r="J10" i="4" s="1"/>
  <c r="C2" i="4"/>
  <c r="B2" i="4" s="1"/>
  <c r="B1" i="4"/>
  <c r="E10" i="4" s="1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A12" i="4"/>
  <c r="A11" i="4"/>
  <c r="B37" i="6" l="1"/>
  <c r="B38" i="6"/>
  <c r="B49" i="6"/>
  <c r="B82" i="6"/>
  <c r="B178" i="6"/>
  <c r="B184" i="6"/>
  <c r="J11" i="5"/>
  <c r="J13" i="5"/>
  <c r="F14" i="5"/>
  <c r="B70" i="6"/>
  <c r="B92" i="6"/>
  <c r="B144" i="6"/>
  <c r="B36" i="6"/>
  <c r="B26" i="6"/>
  <c r="B28" i="6"/>
  <c r="B31" i="6"/>
  <c r="B34" i="6"/>
  <c r="V20" i="5"/>
  <c r="Y19" i="5" s="1"/>
  <c r="E10" i="5"/>
  <c r="F10" i="4"/>
  <c r="A24" i="4"/>
  <c r="B24" i="4" s="1"/>
  <c r="N10" i="4"/>
  <c r="B35" i="6"/>
  <c r="B79" i="6"/>
  <c r="B171" i="6"/>
  <c r="E4" i="6"/>
  <c r="B40" i="6"/>
  <c r="B95" i="6"/>
  <c r="B273" i="6"/>
  <c r="B282" i="6"/>
  <c r="B105" i="6"/>
  <c r="B108" i="6"/>
  <c r="F13" i="5"/>
  <c r="B52" i="6"/>
  <c r="B116" i="6"/>
  <c r="B65" i="6"/>
  <c r="B129" i="6"/>
  <c r="B29" i="6"/>
  <c r="B67" i="6"/>
  <c r="B139" i="6"/>
  <c r="B73" i="6"/>
  <c r="B150" i="6"/>
  <c r="B76" i="6"/>
  <c r="B14" i="6"/>
  <c r="E14" i="6" s="1"/>
  <c r="B50" i="6"/>
  <c r="B68" i="6"/>
  <c r="B109" i="6"/>
  <c r="B135" i="6"/>
  <c r="B151" i="6"/>
  <c r="B48" i="6"/>
  <c r="B45" i="6"/>
  <c r="B42" i="6"/>
  <c r="B39" i="6"/>
  <c r="B55" i="6"/>
  <c r="B71" i="6"/>
  <c r="B74" i="6"/>
  <c r="B77" i="6"/>
  <c r="B80" i="6"/>
  <c r="B93" i="6"/>
  <c r="B157" i="6"/>
  <c r="B162" i="6"/>
  <c r="E3" i="6"/>
  <c r="B24" i="6"/>
  <c r="B18" i="6"/>
  <c r="E5" i="6"/>
  <c r="B23" i="6"/>
  <c r="B25" i="6"/>
  <c r="B41" i="6"/>
  <c r="B43" i="6"/>
  <c r="B53" i="6"/>
  <c r="B103" i="6"/>
  <c r="B113" i="6"/>
  <c r="B141" i="6"/>
  <c r="B168" i="6"/>
  <c r="B186" i="6"/>
  <c r="B193" i="6"/>
  <c r="B492" i="6"/>
  <c r="B489" i="6"/>
  <c r="B486" i="6"/>
  <c r="B483" i="6"/>
  <c r="B480" i="6"/>
  <c r="B477" i="6"/>
  <c r="B474" i="6"/>
  <c r="B471" i="6"/>
  <c r="B468" i="6"/>
  <c r="B465" i="6"/>
  <c r="B462" i="6"/>
  <c r="B459" i="6"/>
  <c r="B456" i="6"/>
  <c r="B453" i="6"/>
  <c r="B450" i="6"/>
  <c r="B447" i="6"/>
  <c r="B444" i="6"/>
  <c r="B441" i="6"/>
  <c r="B438" i="6"/>
  <c r="B435" i="6"/>
  <c r="B432" i="6"/>
  <c r="B429" i="6"/>
  <c r="B426" i="6"/>
  <c r="B423" i="6"/>
  <c r="B420" i="6"/>
  <c r="B417" i="6"/>
  <c r="B414" i="6"/>
  <c r="B411" i="6"/>
  <c r="B408" i="6"/>
  <c r="B405" i="6"/>
  <c r="B402" i="6"/>
  <c r="B399" i="6"/>
  <c r="B396" i="6"/>
  <c r="B393" i="6"/>
  <c r="B390" i="6"/>
  <c r="B387" i="6"/>
  <c r="B384" i="6"/>
  <c r="B381" i="6"/>
  <c r="B378" i="6"/>
  <c r="B375" i="6"/>
  <c r="B372" i="6"/>
  <c r="B369" i="6"/>
  <c r="B482" i="6"/>
  <c r="B464" i="6"/>
  <c r="B446" i="6"/>
  <c r="B484" i="6"/>
  <c r="B466" i="6"/>
  <c r="B448" i="6"/>
  <c r="B479" i="6"/>
  <c r="B461" i="6"/>
  <c r="B443" i="6"/>
  <c r="B433" i="6"/>
  <c r="B431" i="6"/>
  <c r="B424" i="6"/>
  <c r="B422" i="6"/>
  <c r="B481" i="6"/>
  <c r="B463" i="6"/>
  <c r="B445" i="6"/>
  <c r="B490" i="6"/>
  <c r="B472" i="6"/>
  <c r="B454" i="6"/>
  <c r="B412" i="6"/>
  <c r="B406" i="6"/>
  <c r="B400" i="6"/>
  <c r="B394" i="6"/>
  <c r="B388" i="6"/>
  <c r="B382" i="6"/>
  <c r="B488" i="6"/>
  <c r="B439" i="6"/>
  <c r="B478" i="6"/>
  <c r="B470" i="6"/>
  <c r="B427" i="6"/>
  <c r="B413" i="6"/>
  <c r="B392" i="6"/>
  <c r="B380" i="6"/>
  <c r="B487" i="6"/>
  <c r="B460" i="6"/>
  <c r="B452" i="6"/>
  <c r="B416" i="6"/>
  <c r="B410" i="6"/>
  <c r="B407" i="6"/>
  <c r="B469" i="6"/>
  <c r="B442" i="6"/>
  <c r="B430" i="6"/>
  <c r="B419" i="6"/>
  <c r="B353" i="6"/>
  <c r="B335" i="6"/>
  <c r="B491" i="6"/>
  <c r="B473" i="6"/>
  <c r="B451" i="6"/>
  <c r="B434" i="6"/>
  <c r="B415" i="6"/>
  <c r="B409" i="6"/>
  <c r="B404" i="6"/>
  <c r="B455" i="6"/>
  <c r="B475" i="6"/>
  <c r="B449" i="6"/>
  <c r="B428" i="6"/>
  <c r="B395" i="6"/>
  <c r="B383" i="6"/>
  <c r="B374" i="6"/>
  <c r="B357" i="6"/>
  <c r="B352" i="6"/>
  <c r="B339" i="6"/>
  <c r="B334" i="6"/>
  <c r="B493" i="6"/>
  <c r="B440" i="6"/>
  <c r="B391" i="6"/>
  <c r="B351" i="6"/>
  <c r="B349" i="6"/>
  <c r="B347" i="6"/>
  <c r="B343" i="6"/>
  <c r="B320" i="6"/>
  <c r="B311" i="6"/>
  <c r="B302" i="6"/>
  <c r="B425" i="6"/>
  <c r="B418" i="6"/>
  <c r="B403" i="6"/>
  <c r="B345" i="6"/>
  <c r="B341" i="6"/>
  <c r="B337" i="6"/>
  <c r="B318" i="6"/>
  <c r="B309" i="6"/>
  <c r="B300" i="6"/>
  <c r="B437" i="6"/>
  <c r="B398" i="6"/>
  <c r="B371" i="6"/>
  <c r="B327" i="6"/>
  <c r="B457" i="6"/>
  <c r="B379" i="6"/>
  <c r="B376" i="6"/>
  <c r="B373" i="6"/>
  <c r="B366" i="6"/>
  <c r="B364" i="6"/>
  <c r="B323" i="6"/>
  <c r="B314" i="6"/>
  <c r="B476" i="6"/>
  <c r="B467" i="6"/>
  <c r="B362" i="6"/>
  <c r="B360" i="6"/>
  <c r="B358" i="6"/>
  <c r="B356" i="6"/>
  <c r="B321" i="6"/>
  <c r="B312" i="6"/>
  <c r="B303" i="6"/>
  <c r="B436" i="6"/>
  <c r="B401" i="6"/>
  <c r="B397" i="6"/>
  <c r="B386" i="6"/>
  <c r="B368" i="6"/>
  <c r="B485" i="6"/>
  <c r="B370" i="6"/>
  <c r="B280" i="6"/>
  <c r="B262" i="6"/>
  <c r="B350" i="6"/>
  <c r="B340" i="6"/>
  <c r="B330" i="6"/>
  <c r="B295" i="6"/>
  <c r="B293" i="6"/>
  <c r="B288" i="6"/>
  <c r="B275" i="6"/>
  <c r="B270" i="6"/>
  <c r="B458" i="6"/>
  <c r="B336" i="6"/>
  <c r="B326" i="6"/>
  <c r="B310" i="6"/>
  <c r="B286" i="6"/>
  <c r="B421" i="6"/>
  <c r="B329" i="6"/>
  <c r="B325" i="6"/>
  <c r="B305" i="6"/>
  <c r="B298" i="6"/>
  <c r="B279" i="6"/>
  <c r="B277" i="6"/>
  <c r="B361" i="6"/>
  <c r="B301" i="6"/>
  <c r="B292" i="6"/>
  <c r="B290" i="6"/>
  <c r="B281" i="6"/>
  <c r="B263" i="6"/>
  <c r="B256" i="6"/>
  <c r="B251" i="6"/>
  <c r="B238" i="6"/>
  <c r="B233" i="6"/>
  <c r="B220" i="6"/>
  <c r="B215" i="6"/>
  <c r="B212" i="6"/>
  <c r="B209" i="6"/>
  <c r="B206" i="6"/>
  <c r="B203" i="6"/>
  <c r="B200" i="6"/>
  <c r="B197" i="6"/>
  <c r="B194" i="6"/>
  <c r="B191" i="6"/>
  <c r="B188" i="6"/>
  <c r="B385" i="6"/>
  <c r="B367" i="6"/>
  <c r="B355" i="6"/>
  <c r="B316" i="6"/>
  <c r="B308" i="6"/>
  <c r="B294" i="6"/>
  <c r="B283" i="6"/>
  <c r="B261" i="6"/>
  <c r="B246" i="6"/>
  <c r="B228" i="6"/>
  <c r="B365" i="6"/>
  <c r="B348" i="6"/>
  <c r="B338" i="6"/>
  <c r="B328" i="6"/>
  <c r="B307" i="6"/>
  <c r="B289" i="6"/>
  <c r="B287" i="6"/>
  <c r="B266" i="6"/>
  <c r="B257" i="6"/>
  <c r="B244" i="6"/>
  <c r="B239" i="6"/>
  <c r="B226" i="6"/>
  <c r="B221" i="6"/>
  <c r="B213" i="6"/>
  <c r="B210" i="6"/>
  <c r="B207" i="6"/>
  <c r="B204" i="6"/>
  <c r="B201" i="6"/>
  <c r="B198" i="6"/>
  <c r="B195" i="6"/>
  <c r="B192" i="6"/>
  <c r="B189" i="6"/>
  <c r="B359" i="6"/>
  <c r="B333" i="6"/>
  <c r="B315" i="6"/>
  <c r="B296" i="6"/>
  <c r="B291" i="6"/>
  <c r="B278" i="6"/>
  <c r="B264" i="6"/>
  <c r="B342" i="6"/>
  <c r="B332" i="6"/>
  <c r="B247" i="6"/>
  <c r="B242" i="6"/>
  <c r="B299" i="6"/>
  <c r="B377" i="6"/>
  <c r="B346" i="6"/>
  <c r="B322" i="6"/>
  <c r="B313" i="6"/>
  <c r="B304" i="6"/>
  <c r="B269" i="6"/>
  <c r="B254" i="6"/>
  <c r="B249" i="6"/>
  <c r="B232" i="6"/>
  <c r="B234" i="6"/>
  <c r="B223" i="6"/>
  <c r="B344" i="6"/>
  <c r="B285" i="6"/>
  <c r="B276" i="6"/>
  <c r="B272" i="6"/>
  <c r="B241" i="6"/>
  <c r="B236" i="6"/>
  <c r="B227" i="6"/>
  <c r="B225" i="6"/>
  <c r="B216" i="6"/>
  <c r="B214" i="6"/>
  <c r="B208" i="6"/>
  <c r="B202" i="6"/>
  <c r="B196" i="6"/>
  <c r="B190" i="6"/>
  <c r="B185" i="6"/>
  <c r="B182" i="6"/>
  <c r="B179" i="6"/>
  <c r="B176" i="6"/>
  <c r="B173" i="6"/>
  <c r="B170" i="6"/>
  <c r="B167" i="6"/>
  <c r="B164" i="6"/>
  <c r="B161" i="6"/>
  <c r="B158" i="6"/>
  <c r="B155" i="6"/>
  <c r="B152" i="6"/>
  <c r="B149" i="6"/>
  <c r="B146" i="6"/>
  <c r="B143" i="6"/>
  <c r="B140" i="6"/>
  <c r="B137" i="6"/>
  <c r="B134" i="6"/>
  <c r="B131" i="6"/>
  <c r="B128" i="6"/>
  <c r="B125" i="6"/>
  <c r="B122" i="6"/>
  <c r="B331" i="6"/>
  <c r="B319" i="6"/>
  <c r="B271" i="6"/>
  <c r="B268" i="6"/>
  <c r="B265" i="6"/>
  <c r="B259" i="6"/>
  <c r="B229" i="6"/>
  <c r="B218" i="6"/>
  <c r="B243" i="6"/>
  <c r="B389" i="6"/>
  <c r="B317" i="6"/>
  <c r="B258" i="6"/>
  <c r="B255" i="6"/>
  <c r="B250" i="6"/>
  <c r="B245" i="6"/>
  <c r="B224" i="6"/>
  <c r="B222" i="6"/>
  <c r="B363" i="6"/>
  <c r="B217" i="6"/>
  <c r="B199" i="6"/>
  <c r="B181" i="6"/>
  <c r="B133" i="6"/>
  <c r="B127" i="6"/>
  <c r="B121" i="6"/>
  <c r="B106" i="6"/>
  <c r="B88" i="6"/>
  <c r="B306" i="6"/>
  <c r="B237" i="6"/>
  <c r="B231" i="6"/>
  <c r="B183" i="6"/>
  <c r="B119" i="6"/>
  <c r="B114" i="6"/>
  <c r="B101" i="6"/>
  <c r="B96" i="6"/>
  <c r="B83" i="6"/>
  <c r="B354" i="6"/>
  <c r="B205" i="6"/>
  <c r="B180" i="6"/>
  <c r="B117" i="6"/>
  <c r="B104" i="6"/>
  <c r="B99" i="6"/>
  <c r="B86" i="6"/>
  <c r="B81" i="6"/>
  <c r="B78" i="6"/>
  <c r="B75" i="6"/>
  <c r="B72" i="6"/>
  <c r="B69" i="6"/>
  <c r="B66" i="6"/>
  <c r="B63" i="6"/>
  <c r="B60" i="6"/>
  <c r="B57" i="6"/>
  <c r="B54" i="6"/>
  <c r="B51" i="6"/>
  <c r="B267" i="6"/>
  <c r="B253" i="6"/>
  <c r="B175" i="6"/>
  <c r="B112" i="6"/>
  <c r="B94" i="6"/>
  <c r="B324" i="6"/>
  <c r="B260" i="6"/>
  <c r="B235" i="6"/>
  <c r="B230" i="6"/>
  <c r="B177" i="6"/>
  <c r="B132" i="6"/>
  <c r="B126" i="6"/>
  <c r="B107" i="6"/>
  <c r="B102" i="6"/>
  <c r="B89" i="6"/>
  <c r="B84" i="6"/>
  <c r="B297" i="6"/>
  <c r="B252" i="6"/>
  <c r="B240" i="6"/>
  <c r="B219" i="6"/>
  <c r="B211" i="6"/>
  <c r="B172" i="6"/>
  <c r="B165" i="6"/>
  <c r="B163" i="6"/>
  <c r="B156" i="6"/>
  <c r="B154" i="6"/>
  <c r="B147" i="6"/>
  <c r="B145" i="6"/>
  <c r="B138" i="6"/>
  <c r="B136" i="6"/>
  <c r="B130" i="6"/>
  <c r="B124" i="6"/>
  <c r="B120" i="6"/>
  <c r="B115" i="6"/>
  <c r="B97" i="6"/>
  <c r="B284" i="6"/>
  <c r="B274" i="6"/>
  <c r="B174" i="6"/>
  <c r="B17" i="6"/>
  <c r="B58" i="6"/>
  <c r="B90" i="6"/>
  <c r="D6" i="6"/>
  <c r="E6" i="6" s="1"/>
  <c r="B15" i="6"/>
  <c r="B19" i="6"/>
  <c r="B21" i="6"/>
  <c r="B56" i="6"/>
  <c r="B100" i="6"/>
  <c r="B142" i="6"/>
  <c r="B169" i="6"/>
  <c r="B248" i="6"/>
  <c r="B61" i="6"/>
  <c r="B87" i="6"/>
  <c r="B110" i="6"/>
  <c r="B148" i="6"/>
  <c r="B153" i="6"/>
  <c r="B187" i="6"/>
  <c r="D13" i="6"/>
  <c r="I14" i="6"/>
  <c r="B44" i="6"/>
  <c r="B46" i="6"/>
  <c r="B59" i="6"/>
  <c r="B91" i="6"/>
  <c r="B118" i="6"/>
  <c r="B123" i="6"/>
  <c r="B159" i="6"/>
  <c r="B64" i="6"/>
  <c r="B98" i="6"/>
  <c r="B111" i="6"/>
  <c r="B16" i="6"/>
  <c r="B22" i="6"/>
  <c r="B62" i="6"/>
  <c r="B85" i="6"/>
  <c r="B160" i="6"/>
  <c r="B27" i="6"/>
  <c r="B30" i="6"/>
  <c r="B33" i="6"/>
  <c r="F11" i="5"/>
  <c r="G10" i="5"/>
  <c r="G11" i="5" s="1"/>
  <c r="G12" i="5" s="1"/>
  <c r="G13" i="5" s="1"/>
  <c r="G14" i="5" s="1"/>
  <c r="B14" i="5"/>
  <c r="B15" i="5" s="1"/>
  <c r="K10" i="5"/>
  <c r="K11" i="5" s="1"/>
  <c r="K12" i="5" s="1"/>
  <c r="K13" i="5" s="1"/>
  <c r="F10" i="5"/>
  <c r="A27" i="5"/>
  <c r="B27" i="5" s="1"/>
  <c r="N10" i="5"/>
  <c r="J10" i="5"/>
  <c r="O10" i="5"/>
  <c r="O11" i="5" s="1"/>
  <c r="O12" i="5" s="1"/>
  <c r="O13" i="5" s="1"/>
  <c r="O14" i="5" s="1"/>
  <c r="I10" i="5"/>
  <c r="A13" i="5"/>
  <c r="A14" i="5" s="1"/>
  <c r="A372" i="5" s="1"/>
  <c r="B372" i="5" s="1"/>
  <c r="E20" i="5"/>
  <c r="R20" i="5"/>
  <c r="A21" i="5"/>
  <c r="B21" i="5" s="1"/>
  <c r="A25" i="5"/>
  <c r="B25" i="5" s="1"/>
  <c r="A29" i="5"/>
  <c r="B29" i="5" s="1"/>
  <c r="A382" i="5"/>
  <c r="B382" i="5" s="1"/>
  <c r="A370" i="5"/>
  <c r="B370" i="5" s="1"/>
  <c r="A407" i="5"/>
  <c r="B407" i="5" s="1"/>
  <c r="A395" i="5"/>
  <c r="B395" i="5" s="1"/>
  <c r="A383" i="5"/>
  <c r="B383" i="5" s="1"/>
  <c r="A371" i="5"/>
  <c r="B371" i="5" s="1"/>
  <c r="A385" i="5"/>
  <c r="B385" i="5" s="1"/>
  <c r="A373" i="5"/>
  <c r="B373" i="5" s="1"/>
  <c r="A410" i="5"/>
  <c r="B410" i="5" s="1"/>
  <c r="A398" i="5"/>
  <c r="B398" i="5" s="1"/>
  <c r="A386" i="5"/>
  <c r="B386" i="5" s="1"/>
  <c r="A374" i="5"/>
  <c r="B374" i="5" s="1"/>
  <c r="A399" i="5"/>
  <c r="B399" i="5" s="1"/>
  <c r="A375" i="5"/>
  <c r="B375" i="5" s="1"/>
  <c r="A388" i="5"/>
  <c r="B388" i="5" s="1"/>
  <c r="A376" i="5"/>
  <c r="B376" i="5" s="1"/>
  <c r="A413" i="5"/>
  <c r="B413" i="5" s="1"/>
  <c r="A401" i="5"/>
  <c r="B401" i="5" s="1"/>
  <c r="A389" i="5"/>
  <c r="B389" i="5" s="1"/>
  <c r="A377" i="5"/>
  <c r="B377" i="5" s="1"/>
  <c r="A402" i="5"/>
  <c r="B402" i="5" s="1"/>
  <c r="A378" i="5"/>
  <c r="B378" i="5" s="1"/>
  <c r="A391" i="5"/>
  <c r="B391" i="5" s="1"/>
  <c r="A379" i="5"/>
  <c r="B379" i="5" s="1"/>
  <c r="A404" i="5"/>
  <c r="B404" i="5" s="1"/>
  <c r="A392" i="5"/>
  <c r="B392" i="5" s="1"/>
  <c r="A380" i="5"/>
  <c r="B380" i="5" s="1"/>
  <c r="A369" i="5"/>
  <c r="B369" i="5" s="1"/>
  <c r="A345" i="5"/>
  <c r="B345" i="5" s="1"/>
  <c r="A359" i="5"/>
  <c r="B359" i="5" s="1"/>
  <c r="A347" i="5"/>
  <c r="B347" i="5" s="1"/>
  <c r="A335" i="5"/>
  <c r="B335" i="5" s="1"/>
  <c r="A323" i="5"/>
  <c r="B323" i="5" s="1"/>
  <c r="A311" i="5"/>
  <c r="B311" i="5" s="1"/>
  <c r="A299" i="5"/>
  <c r="B299" i="5" s="1"/>
  <c r="A287" i="5"/>
  <c r="B287" i="5" s="1"/>
  <c r="A360" i="5"/>
  <c r="B360" i="5" s="1"/>
  <c r="A348" i="5"/>
  <c r="B348" i="5" s="1"/>
  <c r="A336" i="5"/>
  <c r="B336" i="5" s="1"/>
  <c r="A363" i="5"/>
  <c r="B363" i="5" s="1"/>
  <c r="A351" i="5"/>
  <c r="B351" i="5" s="1"/>
  <c r="A339" i="5"/>
  <c r="B339" i="5" s="1"/>
  <c r="A327" i="5"/>
  <c r="B327" i="5" s="1"/>
  <c r="A315" i="5"/>
  <c r="B315" i="5" s="1"/>
  <c r="A303" i="5"/>
  <c r="B303" i="5" s="1"/>
  <c r="A291" i="5"/>
  <c r="B291" i="5" s="1"/>
  <c r="A279" i="5"/>
  <c r="B279" i="5" s="1"/>
  <c r="A364" i="5"/>
  <c r="B364" i="5" s="1"/>
  <c r="A352" i="5"/>
  <c r="B352" i="5" s="1"/>
  <c r="A340" i="5"/>
  <c r="B340" i="5" s="1"/>
  <c r="A328" i="5"/>
  <c r="B328" i="5" s="1"/>
  <c r="A316" i="5"/>
  <c r="B316" i="5" s="1"/>
  <c r="A304" i="5"/>
  <c r="B304" i="5" s="1"/>
  <c r="A292" i="5"/>
  <c r="B292" i="5" s="1"/>
  <c r="A280" i="5"/>
  <c r="B280" i="5" s="1"/>
  <c r="A365" i="5"/>
  <c r="B365" i="5" s="1"/>
  <c r="A353" i="5"/>
  <c r="B353" i="5" s="1"/>
  <c r="A341" i="5"/>
  <c r="B341" i="5" s="1"/>
  <c r="A329" i="5"/>
  <c r="B329" i="5" s="1"/>
  <c r="A317" i="5"/>
  <c r="B317" i="5" s="1"/>
  <c r="A305" i="5"/>
  <c r="B305" i="5" s="1"/>
  <c r="A293" i="5"/>
  <c r="B293" i="5" s="1"/>
  <c r="A281" i="5"/>
  <c r="B281" i="5" s="1"/>
  <c r="A366" i="5"/>
  <c r="B366" i="5" s="1"/>
  <c r="A354" i="5"/>
  <c r="B354" i="5" s="1"/>
  <c r="A342" i="5"/>
  <c r="B342" i="5" s="1"/>
  <c r="A367" i="5"/>
  <c r="B367" i="5" s="1"/>
  <c r="A355" i="5"/>
  <c r="B355" i="5" s="1"/>
  <c r="A343" i="5"/>
  <c r="B343" i="5" s="1"/>
  <c r="A331" i="5"/>
  <c r="B331" i="5" s="1"/>
  <c r="A319" i="5"/>
  <c r="B319" i="5" s="1"/>
  <c r="A307" i="5"/>
  <c r="B307" i="5" s="1"/>
  <c r="A295" i="5"/>
  <c r="B295" i="5" s="1"/>
  <c r="A283" i="5"/>
  <c r="B283" i="5" s="1"/>
  <c r="A368" i="5"/>
  <c r="B368" i="5" s="1"/>
  <c r="A356" i="5"/>
  <c r="B356" i="5" s="1"/>
  <c r="A344" i="5"/>
  <c r="B344" i="5" s="1"/>
  <c r="A332" i="5"/>
  <c r="B332" i="5" s="1"/>
  <c r="A320" i="5"/>
  <c r="B320" i="5" s="1"/>
  <c r="A308" i="5"/>
  <c r="B308" i="5" s="1"/>
  <c r="A296" i="5"/>
  <c r="B296" i="5" s="1"/>
  <c r="A358" i="5"/>
  <c r="B358" i="5" s="1"/>
  <c r="A330" i="5"/>
  <c r="B330" i="5" s="1"/>
  <c r="A326" i="5"/>
  <c r="B326" i="5" s="1"/>
  <c r="A325" i="5"/>
  <c r="B325" i="5" s="1"/>
  <c r="A318" i="5"/>
  <c r="B318" i="5" s="1"/>
  <c r="A314" i="5"/>
  <c r="B314" i="5" s="1"/>
  <c r="A313" i="5"/>
  <c r="B313" i="5" s="1"/>
  <c r="A306" i="5"/>
  <c r="B306" i="5" s="1"/>
  <c r="A302" i="5"/>
  <c r="B302" i="5" s="1"/>
  <c r="A301" i="5"/>
  <c r="B301" i="5" s="1"/>
  <c r="A294" i="5"/>
  <c r="B294" i="5" s="1"/>
  <c r="A285" i="5"/>
  <c r="B285" i="5" s="1"/>
  <c r="A274" i="5"/>
  <c r="B274" i="5" s="1"/>
  <c r="A262" i="5"/>
  <c r="B262" i="5" s="1"/>
  <c r="A250" i="5"/>
  <c r="B250" i="5" s="1"/>
  <c r="A238" i="5"/>
  <c r="B238" i="5" s="1"/>
  <c r="A338" i="5"/>
  <c r="B338" i="5" s="1"/>
  <c r="A334" i="5"/>
  <c r="B334" i="5" s="1"/>
  <c r="A265" i="5"/>
  <c r="B265" i="5" s="1"/>
  <c r="A253" i="5"/>
  <c r="B253" i="5" s="1"/>
  <c r="A290" i="5"/>
  <c r="B290" i="5" s="1"/>
  <c r="A266" i="5"/>
  <c r="B266" i="5" s="1"/>
  <c r="A288" i="5"/>
  <c r="B288" i="5" s="1"/>
  <c r="A269" i="5"/>
  <c r="B269" i="5" s="1"/>
  <c r="A257" i="5"/>
  <c r="B257" i="5" s="1"/>
  <c r="A245" i="5"/>
  <c r="B245" i="5" s="1"/>
  <c r="A233" i="5"/>
  <c r="B233" i="5" s="1"/>
  <c r="A270" i="5"/>
  <c r="B270" i="5" s="1"/>
  <c r="A258" i="5"/>
  <c r="B258" i="5" s="1"/>
  <c r="A246" i="5"/>
  <c r="B246" i="5" s="1"/>
  <c r="A271" i="5"/>
  <c r="B271" i="5" s="1"/>
  <c r="A286" i="5"/>
  <c r="B286" i="5" s="1"/>
  <c r="A272" i="5"/>
  <c r="B272" i="5" s="1"/>
  <c r="A362" i="5"/>
  <c r="B362" i="5" s="1"/>
  <c r="A349" i="5"/>
  <c r="B349" i="5" s="1"/>
  <c r="A337" i="5"/>
  <c r="B337" i="5" s="1"/>
  <c r="A324" i="5"/>
  <c r="B324" i="5" s="1"/>
  <c r="A322" i="5"/>
  <c r="B322" i="5" s="1"/>
  <c r="A321" i="5"/>
  <c r="B321" i="5" s="1"/>
  <c r="A312" i="5"/>
  <c r="B312" i="5" s="1"/>
  <c r="A310" i="5"/>
  <c r="B310" i="5" s="1"/>
  <c r="A309" i="5"/>
  <c r="B309" i="5" s="1"/>
  <c r="A300" i="5"/>
  <c r="B300" i="5" s="1"/>
  <c r="A298" i="5"/>
  <c r="B298" i="5" s="1"/>
  <c r="A297" i="5"/>
  <c r="B297" i="5" s="1"/>
  <c r="A273" i="5"/>
  <c r="B273" i="5" s="1"/>
  <c r="A284" i="5"/>
  <c r="B284" i="5" s="1"/>
  <c r="A231" i="5"/>
  <c r="B231" i="5" s="1"/>
  <c r="A223" i="5"/>
  <c r="B223" i="5" s="1"/>
  <c r="A211" i="5"/>
  <c r="B211" i="5" s="1"/>
  <c r="A199" i="5"/>
  <c r="B199" i="5" s="1"/>
  <c r="A187" i="5"/>
  <c r="B187" i="5" s="1"/>
  <c r="A350" i="5"/>
  <c r="B350" i="5" s="1"/>
  <c r="A346" i="5"/>
  <c r="B346" i="5" s="1"/>
  <c r="A264" i="5"/>
  <c r="B264" i="5" s="1"/>
  <c r="A263" i="5"/>
  <c r="B263" i="5" s="1"/>
  <c r="A252" i="5"/>
  <c r="B252" i="5" s="1"/>
  <c r="A243" i="5"/>
  <c r="B243" i="5" s="1"/>
  <c r="A237" i="5"/>
  <c r="B237" i="5" s="1"/>
  <c r="A215" i="5"/>
  <c r="B215" i="5" s="1"/>
  <c r="A203" i="5"/>
  <c r="B203" i="5" s="1"/>
  <c r="A191" i="5"/>
  <c r="B191" i="5" s="1"/>
  <c r="A361" i="5"/>
  <c r="B361" i="5" s="1"/>
  <c r="A255" i="5"/>
  <c r="B255" i="5" s="1"/>
  <c r="A232" i="5"/>
  <c r="B232" i="5" s="1"/>
  <c r="A216" i="5"/>
  <c r="B216" i="5" s="1"/>
  <c r="A204" i="5"/>
  <c r="B204" i="5" s="1"/>
  <c r="A192" i="5"/>
  <c r="B192" i="5" s="1"/>
  <c r="A180" i="5"/>
  <c r="B180" i="5" s="1"/>
  <c r="A261" i="5"/>
  <c r="B261" i="5" s="1"/>
  <c r="A248" i="5"/>
  <c r="B248" i="5" s="1"/>
  <c r="A227" i="5"/>
  <c r="B227" i="5" s="1"/>
  <c r="A217" i="5"/>
  <c r="B217" i="5" s="1"/>
  <c r="A205" i="5"/>
  <c r="B205" i="5" s="1"/>
  <c r="A193" i="5"/>
  <c r="B193" i="5" s="1"/>
  <c r="A181" i="5"/>
  <c r="B181" i="5" s="1"/>
  <c r="A275" i="5"/>
  <c r="B275" i="5" s="1"/>
  <c r="A251" i="5"/>
  <c r="B251" i="5" s="1"/>
  <c r="A235" i="5"/>
  <c r="B235" i="5" s="1"/>
  <c r="A254" i="5"/>
  <c r="B254" i="5" s="1"/>
  <c r="A240" i="5"/>
  <c r="B240" i="5" s="1"/>
  <c r="A219" i="5"/>
  <c r="B219" i="5" s="1"/>
  <c r="A207" i="5"/>
  <c r="B207" i="5" s="1"/>
  <c r="A195" i="5"/>
  <c r="B195" i="5" s="1"/>
  <c r="A183" i="5"/>
  <c r="B183" i="5" s="1"/>
  <c r="A278" i="5"/>
  <c r="B278" i="5" s="1"/>
  <c r="A267" i="5"/>
  <c r="B267" i="5" s="1"/>
  <c r="A242" i="5"/>
  <c r="B242" i="5" s="1"/>
  <c r="A220" i="5"/>
  <c r="B220" i="5" s="1"/>
  <c r="A208" i="5"/>
  <c r="B208" i="5" s="1"/>
  <c r="A196" i="5"/>
  <c r="B196" i="5" s="1"/>
  <c r="A230" i="5"/>
  <c r="B230" i="5" s="1"/>
  <c r="A177" i="5"/>
  <c r="B177" i="5" s="1"/>
  <c r="A165" i="5"/>
  <c r="B165" i="5" s="1"/>
  <c r="A153" i="5"/>
  <c r="B153" i="5" s="1"/>
  <c r="A141" i="5"/>
  <c r="B141" i="5" s="1"/>
  <c r="A129" i="5"/>
  <c r="B129" i="5" s="1"/>
  <c r="A289" i="5"/>
  <c r="B289" i="5" s="1"/>
  <c r="A282" i="5"/>
  <c r="B282" i="5" s="1"/>
  <c r="A277" i="5"/>
  <c r="B277" i="5" s="1"/>
  <c r="A268" i="5"/>
  <c r="B268" i="5" s="1"/>
  <c r="A256" i="5"/>
  <c r="B256" i="5" s="1"/>
  <c r="A171" i="5"/>
  <c r="B171" i="5" s="1"/>
  <c r="A276" i="5"/>
  <c r="B276" i="5" s="1"/>
  <c r="A224" i="5"/>
  <c r="B224" i="5" s="1"/>
  <c r="A222" i="5"/>
  <c r="B222" i="5" s="1"/>
  <c r="A221" i="5"/>
  <c r="B221" i="5" s="1"/>
  <c r="A212" i="5"/>
  <c r="B212" i="5" s="1"/>
  <c r="A210" i="5"/>
  <c r="B210" i="5" s="1"/>
  <c r="A209" i="5"/>
  <c r="B209" i="5" s="1"/>
  <c r="A200" i="5"/>
  <c r="B200" i="5" s="1"/>
  <c r="A198" i="5"/>
  <c r="B198" i="5" s="1"/>
  <c r="A197" i="5"/>
  <c r="B197" i="5" s="1"/>
  <c r="A188" i="5"/>
  <c r="B188" i="5" s="1"/>
  <c r="A186" i="5"/>
  <c r="B186" i="5" s="1"/>
  <c r="A172" i="5"/>
  <c r="B172" i="5" s="1"/>
  <c r="A160" i="5"/>
  <c r="B160" i="5" s="1"/>
  <c r="A148" i="5"/>
  <c r="B148" i="5" s="1"/>
  <c r="A136" i="5"/>
  <c r="B136" i="5" s="1"/>
  <c r="A249" i="5"/>
  <c r="B249" i="5" s="1"/>
  <c r="A226" i="5"/>
  <c r="B226" i="5" s="1"/>
  <c r="A225" i="5"/>
  <c r="B225" i="5" s="1"/>
  <c r="A218" i="5"/>
  <c r="B218" i="5" s="1"/>
  <c r="A214" i="5"/>
  <c r="B214" i="5" s="1"/>
  <c r="A213" i="5"/>
  <c r="B213" i="5" s="1"/>
  <c r="A206" i="5"/>
  <c r="B206" i="5" s="1"/>
  <c r="A202" i="5"/>
  <c r="B202" i="5" s="1"/>
  <c r="A201" i="5"/>
  <c r="B201" i="5" s="1"/>
  <c r="A194" i="5"/>
  <c r="B194" i="5" s="1"/>
  <c r="A190" i="5"/>
  <c r="B190" i="5" s="1"/>
  <c r="A189" i="5"/>
  <c r="B189" i="5" s="1"/>
  <c r="A173" i="5"/>
  <c r="B173" i="5" s="1"/>
  <c r="A259" i="5"/>
  <c r="B259" i="5" s="1"/>
  <c r="A244" i="5"/>
  <c r="B244" i="5" s="1"/>
  <c r="A241" i="5"/>
  <c r="B241" i="5" s="1"/>
  <c r="A234" i="5"/>
  <c r="B234" i="5" s="1"/>
  <c r="A228" i="5"/>
  <c r="B228" i="5" s="1"/>
  <c r="A185" i="5"/>
  <c r="B185" i="5" s="1"/>
  <c r="A174" i="5"/>
  <c r="B174" i="5" s="1"/>
  <c r="A247" i="5"/>
  <c r="B247" i="5" s="1"/>
  <c r="A184" i="5"/>
  <c r="B184" i="5" s="1"/>
  <c r="A175" i="5"/>
  <c r="B175" i="5" s="1"/>
  <c r="A229" i="5"/>
  <c r="B229" i="5" s="1"/>
  <c r="A176" i="5"/>
  <c r="B176" i="5" s="1"/>
  <c r="A182" i="5"/>
  <c r="B182" i="5" s="1"/>
  <c r="A159" i="5"/>
  <c r="B159" i="5" s="1"/>
  <c r="A154" i="5"/>
  <c r="B154" i="5" s="1"/>
  <c r="A128" i="5"/>
  <c r="B128" i="5" s="1"/>
  <c r="A119" i="5"/>
  <c r="B119" i="5" s="1"/>
  <c r="A107" i="5"/>
  <c r="B107" i="5" s="1"/>
  <c r="A95" i="5"/>
  <c r="B95" i="5" s="1"/>
  <c r="A149" i="5"/>
  <c r="B149" i="5" s="1"/>
  <c r="A144" i="5"/>
  <c r="B144" i="5" s="1"/>
  <c r="A131" i="5"/>
  <c r="B131" i="5" s="1"/>
  <c r="A239" i="5"/>
  <c r="B239" i="5" s="1"/>
  <c r="A162" i="5"/>
  <c r="B162" i="5" s="1"/>
  <c r="A157" i="5"/>
  <c r="B157" i="5" s="1"/>
  <c r="A139" i="5"/>
  <c r="B139" i="5" s="1"/>
  <c r="A121" i="5"/>
  <c r="B121" i="5" s="1"/>
  <c r="A109" i="5"/>
  <c r="B109" i="5" s="1"/>
  <c r="A97" i="5"/>
  <c r="B97" i="5" s="1"/>
  <c r="A85" i="5"/>
  <c r="B85" i="5" s="1"/>
  <c r="A152" i="5"/>
  <c r="B152" i="5" s="1"/>
  <c r="A134" i="5"/>
  <c r="B134" i="5" s="1"/>
  <c r="A122" i="5"/>
  <c r="B122" i="5" s="1"/>
  <c r="A110" i="5"/>
  <c r="B110" i="5" s="1"/>
  <c r="A98" i="5"/>
  <c r="B98" i="5" s="1"/>
  <c r="A86" i="5"/>
  <c r="B86" i="5" s="1"/>
  <c r="A74" i="5"/>
  <c r="B74" i="5" s="1"/>
  <c r="A236" i="5"/>
  <c r="B236" i="5" s="1"/>
  <c r="A167" i="5"/>
  <c r="B167" i="5" s="1"/>
  <c r="A147" i="5"/>
  <c r="B147" i="5" s="1"/>
  <c r="A142" i="5"/>
  <c r="B142" i="5" s="1"/>
  <c r="A155" i="5"/>
  <c r="B155" i="5" s="1"/>
  <c r="A137" i="5"/>
  <c r="B137" i="5" s="1"/>
  <c r="A132" i="5"/>
  <c r="B132" i="5" s="1"/>
  <c r="A124" i="5"/>
  <c r="B124" i="5" s="1"/>
  <c r="A112" i="5"/>
  <c r="B112" i="5" s="1"/>
  <c r="A100" i="5"/>
  <c r="B100" i="5" s="1"/>
  <c r="A178" i="5"/>
  <c r="B178" i="5" s="1"/>
  <c r="A170" i="5"/>
  <c r="B170" i="5" s="1"/>
  <c r="A163" i="5"/>
  <c r="B163" i="5" s="1"/>
  <c r="A150" i="5"/>
  <c r="B150" i="5" s="1"/>
  <c r="A145" i="5"/>
  <c r="B145" i="5" s="1"/>
  <c r="A125" i="5"/>
  <c r="B125" i="5" s="1"/>
  <c r="A113" i="5"/>
  <c r="B113" i="5" s="1"/>
  <c r="A106" i="5"/>
  <c r="B106" i="5" s="1"/>
  <c r="A90" i="5"/>
  <c r="B90" i="5" s="1"/>
  <c r="A80" i="5"/>
  <c r="B80" i="5" s="1"/>
  <c r="A77" i="5"/>
  <c r="B77" i="5" s="1"/>
  <c r="A51" i="5"/>
  <c r="B51" i="5" s="1"/>
  <c r="A168" i="5"/>
  <c r="B168" i="5" s="1"/>
  <c r="A116" i="5"/>
  <c r="B116" i="5" s="1"/>
  <c r="A101" i="5"/>
  <c r="B101" i="5" s="1"/>
  <c r="A47" i="5"/>
  <c r="B47" i="5" s="1"/>
  <c r="A179" i="5"/>
  <c r="B179" i="5" s="1"/>
  <c r="A151" i="5"/>
  <c r="B151" i="5" s="1"/>
  <c r="A140" i="5"/>
  <c r="B140" i="5" s="1"/>
  <c r="A133" i="5"/>
  <c r="B133" i="5" s="1"/>
  <c r="A123" i="5"/>
  <c r="B123" i="5" s="1"/>
  <c r="A89" i="5"/>
  <c r="B89" i="5" s="1"/>
  <c r="A81" i="5"/>
  <c r="B81" i="5" s="1"/>
  <c r="A115" i="5"/>
  <c r="B115" i="5" s="1"/>
  <c r="A104" i="5"/>
  <c r="B104" i="5" s="1"/>
  <c r="A166" i="5"/>
  <c r="B166" i="5" s="1"/>
  <c r="A91" i="5"/>
  <c r="B91" i="5" s="1"/>
  <c r="A79" i="5"/>
  <c r="B79" i="5" s="1"/>
  <c r="A75" i="5"/>
  <c r="B75" i="5" s="1"/>
  <c r="A68" i="5"/>
  <c r="B68" i="5" s="1"/>
  <c r="A67" i="5"/>
  <c r="B67" i="5" s="1"/>
  <c r="A66" i="5"/>
  <c r="B66" i="5" s="1"/>
  <c r="A65" i="5"/>
  <c r="B65" i="5" s="1"/>
  <c r="A64" i="5"/>
  <c r="B64" i="5" s="1"/>
  <c r="A63" i="5"/>
  <c r="B63" i="5" s="1"/>
  <c r="A169" i="5"/>
  <c r="B169" i="5" s="1"/>
  <c r="A135" i="5"/>
  <c r="B135" i="5" s="1"/>
  <c r="A114" i="5"/>
  <c r="B114" i="5" s="1"/>
  <c r="A94" i="5"/>
  <c r="B94" i="5" s="1"/>
  <c r="A84" i="5"/>
  <c r="B84" i="5" s="1"/>
  <c r="A69" i="5"/>
  <c r="B69" i="5" s="1"/>
  <c r="A55" i="5"/>
  <c r="B55" i="5" s="1"/>
  <c r="A260" i="5"/>
  <c r="B260" i="5" s="1"/>
  <c r="A156" i="5"/>
  <c r="B156" i="5" s="1"/>
  <c r="A127" i="5"/>
  <c r="B127" i="5" s="1"/>
  <c r="A108" i="5"/>
  <c r="B108" i="5" s="1"/>
  <c r="A103" i="5"/>
  <c r="B103" i="5" s="1"/>
  <c r="A87" i="5"/>
  <c r="B87" i="5" s="1"/>
  <c r="A46" i="5"/>
  <c r="B46" i="5" s="1"/>
  <c r="A49" i="5"/>
  <c r="B49" i="5" s="1"/>
  <c r="F12" i="5"/>
  <c r="A34" i="5"/>
  <c r="B34" i="5" s="1"/>
  <c r="A40" i="5"/>
  <c r="B40" i="5" s="1"/>
  <c r="A58" i="5"/>
  <c r="B58" i="5" s="1"/>
  <c r="A62" i="5"/>
  <c r="B62" i="5" s="1"/>
  <c r="A76" i="5"/>
  <c r="B76" i="5" s="1"/>
  <c r="A105" i="5"/>
  <c r="B105" i="5" s="1"/>
  <c r="A120" i="5"/>
  <c r="B120" i="5" s="1"/>
  <c r="P19" i="5"/>
  <c r="A138" i="5"/>
  <c r="B138" i="5" s="1"/>
  <c r="A33" i="5"/>
  <c r="B33" i="5" s="1"/>
  <c r="A22" i="5"/>
  <c r="B22" i="5" s="1"/>
  <c r="A26" i="5"/>
  <c r="B26" i="5" s="1"/>
  <c r="A30" i="5"/>
  <c r="B30" i="5" s="1"/>
  <c r="A35" i="5"/>
  <c r="B35" i="5" s="1"/>
  <c r="A41" i="5"/>
  <c r="B41" i="5" s="1"/>
  <c r="A53" i="5"/>
  <c r="B53" i="5" s="1"/>
  <c r="A92" i="5"/>
  <c r="B92" i="5" s="1"/>
  <c r="A45" i="5"/>
  <c r="B45" i="5" s="1"/>
  <c r="A39" i="5"/>
  <c r="B39" i="5" s="1"/>
  <c r="M10" i="5"/>
  <c r="I20" i="5"/>
  <c r="A48" i="5"/>
  <c r="B48" i="5" s="1"/>
  <c r="A59" i="5"/>
  <c r="B59" i="5" s="1"/>
  <c r="A111" i="5"/>
  <c r="B111" i="5" s="1"/>
  <c r="A126" i="5"/>
  <c r="B126" i="5" s="1"/>
  <c r="A130" i="5"/>
  <c r="B130" i="5" s="1"/>
  <c r="A143" i="5"/>
  <c r="B143" i="5" s="1"/>
  <c r="A146" i="5"/>
  <c r="B146" i="5" s="1"/>
  <c r="J12" i="5"/>
  <c r="A36" i="5"/>
  <c r="B36" i="5" s="1"/>
  <c r="A42" i="5"/>
  <c r="B42" i="5" s="1"/>
  <c r="A82" i="5"/>
  <c r="B82" i="5" s="1"/>
  <c r="A102" i="5"/>
  <c r="B102" i="5" s="1"/>
  <c r="A158" i="5"/>
  <c r="B158" i="5" s="1"/>
  <c r="A161" i="5"/>
  <c r="B161" i="5" s="1"/>
  <c r="A31" i="5"/>
  <c r="B31" i="5" s="1"/>
  <c r="A78" i="5"/>
  <c r="B78" i="5" s="1"/>
  <c r="A117" i="5"/>
  <c r="B117" i="5" s="1"/>
  <c r="A164" i="5"/>
  <c r="B164" i="5" s="1"/>
  <c r="A37" i="5"/>
  <c r="B37" i="5" s="1"/>
  <c r="A43" i="5"/>
  <c r="B43" i="5" s="1"/>
  <c r="A50" i="5"/>
  <c r="B50" i="5" s="1"/>
  <c r="A56" i="5"/>
  <c r="B56" i="5" s="1"/>
  <c r="A60" i="5"/>
  <c r="B60" i="5" s="1"/>
  <c r="A73" i="5"/>
  <c r="B73" i="5" s="1"/>
  <c r="A99" i="5"/>
  <c r="B99" i="5" s="1"/>
  <c r="A96" i="5"/>
  <c r="B96" i="5" s="1"/>
  <c r="A52" i="5"/>
  <c r="B52" i="5" s="1"/>
  <c r="A20" i="5"/>
  <c r="B20" i="5" s="1"/>
  <c r="N20" i="5" s="1"/>
  <c r="A24" i="5"/>
  <c r="B24" i="5" s="1"/>
  <c r="A28" i="5"/>
  <c r="B28" i="5" s="1"/>
  <c r="A32" i="5"/>
  <c r="B32" i="5" s="1"/>
  <c r="A38" i="5"/>
  <c r="B38" i="5" s="1"/>
  <c r="A44" i="5"/>
  <c r="B44" i="5" s="1"/>
  <c r="A54" i="5"/>
  <c r="B54" i="5" s="1"/>
  <c r="A88" i="5"/>
  <c r="B88" i="5" s="1"/>
  <c r="A57" i="5"/>
  <c r="B57" i="5" s="1"/>
  <c r="A61" i="5"/>
  <c r="B61" i="5" s="1"/>
  <c r="A70" i="5"/>
  <c r="B70" i="5" s="1"/>
  <c r="A71" i="5"/>
  <c r="B71" i="5" s="1"/>
  <c r="A72" i="5"/>
  <c r="B72" i="5" s="1"/>
  <c r="A93" i="5"/>
  <c r="B93" i="5" s="1"/>
  <c r="M10" i="4"/>
  <c r="O10" i="4"/>
  <c r="O11" i="4" s="1"/>
  <c r="O12" i="4" s="1"/>
  <c r="O13" i="4" s="1"/>
  <c r="O14" i="4" s="1"/>
  <c r="B14" i="4"/>
  <c r="B15" i="4" s="1"/>
  <c r="N11" i="4"/>
  <c r="N12" i="4"/>
  <c r="A23" i="4"/>
  <c r="B23" i="4" s="1"/>
  <c r="G10" i="4"/>
  <c r="G11" i="4" s="1"/>
  <c r="G12" i="4" s="1"/>
  <c r="G13" i="4" s="1"/>
  <c r="G14" i="4" s="1"/>
  <c r="F11" i="4"/>
  <c r="F12" i="4"/>
  <c r="F13" i="4"/>
  <c r="F14" i="4"/>
  <c r="V20" i="4"/>
  <c r="A372" i="4"/>
  <c r="B372" i="4" s="1"/>
  <c r="A399" i="4"/>
  <c r="B399" i="4" s="1"/>
  <c r="A381" i="4"/>
  <c r="B381" i="4" s="1"/>
  <c r="A339" i="4"/>
  <c r="B339" i="4" s="1"/>
  <c r="A365" i="4"/>
  <c r="B365" i="4" s="1"/>
  <c r="A358" i="4"/>
  <c r="B358" i="4" s="1"/>
  <c r="A350" i="4"/>
  <c r="B350" i="4" s="1"/>
  <c r="A320" i="4"/>
  <c r="B320" i="4" s="1"/>
  <c r="A362" i="4"/>
  <c r="B362" i="4" s="1"/>
  <c r="A321" i="4"/>
  <c r="B321" i="4" s="1"/>
  <c r="A313" i="4"/>
  <c r="B313" i="4" s="1"/>
  <c r="A268" i="4"/>
  <c r="B268" i="4" s="1"/>
  <c r="A278" i="4"/>
  <c r="B278" i="4" s="1"/>
  <c r="A269" i="4"/>
  <c r="B269" i="4" s="1"/>
  <c r="A273" i="4"/>
  <c r="B273" i="4" s="1"/>
  <c r="A218" i="4"/>
  <c r="B218" i="4" s="1"/>
  <c r="A221" i="4"/>
  <c r="B221" i="4" s="1"/>
  <c r="A179" i="4"/>
  <c r="B179" i="4" s="1"/>
  <c r="A170" i="4"/>
  <c r="B170" i="4" s="1"/>
  <c r="A160" i="4"/>
  <c r="B160" i="4" s="1"/>
  <c r="A225" i="4"/>
  <c r="B225" i="4" s="1"/>
  <c r="A130" i="4"/>
  <c r="B130" i="4" s="1"/>
  <c r="A200" i="4"/>
  <c r="B200" i="4" s="1"/>
  <c r="A187" i="4"/>
  <c r="B187" i="4" s="1"/>
  <c r="A181" i="4"/>
  <c r="B181" i="4" s="1"/>
  <c r="A143" i="4"/>
  <c r="B143" i="4" s="1"/>
  <c r="A264" i="4"/>
  <c r="B264" i="4" s="1"/>
  <c r="A169" i="4"/>
  <c r="B169" i="4" s="1"/>
  <c r="A41" i="4"/>
  <c r="B41" i="4" s="1"/>
  <c r="A35" i="4"/>
  <c r="B35" i="4" s="1"/>
  <c r="A30" i="4"/>
  <c r="B30" i="4" s="1"/>
  <c r="A26" i="4"/>
  <c r="B26" i="4" s="1"/>
  <c r="A124" i="4"/>
  <c r="B124" i="4" s="1"/>
  <c r="A107" i="4"/>
  <c r="B107" i="4" s="1"/>
  <c r="A102" i="4"/>
  <c r="B102" i="4" s="1"/>
  <c r="A90" i="4"/>
  <c r="B90" i="4" s="1"/>
  <c r="A123" i="4"/>
  <c r="B123" i="4" s="1"/>
  <c r="A111" i="4"/>
  <c r="B111" i="4" s="1"/>
  <c r="A110" i="4"/>
  <c r="B110" i="4" s="1"/>
  <c r="A103" i="4"/>
  <c r="B103" i="4" s="1"/>
  <c r="A100" i="4"/>
  <c r="B100" i="4" s="1"/>
  <c r="A96" i="4"/>
  <c r="B96" i="4" s="1"/>
  <c r="A175" i="4"/>
  <c r="B175" i="4" s="1"/>
  <c r="A63" i="4"/>
  <c r="B63" i="4" s="1"/>
  <c r="A44" i="4"/>
  <c r="B44" i="4" s="1"/>
  <c r="A43" i="4"/>
  <c r="B43" i="4" s="1"/>
  <c r="A42" i="4"/>
  <c r="B42" i="4" s="1"/>
  <c r="A40" i="4"/>
  <c r="B40" i="4" s="1"/>
  <c r="A39" i="4"/>
  <c r="B39" i="4" s="1"/>
  <c r="A38" i="4"/>
  <c r="B38" i="4" s="1"/>
  <c r="A37" i="4"/>
  <c r="B37" i="4" s="1"/>
  <c r="A36" i="4"/>
  <c r="B36" i="4" s="1"/>
  <c r="A34" i="4"/>
  <c r="B34" i="4" s="1"/>
  <c r="A33" i="4"/>
  <c r="B33" i="4" s="1"/>
  <c r="A32" i="4"/>
  <c r="B32" i="4" s="1"/>
  <c r="A45" i="4"/>
  <c r="B45" i="4" s="1"/>
  <c r="A31" i="4"/>
  <c r="B31" i="4" s="1"/>
  <c r="A28" i="4"/>
  <c r="B28" i="4" s="1"/>
  <c r="A22" i="4"/>
  <c r="B22" i="4" s="1"/>
  <c r="A106" i="4"/>
  <c r="B106" i="4" s="1"/>
  <c r="A88" i="4"/>
  <c r="B88" i="4" s="1"/>
  <c r="A73" i="4"/>
  <c r="B73" i="4" s="1"/>
  <c r="A25" i="4"/>
  <c r="B25" i="4" s="1"/>
  <c r="A21" i="4"/>
  <c r="B21" i="4" s="1"/>
  <c r="A13" i="4"/>
  <c r="A14" i="4" s="1"/>
  <c r="A65" i="4" s="1"/>
  <c r="B65" i="4" s="1"/>
  <c r="A60" i="4"/>
  <c r="B60" i="4" s="1"/>
  <c r="A53" i="4"/>
  <c r="B53" i="4" s="1"/>
  <c r="A61" i="4"/>
  <c r="B61" i="4" s="1"/>
  <c r="K10" i="4"/>
  <c r="K11" i="4" s="1"/>
  <c r="K12" i="4" s="1"/>
  <c r="K13" i="4" s="1"/>
  <c r="J13" i="4"/>
  <c r="A20" i="4"/>
  <c r="B20" i="4" s="1"/>
  <c r="A29" i="4"/>
  <c r="B29" i="4" s="1"/>
  <c r="M20" i="4"/>
  <c r="R20" i="4"/>
  <c r="E20" i="4"/>
  <c r="I10" i="4"/>
  <c r="A27" i="4"/>
  <c r="B27" i="4" s="1"/>
  <c r="I20" i="4"/>
  <c r="P10" i="4" l="1"/>
  <c r="P20" i="4" s="1"/>
  <c r="P13" i="4"/>
  <c r="P11" i="4"/>
  <c r="E7" i="6"/>
  <c r="C9" i="6" s="1"/>
  <c r="C10" i="6" s="1"/>
  <c r="H10" i="5"/>
  <c r="H20" i="5" s="1"/>
  <c r="U19" i="5"/>
  <c r="S20" i="5"/>
  <c r="Z19" i="5"/>
  <c r="J20" i="5"/>
  <c r="L19" i="5"/>
  <c r="F20" i="5"/>
  <c r="H19" i="5"/>
  <c r="W20" i="5"/>
  <c r="P11" i="5"/>
  <c r="P12" i="5"/>
  <c r="P13" i="5"/>
  <c r="P10" i="5"/>
  <c r="P20" i="5" s="1"/>
  <c r="Y20" i="5"/>
  <c r="A403" i="5"/>
  <c r="B403" i="5" s="1"/>
  <c r="A400" i="5"/>
  <c r="B400" i="5" s="1"/>
  <c r="A397" i="5"/>
  <c r="B397" i="5" s="1"/>
  <c r="A394" i="5"/>
  <c r="B394" i="5" s="1"/>
  <c r="L12" i="5"/>
  <c r="L11" i="5"/>
  <c r="L10" i="5"/>
  <c r="A415" i="5"/>
  <c r="B415" i="5" s="1"/>
  <c r="A412" i="5"/>
  <c r="B412" i="5" s="1"/>
  <c r="A409" i="5"/>
  <c r="B409" i="5" s="1"/>
  <c r="A406" i="5"/>
  <c r="B406" i="5" s="1"/>
  <c r="A118" i="5"/>
  <c r="B118" i="5" s="1"/>
  <c r="A381" i="5"/>
  <c r="B381" i="5" s="1"/>
  <c r="A333" i="5"/>
  <c r="B333" i="5" s="1"/>
  <c r="A390" i="5"/>
  <c r="B390" i="5" s="1"/>
  <c r="A387" i="5"/>
  <c r="B387" i="5" s="1"/>
  <c r="A384" i="5"/>
  <c r="B384" i="5" s="1"/>
  <c r="A393" i="5"/>
  <c r="B393" i="5" s="1"/>
  <c r="A396" i="5"/>
  <c r="B396" i="5" s="1"/>
  <c r="A405" i="5"/>
  <c r="B405" i="5" s="1"/>
  <c r="A357" i="5"/>
  <c r="B357" i="5" s="1"/>
  <c r="A414" i="5"/>
  <c r="B414" i="5" s="1"/>
  <c r="A411" i="5"/>
  <c r="B411" i="5" s="1"/>
  <c r="A408" i="5"/>
  <c r="B408" i="5" s="1"/>
  <c r="A83" i="5"/>
  <c r="B83" i="5" s="1"/>
  <c r="P12" i="4"/>
  <c r="A159" i="4"/>
  <c r="B159" i="4" s="1"/>
  <c r="A174" i="4"/>
  <c r="B174" i="4" s="1"/>
  <c r="A172" i="4"/>
  <c r="B172" i="4" s="1"/>
  <c r="A182" i="4"/>
  <c r="B182" i="4" s="1"/>
  <c r="A191" i="4"/>
  <c r="B191" i="4" s="1"/>
  <c r="A247" i="4"/>
  <c r="B247" i="4" s="1"/>
  <c r="A239" i="4"/>
  <c r="B239" i="4" s="1"/>
  <c r="A215" i="4"/>
  <c r="B215" i="4" s="1"/>
  <c r="A212" i="4"/>
  <c r="B212" i="4" s="1"/>
  <c r="A290" i="4"/>
  <c r="B290" i="4" s="1"/>
  <c r="A285" i="4"/>
  <c r="B285" i="4" s="1"/>
  <c r="A326" i="4"/>
  <c r="B326" i="4" s="1"/>
  <c r="A289" i="4"/>
  <c r="B289" i="4" s="1"/>
  <c r="A312" i="4"/>
  <c r="B312" i="4" s="1"/>
  <c r="A307" i="4"/>
  <c r="B307" i="4" s="1"/>
  <c r="A304" i="4"/>
  <c r="B304" i="4" s="1"/>
  <c r="A363" i="4"/>
  <c r="B363" i="4" s="1"/>
  <c r="A343" i="4"/>
  <c r="B343" i="4" s="1"/>
  <c r="A351" i="4"/>
  <c r="B351" i="4" s="1"/>
  <c r="A405" i="4"/>
  <c r="B405" i="4" s="1"/>
  <c r="A410" i="4"/>
  <c r="B410" i="4" s="1"/>
  <c r="A384" i="4"/>
  <c r="B384" i="4" s="1"/>
  <c r="A121" i="4"/>
  <c r="B121" i="4" s="1"/>
  <c r="A119" i="4"/>
  <c r="B119" i="4" s="1"/>
  <c r="A115" i="4"/>
  <c r="B115" i="4" s="1"/>
  <c r="A163" i="4"/>
  <c r="B163" i="4" s="1"/>
  <c r="A186" i="4"/>
  <c r="B186" i="4" s="1"/>
  <c r="A184" i="4"/>
  <c r="B184" i="4" s="1"/>
  <c r="A194" i="4"/>
  <c r="B194" i="4" s="1"/>
  <c r="A154" i="4"/>
  <c r="B154" i="4" s="1"/>
  <c r="A222" i="4"/>
  <c r="B222" i="4" s="1"/>
  <c r="A249" i="4"/>
  <c r="B249" i="4" s="1"/>
  <c r="A227" i="4"/>
  <c r="B227" i="4" s="1"/>
  <c r="A224" i="4"/>
  <c r="B224" i="4" s="1"/>
  <c r="A240" i="4"/>
  <c r="B240" i="4" s="1"/>
  <c r="A275" i="4"/>
  <c r="B275" i="4" s="1"/>
  <c r="A270" i="4"/>
  <c r="B270" i="4" s="1"/>
  <c r="A302" i="4"/>
  <c r="B302" i="4" s="1"/>
  <c r="A324" i="4"/>
  <c r="B324" i="4" s="1"/>
  <c r="A319" i="4"/>
  <c r="B319" i="4" s="1"/>
  <c r="A316" i="4"/>
  <c r="B316" i="4" s="1"/>
  <c r="A333" i="4"/>
  <c r="B333" i="4" s="1"/>
  <c r="A355" i="4"/>
  <c r="B355" i="4" s="1"/>
  <c r="A374" i="4"/>
  <c r="B374" i="4" s="1"/>
  <c r="A392" i="4"/>
  <c r="B392" i="4" s="1"/>
  <c r="A413" i="4"/>
  <c r="B413" i="4" s="1"/>
  <c r="A396" i="4"/>
  <c r="B396" i="4" s="1"/>
  <c r="A59" i="4"/>
  <c r="B59" i="4" s="1"/>
  <c r="A193" i="4"/>
  <c r="B193" i="4" s="1"/>
  <c r="A49" i="4"/>
  <c r="B49" i="4" s="1"/>
  <c r="A54" i="4"/>
  <c r="B54" i="4" s="1"/>
  <c r="A67" i="4"/>
  <c r="B67" i="4" s="1"/>
  <c r="A208" i="4"/>
  <c r="B208" i="4" s="1"/>
  <c r="A141" i="4"/>
  <c r="B141" i="4" s="1"/>
  <c r="A135" i="4"/>
  <c r="B135" i="4" s="1"/>
  <c r="A127" i="4"/>
  <c r="B127" i="4" s="1"/>
  <c r="A213" i="4"/>
  <c r="B213" i="4" s="1"/>
  <c r="A202" i="4"/>
  <c r="B202" i="4" s="1"/>
  <c r="A196" i="4"/>
  <c r="B196" i="4" s="1"/>
  <c r="A207" i="4"/>
  <c r="B207" i="4" s="1"/>
  <c r="A166" i="4"/>
  <c r="B166" i="4" s="1"/>
  <c r="A241" i="4"/>
  <c r="B241" i="4" s="1"/>
  <c r="A255" i="4"/>
  <c r="B255" i="4" s="1"/>
  <c r="A235" i="4"/>
  <c r="B235" i="4" s="1"/>
  <c r="A199" i="4"/>
  <c r="B199" i="4" s="1"/>
  <c r="A252" i="4"/>
  <c r="B252" i="4" s="1"/>
  <c r="A287" i="4"/>
  <c r="B287" i="4" s="1"/>
  <c r="A282" i="4"/>
  <c r="B282" i="4" s="1"/>
  <c r="A309" i="4"/>
  <c r="B309" i="4" s="1"/>
  <c r="A299" i="4"/>
  <c r="B299" i="4" s="1"/>
  <c r="A331" i="4"/>
  <c r="B331" i="4" s="1"/>
  <c r="A328" i="4"/>
  <c r="B328" i="4" s="1"/>
  <c r="A345" i="4"/>
  <c r="B345" i="4" s="1"/>
  <c r="A361" i="4"/>
  <c r="B361" i="4" s="1"/>
  <c r="A378" i="4"/>
  <c r="B378" i="4" s="1"/>
  <c r="A379" i="4"/>
  <c r="B379" i="4" s="1"/>
  <c r="A367" i="4"/>
  <c r="B367" i="4" s="1"/>
  <c r="A408" i="4"/>
  <c r="B408" i="4" s="1"/>
  <c r="A56" i="4"/>
  <c r="B56" i="4" s="1"/>
  <c r="A70" i="4"/>
  <c r="B70" i="4" s="1"/>
  <c r="A68" i="4"/>
  <c r="B68" i="4" s="1"/>
  <c r="A77" i="4"/>
  <c r="B77" i="4" s="1"/>
  <c r="A150" i="4"/>
  <c r="B150" i="4" s="1"/>
  <c r="A142" i="4"/>
  <c r="B142" i="4" s="1"/>
  <c r="A147" i="4"/>
  <c r="B147" i="4" s="1"/>
  <c r="A230" i="4"/>
  <c r="B230" i="4" s="1"/>
  <c r="A137" i="4"/>
  <c r="B137" i="4" s="1"/>
  <c r="A201" i="4"/>
  <c r="B201" i="4" s="1"/>
  <c r="A209" i="4"/>
  <c r="B209" i="4" s="1"/>
  <c r="A178" i="4"/>
  <c r="B178" i="4" s="1"/>
  <c r="A251" i="4"/>
  <c r="B251" i="4" s="1"/>
  <c r="A267" i="4"/>
  <c r="B267" i="4" s="1"/>
  <c r="A256" i="4"/>
  <c r="B256" i="4" s="1"/>
  <c r="A211" i="4"/>
  <c r="B211" i="4" s="1"/>
  <c r="A238" i="4"/>
  <c r="B238" i="4" s="1"/>
  <c r="A301" i="4"/>
  <c r="B301" i="4" s="1"/>
  <c r="A294" i="4"/>
  <c r="B294" i="4" s="1"/>
  <c r="A314" i="4"/>
  <c r="B314" i="4" s="1"/>
  <c r="A311" i="4"/>
  <c r="B311" i="4" s="1"/>
  <c r="A336" i="4"/>
  <c r="B336" i="4" s="1"/>
  <c r="A341" i="4"/>
  <c r="B341" i="4" s="1"/>
  <c r="A357" i="4"/>
  <c r="B357" i="4" s="1"/>
  <c r="A366" i="4"/>
  <c r="B366" i="4" s="1"/>
  <c r="A389" i="4"/>
  <c r="B389" i="4" s="1"/>
  <c r="A390" i="4"/>
  <c r="B390" i="4" s="1"/>
  <c r="A371" i="4"/>
  <c r="B371" i="4" s="1"/>
  <c r="A370" i="4"/>
  <c r="B370" i="4" s="1"/>
  <c r="J20" i="4"/>
  <c r="L19" i="4"/>
  <c r="A58" i="4"/>
  <c r="B58" i="4" s="1"/>
  <c r="A82" i="4"/>
  <c r="B82" i="4" s="1"/>
  <c r="A80" i="4"/>
  <c r="B80" i="4" s="1"/>
  <c r="A94" i="4"/>
  <c r="B94" i="4" s="1"/>
  <c r="A50" i="4"/>
  <c r="B50" i="4" s="1"/>
  <c r="A157" i="4"/>
  <c r="B157" i="4" s="1"/>
  <c r="A118" i="4"/>
  <c r="B118" i="4" s="1"/>
  <c r="A114" i="4"/>
  <c r="B114" i="4" s="1"/>
  <c r="A140" i="4"/>
  <c r="B140" i="4" s="1"/>
  <c r="A149" i="4"/>
  <c r="B149" i="4" s="1"/>
  <c r="A205" i="4"/>
  <c r="B205" i="4" s="1"/>
  <c r="A144" i="4"/>
  <c r="B144" i="4" s="1"/>
  <c r="A190" i="4"/>
  <c r="B190" i="4" s="1"/>
  <c r="A234" i="4"/>
  <c r="B234" i="4" s="1"/>
  <c r="A217" i="4"/>
  <c r="B217" i="4" s="1"/>
  <c r="A265" i="4"/>
  <c r="B265" i="4" s="1"/>
  <c r="A223" i="4"/>
  <c r="B223" i="4" s="1"/>
  <c r="A250" i="4"/>
  <c r="B250" i="4" s="1"/>
  <c r="A295" i="4"/>
  <c r="B295" i="4" s="1"/>
  <c r="A281" i="4"/>
  <c r="B281" i="4" s="1"/>
  <c r="A325" i="4"/>
  <c r="B325" i="4" s="1"/>
  <c r="A323" i="4"/>
  <c r="B323" i="4" s="1"/>
  <c r="A306" i="4"/>
  <c r="B306" i="4" s="1"/>
  <c r="A335" i="4"/>
  <c r="B335" i="4" s="1"/>
  <c r="A364" i="4"/>
  <c r="B364" i="4" s="1"/>
  <c r="A393" i="4"/>
  <c r="B393" i="4" s="1"/>
  <c r="A387" i="4"/>
  <c r="B387" i="4" s="1"/>
  <c r="A403" i="4"/>
  <c r="B403" i="4" s="1"/>
  <c r="A373" i="4"/>
  <c r="B373" i="4" s="1"/>
  <c r="A382" i="4"/>
  <c r="B382" i="4" s="1"/>
  <c r="A84" i="4"/>
  <c r="B84" i="4" s="1"/>
  <c r="U19" i="4"/>
  <c r="S20" i="4"/>
  <c r="A112" i="4"/>
  <c r="B112" i="4" s="1"/>
  <c r="A72" i="4"/>
  <c r="B72" i="4" s="1"/>
  <c r="A87" i="4"/>
  <c r="B87" i="4" s="1"/>
  <c r="A95" i="4"/>
  <c r="B95" i="4" s="1"/>
  <c r="A98" i="4"/>
  <c r="B98" i="4" s="1"/>
  <c r="A74" i="4"/>
  <c r="B74" i="4" s="1"/>
  <c r="A162" i="4"/>
  <c r="B162" i="4" s="1"/>
  <c r="A131" i="4"/>
  <c r="B131" i="4" s="1"/>
  <c r="A126" i="4"/>
  <c r="B126" i="4" s="1"/>
  <c r="A152" i="4"/>
  <c r="B152" i="4" s="1"/>
  <c r="A161" i="4"/>
  <c r="B161" i="4" s="1"/>
  <c r="A171" i="4"/>
  <c r="B171" i="4" s="1"/>
  <c r="A156" i="4"/>
  <c r="B156" i="4" s="1"/>
  <c r="A263" i="4"/>
  <c r="B263" i="4" s="1"/>
  <c r="A258" i="4"/>
  <c r="B258" i="4" s="1"/>
  <c r="A229" i="4"/>
  <c r="B229" i="4" s="1"/>
  <c r="A296" i="4"/>
  <c r="B296" i="4" s="1"/>
  <c r="A244" i="4"/>
  <c r="B244" i="4" s="1"/>
  <c r="A262" i="4"/>
  <c r="B262" i="4" s="1"/>
  <c r="A300" i="4"/>
  <c r="B300" i="4" s="1"/>
  <c r="A293" i="4"/>
  <c r="B293" i="4" s="1"/>
  <c r="A276" i="4"/>
  <c r="B276" i="4" s="1"/>
  <c r="A337" i="4"/>
  <c r="B337" i="4" s="1"/>
  <c r="A318" i="4"/>
  <c r="B318" i="4" s="1"/>
  <c r="A347" i="4"/>
  <c r="B347" i="4" s="1"/>
  <c r="A380" i="4"/>
  <c r="B380" i="4" s="1"/>
  <c r="A342" i="4"/>
  <c r="B342" i="4" s="1"/>
  <c r="A398" i="4"/>
  <c r="B398" i="4" s="1"/>
  <c r="A369" i="4"/>
  <c r="B369" i="4" s="1"/>
  <c r="A395" i="4"/>
  <c r="B395" i="4" s="1"/>
  <c r="A394" i="4"/>
  <c r="B394" i="4" s="1"/>
  <c r="A51" i="4"/>
  <c r="B51" i="4" s="1"/>
  <c r="A109" i="4"/>
  <c r="B109" i="4" s="1"/>
  <c r="A99" i="4"/>
  <c r="B99" i="4" s="1"/>
  <c r="A76" i="4"/>
  <c r="B76" i="4" s="1"/>
  <c r="A93" i="4"/>
  <c r="B93" i="4" s="1"/>
  <c r="A233" i="4"/>
  <c r="B233" i="4" s="1"/>
  <c r="A155" i="4"/>
  <c r="B155" i="4" s="1"/>
  <c r="A138" i="4"/>
  <c r="B138" i="4" s="1"/>
  <c r="A164" i="4"/>
  <c r="B164" i="4" s="1"/>
  <c r="A173" i="4"/>
  <c r="B173" i="4" s="1"/>
  <c r="A183" i="4"/>
  <c r="B183" i="4" s="1"/>
  <c r="A168" i="4"/>
  <c r="B168" i="4" s="1"/>
  <c r="A153" i="4"/>
  <c r="B153" i="4" s="1"/>
  <c r="A277" i="4"/>
  <c r="B277" i="4" s="1"/>
  <c r="A259" i="4"/>
  <c r="B259" i="4" s="1"/>
  <c r="A214" i="4"/>
  <c r="B214" i="4" s="1"/>
  <c r="A257" i="4"/>
  <c r="B257" i="4" s="1"/>
  <c r="A261" i="4"/>
  <c r="B261" i="4" s="1"/>
  <c r="A272" i="4"/>
  <c r="B272" i="4" s="1"/>
  <c r="A280" i="4"/>
  <c r="B280" i="4" s="1"/>
  <c r="A288" i="4"/>
  <c r="B288" i="4" s="1"/>
  <c r="A349" i="4"/>
  <c r="B349" i="4" s="1"/>
  <c r="A330" i="4"/>
  <c r="B330" i="4" s="1"/>
  <c r="A359" i="4"/>
  <c r="B359" i="4" s="1"/>
  <c r="A402" i="4"/>
  <c r="B402" i="4" s="1"/>
  <c r="A354" i="4"/>
  <c r="B354" i="4" s="1"/>
  <c r="A383" i="4"/>
  <c r="B383" i="4" s="1"/>
  <c r="A377" i="4"/>
  <c r="B377" i="4" s="1"/>
  <c r="A397" i="4"/>
  <c r="B397" i="4" s="1"/>
  <c r="A406" i="4"/>
  <c r="B406" i="4" s="1"/>
  <c r="L12" i="4"/>
  <c r="L11" i="4"/>
  <c r="L10" i="4"/>
  <c r="A48" i="4"/>
  <c r="B48" i="4" s="1"/>
  <c r="A47" i="4"/>
  <c r="B47" i="4" s="1"/>
  <c r="A62" i="4"/>
  <c r="B62" i="4" s="1"/>
  <c r="A55" i="4"/>
  <c r="B55" i="4" s="1"/>
  <c r="A105" i="4"/>
  <c r="B105" i="4" s="1"/>
  <c r="A85" i="4"/>
  <c r="B85" i="4" s="1"/>
  <c r="A97" i="4"/>
  <c r="B97" i="4" s="1"/>
  <c r="A108" i="4"/>
  <c r="B108" i="4" s="1"/>
  <c r="A117" i="4"/>
  <c r="B117" i="4" s="1"/>
  <c r="A89" i="4"/>
  <c r="B89" i="4" s="1"/>
  <c r="A176" i="4"/>
  <c r="B176" i="4" s="1"/>
  <c r="A185" i="4"/>
  <c r="B185" i="4" s="1"/>
  <c r="A195" i="4"/>
  <c r="B195" i="4" s="1"/>
  <c r="A180" i="4"/>
  <c r="B180" i="4" s="1"/>
  <c r="A165" i="4"/>
  <c r="B165" i="4" s="1"/>
  <c r="A219" i="4"/>
  <c r="B219" i="4" s="1"/>
  <c r="A216" i="4"/>
  <c r="B216" i="4" s="1"/>
  <c r="A226" i="4"/>
  <c r="B226" i="4" s="1"/>
  <c r="A274" i="4"/>
  <c r="B274" i="4" s="1"/>
  <c r="A236" i="4"/>
  <c r="B236" i="4" s="1"/>
  <c r="A284" i="4"/>
  <c r="B284" i="4" s="1"/>
  <c r="A292" i="4"/>
  <c r="B292" i="4" s="1"/>
  <c r="A315" i="4"/>
  <c r="B315" i="4" s="1"/>
  <c r="A298" i="4"/>
  <c r="B298" i="4" s="1"/>
  <c r="A305" i="4"/>
  <c r="B305" i="4" s="1"/>
  <c r="A404" i="4"/>
  <c r="B404" i="4" s="1"/>
  <c r="A414" i="4"/>
  <c r="B414" i="4" s="1"/>
  <c r="A353" i="4"/>
  <c r="B353" i="4" s="1"/>
  <c r="A385" i="4"/>
  <c r="B385" i="4" s="1"/>
  <c r="A401" i="4"/>
  <c r="B401" i="4" s="1"/>
  <c r="A376" i="4"/>
  <c r="B376" i="4" s="1"/>
  <c r="A69" i="4"/>
  <c r="B69" i="4" s="1"/>
  <c r="A79" i="4"/>
  <c r="B79" i="4" s="1"/>
  <c r="A132" i="4"/>
  <c r="B132" i="4" s="1"/>
  <c r="A120" i="4"/>
  <c r="B120" i="4" s="1"/>
  <c r="A133" i="4"/>
  <c r="B133" i="4" s="1"/>
  <c r="A101" i="4"/>
  <c r="B101" i="4" s="1"/>
  <c r="A188" i="4"/>
  <c r="B188" i="4" s="1"/>
  <c r="A197" i="4"/>
  <c r="B197" i="4" s="1"/>
  <c r="A220" i="4"/>
  <c r="B220" i="4" s="1"/>
  <c r="A192" i="4"/>
  <c r="B192" i="4" s="1"/>
  <c r="A177" i="4"/>
  <c r="B177" i="4" s="1"/>
  <c r="A232" i="4"/>
  <c r="B232" i="4" s="1"/>
  <c r="A228" i="4"/>
  <c r="B228" i="4" s="1"/>
  <c r="A231" i="4"/>
  <c r="B231" i="4" s="1"/>
  <c r="A242" i="4"/>
  <c r="B242" i="4" s="1"/>
  <c r="A248" i="4"/>
  <c r="B248" i="4" s="1"/>
  <c r="A297" i="4"/>
  <c r="B297" i="4" s="1"/>
  <c r="A303" i="4"/>
  <c r="B303" i="4" s="1"/>
  <c r="A327" i="4"/>
  <c r="B327" i="4" s="1"/>
  <c r="A310" i="4"/>
  <c r="B310" i="4" s="1"/>
  <c r="A317" i="4"/>
  <c r="B317" i="4" s="1"/>
  <c r="A411" i="4"/>
  <c r="B411" i="4" s="1"/>
  <c r="A332" i="4"/>
  <c r="B332" i="4" s="1"/>
  <c r="A340" i="4"/>
  <c r="B340" i="4" s="1"/>
  <c r="A407" i="4"/>
  <c r="B407" i="4" s="1"/>
  <c r="A368" i="4"/>
  <c r="B368" i="4" s="1"/>
  <c r="A388" i="4"/>
  <c r="B388" i="4" s="1"/>
  <c r="Y20" i="4"/>
  <c r="W20" i="4"/>
  <c r="Y19" i="4"/>
  <c r="A66" i="4"/>
  <c r="B66" i="4" s="1"/>
  <c r="A81" i="4"/>
  <c r="B81" i="4" s="1"/>
  <c r="A104" i="4"/>
  <c r="B104" i="4" s="1"/>
  <c r="A129" i="4"/>
  <c r="B129" i="4" s="1"/>
  <c r="A113" i="4"/>
  <c r="B113" i="4" s="1"/>
  <c r="A198" i="4"/>
  <c r="B198" i="4" s="1"/>
  <c r="A146" i="4"/>
  <c r="B146" i="4" s="1"/>
  <c r="A204" i="4"/>
  <c r="B204" i="4" s="1"/>
  <c r="A189" i="4"/>
  <c r="B189" i="4" s="1"/>
  <c r="A245" i="4"/>
  <c r="B245" i="4" s="1"/>
  <c r="A237" i="4"/>
  <c r="B237" i="4" s="1"/>
  <c r="A243" i="4"/>
  <c r="B243" i="4" s="1"/>
  <c r="A254" i="4"/>
  <c r="B254" i="4" s="1"/>
  <c r="A260" i="4"/>
  <c r="B260" i="4" s="1"/>
  <c r="A271" i="4"/>
  <c r="B271" i="4" s="1"/>
  <c r="A279" i="4"/>
  <c r="B279" i="4" s="1"/>
  <c r="A338" i="4"/>
  <c r="B338" i="4" s="1"/>
  <c r="A322" i="4"/>
  <c r="B322" i="4" s="1"/>
  <c r="A329" i="4"/>
  <c r="B329" i="4" s="1"/>
  <c r="A334" i="4"/>
  <c r="B334" i="4" s="1"/>
  <c r="A344" i="4"/>
  <c r="B344" i="4" s="1"/>
  <c r="A352" i="4"/>
  <c r="B352" i="4" s="1"/>
  <c r="A409" i="4"/>
  <c r="B409" i="4" s="1"/>
  <c r="A375" i="4"/>
  <c r="B375" i="4" s="1"/>
  <c r="A400" i="4"/>
  <c r="B400" i="4" s="1"/>
  <c r="F20" i="4"/>
  <c r="H19" i="4"/>
  <c r="P19" i="4"/>
  <c r="N20" i="4"/>
  <c r="A46" i="4"/>
  <c r="B46" i="4" s="1"/>
  <c r="A134" i="4"/>
  <c r="B134" i="4" s="1"/>
  <c r="A75" i="4"/>
  <c r="B75" i="4" s="1"/>
  <c r="A57" i="4"/>
  <c r="B57" i="4" s="1"/>
  <c r="A52" i="4"/>
  <c r="B52" i="4" s="1"/>
  <c r="A83" i="4"/>
  <c r="B83" i="4" s="1"/>
  <c r="A86" i="4"/>
  <c r="B86" i="4" s="1"/>
  <c r="A145" i="4"/>
  <c r="B145" i="4" s="1"/>
  <c r="A116" i="4"/>
  <c r="B116" i="4" s="1"/>
  <c r="A136" i="4"/>
  <c r="B136" i="4" s="1"/>
  <c r="A71" i="4"/>
  <c r="B71" i="4" s="1"/>
  <c r="A64" i="4"/>
  <c r="B64" i="4" s="1"/>
  <c r="A92" i="4"/>
  <c r="B92" i="4" s="1"/>
  <c r="A91" i="4"/>
  <c r="B91" i="4" s="1"/>
  <c r="A78" i="4"/>
  <c r="B78" i="4" s="1"/>
  <c r="A122" i="4"/>
  <c r="B122" i="4" s="1"/>
  <c r="A151" i="4"/>
  <c r="B151" i="4" s="1"/>
  <c r="A139" i="4"/>
  <c r="B139" i="4" s="1"/>
  <c r="A128" i="4"/>
  <c r="B128" i="4" s="1"/>
  <c r="A125" i="4"/>
  <c r="B125" i="4" s="1"/>
  <c r="A210" i="4"/>
  <c r="B210" i="4" s="1"/>
  <c r="A148" i="4"/>
  <c r="B148" i="4" s="1"/>
  <c r="A158" i="4"/>
  <c r="B158" i="4" s="1"/>
  <c r="A167" i="4"/>
  <c r="B167" i="4" s="1"/>
  <c r="A203" i="4"/>
  <c r="B203" i="4" s="1"/>
  <c r="A206" i="4"/>
  <c r="B206" i="4" s="1"/>
  <c r="A246" i="4"/>
  <c r="B246" i="4" s="1"/>
  <c r="A253" i="4"/>
  <c r="B253" i="4" s="1"/>
  <c r="A286" i="4"/>
  <c r="B286" i="4" s="1"/>
  <c r="A266" i="4"/>
  <c r="B266" i="4" s="1"/>
  <c r="A283" i="4"/>
  <c r="B283" i="4" s="1"/>
  <c r="A291" i="4"/>
  <c r="B291" i="4" s="1"/>
  <c r="A360" i="4"/>
  <c r="B360" i="4" s="1"/>
  <c r="A308" i="4"/>
  <c r="B308" i="4" s="1"/>
  <c r="A348" i="4"/>
  <c r="B348" i="4" s="1"/>
  <c r="A346" i="4"/>
  <c r="B346" i="4" s="1"/>
  <c r="A356" i="4"/>
  <c r="B356" i="4" s="1"/>
  <c r="A391" i="4"/>
  <c r="B391" i="4" s="1"/>
  <c r="A415" i="4"/>
  <c r="B415" i="4" s="1"/>
  <c r="A386" i="4"/>
  <c r="B386" i="4" s="1"/>
  <c r="A412" i="4"/>
  <c r="B412" i="4" s="1"/>
  <c r="H10" i="4"/>
  <c r="H20" i="4" s="1"/>
  <c r="E29" i="1" l="1"/>
  <c r="G5" i="17" s="1"/>
  <c r="E30" i="1"/>
  <c r="G6" i="19" s="1"/>
  <c r="E28" i="1"/>
  <c r="G4" i="19" s="1"/>
  <c r="E20" i="19" s="1"/>
  <c r="G20" i="5"/>
  <c r="E21" i="5" s="1"/>
  <c r="F21" i="5" s="1"/>
  <c r="D14" i="6"/>
  <c r="F14" i="6" s="1"/>
  <c r="G14" i="6" s="1"/>
  <c r="L20" i="5"/>
  <c r="K20" i="5" s="1"/>
  <c r="I21" i="5" s="1"/>
  <c r="O20" i="5"/>
  <c r="M21" i="5" s="1"/>
  <c r="AA19" i="5"/>
  <c r="AA20" i="5"/>
  <c r="Z20" i="5"/>
  <c r="AC20" i="5"/>
  <c r="AB20" i="5"/>
  <c r="X20" i="5"/>
  <c r="V21" i="5" s="1"/>
  <c r="L20" i="4"/>
  <c r="K20" i="4" s="1"/>
  <c r="I21" i="4" s="1"/>
  <c r="X20" i="4"/>
  <c r="V21" i="4" s="1"/>
  <c r="G20" i="4"/>
  <c r="E21" i="4" s="1"/>
  <c r="Z20" i="4"/>
  <c r="AC20" i="4"/>
  <c r="AB20" i="4"/>
  <c r="AA20" i="4"/>
  <c r="O20" i="4"/>
  <c r="M21" i="4" s="1"/>
  <c r="Z19" i="4"/>
  <c r="G6" i="17" l="1"/>
  <c r="G5" i="19"/>
  <c r="G4" i="17"/>
  <c r="E20" i="17" s="1"/>
  <c r="H20" i="17" s="1"/>
  <c r="H20" i="19"/>
  <c r="F20" i="19"/>
  <c r="C15" i="6"/>
  <c r="I15" i="6" s="1"/>
  <c r="H14" i="6"/>
  <c r="H21" i="5"/>
  <c r="G21" i="5" s="1"/>
  <c r="E22" i="5" s="1"/>
  <c r="W21" i="5"/>
  <c r="Y21" i="5"/>
  <c r="AB19" i="5"/>
  <c r="P21" i="5"/>
  <c r="N21" i="5"/>
  <c r="J21" i="5"/>
  <c r="L21" i="5"/>
  <c r="N21" i="4"/>
  <c r="P21" i="4"/>
  <c r="J21" i="4"/>
  <c r="L21" i="4"/>
  <c r="H21" i="4"/>
  <c r="F21" i="4"/>
  <c r="AA19" i="4"/>
  <c r="W21" i="4"/>
  <c r="Y21" i="4"/>
  <c r="F20" i="17" l="1"/>
  <c r="O20" i="17"/>
  <c r="D21" i="17"/>
  <c r="D21" i="19"/>
  <c r="O20" i="19"/>
  <c r="E15" i="6"/>
  <c r="D15" i="6" s="1"/>
  <c r="F15" i="6" s="1"/>
  <c r="G15" i="6" s="1"/>
  <c r="H15" i="6" s="1"/>
  <c r="K21" i="5"/>
  <c r="I22" i="5" s="1"/>
  <c r="O21" i="5"/>
  <c r="M22" i="5" s="1"/>
  <c r="H22" i="5"/>
  <c r="F22" i="5"/>
  <c r="AC19" i="5"/>
  <c r="Z21" i="5"/>
  <c r="AC21" i="5"/>
  <c r="AB21" i="5"/>
  <c r="AA21" i="5"/>
  <c r="X21" i="5"/>
  <c r="V22" i="5" s="1"/>
  <c r="X21" i="4"/>
  <c r="V22" i="4" s="1"/>
  <c r="K21" i="4"/>
  <c r="I22" i="4" s="1"/>
  <c r="L22" i="4" s="1"/>
  <c r="G21" i="4"/>
  <c r="E22" i="4" s="1"/>
  <c r="AB21" i="4"/>
  <c r="AA21" i="4"/>
  <c r="AC21" i="4"/>
  <c r="Z21" i="4"/>
  <c r="AB19" i="4"/>
  <c r="O21" i="4"/>
  <c r="M22" i="4" s="1"/>
  <c r="C21" i="19" l="1"/>
  <c r="G21" i="19" s="1"/>
  <c r="C21" i="17"/>
  <c r="G21" i="17" s="1"/>
  <c r="C16" i="6"/>
  <c r="E16" i="6" s="1"/>
  <c r="D16" i="6" s="1"/>
  <c r="F16" i="6" s="1"/>
  <c r="G16" i="6" s="1"/>
  <c r="G22" i="5"/>
  <c r="E23" i="5" s="1"/>
  <c r="W22" i="5"/>
  <c r="Y22" i="5"/>
  <c r="J22" i="5"/>
  <c r="L22" i="5"/>
  <c r="P22" i="5"/>
  <c r="N22" i="5"/>
  <c r="J22" i="4"/>
  <c r="K22" i="4" s="1"/>
  <c r="I23" i="4" s="1"/>
  <c r="P22" i="4"/>
  <c r="N22" i="4"/>
  <c r="F22" i="4"/>
  <c r="H22" i="4"/>
  <c r="AC19" i="4"/>
  <c r="Y22" i="4"/>
  <c r="W22" i="4"/>
  <c r="E21" i="19" l="1"/>
  <c r="H21" i="19" s="1"/>
  <c r="E21" i="17"/>
  <c r="F21" i="17" s="1"/>
  <c r="I16" i="6"/>
  <c r="H16" i="6"/>
  <c r="C17" i="6"/>
  <c r="X22" i="5"/>
  <c r="V23" i="5" s="1"/>
  <c r="O22" i="5"/>
  <c r="M23" i="5" s="1"/>
  <c r="AC22" i="5"/>
  <c r="AB22" i="5"/>
  <c r="AA22" i="5"/>
  <c r="Z22" i="5"/>
  <c r="F23" i="5"/>
  <c r="H23" i="5"/>
  <c r="K22" i="5"/>
  <c r="I23" i="5" s="1"/>
  <c r="O22" i="4"/>
  <c r="M23" i="4" s="1"/>
  <c r="G22" i="4"/>
  <c r="E23" i="4" s="1"/>
  <c r="X22" i="4"/>
  <c r="V23" i="4" s="1"/>
  <c r="L23" i="4"/>
  <c r="J23" i="4"/>
  <c r="AC22" i="4"/>
  <c r="AA22" i="4"/>
  <c r="AB22" i="4"/>
  <c r="Z22" i="4"/>
  <c r="H21" i="17" l="1"/>
  <c r="O21" i="17" s="1"/>
  <c r="O21" i="19"/>
  <c r="D22" i="19"/>
  <c r="C22" i="19" s="1"/>
  <c r="G22" i="19" s="1"/>
  <c r="F21" i="19"/>
  <c r="I17" i="6"/>
  <c r="E17" i="6"/>
  <c r="D17" i="6" s="1"/>
  <c r="F17" i="6" s="1"/>
  <c r="G17" i="6" s="1"/>
  <c r="G23" i="5"/>
  <c r="E24" i="5" s="1"/>
  <c r="L23" i="5"/>
  <c r="J23" i="5"/>
  <c r="Y23" i="5"/>
  <c r="W23" i="5"/>
  <c r="P23" i="5"/>
  <c r="N23" i="5"/>
  <c r="H23" i="4"/>
  <c r="F23" i="4"/>
  <c r="P23" i="4"/>
  <c r="N23" i="4"/>
  <c r="Y23" i="4"/>
  <c r="W23" i="4"/>
  <c r="K23" i="4"/>
  <c r="I24" i="4" s="1"/>
  <c r="D22" i="17" l="1"/>
  <c r="C22" i="17" s="1"/>
  <c r="G22" i="17" s="1"/>
  <c r="E22" i="17" s="1"/>
  <c r="F22" i="17" s="1"/>
  <c r="E22" i="19"/>
  <c r="H22" i="19" s="1"/>
  <c r="H17" i="6"/>
  <c r="C18" i="6"/>
  <c r="O23" i="5"/>
  <c r="M24" i="5" s="1"/>
  <c r="P24" i="5" s="1"/>
  <c r="K23" i="5"/>
  <c r="I24" i="5" s="1"/>
  <c r="AC23" i="5"/>
  <c r="Z23" i="5"/>
  <c r="AB23" i="5"/>
  <c r="AA23" i="5"/>
  <c r="H24" i="5"/>
  <c r="F24" i="5"/>
  <c r="X23" i="5"/>
  <c r="V24" i="5" s="1"/>
  <c r="G23" i="4"/>
  <c r="E24" i="4" s="1"/>
  <c r="O23" i="4"/>
  <c r="M24" i="4" s="1"/>
  <c r="L24" i="4"/>
  <c r="J24" i="4"/>
  <c r="AC23" i="4"/>
  <c r="AB23" i="4"/>
  <c r="Z23" i="4"/>
  <c r="AA23" i="4"/>
  <c r="X23" i="4"/>
  <c r="V24" i="4" s="1"/>
  <c r="F22" i="19" l="1"/>
  <c r="H22" i="17"/>
  <c r="O22" i="17" s="1"/>
  <c r="O22" i="19"/>
  <c r="D23" i="19"/>
  <c r="C23" i="19" s="1"/>
  <c r="G23" i="19" s="1"/>
  <c r="E18" i="6"/>
  <c r="D18" i="6" s="1"/>
  <c r="F18" i="6" s="1"/>
  <c r="G18" i="6" s="1"/>
  <c r="I18" i="6"/>
  <c r="K24" i="4"/>
  <c r="I25" i="4" s="1"/>
  <c r="N24" i="5"/>
  <c r="O24" i="5" s="1"/>
  <c r="M25" i="5" s="1"/>
  <c r="P25" i="5" s="1"/>
  <c r="G24" i="5"/>
  <c r="E25" i="5" s="1"/>
  <c r="Y24" i="5"/>
  <c r="W24" i="5"/>
  <c r="L24" i="5"/>
  <c r="J24" i="5"/>
  <c r="Y24" i="4"/>
  <c r="W24" i="4"/>
  <c r="H24" i="4"/>
  <c r="F24" i="4"/>
  <c r="P24" i="4"/>
  <c r="N24" i="4"/>
  <c r="D23" i="17" l="1"/>
  <c r="C23" i="17" s="1"/>
  <c r="G23" i="17" s="1"/>
  <c r="E23" i="17" s="1"/>
  <c r="F23" i="17" s="1"/>
  <c r="E23" i="19"/>
  <c r="F23" i="19" s="1"/>
  <c r="C19" i="6"/>
  <c r="H18" i="6"/>
  <c r="N25" i="5"/>
  <c r="O25" i="5" s="1"/>
  <c r="M26" i="5" s="1"/>
  <c r="K24" i="5"/>
  <c r="I25" i="5" s="1"/>
  <c r="L25" i="5" s="1"/>
  <c r="X24" i="5"/>
  <c r="V25" i="5" s="1"/>
  <c r="F25" i="5"/>
  <c r="H25" i="5"/>
  <c r="AC24" i="5"/>
  <c r="AA24" i="5"/>
  <c r="Z24" i="5"/>
  <c r="AB24" i="5"/>
  <c r="G24" i="4"/>
  <c r="E25" i="4" s="1"/>
  <c r="F25" i="4" s="1"/>
  <c r="X24" i="4"/>
  <c r="V25" i="4" s="1"/>
  <c r="O24" i="4"/>
  <c r="M25" i="4" s="1"/>
  <c r="Z24" i="4"/>
  <c r="AB24" i="4"/>
  <c r="AC24" i="4"/>
  <c r="AA24" i="4"/>
  <c r="J25" i="4"/>
  <c r="L25" i="4"/>
  <c r="H23" i="19" l="1"/>
  <c r="O23" i="19" s="1"/>
  <c r="H23" i="17"/>
  <c r="D24" i="17" s="1"/>
  <c r="C24" i="17" s="1"/>
  <c r="G24" i="17" s="1"/>
  <c r="E24" i="17" s="1"/>
  <c r="I19" i="6"/>
  <c r="E19" i="6"/>
  <c r="D19" i="6" s="1"/>
  <c r="F19" i="6" s="1"/>
  <c r="G19" i="6" s="1"/>
  <c r="J25" i="5"/>
  <c r="K25" i="5" s="1"/>
  <c r="I26" i="5" s="1"/>
  <c r="W25" i="5"/>
  <c r="Y25" i="5"/>
  <c r="AC25" i="5" s="1"/>
  <c r="G25" i="5"/>
  <c r="E26" i="5" s="1"/>
  <c r="F26" i="5" s="1"/>
  <c r="P26" i="5"/>
  <c r="N26" i="5"/>
  <c r="K25" i="4"/>
  <c r="I26" i="4" s="1"/>
  <c r="J26" i="4" s="1"/>
  <c r="H25" i="4"/>
  <c r="G25" i="4" s="1"/>
  <c r="E26" i="4" s="1"/>
  <c r="N25" i="4"/>
  <c r="P25" i="4"/>
  <c r="W25" i="4"/>
  <c r="Y25" i="4"/>
  <c r="O23" i="17" l="1"/>
  <c r="D24" i="19"/>
  <c r="C24" i="19" s="1"/>
  <c r="G24" i="19" s="1"/>
  <c r="F24" i="17"/>
  <c r="H24" i="17"/>
  <c r="O24" i="17" s="1"/>
  <c r="Z25" i="5"/>
  <c r="AB25" i="5"/>
  <c r="AA25" i="5"/>
  <c r="H26" i="5"/>
  <c r="G26" i="5" s="1"/>
  <c r="E27" i="5" s="1"/>
  <c r="H19" i="6"/>
  <c r="C20" i="6"/>
  <c r="X25" i="5"/>
  <c r="V26" i="5" s="1"/>
  <c r="Y26" i="5" s="1"/>
  <c r="O26" i="5"/>
  <c r="M27" i="5" s="1"/>
  <c r="P27" i="5" s="1"/>
  <c r="L26" i="5"/>
  <c r="J26" i="5"/>
  <c r="L26" i="4"/>
  <c r="K26" i="4" s="1"/>
  <c r="I27" i="4" s="1"/>
  <c r="J27" i="4" s="1"/>
  <c r="O25" i="4"/>
  <c r="M26" i="4" s="1"/>
  <c r="AC25" i="4"/>
  <c r="AB25" i="4"/>
  <c r="Z25" i="4"/>
  <c r="AA25" i="4"/>
  <c r="X25" i="4"/>
  <c r="V26" i="4" s="1"/>
  <c r="H26" i="4"/>
  <c r="F26" i="4"/>
  <c r="E24" i="19" l="1"/>
  <c r="H24" i="19" s="1"/>
  <c r="D25" i="17"/>
  <c r="C25" i="17" s="1"/>
  <c r="G25" i="17" s="1"/>
  <c r="E25" i="17" s="1"/>
  <c r="W26" i="5"/>
  <c r="X26" i="5" s="1"/>
  <c r="V27" i="5" s="1"/>
  <c r="N27" i="5"/>
  <c r="O27" i="5" s="1"/>
  <c r="M28" i="5" s="1"/>
  <c r="I20" i="6"/>
  <c r="E20" i="6"/>
  <c r="D20" i="6" s="1"/>
  <c r="F20" i="6" s="1"/>
  <c r="G20" i="6" s="1"/>
  <c r="K26" i="5"/>
  <c r="I27" i="5" s="1"/>
  <c r="AC26" i="5"/>
  <c r="AB26" i="5"/>
  <c r="AA26" i="5"/>
  <c r="Z26" i="5"/>
  <c r="F27" i="5"/>
  <c r="H27" i="5"/>
  <c r="L27" i="4"/>
  <c r="K27" i="4" s="1"/>
  <c r="W26" i="4"/>
  <c r="Y26" i="4"/>
  <c r="N26" i="4"/>
  <c r="P26" i="4"/>
  <c r="G26" i="4"/>
  <c r="E27" i="4" s="1"/>
  <c r="F24" i="19" l="1"/>
  <c r="O24" i="19"/>
  <c r="D25" i="19"/>
  <c r="C25" i="19" s="1"/>
  <c r="G25" i="19" s="1"/>
  <c r="H25" i="17"/>
  <c r="O25" i="17" s="1"/>
  <c r="F25" i="17"/>
  <c r="C21" i="6"/>
  <c r="H20" i="6"/>
  <c r="G27" i="5"/>
  <c r="E28" i="5" s="1"/>
  <c r="Y27" i="5"/>
  <c r="W27" i="5"/>
  <c r="L27" i="5"/>
  <c r="J27" i="5"/>
  <c r="N28" i="5"/>
  <c r="P28" i="5"/>
  <c r="X26" i="4"/>
  <c r="V27" i="4" s="1"/>
  <c r="I28" i="4"/>
  <c r="L28" i="4" s="1"/>
  <c r="O26" i="4"/>
  <c r="M27" i="4" s="1"/>
  <c r="H27" i="4"/>
  <c r="F27" i="4"/>
  <c r="AA26" i="4"/>
  <c r="AC26" i="4"/>
  <c r="AB26" i="4"/>
  <c r="Z26" i="4"/>
  <c r="E25" i="19" l="1"/>
  <c r="H25" i="19" s="1"/>
  <c r="D26" i="17"/>
  <c r="C26" i="17" s="1"/>
  <c r="G26" i="17" s="1"/>
  <c r="E26" i="17" s="1"/>
  <c r="E21" i="6"/>
  <c r="D21" i="6" s="1"/>
  <c r="F21" i="6" s="1"/>
  <c r="G21" i="6" s="1"/>
  <c r="I21" i="6"/>
  <c r="X27" i="5"/>
  <c r="V28" i="5" s="1"/>
  <c r="H28" i="5"/>
  <c r="F28" i="5"/>
  <c r="O28" i="5"/>
  <c r="M29" i="5" s="1"/>
  <c r="K27" i="5"/>
  <c r="I28" i="5" s="1"/>
  <c r="AC27" i="5"/>
  <c r="AB27" i="5"/>
  <c r="AA27" i="5"/>
  <c r="Z27" i="5"/>
  <c r="J28" i="4"/>
  <c r="K28" i="4" s="1"/>
  <c r="I29" i="4" s="1"/>
  <c r="G27" i="4"/>
  <c r="E28" i="4" s="1"/>
  <c r="H28" i="4" s="1"/>
  <c r="Y27" i="4"/>
  <c r="W27" i="4"/>
  <c r="P27" i="4"/>
  <c r="N27" i="4"/>
  <c r="F25" i="19" l="1"/>
  <c r="O25" i="19"/>
  <c r="D26" i="19"/>
  <c r="C26" i="19" s="1"/>
  <c r="G26" i="19" s="1"/>
  <c r="E26" i="19" s="1"/>
  <c r="H26" i="17"/>
  <c r="O26" i="17" s="1"/>
  <c r="F26" i="17"/>
  <c r="H21" i="6"/>
  <c r="C22" i="6"/>
  <c r="G28" i="5"/>
  <c r="E29" i="5" s="1"/>
  <c r="L28" i="5"/>
  <c r="J28" i="5"/>
  <c r="P29" i="5"/>
  <c r="N29" i="5"/>
  <c r="Y28" i="5"/>
  <c r="W28" i="5"/>
  <c r="L29" i="4"/>
  <c r="J29" i="4"/>
  <c r="F28" i="4"/>
  <c r="G28" i="4" s="1"/>
  <c r="E29" i="4" s="1"/>
  <c r="F29" i="4" s="1"/>
  <c r="X27" i="4"/>
  <c r="V28" i="4" s="1"/>
  <c r="AB27" i="4"/>
  <c r="AA27" i="4"/>
  <c r="AC27" i="4"/>
  <c r="Z27" i="4"/>
  <c r="O27" i="4"/>
  <c r="M28" i="4" s="1"/>
  <c r="F26" i="19" l="1"/>
  <c r="H26" i="19"/>
  <c r="O26" i="19" s="1"/>
  <c r="D27" i="17"/>
  <c r="C27" i="17" s="1"/>
  <c r="G27" i="17" s="1"/>
  <c r="E27" i="17" s="1"/>
  <c r="K29" i="4"/>
  <c r="I30" i="4" s="1"/>
  <c r="L30" i="4" s="1"/>
  <c r="I22" i="6"/>
  <c r="E22" i="6"/>
  <c r="D22" i="6" s="1"/>
  <c r="F22" i="6" s="1"/>
  <c r="G22" i="6" s="1"/>
  <c r="X28" i="5"/>
  <c r="V29" i="5" s="1"/>
  <c r="O29" i="5"/>
  <c r="M30" i="5" s="1"/>
  <c r="AA28" i="5"/>
  <c r="Z28" i="5"/>
  <c r="AC28" i="5"/>
  <c r="AB28" i="5"/>
  <c r="K28" i="5"/>
  <c r="I29" i="5" s="1"/>
  <c r="H29" i="5"/>
  <c r="F29" i="5"/>
  <c r="H29" i="4"/>
  <c r="G29" i="4" s="1"/>
  <c r="E30" i="4" s="1"/>
  <c r="P28" i="4"/>
  <c r="N28" i="4"/>
  <c r="Y28" i="4"/>
  <c r="W28" i="4"/>
  <c r="D27" i="19" l="1"/>
  <c r="C27" i="19" s="1"/>
  <c r="G27" i="19" s="1"/>
  <c r="E27" i="19" s="1"/>
  <c r="F27" i="19" s="1"/>
  <c r="F27" i="17"/>
  <c r="H27" i="17"/>
  <c r="O27" i="17" s="1"/>
  <c r="J30" i="4"/>
  <c r="K30" i="4" s="1"/>
  <c r="I31" i="4" s="1"/>
  <c r="H22" i="6"/>
  <c r="C23" i="6"/>
  <c r="G29" i="5"/>
  <c r="E30" i="5" s="1"/>
  <c r="J29" i="5"/>
  <c r="L29" i="5"/>
  <c r="P30" i="5"/>
  <c r="N30" i="5"/>
  <c r="W29" i="5"/>
  <c r="Y29" i="5"/>
  <c r="O28" i="4"/>
  <c r="M29" i="4" s="1"/>
  <c r="AC28" i="4"/>
  <c r="AA28" i="4"/>
  <c r="Z28" i="4"/>
  <c r="AB28" i="4"/>
  <c r="X28" i="4"/>
  <c r="V29" i="4" s="1"/>
  <c r="F30" i="4"/>
  <c r="H30" i="4"/>
  <c r="H27" i="19" l="1"/>
  <c r="O27" i="19" s="1"/>
  <c r="D28" i="17"/>
  <c r="C28" i="17" s="1"/>
  <c r="G28" i="17" s="1"/>
  <c r="E28" i="17" s="1"/>
  <c r="K29" i="5"/>
  <c r="I30" i="5" s="1"/>
  <c r="I23" i="6"/>
  <c r="E23" i="6"/>
  <c r="D23" i="6" s="1"/>
  <c r="F23" i="6" s="1"/>
  <c r="G23" i="6" s="1"/>
  <c r="O30" i="5"/>
  <c r="M31" i="5" s="1"/>
  <c r="Z29" i="5"/>
  <c r="AC29" i="5"/>
  <c r="AB29" i="5"/>
  <c r="AA29" i="5"/>
  <c r="X29" i="5"/>
  <c r="V30" i="5" s="1"/>
  <c r="H30" i="5"/>
  <c r="F30" i="5"/>
  <c r="G30" i="4"/>
  <c r="E31" i="4" s="1"/>
  <c r="Y29" i="4"/>
  <c r="W29" i="4"/>
  <c r="P29" i="4"/>
  <c r="N29" i="4"/>
  <c r="L31" i="4"/>
  <c r="J31" i="4"/>
  <c r="D28" i="19" l="1"/>
  <c r="C28" i="19" s="1"/>
  <c r="G28" i="19" s="1"/>
  <c r="E28" i="19" s="1"/>
  <c r="F28" i="19" s="1"/>
  <c r="F28" i="17"/>
  <c r="H28" i="17"/>
  <c r="D29" i="17" s="1"/>
  <c r="C29" i="17" s="1"/>
  <c r="G29" i="17" s="1"/>
  <c r="H23" i="6"/>
  <c r="C24" i="6"/>
  <c r="G30" i="5"/>
  <c r="E31" i="5" s="1"/>
  <c r="P31" i="5"/>
  <c r="N31" i="5"/>
  <c r="L30" i="5"/>
  <c r="J30" i="5"/>
  <c r="Y30" i="5"/>
  <c r="W30" i="5"/>
  <c r="O29" i="4"/>
  <c r="M30" i="4" s="1"/>
  <c r="N30" i="4" s="1"/>
  <c r="K31" i="4"/>
  <c r="I32" i="4" s="1"/>
  <c r="X29" i="4"/>
  <c r="V30" i="4" s="1"/>
  <c r="H31" i="4"/>
  <c r="F31" i="4"/>
  <c r="AC29" i="4"/>
  <c r="AB29" i="4"/>
  <c r="Z29" i="4"/>
  <c r="AA29" i="4"/>
  <c r="H28" i="19" l="1"/>
  <c r="D29" i="19" s="1"/>
  <c r="C29" i="19" s="1"/>
  <c r="G29" i="19" s="1"/>
  <c r="E29" i="19" s="1"/>
  <c r="F29" i="19" s="1"/>
  <c r="E29" i="17"/>
  <c r="H29" i="17" s="1"/>
  <c r="D30" i="17" s="1"/>
  <c r="C30" i="17" s="1"/>
  <c r="G30" i="17" s="1"/>
  <c r="O28" i="17"/>
  <c r="E24" i="6"/>
  <c r="D24" i="6" s="1"/>
  <c r="F24" i="6" s="1"/>
  <c r="G24" i="6" s="1"/>
  <c r="I24" i="6"/>
  <c r="K30" i="5"/>
  <c r="I31" i="5" s="1"/>
  <c r="O31" i="5"/>
  <c r="M32" i="5" s="1"/>
  <c r="X30" i="5"/>
  <c r="V31" i="5" s="1"/>
  <c r="AC30" i="5"/>
  <c r="AB30" i="5"/>
  <c r="AA30" i="5"/>
  <c r="Z30" i="5"/>
  <c r="F31" i="5"/>
  <c r="H31" i="5"/>
  <c r="P30" i="4"/>
  <c r="O30" i="4" s="1"/>
  <c r="M31" i="4" s="1"/>
  <c r="N31" i="4" s="1"/>
  <c r="G31" i="4"/>
  <c r="E32" i="4" s="1"/>
  <c r="Y30" i="4"/>
  <c r="W30" i="4"/>
  <c r="L32" i="4"/>
  <c r="J32" i="4"/>
  <c r="I11" i="4"/>
  <c r="O28" i="19" l="1"/>
  <c r="O29" i="17"/>
  <c r="E30" i="17"/>
  <c r="F30" i="17" s="1"/>
  <c r="F29" i="17"/>
  <c r="H29" i="19"/>
  <c r="K32" i="4"/>
  <c r="I33" i="4" s="1"/>
  <c r="L33" i="4" s="1"/>
  <c r="C25" i="6"/>
  <c r="H24" i="6"/>
  <c r="G31" i="5"/>
  <c r="E32" i="5" s="1"/>
  <c r="Y31" i="5"/>
  <c r="W31" i="5"/>
  <c r="Z31" i="5" s="1"/>
  <c r="Z16" i="5" s="1"/>
  <c r="N32" i="5"/>
  <c r="P32" i="5"/>
  <c r="M11" i="5"/>
  <c r="L31" i="5"/>
  <c r="J31" i="5"/>
  <c r="P31" i="4"/>
  <c r="O31" i="4" s="1"/>
  <c r="M32" i="4" s="1"/>
  <c r="X30" i="4"/>
  <c r="V31" i="4" s="1"/>
  <c r="W31" i="4" s="1"/>
  <c r="Z31" i="4" s="1"/>
  <c r="F32" i="4"/>
  <c r="E11" i="4"/>
  <c r="H11" i="4" s="1"/>
  <c r="H32" i="4" s="1"/>
  <c r="AA30" i="4"/>
  <c r="AC30" i="4"/>
  <c r="AB30" i="4"/>
  <c r="Z30" i="4"/>
  <c r="H30" i="17" l="1"/>
  <c r="O29" i="19"/>
  <c r="D30" i="19"/>
  <c r="C30" i="19" s="1"/>
  <c r="G30" i="19" s="1"/>
  <c r="J33" i="4"/>
  <c r="K33" i="4" s="1"/>
  <c r="I34" i="4" s="1"/>
  <c r="Z16" i="4"/>
  <c r="I25" i="6"/>
  <c r="E25" i="6"/>
  <c r="D25" i="6" s="1"/>
  <c r="F25" i="6" s="1"/>
  <c r="G25" i="6" s="1"/>
  <c r="K31" i="5"/>
  <c r="I32" i="5" s="1"/>
  <c r="L32" i="5" s="1"/>
  <c r="Y31" i="4"/>
  <c r="AC31" i="4" s="1"/>
  <c r="O32" i="5"/>
  <c r="M33" i="5" s="1"/>
  <c r="N33" i="5" s="1"/>
  <c r="X31" i="5"/>
  <c r="V32" i="5" s="1"/>
  <c r="AC31" i="5"/>
  <c r="AB31" i="5"/>
  <c r="AA31" i="5"/>
  <c r="E11" i="5"/>
  <c r="H11" i="5" s="1"/>
  <c r="H32" i="5" s="1"/>
  <c r="F32" i="5"/>
  <c r="M11" i="4"/>
  <c r="N32" i="4"/>
  <c r="P32" i="4"/>
  <c r="G32" i="4"/>
  <c r="E33" i="4" s="1"/>
  <c r="E30" i="19" l="1"/>
  <c r="H30" i="19" s="1"/>
  <c r="D31" i="17"/>
  <c r="C31" i="17" s="1"/>
  <c r="G31" i="17" s="1"/>
  <c r="O30" i="17"/>
  <c r="I11" i="5"/>
  <c r="J32" i="5"/>
  <c r="K32" i="5" s="1"/>
  <c r="I33" i="5" s="1"/>
  <c r="J33" i="5" s="1"/>
  <c r="P33" i="5"/>
  <c r="O33" i="5" s="1"/>
  <c r="M34" i="5" s="1"/>
  <c r="N34" i="5" s="1"/>
  <c r="AB31" i="4"/>
  <c r="AA31" i="4"/>
  <c r="X31" i="4"/>
  <c r="V32" i="4" s="1"/>
  <c r="W32" i="4" s="1"/>
  <c r="O32" i="4"/>
  <c r="M33" i="4" s="1"/>
  <c r="P33" i="4" s="1"/>
  <c r="H25" i="6"/>
  <c r="C26" i="6"/>
  <c r="G32" i="5"/>
  <c r="E33" i="5" s="1"/>
  <c r="Y32" i="5"/>
  <c r="W32" i="5"/>
  <c r="L34" i="4"/>
  <c r="J34" i="4"/>
  <c r="F33" i="4"/>
  <c r="H33" i="4"/>
  <c r="F30" i="19" l="1"/>
  <c r="O30" i="19"/>
  <c r="D31" i="19"/>
  <c r="C31" i="19" s="1"/>
  <c r="G31" i="19" s="1"/>
  <c r="E31" i="17"/>
  <c r="F31" i="17" s="1"/>
  <c r="Y32" i="4"/>
  <c r="AC32" i="4" s="1"/>
  <c r="L33" i="5"/>
  <c r="K33" i="5" s="1"/>
  <c r="I34" i="5" s="1"/>
  <c r="N33" i="4"/>
  <c r="O33" i="4" s="1"/>
  <c r="M34" i="4" s="1"/>
  <c r="P34" i="4" s="1"/>
  <c r="P34" i="5"/>
  <c r="O34" i="5" s="1"/>
  <c r="M35" i="5" s="1"/>
  <c r="P35" i="5" s="1"/>
  <c r="I26" i="6"/>
  <c r="E26" i="6"/>
  <c r="D26" i="6" s="1"/>
  <c r="F26" i="6" s="1"/>
  <c r="G26" i="6" s="1"/>
  <c r="H33" i="5"/>
  <c r="F33" i="5"/>
  <c r="AB32" i="5"/>
  <c r="AA32" i="5"/>
  <c r="AC32" i="5"/>
  <c r="X32" i="5"/>
  <c r="V33" i="5" s="1"/>
  <c r="K34" i="4"/>
  <c r="I35" i="4" s="1"/>
  <c r="L35" i="4" s="1"/>
  <c r="G33" i="4"/>
  <c r="E34" i="4" s="1"/>
  <c r="H31" i="17" l="1"/>
  <c r="I31" i="17" s="1"/>
  <c r="E31" i="19"/>
  <c r="H31" i="19" s="1"/>
  <c r="I31" i="19" s="1"/>
  <c r="N35" i="5"/>
  <c r="O35" i="5" s="1"/>
  <c r="M36" i="5" s="1"/>
  <c r="P36" i="5" s="1"/>
  <c r="X32" i="4"/>
  <c r="V33" i="4" s="1"/>
  <c r="Y33" i="4" s="1"/>
  <c r="AA32" i="4"/>
  <c r="AB32" i="4"/>
  <c r="N34" i="4"/>
  <c r="O34" i="4" s="1"/>
  <c r="M35" i="4" s="1"/>
  <c r="N35" i="4" s="1"/>
  <c r="C27" i="6"/>
  <c r="H26" i="6"/>
  <c r="J35" i="4"/>
  <c r="K35" i="4" s="1"/>
  <c r="I36" i="4" s="1"/>
  <c r="J36" i="4" s="1"/>
  <c r="Y33" i="5"/>
  <c r="W33" i="5"/>
  <c r="G33" i="5"/>
  <c r="E34" i="5" s="1"/>
  <c r="J34" i="5"/>
  <c r="L34" i="5"/>
  <c r="H34" i="4"/>
  <c r="F34" i="4"/>
  <c r="O31" i="17" l="1"/>
  <c r="D32" i="17"/>
  <c r="C32" i="17" s="1"/>
  <c r="G32" i="17" s="1"/>
  <c r="D32" i="19"/>
  <c r="C32" i="19" s="1"/>
  <c r="G32" i="19" s="1"/>
  <c r="O31" i="19"/>
  <c r="E32" i="19"/>
  <c r="F31" i="19"/>
  <c r="W33" i="4"/>
  <c r="X33" i="4" s="1"/>
  <c r="V34" i="4" s="1"/>
  <c r="N36" i="5"/>
  <c r="O36" i="5" s="1"/>
  <c r="M37" i="5" s="1"/>
  <c r="P35" i="4"/>
  <c r="O35" i="4" s="1"/>
  <c r="M36" i="4" s="1"/>
  <c r="P36" i="4" s="1"/>
  <c r="L36" i="4"/>
  <c r="K36" i="4" s="1"/>
  <c r="I37" i="4" s="1"/>
  <c r="K34" i="5"/>
  <c r="I35" i="5" s="1"/>
  <c r="J35" i="5" s="1"/>
  <c r="E27" i="6"/>
  <c r="D27" i="6" s="1"/>
  <c r="F27" i="6" s="1"/>
  <c r="G27" i="6" s="1"/>
  <c r="I27" i="6"/>
  <c r="H34" i="5"/>
  <c r="F34" i="5"/>
  <c r="X33" i="5"/>
  <c r="V34" i="5" s="1"/>
  <c r="AB33" i="5"/>
  <c r="AA33" i="5"/>
  <c r="AC33" i="5"/>
  <c r="G34" i="4"/>
  <c r="E35" i="4" s="1"/>
  <c r="AC33" i="4"/>
  <c r="AB33" i="4"/>
  <c r="AA33" i="4"/>
  <c r="F32" i="19" l="1"/>
  <c r="E32" i="17"/>
  <c r="F32" i="17" s="1"/>
  <c r="H32" i="19"/>
  <c r="J37" i="4"/>
  <c r="L37" i="4"/>
  <c r="N36" i="4"/>
  <c r="O36" i="4" s="1"/>
  <c r="M37" i="4" s="1"/>
  <c r="P37" i="4" s="1"/>
  <c r="L35" i="5"/>
  <c r="K35" i="5" s="1"/>
  <c r="I36" i="5" s="1"/>
  <c r="J36" i="5" s="1"/>
  <c r="C28" i="6"/>
  <c r="H27" i="6"/>
  <c r="G34" i="5"/>
  <c r="E35" i="5" s="1"/>
  <c r="W34" i="5"/>
  <c r="Y34" i="5"/>
  <c r="P37" i="5"/>
  <c r="N37" i="5"/>
  <c r="H35" i="4"/>
  <c r="F35" i="4"/>
  <c r="Y34" i="4"/>
  <c r="W34" i="4"/>
  <c r="H32" i="17" l="1"/>
  <c r="D33" i="17" s="1"/>
  <c r="O32" i="19"/>
  <c r="D33" i="19"/>
  <c r="C33" i="19" s="1"/>
  <c r="G33" i="19" s="1"/>
  <c r="K37" i="4"/>
  <c r="I38" i="4" s="1"/>
  <c r="J38" i="4" s="1"/>
  <c r="N37" i="4"/>
  <c r="O37" i="4" s="1"/>
  <c r="M38" i="4" s="1"/>
  <c r="N38" i="4" s="1"/>
  <c r="L36" i="5"/>
  <c r="K36" i="5" s="1"/>
  <c r="I37" i="5" s="1"/>
  <c r="O37" i="5"/>
  <c r="M38" i="5" s="1"/>
  <c r="P38" i="5" s="1"/>
  <c r="I28" i="6"/>
  <c r="E28" i="6"/>
  <c r="D28" i="6" s="1"/>
  <c r="F28" i="6" s="1"/>
  <c r="G28" i="6" s="1"/>
  <c r="H35" i="5"/>
  <c r="F35" i="5"/>
  <c r="AC34" i="5"/>
  <c r="AB34" i="5"/>
  <c r="AA34" i="5"/>
  <c r="X34" i="5"/>
  <c r="V35" i="5" s="1"/>
  <c r="G35" i="4"/>
  <c r="E36" i="4" s="1"/>
  <c r="H36" i="4" s="1"/>
  <c r="X34" i="4"/>
  <c r="V35" i="4" s="1"/>
  <c r="Y35" i="4" s="1"/>
  <c r="AC34" i="4"/>
  <c r="AB34" i="4"/>
  <c r="AA34" i="4"/>
  <c r="O32" i="17" l="1"/>
  <c r="E33" i="19"/>
  <c r="F33" i="19" s="1"/>
  <c r="C33" i="17"/>
  <c r="G33" i="17" s="1"/>
  <c r="L38" i="4"/>
  <c r="K38" i="4" s="1"/>
  <c r="I39" i="4" s="1"/>
  <c r="L37" i="5"/>
  <c r="J37" i="5"/>
  <c r="G35" i="5"/>
  <c r="E36" i="5" s="1"/>
  <c r="H36" i="5" s="1"/>
  <c r="P38" i="4"/>
  <c r="O38" i="4" s="1"/>
  <c r="M39" i="4" s="1"/>
  <c r="N39" i="4" s="1"/>
  <c r="N38" i="5"/>
  <c r="O38" i="5" s="1"/>
  <c r="M39" i="5" s="1"/>
  <c r="H28" i="6"/>
  <c r="C29" i="6"/>
  <c r="F36" i="4"/>
  <c r="G36" i="4" s="1"/>
  <c r="E37" i="4" s="1"/>
  <c r="H37" i="4" s="1"/>
  <c r="W35" i="5"/>
  <c r="Y35" i="5"/>
  <c r="W35" i="4"/>
  <c r="X35" i="4" s="1"/>
  <c r="V36" i="4" s="1"/>
  <c r="AB35" i="4"/>
  <c r="AC35" i="4"/>
  <c r="AA35" i="4"/>
  <c r="E33" i="17" l="1"/>
  <c r="F33" i="17" s="1"/>
  <c r="H33" i="19"/>
  <c r="L39" i="4"/>
  <c r="J39" i="4"/>
  <c r="F36" i="5"/>
  <c r="G36" i="5" s="1"/>
  <c r="E37" i="5" s="1"/>
  <c r="K37" i="5"/>
  <c r="I38" i="5" s="1"/>
  <c r="L38" i="5" s="1"/>
  <c r="P39" i="4"/>
  <c r="O39" i="4" s="1"/>
  <c r="M40" i="4" s="1"/>
  <c r="F37" i="4"/>
  <c r="G37" i="4" s="1"/>
  <c r="E38" i="4" s="1"/>
  <c r="I29" i="6"/>
  <c r="E29" i="6"/>
  <c r="D29" i="6" s="1"/>
  <c r="F29" i="6" s="1"/>
  <c r="G29" i="6" s="1"/>
  <c r="AC35" i="5"/>
  <c r="AB35" i="5"/>
  <c r="AA35" i="5"/>
  <c r="N39" i="5"/>
  <c r="P39" i="5"/>
  <c r="X35" i="5"/>
  <c r="V36" i="5" s="1"/>
  <c r="Y36" i="4"/>
  <c r="W36" i="4"/>
  <c r="H33" i="17" l="1"/>
  <c r="O33" i="17" s="1"/>
  <c r="O33" i="19"/>
  <c r="D34" i="19"/>
  <c r="C34" i="19" s="1"/>
  <c r="G34" i="19" s="1"/>
  <c r="K39" i="4"/>
  <c r="I40" i="4" s="1"/>
  <c r="J38" i="5"/>
  <c r="K38" i="5" s="1"/>
  <c r="I39" i="5" s="1"/>
  <c r="L39" i="5" s="1"/>
  <c r="N40" i="4"/>
  <c r="P40" i="4"/>
  <c r="H38" i="4"/>
  <c r="F38" i="4"/>
  <c r="C30" i="6"/>
  <c r="H29" i="6"/>
  <c r="Y36" i="5"/>
  <c r="W36" i="5"/>
  <c r="O39" i="5"/>
  <c r="M40" i="5" s="1"/>
  <c r="F37" i="5"/>
  <c r="H37" i="5"/>
  <c r="X36" i="4"/>
  <c r="V37" i="4" s="1"/>
  <c r="W37" i="4" s="1"/>
  <c r="AC36" i="4"/>
  <c r="AB36" i="4"/>
  <c r="AA36" i="4"/>
  <c r="D34" i="17" l="1"/>
  <c r="C34" i="17" s="1"/>
  <c r="G34" i="17" s="1"/>
  <c r="E34" i="19"/>
  <c r="F34" i="19" s="1"/>
  <c r="J40" i="4"/>
  <c r="L40" i="4"/>
  <c r="J39" i="5"/>
  <c r="K39" i="5" s="1"/>
  <c r="I40" i="5" s="1"/>
  <c r="L40" i="5" s="1"/>
  <c r="O40" i="4"/>
  <c r="M41" i="4" s="1"/>
  <c r="N41" i="4" s="1"/>
  <c r="X36" i="5"/>
  <c r="V37" i="5" s="1"/>
  <c r="G38" i="4"/>
  <c r="E39" i="4" s="1"/>
  <c r="H39" i="4" s="1"/>
  <c r="E30" i="6"/>
  <c r="D30" i="6" s="1"/>
  <c r="F30" i="6" s="1"/>
  <c r="G30" i="6" s="1"/>
  <c r="I30" i="6"/>
  <c r="P40" i="5"/>
  <c r="N40" i="5"/>
  <c r="G37" i="5"/>
  <c r="E38" i="5" s="1"/>
  <c r="AC36" i="5"/>
  <c r="AB36" i="5"/>
  <c r="AA36" i="5"/>
  <c r="Y37" i="4"/>
  <c r="X37" i="4" s="1"/>
  <c r="E34" i="17" l="1"/>
  <c r="F34" i="17" s="1"/>
  <c r="H34" i="19"/>
  <c r="K40" i="4"/>
  <c r="I41" i="4" s="1"/>
  <c r="J40" i="5"/>
  <c r="K40" i="5" s="1"/>
  <c r="I41" i="5" s="1"/>
  <c r="J41" i="5" s="1"/>
  <c r="P41" i="4"/>
  <c r="O41" i="4" s="1"/>
  <c r="M42" i="4" s="1"/>
  <c r="N42" i="4" s="1"/>
  <c r="O40" i="5"/>
  <c r="M41" i="5" s="1"/>
  <c r="P41" i="5" s="1"/>
  <c r="F39" i="4"/>
  <c r="G39" i="4" s="1"/>
  <c r="E40" i="4" s="1"/>
  <c r="H40" i="4" s="1"/>
  <c r="H30" i="6"/>
  <c r="C31" i="6"/>
  <c r="H38" i="5"/>
  <c r="F38" i="5"/>
  <c r="Y37" i="5"/>
  <c r="W37" i="5"/>
  <c r="AB37" i="4"/>
  <c r="AC37" i="4"/>
  <c r="V38" i="4"/>
  <c r="Y38" i="4" s="1"/>
  <c r="AA37" i="4"/>
  <c r="H34" i="17" l="1"/>
  <c r="O34" i="17" s="1"/>
  <c r="O34" i="19"/>
  <c r="D35" i="19"/>
  <c r="C35" i="19" s="1"/>
  <c r="G35" i="19" s="1"/>
  <c r="L41" i="4"/>
  <c r="J41" i="4"/>
  <c r="N41" i="5"/>
  <c r="O41" i="5" s="1"/>
  <c r="M42" i="5" s="1"/>
  <c r="P42" i="4"/>
  <c r="O42" i="4" s="1"/>
  <c r="M43" i="4" s="1"/>
  <c r="F40" i="4"/>
  <c r="G40" i="4" s="1"/>
  <c r="E41" i="4" s="1"/>
  <c r="G38" i="5"/>
  <c r="E39" i="5" s="1"/>
  <c r="H39" i="5" s="1"/>
  <c r="L41" i="5"/>
  <c r="K41" i="5" s="1"/>
  <c r="I42" i="5" s="1"/>
  <c r="L42" i="5" s="1"/>
  <c r="I31" i="6"/>
  <c r="E31" i="6"/>
  <c r="D31" i="6" s="1"/>
  <c r="F31" i="6" s="1"/>
  <c r="G31" i="6" s="1"/>
  <c r="AC37" i="5"/>
  <c r="AB37" i="5"/>
  <c r="AA37" i="5"/>
  <c r="X37" i="5"/>
  <c r="V38" i="5" s="1"/>
  <c r="W38" i="4"/>
  <c r="X38" i="4" s="1"/>
  <c r="V39" i="4" s="1"/>
  <c r="AC38" i="4"/>
  <c r="AB38" i="4"/>
  <c r="AA38" i="4"/>
  <c r="D35" i="17" l="1"/>
  <c r="C35" i="17" s="1"/>
  <c r="G35" i="17" s="1"/>
  <c r="E35" i="19"/>
  <c r="F35" i="19" s="1"/>
  <c r="K41" i="4"/>
  <c r="I42" i="4" s="1"/>
  <c r="L42" i="4" s="1"/>
  <c r="P43" i="4"/>
  <c r="N43" i="4"/>
  <c r="F39" i="5"/>
  <c r="G39" i="5" s="1"/>
  <c r="E40" i="5" s="1"/>
  <c r="H40" i="5" s="1"/>
  <c r="J42" i="5"/>
  <c r="K42" i="5" s="1"/>
  <c r="I43" i="5" s="1"/>
  <c r="L43" i="5" s="1"/>
  <c r="H31" i="6"/>
  <c r="C32" i="6"/>
  <c r="P42" i="5"/>
  <c r="N42" i="5"/>
  <c r="Y38" i="5"/>
  <c r="W38" i="5"/>
  <c r="H41" i="4"/>
  <c r="F41" i="4"/>
  <c r="Y39" i="4"/>
  <c r="W39" i="4"/>
  <c r="E35" i="17" l="1"/>
  <c r="F35" i="17" s="1"/>
  <c r="H35" i="19"/>
  <c r="J43" i="5"/>
  <c r="K43" i="5" s="1"/>
  <c r="I44" i="5" s="1"/>
  <c r="I12" i="5" s="1"/>
  <c r="J42" i="4"/>
  <c r="K42" i="4" s="1"/>
  <c r="I43" i="4" s="1"/>
  <c r="O43" i="4"/>
  <c r="M44" i="4" s="1"/>
  <c r="N44" i="4" s="1"/>
  <c r="F40" i="5"/>
  <c r="G40" i="5" s="1"/>
  <c r="E41" i="5" s="1"/>
  <c r="F41" i="5" s="1"/>
  <c r="I32" i="6"/>
  <c r="E32" i="6"/>
  <c r="D32" i="6" s="1"/>
  <c r="F32" i="6" s="1"/>
  <c r="G32" i="6" s="1"/>
  <c r="G41" i="4"/>
  <c r="E42" i="4" s="1"/>
  <c r="F42" i="4" s="1"/>
  <c r="X38" i="5"/>
  <c r="V39" i="5" s="1"/>
  <c r="Y39" i="5" s="1"/>
  <c r="O42" i="5"/>
  <c r="M43" i="5" s="1"/>
  <c r="AB38" i="5"/>
  <c r="AA38" i="5"/>
  <c r="AC38" i="5"/>
  <c r="AC39" i="4"/>
  <c r="AB39" i="4"/>
  <c r="AA39" i="4"/>
  <c r="X39" i="4"/>
  <c r="V40" i="4" s="1"/>
  <c r="H35" i="17" l="1"/>
  <c r="D36" i="17" s="1"/>
  <c r="C36" i="17" s="1"/>
  <c r="G36" i="17" s="1"/>
  <c r="O35" i="19"/>
  <c r="D36" i="19"/>
  <c r="C36" i="19" s="1"/>
  <c r="G36" i="19" s="1"/>
  <c r="J43" i="4"/>
  <c r="L43" i="4"/>
  <c r="P44" i="4"/>
  <c r="O44" i="4" s="1"/>
  <c r="M45" i="4" s="1"/>
  <c r="M12" i="4"/>
  <c r="W39" i="5"/>
  <c r="X39" i="5" s="1"/>
  <c r="V40" i="5" s="1"/>
  <c r="H41" i="5"/>
  <c r="G41" i="5" s="1"/>
  <c r="E42" i="5" s="1"/>
  <c r="F42" i="5" s="1"/>
  <c r="J44" i="5"/>
  <c r="L44" i="5"/>
  <c r="H42" i="4"/>
  <c r="G42" i="4" s="1"/>
  <c r="E43" i="4" s="1"/>
  <c r="F43" i="4" s="1"/>
  <c r="H32" i="6"/>
  <c r="C33" i="6"/>
  <c r="P43" i="5"/>
  <c r="N43" i="5"/>
  <c r="AA39" i="5"/>
  <c r="AB39" i="5"/>
  <c r="AC39" i="5"/>
  <c r="Y40" i="4"/>
  <c r="W40" i="4"/>
  <c r="O35" i="17" l="1"/>
  <c r="E36" i="17"/>
  <c r="F36" i="17" s="1"/>
  <c r="E36" i="19"/>
  <c r="F36" i="19" s="1"/>
  <c r="K44" i="5"/>
  <c r="I45" i="5" s="1"/>
  <c r="L45" i="5" s="1"/>
  <c r="K43" i="4"/>
  <c r="I44" i="4" s="1"/>
  <c r="L44" i="4" s="1"/>
  <c r="P45" i="4"/>
  <c r="N45" i="4"/>
  <c r="H42" i="5"/>
  <c r="G42" i="5" s="1"/>
  <c r="E43" i="5" s="1"/>
  <c r="H43" i="4"/>
  <c r="G43" i="4" s="1"/>
  <c r="E44" i="4" s="1"/>
  <c r="E33" i="6"/>
  <c r="D33" i="6" s="1"/>
  <c r="F33" i="6" s="1"/>
  <c r="G33" i="6" s="1"/>
  <c r="I33" i="6"/>
  <c r="O43" i="5"/>
  <c r="M44" i="5" s="1"/>
  <c r="N44" i="5" s="1"/>
  <c r="W40" i="5"/>
  <c r="Y40" i="5"/>
  <c r="X40" i="4"/>
  <c r="V41" i="4" s="1"/>
  <c r="Y41" i="4" s="1"/>
  <c r="AC40" i="4"/>
  <c r="AB40" i="4"/>
  <c r="AA40" i="4"/>
  <c r="H36" i="17" l="1"/>
  <c r="O36" i="17" s="1"/>
  <c r="H36" i="19"/>
  <c r="J45" i="5"/>
  <c r="K45" i="5" s="1"/>
  <c r="I46" i="5" s="1"/>
  <c r="L46" i="5" s="1"/>
  <c r="I12" i="4"/>
  <c r="J44" i="4"/>
  <c r="K44" i="4" s="1"/>
  <c r="I45" i="4" s="1"/>
  <c r="L45" i="4" s="1"/>
  <c r="O45" i="4"/>
  <c r="M46" i="4" s="1"/>
  <c r="P46" i="4" s="1"/>
  <c r="M12" i="5"/>
  <c r="P44" i="5"/>
  <c r="O44" i="5" s="1"/>
  <c r="M45" i="5" s="1"/>
  <c r="C34" i="6"/>
  <c r="H33" i="6"/>
  <c r="X40" i="5"/>
  <c r="V41" i="5" s="1"/>
  <c r="Y41" i="5" s="1"/>
  <c r="F43" i="5"/>
  <c r="H43" i="5"/>
  <c r="AC40" i="5"/>
  <c r="AB40" i="5"/>
  <c r="AA40" i="5"/>
  <c r="W41" i="4"/>
  <c r="X41" i="4" s="1"/>
  <c r="V42" i="4" s="1"/>
  <c r="E12" i="4"/>
  <c r="H12" i="4" s="1"/>
  <c r="H44" i="4" s="1"/>
  <c r="F44" i="4"/>
  <c r="AB41" i="4"/>
  <c r="AC41" i="4"/>
  <c r="AA41" i="4"/>
  <c r="D37" i="17" l="1"/>
  <c r="C37" i="17" s="1"/>
  <c r="G37" i="17" s="1"/>
  <c r="E37" i="17" s="1"/>
  <c r="H37" i="17" s="1"/>
  <c r="O36" i="19"/>
  <c r="D37" i="19"/>
  <c r="C37" i="19" s="1"/>
  <c r="G37" i="19" s="1"/>
  <c r="J46" i="5"/>
  <c r="K46" i="5" s="1"/>
  <c r="I47" i="5" s="1"/>
  <c r="J47" i="5" s="1"/>
  <c r="J45" i="4"/>
  <c r="K45" i="4" s="1"/>
  <c r="I46" i="4" s="1"/>
  <c r="J46" i="4" s="1"/>
  <c r="N46" i="4"/>
  <c r="O46" i="4" s="1"/>
  <c r="M47" i="4" s="1"/>
  <c r="W41" i="5"/>
  <c r="X41" i="5" s="1"/>
  <c r="V42" i="5" s="1"/>
  <c r="Y42" i="5" s="1"/>
  <c r="I34" i="6"/>
  <c r="E34" i="6"/>
  <c r="D34" i="6" s="1"/>
  <c r="F34" i="6" s="1"/>
  <c r="G34" i="6" s="1"/>
  <c r="G43" i="5"/>
  <c r="E44" i="5" s="1"/>
  <c r="E12" i="5" s="1"/>
  <c r="H12" i="5" s="1"/>
  <c r="H44" i="5" s="1"/>
  <c r="N45" i="5"/>
  <c r="P45" i="5"/>
  <c r="AC41" i="5"/>
  <c r="AB41" i="5"/>
  <c r="AA41" i="5"/>
  <c r="G44" i="4"/>
  <c r="E45" i="4" s="1"/>
  <c r="F45" i="4" s="1"/>
  <c r="Y42" i="4"/>
  <c r="W42" i="4"/>
  <c r="F37" i="17" l="1"/>
  <c r="D38" i="17"/>
  <c r="O37" i="17"/>
  <c r="E37" i="19"/>
  <c r="F37" i="19" s="1"/>
  <c r="L47" i="5"/>
  <c r="K47" i="5" s="1"/>
  <c r="I48" i="5" s="1"/>
  <c r="J48" i="5" s="1"/>
  <c r="L46" i="4"/>
  <c r="K46" i="4" s="1"/>
  <c r="I47" i="4" s="1"/>
  <c r="L47" i="4" s="1"/>
  <c r="P47" i="4"/>
  <c r="N47" i="4"/>
  <c r="F44" i="5"/>
  <c r="G44" i="5" s="1"/>
  <c r="E45" i="5" s="1"/>
  <c r="W42" i="5"/>
  <c r="X42" i="5" s="1"/>
  <c r="V43" i="5" s="1"/>
  <c r="H34" i="6"/>
  <c r="C35" i="6"/>
  <c r="O45" i="5"/>
  <c r="M46" i="5" s="1"/>
  <c r="P46" i="5" s="1"/>
  <c r="AC42" i="5"/>
  <c r="AB42" i="5"/>
  <c r="AA42" i="5"/>
  <c r="H45" i="4"/>
  <c r="G45" i="4" s="1"/>
  <c r="E46" i="4" s="1"/>
  <c r="F46" i="4" s="1"/>
  <c r="X42" i="4"/>
  <c r="V43" i="4" s="1"/>
  <c r="W43" i="4" s="1"/>
  <c r="AA43" i="4" s="1"/>
  <c r="AC42" i="4"/>
  <c r="AB42" i="4"/>
  <c r="AA42" i="4"/>
  <c r="H37" i="19" l="1"/>
  <c r="C38" i="17"/>
  <c r="G38" i="17" s="1"/>
  <c r="E38" i="17" s="1"/>
  <c r="F38" i="17" s="1"/>
  <c r="L48" i="5"/>
  <c r="K48" i="5" s="1"/>
  <c r="I49" i="5" s="1"/>
  <c r="J47" i="4"/>
  <c r="K47" i="4" s="1"/>
  <c r="I48" i="4" s="1"/>
  <c r="O47" i="4"/>
  <c r="M48" i="4" s="1"/>
  <c r="N46" i="5"/>
  <c r="O46" i="5" s="1"/>
  <c r="M47" i="5" s="1"/>
  <c r="P47" i="5" s="1"/>
  <c r="I35" i="6"/>
  <c r="E35" i="6"/>
  <c r="D35" i="6" s="1"/>
  <c r="F35" i="6" s="1"/>
  <c r="G35" i="6" s="1"/>
  <c r="Y43" i="5"/>
  <c r="W43" i="5"/>
  <c r="AA43" i="5" s="1"/>
  <c r="AA16" i="5" s="1"/>
  <c r="H45" i="5"/>
  <c r="F45" i="5"/>
  <c r="H46" i="4"/>
  <c r="G46" i="4" s="1"/>
  <c r="E47" i="4" s="1"/>
  <c r="H47" i="4" s="1"/>
  <c r="Y43" i="4"/>
  <c r="X43" i="4" s="1"/>
  <c r="AA16" i="4"/>
  <c r="H38" i="17" l="1"/>
  <c r="D38" i="19"/>
  <c r="C38" i="19" s="1"/>
  <c r="G38" i="19" s="1"/>
  <c r="O37" i="19"/>
  <c r="P48" i="4"/>
  <c r="N48" i="4"/>
  <c r="N47" i="5"/>
  <c r="O47" i="5" s="1"/>
  <c r="M48" i="5" s="1"/>
  <c r="J48" i="4"/>
  <c r="L48" i="4"/>
  <c r="C36" i="6"/>
  <c r="H35" i="6"/>
  <c r="F47" i="4"/>
  <c r="G47" i="4" s="1"/>
  <c r="E48" i="4" s="1"/>
  <c r="H48" i="4" s="1"/>
  <c r="G45" i="5"/>
  <c r="E46" i="5" s="1"/>
  <c r="L49" i="5"/>
  <c r="J49" i="5"/>
  <c r="X43" i="5"/>
  <c r="V44" i="5" s="1"/>
  <c r="AC43" i="5"/>
  <c r="AB43" i="5"/>
  <c r="AB43" i="4"/>
  <c r="AC43" i="4"/>
  <c r="V44" i="4"/>
  <c r="W44" i="4" s="1"/>
  <c r="E38" i="19" l="1"/>
  <c r="F38" i="19" s="1"/>
  <c r="D39" i="17"/>
  <c r="O38" i="17"/>
  <c r="O48" i="4"/>
  <c r="M49" i="4" s="1"/>
  <c r="Y44" i="4"/>
  <c r="AC44" i="4" s="1"/>
  <c r="K49" i="5"/>
  <c r="I50" i="5" s="1"/>
  <c r="J50" i="5" s="1"/>
  <c r="K48" i="4"/>
  <c r="I49" i="4" s="1"/>
  <c r="J49" i="4" s="1"/>
  <c r="F48" i="4"/>
  <c r="G48" i="4" s="1"/>
  <c r="E49" i="4" s="1"/>
  <c r="H49" i="4" s="1"/>
  <c r="E36" i="6"/>
  <c r="D36" i="6" s="1"/>
  <c r="F36" i="6" s="1"/>
  <c r="G36" i="6" s="1"/>
  <c r="I36" i="6"/>
  <c r="P48" i="5"/>
  <c r="N48" i="5"/>
  <c r="Y44" i="5"/>
  <c r="W44" i="5"/>
  <c r="H46" i="5"/>
  <c r="F46" i="5"/>
  <c r="C39" i="17" l="1"/>
  <c r="G39" i="17" s="1"/>
  <c r="H38" i="19"/>
  <c r="L50" i="5"/>
  <c r="K50" i="5" s="1"/>
  <c r="I51" i="5" s="1"/>
  <c r="P49" i="4"/>
  <c r="N49" i="4"/>
  <c r="X44" i="4"/>
  <c r="V45" i="4" s="1"/>
  <c r="Y45" i="4" s="1"/>
  <c r="O48" i="5"/>
  <c r="M49" i="5" s="1"/>
  <c r="P49" i="5" s="1"/>
  <c r="AB44" i="4"/>
  <c r="L49" i="4"/>
  <c r="K49" i="4" s="1"/>
  <c r="I50" i="4" s="1"/>
  <c r="C37" i="6"/>
  <c r="H36" i="6"/>
  <c r="X44" i="5"/>
  <c r="V45" i="5" s="1"/>
  <c r="Y45" i="5" s="1"/>
  <c r="G46" i="5"/>
  <c r="E47" i="5" s="1"/>
  <c r="AC44" i="5"/>
  <c r="AB44" i="5"/>
  <c r="F49" i="4"/>
  <c r="G49" i="4" s="1"/>
  <c r="E50" i="4" s="1"/>
  <c r="D39" i="19" l="1"/>
  <c r="O38" i="19"/>
  <c r="E39" i="17"/>
  <c r="H39" i="17" s="1"/>
  <c r="W45" i="4"/>
  <c r="X45" i="4" s="1"/>
  <c r="V46" i="4" s="1"/>
  <c r="O49" i="4"/>
  <c r="M50" i="4" s="1"/>
  <c r="N50" i="4" s="1"/>
  <c r="N49" i="5"/>
  <c r="O49" i="5" s="1"/>
  <c r="M50" i="5" s="1"/>
  <c r="N50" i="5" s="1"/>
  <c r="W45" i="5"/>
  <c r="X45" i="5" s="1"/>
  <c r="V46" i="5" s="1"/>
  <c r="J50" i="4"/>
  <c r="L50" i="4"/>
  <c r="I37" i="6"/>
  <c r="E37" i="6"/>
  <c r="D37" i="6" s="1"/>
  <c r="F37" i="6" s="1"/>
  <c r="G37" i="6" s="1"/>
  <c r="F47" i="5"/>
  <c r="H47" i="5"/>
  <c r="J51" i="5"/>
  <c r="L51" i="5"/>
  <c r="AC45" i="5"/>
  <c r="AB45" i="5"/>
  <c r="F50" i="4"/>
  <c r="H50" i="4"/>
  <c r="AC45" i="4"/>
  <c r="AB45" i="4"/>
  <c r="O39" i="17" l="1"/>
  <c r="D40" i="17"/>
  <c r="F39" i="17"/>
  <c r="C39" i="19"/>
  <c r="G39" i="19" s="1"/>
  <c r="P50" i="4"/>
  <c r="O50" i="4" s="1"/>
  <c r="M51" i="4" s="1"/>
  <c r="N51" i="4" s="1"/>
  <c r="P50" i="5"/>
  <c r="O50" i="5" s="1"/>
  <c r="M51" i="5" s="1"/>
  <c r="K50" i="4"/>
  <c r="I51" i="4" s="1"/>
  <c r="J51" i="4" s="1"/>
  <c r="G50" i="4"/>
  <c r="E51" i="4" s="1"/>
  <c r="F51" i="4" s="1"/>
  <c r="H37" i="6"/>
  <c r="C38" i="6"/>
  <c r="K51" i="5"/>
  <c r="I52" i="5" s="1"/>
  <c r="G47" i="5"/>
  <c r="E48" i="5" s="1"/>
  <c r="Y46" i="5"/>
  <c r="W46" i="5"/>
  <c r="W46" i="4"/>
  <c r="Y46" i="4"/>
  <c r="E39" i="19" l="1"/>
  <c r="H39" i="19" s="1"/>
  <c r="C40" i="17"/>
  <c r="G40" i="17" s="1"/>
  <c r="E40" i="17" s="1"/>
  <c r="F40" i="17" s="1"/>
  <c r="P51" i="4"/>
  <c r="O51" i="4" s="1"/>
  <c r="M52" i="4" s="1"/>
  <c r="P52" i="4" s="1"/>
  <c r="L51" i="4"/>
  <c r="K51" i="4" s="1"/>
  <c r="I52" i="4" s="1"/>
  <c r="H51" i="4"/>
  <c r="G51" i="4" s="1"/>
  <c r="E52" i="4" s="1"/>
  <c r="L52" i="5"/>
  <c r="J52" i="5"/>
  <c r="I38" i="6"/>
  <c r="E38" i="6"/>
  <c r="D38" i="6" s="1"/>
  <c r="F38" i="6" s="1"/>
  <c r="G38" i="6" s="1"/>
  <c r="H48" i="5"/>
  <c r="F48" i="5"/>
  <c r="AC46" i="5"/>
  <c r="AB46" i="5"/>
  <c r="N51" i="5"/>
  <c r="P51" i="5"/>
  <c r="X46" i="5"/>
  <c r="V47" i="5" s="1"/>
  <c r="AC46" i="4"/>
  <c r="AB46" i="4"/>
  <c r="X46" i="4"/>
  <c r="V47" i="4" s="1"/>
  <c r="H40" i="17" l="1"/>
  <c r="D40" i="19"/>
  <c r="O39" i="19"/>
  <c r="F39" i="19"/>
  <c r="K52" i="5"/>
  <c r="I53" i="5" s="1"/>
  <c r="L53" i="5" s="1"/>
  <c r="L52" i="4"/>
  <c r="J52" i="4"/>
  <c r="C39" i="6"/>
  <c r="H38" i="6"/>
  <c r="G48" i="5"/>
  <c r="E49" i="5" s="1"/>
  <c r="H49" i="5" s="1"/>
  <c r="O51" i="5"/>
  <c r="M52" i="5" s="1"/>
  <c r="Y47" i="5"/>
  <c r="W47" i="5"/>
  <c r="N52" i="4"/>
  <c r="O52" i="4" s="1"/>
  <c r="M53" i="4" s="1"/>
  <c r="Y47" i="4"/>
  <c r="W47" i="4"/>
  <c r="H52" i="4"/>
  <c r="F52" i="4"/>
  <c r="C40" i="19" l="1"/>
  <c r="G40" i="19" s="1"/>
  <c r="E40" i="19" s="1"/>
  <c r="F40" i="19" s="1"/>
  <c r="D41" i="17"/>
  <c r="O40" i="17"/>
  <c r="J53" i="5"/>
  <c r="K53" i="5" s="1"/>
  <c r="I54" i="5" s="1"/>
  <c r="K52" i="4"/>
  <c r="I53" i="4" s="1"/>
  <c r="J53" i="4" s="1"/>
  <c r="F49" i="5"/>
  <c r="G49" i="5" s="1"/>
  <c r="E50" i="5" s="1"/>
  <c r="E39" i="6"/>
  <c r="D39" i="6" s="1"/>
  <c r="F39" i="6" s="1"/>
  <c r="G39" i="6" s="1"/>
  <c r="I39" i="6"/>
  <c r="P52" i="5"/>
  <c r="N52" i="5"/>
  <c r="AC47" i="5"/>
  <c r="AB47" i="5"/>
  <c r="X47" i="5"/>
  <c r="V48" i="5" s="1"/>
  <c r="G52" i="4"/>
  <c r="E53" i="4" s="1"/>
  <c r="X47" i="4"/>
  <c r="V48" i="4" s="1"/>
  <c r="P53" i="4"/>
  <c r="N53" i="4"/>
  <c r="AC47" i="4"/>
  <c r="AB47" i="4"/>
  <c r="H40" i="19" l="1"/>
  <c r="D41" i="19" s="1"/>
  <c r="C41" i="17"/>
  <c r="G41" i="17" s="1"/>
  <c r="L53" i="4"/>
  <c r="K53" i="4" s="1"/>
  <c r="I54" i="4" s="1"/>
  <c r="L54" i="4" s="1"/>
  <c r="J54" i="5"/>
  <c r="L54" i="5"/>
  <c r="H39" i="6"/>
  <c r="C40" i="6"/>
  <c r="O52" i="5"/>
  <c r="M53" i="5" s="1"/>
  <c r="P53" i="5" s="1"/>
  <c r="Y48" i="5"/>
  <c r="W48" i="5"/>
  <c r="F50" i="5"/>
  <c r="H50" i="5"/>
  <c r="O53" i="4"/>
  <c r="M54" i="4" s="1"/>
  <c r="N54" i="4" s="1"/>
  <c r="Y48" i="4"/>
  <c r="W48" i="4"/>
  <c r="H53" i="4"/>
  <c r="F53" i="4"/>
  <c r="O40" i="19" l="1"/>
  <c r="C41" i="19"/>
  <c r="G41" i="19" s="1"/>
  <c r="E41" i="17"/>
  <c r="H41" i="17" s="1"/>
  <c r="K54" i="5"/>
  <c r="I55" i="5" s="1"/>
  <c r="J55" i="5" s="1"/>
  <c r="J54" i="4"/>
  <c r="K54" i="4" s="1"/>
  <c r="I55" i="4" s="1"/>
  <c r="L55" i="4" s="1"/>
  <c r="N53" i="5"/>
  <c r="O53" i="5" s="1"/>
  <c r="M54" i="5" s="1"/>
  <c r="I40" i="6"/>
  <c r="E40" i="6"/>
  <c r="D40" i="6" s="1"/>
  <c r="F40" i="6" s="1"/>
  <c r="G40" i="6" s="1"/>
  <c r="G50" i="5"/>
  <c r="E51" i="5" s="1"/>
  <c r="AB48" i="5"/>
  <c r="AC48" i="5"/>
  <c r="X48" i="5"/>
  <c r="V49" i="5" s="1"/>
  <c r="P54" i="4"/>
  <c r="O54" i="4" s="1"/>
  <c r="M55" i="4" s="1"/>
  <c r="X48" i="4"/>
  <c r="V49" i="4" s="1"/>
  <c r="G53" i="4"/>
  <c r="E54" i="4" s="1"/>
  <c r="AC48" i="4"/>
  <c r="AB48" i="4"/>
  <c r="F41" i="17" l="1"/>
  <c r="O41" i="17"/>
  <c r="D42" i="17"/>
  <c r="E41" i="19"/>
  <c r="H41" i="19" s="1"/>
  <c r="J55" i="4"/>
  <c r="K55" i="4" s="1"/>
  <c r="I56" i="4" s="1"/>
  <c r="L55" i="5"/>
  <c r="K55" i="5" s="1"/>
  <c r="I56" i="5" s="1"/>
  <c r="P54" i="5"/>
  <c r="N54" i="5"/>
  <c r="H40" i="6"/>
  <c r="C41" i="6"/>
  <c r="Y49" i="5"/>
  <c r="W49" i="5"/>
  <c r="H51" i="5"/>
  <c r="F51" i="5"/>
  <c r="H54" i="4"/>
  <c r="F54" i="4"/>
  <c r="Y49" i="4"/>
  <c r="W49" i="4"/>
  <c r="N55" i="4"/>
  <c r="P55" i="4"/>
  <c r="D42" i="19" l="1"/>
  <c r="O41" i="19"/>
  <c r="F41" i="19"/>
  <c r="C42" i="17"/>
  <c r="G42" i="17" s="1"/>
  <c r="O54" i="5"/>
  <c r="M55" i="5" s="1"/>
  <c r="N55" i="5" s="1"/>
  <c r="I13" i="5"/>
  <c r="L13" i="5" s="1"/>
  <c r="J56" i="5"/>
  <c r="X49" i="5"/>
  <c r="V50" i="5" s="1"/>
  <c r="I41" i="6"/>
  <c r="E41" i="6"/>
  <c r="D41" i="6" s="1"/>
  <c r="F41" i="6" s="1"/>
  <c r="G41" i="6" s="1"/>
  <c r="G54" i="4"/>
  <c r="E55" i="4" s="1"/>
  <c r="G51" i="5"/>
  <c r="E52" i="5" s="1"/>
  <c r="AC49" i="5"/>
  <c r="AB49" i="5"/>
  <c r="J56" i="4"/>
  <c r="I13" i="4"/>
  <c r="L13" i="4" s="1"/>
  <c r="O55" i="4"/>
  <c r="M56" i="4" s="1"/>
  <c r="P56" i="4" s="1"/>
  <c r="X49" i="4"/>
  <c r="V50" i="4" s="1"/>
  <c r="AC49" i="4"/>
  <c r="AB49" i="4"/>
  <c r="E42" i="17" l="1"/>
  <c r="H42" i="17" s="1"/>
  <c r="C42" i="19"/>
  <c r="G42" i="19" s="1"/>
  <c r="L56" i="5"/>
  <c r="K56" i="5" s="1"/>
  <c r="I57" i="5" s="1"/>
  <c r="L57" i="5" s="1"/>
  <c r="E31" i="1"/>
  <c r="P55" i="5"/>
  <c r="O55" i="5" s="1"/>
  <c r="M56" i="5" s="1"/>
  <c r="P56" i="5" s="1"/>
  <c r="H41" i="6"/>
  <c r="C42" i="6"/>
  <c r="F52" i="5"/>
  <c r="H52" i="5"/>
  <c r="W50" i="5"/>
  <c r="Y50" i="5"/>
  <c r="L56" i="4"/>
  <c r="K56" i="4" s="1"/>
  <c r="I57" i="4" s="1"/>
  <c r="J57" i="4" s="1"/>
  <c r="M13" i="4"/>
  <c r="N56" i="4"/>
  <c r="O56" i="4" s="1"/>
  <c r="M57" i="4" s="1"/>
  <c r="Y50" i="4"/>
  <c r="W50" i="4"/>
  <c r="H55" i="4"/>
  <c r="F55" i="4"/>
  <c r="E42" i="19" l="1"/>
  <c r="H42" i="19" s="1"/>
  <c r="O42" i="17"/>
  <c r="D43" i="17"/>
  <c r="F42" i="17"/>
  <c r="G7" i="19"/>
  <c r="H10" i="19" s="1"/>
  <c r="G7" i="17"/>
  <c r="H10" i="17" s="1"/>
  <c r="J57" i="5"/>
  <c r="K57" i="5" s="1"/>
  <c r="I58" i="5" s="1"/>
  <c r="M13" i="5"/>
  <c r="N56" i="5"/>
  <c r="O56" i="5" s="1"/>
  <c r="M57" i="5" s="1"/>
  <c r="N57" i="5" s="1"/>
  <c r="E42" i="6"/>
  <c r="D42" i="6" s="1"/>
  <c r="F42" i="6" s="1"/>
  <c r="G42" i="6" s="1"/>
  <c r="I42" i="6"/>
  <c r="G52" i="5"/>
  <c r="E53" i="5" s="1"/>
  <c r="F53" i="5" s="1"/>
  <c r="X50" i="5"/>
  <c r="V51" i="5" s="1"/>
  <c r="AC50" i="5"/>
  <c r="AB50" i="5"/>
  <c r="L57" i="4"/>
  <c r="K57" i="4" s="1"/>
  <c r="I58" i="4" s="1"/>
  <c r="J58" i="4" s="1"/>
  <c r="G55" i="4"/>
  <c r="E56" i="4" s="1"/>
  <c r="X50" i="4"/>
  <c r="V51" i="4" s="1"/>
  <c r="Y51" i="4" s="1"/>
  <c r="P57" i="4"/>
  <c r="N57" i="4"/>
  <c r="AC50" i="4"/>
  <c r="AB50" i="4"/>
  <c r="D43" i="19" l="1"/>
  <c r="O42" i="19"/>
  <c r="F42" i="19"/>
  <c r="C43" i="17"/>
  <c r="G43" i="17" s="1"/>
  <c r="P57" i="5"/>
  <c r="O57" i="5" s="1"/>
  <c r="M58" i="5" s="1"/>
  <c r="P58" i="5" s="1"/>
  <c r="H53" i="5"/>
  <c r="G53" i="5" s="1"/>
  <c r="E54" i="5" s="1"/>
  <c r="F54" i="5" s="1"/>
  <c r="W51" i="4"/>
  <c r="X51" i="4" s="1"/>
  <c r="V52" i="4" s="1"/>
  <c r="C43" i="6"/>
  <c r="H42" i="6"/>
  <c r="L58" i="4"/>
  <c r="K58" i="4" s="1"/>
  <c r="I59" i="4" s="1"/>
  <c r="L59" i="4" s="1"/>
  <c r="W51" i="5"/>
  <c r="Y51" i="5"/>
  <c r="L58" i="5"/>
  <c r="J58" i="5"/>
  <c r="O57" i="4"/>
  <c r="M58" i="4" s="1"/>
  <c r="AB51" i="4"/>
  <c r="AC51" i="4"/>
  <c r="F56" i="4"/>
  <c r="E13" i="4"/>
  <c r="H13" i="4" s="1"/>
  <c r="H56" i="4" s="1"/>
  <c r="E43" i="17" l="1"/>
  <c r="H43" i="17" s="1"/>
  <c r="C43" i="19"/>
  <c r="G43" i="19" s="1"/>
  <c r="N58" i="5"/>
  <c r="O58" i="5" s="1"/>
  <c r="M59" i="5" s="1"/>
  <c r="H54" i="5"/>
  <c r="G54" i="5" s="1"/>
  <c r="E55" i="5" s="1"/>
  <c r="K58" i="5"/>
  <c r="I59" i="5" s="1"/>
  <c r="J59" i="5" s="1"/>
  <c r="I43" i="6"/>
  <c r="E43" i="6"/>
  <c r="D43" i="6" s="1"/>
  <c r="F43" i="6" s="1"/>
  <c r="G43" i="6" s="1"/>
  <c r="J59" i="4"/>
  <c r="K59" i="4" s="1"/>
  <c r="I60" i="4" s="1"/>
  <c r="L60" i="4" s="1"/>
  <c r="AC51" i="5"/>
  <c r="AB51" i="5"/>
  <c r="X51" i="5"/>
  <c r="V52" i="5" s="1"/>
  <c r="G56" i="4"/>
  <c r="E57" i="4" s="1"/>
  <c r="F57" i="4" s="1"/>
  <c r="P58" i="4"/>
  <c r="N58" i="4"/>
  <c r="Y52" i="4"/>
  <c r="W52" i="4"/>
  <c r="E43" i="19" l="1"/>
  <c r="H43" i="19" s="1"/>
  <c r="D44" i="17"/>
  <c r="I43" i="17"/>
  <c r="O43" i="17"/>
  <c r="F43" i="17"/>
  <c r="P59" i="5"/>
  <c r="N59" i="5"/>
  <c r="L59" i="5"/>
  <c r="K59" i="5" s="1"/>
  <c r="I60" i="5" s="1"/>
  <c r="H43" i="6"/>
  <c r="C44" i="6"/>
  <c r="H57" i="4"/>
  <c r="G57" i="4" s="1"/>
  <c r="E58" i="4" s="1"/>
  <c r="H58" i="4" s="1"/>
  <c r="J60" i="4"/>
  <c r="K60" i="4" s="1"/>
  <c r="I61" i="4" s="1"/>
  <c r="L61" i="4" s="1"/>
  <c r="W52" i="5"/>
  <c r="Y52" i="5"/>
  <c r="F55" i="5"/>
  <c r="H55" i="5"/>
  <c r="O58" i="4"/>
  <c r="M59" i="4" s="1"/>
  <c r="N59" i="4" s="1"/>
  <c r="AC52" i="4"/>
  <c r="AB52" i="4"/>
  <c r="X52" i="4"/>
  <c r="V53" i="4" s="1"/>
  <c r="C44" i="17" l="1"/>
  <c r="G44" i="17" s="1"/>
  <c r="I43" i="19"/>
  <c r="D44" i="19"/>
  <c r="O43" i="19"/>
  <c r="F43" i="19"/>
  <c r="O59" i="5"/>
  <c r="M60" i="5" s="1"/>
  <c r="P60" i="5" s="1"/>
  <c r="I44" i="6"/>
  <c r="E44" i="6"/>
  <c r="D44" i="6" s="1"/>
  <c r="F44" i="6" s="1"/>
  <c r="G44" i="6" s="1"/>
  <c r="P59" i="4"/>
  <c r="O59" i="4" s="1"/>
  <c r="M60" i="4" s="1"/>
  <c r="F58" i="4"/>
  <c r="G58" i="4" s="1"/>
  <c r="E59" i="4" s="1"/>
  <c r="J61" i="4"/>
  <c r="K61" i="4" s="1"/>
  <c r="I62" i="4" s="1"/>
  <c r="G55" i="5"/>
  <c r="E56" i="5" s="1"/>
  <c r="F56" i="5" s="1"/>
  <c r="L60" i="5"/>
  <c r="J60" i="5"/>
  <c r="X52" i="5"/>
  <c r="V53" i="5" s="1"/>
  <c r="AB52" i="5"/>
  <c r="AC52" i="5"/>
  <c r="Y53" i="4"/>
  <c r="W53" i="4"/>
  <c r="C44" i="19" l="1"/>
  <c r="G44" i="19" s="1"/>
  <c r="E44" i="19" s="1"/>
  <c r="F44" i="19" s="1"/>
  <c r="E44" i="17"/>
  <c r="H44" i="17" s="1"/>
  <c r="N60" i="5"/>
  <c r="O60" i="5" s="1"/>
  <c r="M61" i="5" s="1"/>
  <c r="E13" i="5"/>
  <c r="H13" i="5" s="1"/>
  <c r="H56" i="5" s="1"/>
  <c r="G56" i="5" s="1"/>
  <c r="E57" i="5" s="1"/>
  <c r="L62" i="4"/>
  <c r="J62" i="4"/>
  <c r="C45" i="6"/>
  <c r="H44" i="6"/>
  <c r="K60" i="5"/>
  <c r="I61" i="5" s="1"/>
  <c r="Y53" i="5"/>
  <c r="W53" i="5"/>
  <c r="H59" i="4"/>
  <c r="F59" i="4"/>
  <c r="P60" i="4"/>
  <c r="N60" i="4"/>
  <c r="AC53" i="4"/>
  <c r="AB53" i="4"/>
  <c r="X53" i="4"/>
  <c r="V54" i="4" s="1"/>
  <c r="H44" i="19" l="1"/>
  <c r="O44" i="19" s="1"/>
  <c r="D45" i="17"/>
  <c r="C45" i="17" s="1"/>
  <c r="G45" i="17" s="1"/>
  <c r="O44" i="17"/>
  <c r="F44" i="17"/>
  <c r="K62" i="4"/>
  <c r="I63" i="4" s="1"/>
  <c r="L63" i="4" s="1"/>
  <c r="N61" i="5"/>
  <c r="P61" i="5"/>
  <c r="E45" i="6"/>
  <c r="D45" i="6" s="1"/>
  <c r="F45" i="6" s="1"/>
  <c r="G45" i="6" s="1"/>
  <c r="I45" i="6"/>
  <c r="H57" i="5"/>
  <c r="F57" i="5"/>
  <c r="AC53" i="5"/>
  <c r="AB53" i="5"/>
  <c r="L61" i="5"/>
  <c r="J61" i="5"/>
  <c r="X53" i="5"/>
  <c r="V54" i="5" s="1"/>
  <c r="G59" i="4"/>
  <c r="E60" i="4" s="1"/>
  <c r="O60" i="4"/>
  <c r="M61" i="4" s="1"/>
  <c r="W54" i="4"/>
  <c r="Y54" i="4"/>
  <c r="D45" i="19" l="1"/>
  <c r="C45" i="19" s="1"/>
  <c r="G45" i="19" s="1"/>
  <c r="E45" i="19" s="1"/>
  <c r="F45" i="19" s="1"/>
  <c r="E45" i="17"/>
  <c r="F45" i="17" s="1"/>
  <c r="J63" i="4"/>
  <c r="K63" i="4" s="1"/>
  <c r="I64" i="4" s="1"/>
  <c r="L64" i="4" s="1"/>
  <c r="X54" i="4"/>
  <c r="V55" i="4" s="1"/>
  <c r="O61" i="5"/>
  <c r="M62" i="5" s="1"/>
  <c r="C46" i="6"/>
  <c r="H45" i="6"/>
  <c r="K61" i="5"/>
  <c r="I62" i="5" s="1"/>
  <c r="L62" i="5" s="1"/>
  <c r="G57" i="5"/>
  <c r="E58" i="5" s="1"/>
  <c r="W54" i="5"/>
  <c r="Y54" i="5"/>
  <c r="AC54" i="4"/>
  <c r="AB54" i="4"/>
  <c r="P61" i="4"/>
  <c r="N61" i="4"/>
  <c r="H60" i="4"/>
  <c r="F60" i="4"/>
  <c r="H45" i="19" l="1"/>
  <c r="D46" i="19" s="1"/>
  <c r="C46" i="19" s="1"/>
  <c r="G46" i="19" s="1"/>
  <c r="H45" i="17"/>
  <c r="J64" i="4"/>
  <c r="K64" i="4" s="1"/>
  <c r="I65" i="4" s="1"/>
  <c r="L65" i="4" s="1"/>
  <c r="J62" i="5"/>
  <c r="K62" i="5" s="1"/>
  <c r="I63" i="5" s="1"/>
  <c r="P62" i="5"/>
  <c r="N62" i="5"/>
  <c r="I46" i="6"/>
  <c r="E46" i="6"/>
  <c r="D46" i="6" s="1"/>
  <c r="F46" i="6" s="1"/>
  <c r="G46" i="6" s="1"/>
  <c r="H58" i="5"/>
  <c r="F58" i="5"/>
  <c r="AC54" i="5"/>
  <c r="AB54" i="5"/>
  <c r="X54" i="5"/>
  <c r="V55" i="5" s="1"/>
  <c r="G60" i="4"/>
  <c r="E61" i="4" s="1"/>
  <c r="O61" i="4"/>
  <c r="M62" i="4" s="1"/>
  <c r="Y55" i="4"/>
  <c r="AC55" i="4" s="1"/>
  <c r="W55" i="4"/>
  <c r="AB55" i="4" s="1"/>
  <c r="AB16" i="4" s="1"/>
  <c r="O45" i="19" l="1"/>
  <c r="E46" i="19"/>
  <c r="F46" i="19" s="1"/>
  <c r="D46" i="17"/>
  <c r="C46" i="17" s="1"/>
  <c r="G46" i="17" s="1"/>
  <c r="E46" i="17" s="1"/>
  <c r="F46" i="17" s="1"/>
  <c r="O45" i="17"/>
  <c r="J65" i="4"/>
  <c r="K65" i="4" s="1"/>
  <c r="I66" i="4" s="1"/>
  <c r="O62" i="5"/>
  <c r="M63" i="5" s="1"/>
  <c r="N63" i="5" s="1"/>
  <c r="H46" i="6"/>
  <c r="C47" i="6"/>
  <c r="G58" i="5"/>
  <c r="E59" i="5" s="1"/>
  <c r="W55" i="5"/>
  <c r="AB55" i="5" s="1"/>
  <c r="AB16" i="5" s="1"/>
  <c r="Y55" i="5"/>
  <c r="AC55" i="5" s="1"/>
  <c r="L63" i="5"/>
  <c r="J63" i="5"/>
  <c r="H61" i="4"/>
  <c r="F61" i="4"/>
  <c r="X55" i="4"/>
  <c r="V56" i="4" s="1"/>
  <c r="P62" i="4"/>
  <c r="N62" i="4"/>
  <c r="H46" i="17" l="1"/>
  <c r="H46" i="19"/>
  <c r="P63" i="5"/>
  <c r="O63" i="5" s="1"/>
  <c r="M64" i="5" s="1"/>
  <c r="N64" i="5" s="1"/>
  <c r="J66" i="4"/>
  <c r="L66" i="4"/>
  <c r="G61" i="4"/>
  <c r="E62" i="4" s="1"/>
  <c r="H62" i="4" s="1"/>
  <c r="I47" i="6"/>
  <c r="E47" i="6"/>
  <c r="D47" i="6" s="1"/>
  <c r="F47" i="6" s="1"/>
  <c r="G47" i="6" s="1"/>
  <c r="K63" i="5"/>
  <c r="I64" i="5" s="1"/>
  <c r="X55" i="5"/>
  <c r="V56" i="5" s="1"/>
  <c r="H59" i="5"/>
  <c r="F59" i="5"/>
  <c r="O62" i="4"/>
  <c r="M63" i="4" s="1"/>
  <c r="P63" i="4" s="1"/>
  <c r="Y56" i="4"/>
  <c r="AC56" i="4" s="1"/>
  <c r="W56" i="4"/>
  <c r="O46" i="19" l="1"/>
  <c r="D47" i="19"/>
  <c r="D47" i="17"/>
  <c r="C47" i="17" s="1"/>
  <c r="G47" i="17" s="1"/>
  <c r="E47" i="17" s="1"/>
  <c r="F47" i="17" s="1"/>
  <c r="O46" i="17"/>
  <c r="P64" i="5"/>
  <c r="O64" i="5" s="1"/>
  <c r="M65" i="5" s="1"/>
  <c r="N65" i="5" s="1"/>
  <c r="K66" i="4"/>
  <c r="I67" i="4" s="1"/>
  <c r="J67" i="4" s="1"/>
  <c r="F62" i="4"/>
  <c r="G62" i="4" s="1"/>
  <c r="E63" i="4" s="1"/>
  <c r="H63" i="4" s="1"/>
  <c r="H47" i="6"/>
  <c r="C48" i="6"/>
  <c r="G59" i="5"/>
  <c r="E60" i="5" s="1"/>
  <c r="Y56" i="5"/>
  <c r="AC56" i="5" s="1"/>
  <c r="W56" i="5"/>
  <c r="J64" i="5"/>
  <c r="L64" i="5"/>
  <c r="X56" i="4"/>
  <c r="V57" i="4" s="1"/>
  <c r="W57" i="4" s="1"/>
  <c r="N63" i="4"/>
  <c r="O63" i="4" s="1"/>
  <c r="M64" i="4" s="1"/>
  <c r="H47" i="17" l="1"/>
  <c r="C47" i="19"/>
  <c r="G47" i="19" s="1"/>
  <c r="L67" i="4"/>
  <c r="K67" i="4" s="1"/>
  <c r="I68" i="4" s="1"/>
  <c r="L68" i="4" s="1"/>
  <c r="P65" i="5"/>
  <c r="O65" i="5" s="1"/>
  <c r="M66" i="5" s="1"/>
  <c r="E48" i="6"/>
  <c r="D48" i="6" s="1"/>
  <c r="F48" i="6" s="1"/>
  <c r="G48" i="6" s="1"/>
  <c r="I48" i="6"/>
  <c r="Y57" i="4"/>
  <c r="AC57" i="4" s="1"/>
  <c r="K64" i="5"/>
  <c r="I65" i="5" s="1"/>
  <c r="J65" i="5" s="1"/>
  <c r="F60" i="5"/>
  <c r="H60" i="5"/>
  <c r="X56" i="5"/>
  <c r="V57" i="5" s="1"/>
  <c r="F63" i="4"/>
  <c r="G63" i="4" s="1"/>
  <c r="E64" i="4" s="1"/>
  <c r="H64" i="4" s="1"/>
  <c r="P64" i="4"/>
  <c r="N64" i="4"/>
  <c r="E47" i="19" l="1"/>
  <c r="H47" i="19" s="1"/>
  <c r="O47" i="17"/>
  <c r="D48" i="17"/>
  <c r="C48" i="17" s="1"/>
  <c r="G48" i="17" s="1"/>
  <c r="E48" i="17" s="1"/>
  <c r="F48" i="17" s="1"/>
  <c r="J68" i="4"/>
  <c r="K68" i="4" s="1"/>
  <c r="I69" i="4" s="1"/>
  <c r="L69" i="4" s="1"/>
  <c r="P66" i="5"/>
  <c r="N66" i="5"/>
  <c r="X57" i="4"/>
  <c r="V58" i="4" s="1"/>
  <c r="W58" i="4" s="1"/>
  <c r="H48" i="6"/>
  <c r="C49" i="6"/>
  <c r="L65" i="5"/>
  <c r="K65" i="5" s="1"/>
  <c r="I66" i="5" s="1"/>
  <c r="W57" i="5"/>
  <c r="Y57" i="5"/>
  <c r="AC57" i="5" s="1"/>
  <c r="G60" i="5"/>
  <c r="E61" i="5" s="1"/>
  <c r="F64" i="4"/>
  <c r="G64" i="4" s="1"/>
  <c r="E65" i="4" s="1"/>
  <c r="H65" i="4" s="1"/>
  <c r="O64" i="4"/>
  <c r="M65" i="4" s="1"/>
  <c r="H48" i="17" l="1"/>
  <c r="D48" i="19"/>
  <c r="C48" i="19" s="1"/>
  <c r="G48" i="19" s="1"/>
  <c r="O47" i="19"/>
  <c r="F47" i="19"/>
  <c r="O66" i="5"/>
  <c r="M67" i="5" s="1"/>
  <c r="P67" i="5" s="1"/>
  <c r="Y58" i="4"/>
  <c r="AC58" i="4" s="1"/>
  <c r="I49" i="6"/>
  <c r="E49" i="6"/>
  <c r="D49" i="6" s="1"/>
  <c r="F49" i="6" s="1"/>
  <c r="G49" i="6" s="1"/>
  <c r="F65" i="4"/>
  <c r="G65" i="4" s="1"/>
  <c r="E66" i="4" s="1"/>
  <c r="H66" i="4" s="1"/>
  <c r="L66" i="5"/>
  <c r="J66" i="5"/>
  <c r="H61" i="5"/>
  <c r="F61" i="5"/>
  <c r="X57" i="5"/>
  <c r="V58" i="5" s="1"/>
  <c r="J69" i="4"/>
  <c r="K69" i="4" s="1"/>
  <c r="I70" i="4" s="1"/>
  <c r="P65" i="4"/>
  <c r="N65" i="4"/>
  <c r="E48" i="19" l="1"/>
  <c r="F48" i="19" s="1"/>
  <c r="D49" i="17"/>
  <c r="O48" i="17"/>
  <c r="N67" i="5"/>
  <c r="O67" i="5" s="1"/>
  <c r="M68" i="5" s="1"/>
  <c r="X58" i="4"/>
  <c r="V59" i="4" s="1"/>
  <c r="Y59" i="4" s="1"/>
  <c r="AC59" i="4" s="1"/>
  <c r="K66" i="5"/>
  <c r="I67" i="5" s="1"/>
  <c r="J67" i="5" s="1"/>
  <c r="H49" i="6"/>
  <c r="C50" i="6"/>
  <c r="G61" i="5"/>
  <c r="E62" i="5" s="1"/>
  <c r="Y58" i="5"/>
  <c r="AC58" i="5" s="1"/>
  <c r="W58" i="5"/>
  <c r="F66" i="4"/>
  <c r="G66" i="4" s="1"/>
  <c r="E67" i="4" s="1"/>
  <c r="H67" i="4" s="1"/>
  <c r="O65" i="4"/>
  <c r="M66" i="4" s="1"/>
  <c r="J70" i="4"/>
  <c r="L70" i="4"/>
  <c r="C49" i="17" l="1"/>
  <c r="G49" i="17" s="1"/>
  <c r="H48" i="19"/>
  <c r="M14" i="5"/>
  <c r="P14" i="5" s="1"/>
  <c r="P68" i="5" s="1"/>
  <c r="N68" i="5"/>
  <c r="W59" i="4"/>
  <c r="X59" i="4" s="1"/>
  <c r="V60" i="4" s="1"/>
  <c r="L67" i="5"/>
  <c r="K67" i="5" s="1"/>
  <c r="I68" i="5" s="1"/>
  <c r="I50" i="6"/>
  <c r="E50" i="6"/>
  <c r="D50" i="6" s="1"/>
  <c r="F50" i="6" s="1"/>
  <c r="G50" i="6" s="1"/>
  <c r="X58" i="5"/>
  <c r="V59" i="5" s="1"/>
  <c r="H62" i="5"/>
  <c r="F62" i="5"/>
  <c r="F67" i="4"/>
  <c r="G67" i="4" s="1"/>
  <c r="E68" i="4" s="1"/>
  <c r="F68" i="4" s="1"/>
  <c r="K70" i="4"/>
  <c r="I71" i="4" s="1"/>
  <c r="P66" i="4"/>
  <c r="N66" i="4"/>
  <c r="D49" i="19" l="1"/>
  <c r="O48" i="19"/>
  <c r="E49" i="17"/>
  <c r="H49" i="17" s="1"/>
  <c r="O68" i="5"/>
  <c r="M69" i="5" s="1"/>
  <c r="H50" i="6"/>
  <c r="C51" i="6"/>
  <c r="G62" i="5"/>
  <c r="E63" i="5" s="1"/>
  <c r="L68" i="5"/>
  <c r="J68" i="5"/>
  <c r="Y59" i="5"/>
  <c r="AC59" i="5" s="1"/>
  <c r="W59" i="5"/>
  <c r="E14" i="4"/>
  <c r="H14" i="4" s="1"/>
  <c r="H68" i="4" s="1"/>
  <c r="G68" i="4" s="1"/>
  <c r="E69" i="4" s="1"/>
  <c r="J71" i="4"/>
  <c r="L71" i="4"/>
  <c r="O66" i="4"/>
  <c r="M67" i="4" s="1"/>
  <c r="Y60" i="4"/>
  <c r="AC60" i="4" s="1"/>
  <c r="W60" i="4"/>
  <c r="F49" i="17" l="1"/>
  <c r="D50" i="17"/>
  <c r="O49" i="17"/>
  <c r="C49" i="19"/>
  <c r="N69" i="5"/>
  <c r="P69" i="5"/>
  <c r="K68" i="5"/>
  <c r="I69" i="5" s="1"/>
  <c r="J69" i="5" s="1"/>
  <c r="E51" i="6"/>
  <c r="D51" i="6" s="1"/>
  <c r="F51" i="6" s="1"/>
  <c r="G51" i="6" s="1"/>
  <c r="I51" i="6"/>
  <c r="X59" i="5"/>
  <c r="V60" i="5" s="1"/>
  <c r="H63" i="5"/>
  <c r="F63" i="5"/>
  <c r="K71" i="4"/>
  <c r="I72" i="4" s="1"/>
  <c r="P67" i="4"/>
  <c r="N67" i="4"/>
  <c r="X60" i="4"/>
  <c r="V61" i="4" s="1"/>
  <c r="H69" i="4"/>
  <c r="F69" i="4"/>
  <c r="G49" i="19" l="1"/>
  <c r="C50" i="17"/>
  <c r="G50" i="17" s="1"/>
  <c r="O69" i="5"/>
  <c r="M70" i="5" s="1"/>
  <c r="L69" i="5"/>
  <c r="K69" i="5" s="1"/>
  <c r="I70" i="5" s="1"/>
  <c r="L70" i="5" s="1"/>
  <c r="H51" i="6"/>
  <c r="C52" i="6"/>
  <c r="G63" i="5"/>
  <c r="E64" i="5" s="1"/>
  <c r="Y60" i="5"/>
  <c r="AC60" i="5" s="1"/>
  <c r="W60" i="5"/>
  <c r="G69" i="4"/>
  <c r="E70" i="4" s="1"/>
  <c r="H70" i="4" s="1"/>
  <c r="O67" i="4"/>
  <c r="M68" i="4" s="1"/>
  <c r="Y61" i="4"/>
  <c r="AC61" i="4" s="1"/>
  <c r="W61" i="4"/>
  <c r="L72" i="4"/>
  <c r="J72" i="4"/>
  <c r="E50" i="17" l="1"/>
  <c r="H50" i="17" s="1"/>
  <c r="E49" i="19"/>
  <c r="F49" i="19" s="1"/>
  <c r="P70" i="5"/>
  <c r="N70" i="5"/>
  <c r="J70" i="5"/>
  <c r="K70" i="5" s="1"/>
  <c r="I71" i="5" s="1"/>
  <c r="L71" i="5" s="1"/>
  <c r="I52" i="6"/>
  <c r="E52" i="6"/>
  <c r="D52" i="6" s="1"/>
  <c r="F52" i="6" s="1"/>
  <c r="G52" i="6" s="1"/>
  <c r="X60" i="5"/>
  <c r="V61" i="5" s="1"/>
  <c r="H64" i="5"/>
  <c r="F64" i="5"/>
  <c r="F70" i="4"/>
  <c r="G70" i="4" s="1"/>
  <c r="E71" i="4" s="1"/>
  <c r="K72" i="4"/>
  <c r="I73" i="4" s="1"/>
  <c r="L73" i="4" s="1"/>
  <c r="X61" i="4"/>
  <c r="V62" i="4" s="1"/>
  <c r="N68" i="4"/>
  <c r="M14" i="4"/>
  <c r="P14" i="4" s="1"/>
  <c r="P68" i="4" s="1"/>
  <c r="H49" i="19" l="1"/>
  <c r="D51" i="17"/>
  <c r="O50" i="17"/>
  <c r="F50" i="17"/>
  <c r="O70" i="5"/>
  <c r="M71" i="5" s="1"/>
  <c r="H52" i="6"/>
  <c r="C53" i="6"/>
  <c r="G64" i="5"/>
  <c r="E65" i="5" s="1"/>
  <c r="J71" i="5"/>
  <c r="K71" i="5" s="1"/>
  <c r="I72" i="5" s="1"/>
  <c r="J72" i="5" s="1"/>
  <c r="W61" i="5"/>
  <c r="Y61" i="5"/>
  <c r="AC61" i="5" s="1"/>
  <c r="H71" i="4"/>
  <c r="F71" i="4"/>
  <c r="J73" i="4"/>
  <c r="K73" i="4" s="1"/>
  <c r="I74" i="4" s="1"/>
  <c r="O68" i="4"/>
  <c r="M69" i="4" s="1"/>
  <c r="Y62" i="4"/>
  <c r="AC62" i="4" s="1"/>
  <c r="W62" i="4"/>
  <c r="C51" i="17" l="1"/>
  <c r="G51" i="17" s="1"/>
  <c r="E51" i="17" s="1"/>
  <c r="F51" i="17" s="1"/>
  <c r="O49" i="19"/>
  <c r="D50" i="19"/>
  <c r="N71" i="5"/>
  <c r="P71" i="5"/>
  <c r="L72" i="5"/>
  <c r="K72" i="5" s="1"/>
  <c r="I73" i="5" s="1"/>
  <c r="I53" i="6"/>
  <c r="E53" i="6"/>
  <c r="D53" i="6" s="1"/>
  <c r="F53" i="6" s="1"/>
  <c r="G53" i="6" s="1"/>
  <c r="H65" i="5"/>
  <c r="F65" i="5"/>
  <c r="X61" i="5"/>
  <c r="V62" i="5" s="1"/>
  <c r="G71" i="4"/>
  <c r="E72" i="4" s="1"/>
  <c r="H72" i="4" s="1"/>
  <c r="L74" i="4"/>
  <c r="J74" i="4"/>
  <c r="P69" i="4"/>
  <c r="N69" i="4"/>
  <c r="X62" i="4"/>
  <c r="V63" i="4" s="1"/>
  <c r="H51" i="17" l="1"/>
  <c r="O51" i="17" s="1"/>
  <c r="C50" i="19"/>
  <c r="O71" i="5"/>
  <c r="M72" i="5" s="1"/>
  <c r="N72" i="5" s="1"/>
  <c r="K74" i="4"/>
  <c r="I75" i="4" s="1"/>
  <c r="L75" i="4" s="1"/>
  <c r="H53" i="6"/>
  <c r="C54" i="6"/>
  <c r="J73" i="5"/>
  <c r="L73" i="5"/>
  <c r="G65" i="5"/>
  <c r="E66" i="5" s="1"/>
  <c r="Y62" i="5"/>
  <c r="AC62" i="5" s="1"/>
  <c r="W62" i="5"/>
  <c r="F72" i="4"/>
  <c r="G72" i="4" s="1"/>
  <c r="E73" i="4" s="1"/>
  <c r="O69" i="4"/>
  <c r="M70" i="4" s="1"/>
  <c r="N70" i="4" s="1"/>
  <c r="Y63" i="4"/>
  <c r="AC63" i="4" s="1"/>
  <c r="W63" i="4"/>
  <c r="D52" i="17" l="1"/>
  <c r="C52" i="17" s="1"/>
  <c r="G50" i="19"/>
  <c r="P72" i="5"/>
  <c r="O72" i="5" s="1"/>
  <c r="M73" i="5" s="1"/>
  <c r="J75" i="4"/>
  <c r="K75" i="4" s="1"/>
  <c r="I76" i="4" s="1"/>
  <c r="L76" i="4" s="1"/>
  <c r="E54" i="6"/>
  <c r="D54" i="6" s="1"/>
  <c r="F54" i="6" s="1"/>
  <c r="G54" i="6" s="1"/>
  <c r="I54" i="6"/>
  <c r="K73" i="5"/>
  <c r="I74" i="5" s="1"/>
  <c r="H66" i="5"/>
  <c r="F66" i="5"/>
  <c r="X62" i="5"/>
  <c r="V63" i="5" s="1"/>
  <c r="P70" i="4"/>
  <c r="O70" i="4" s="1"/>
  <c r="M71" i="4" s="1"/>
  <c r="F73" i="4"/>
  <c r="H73" i="4"/>
  <c r="X63" i="4"/>
  <c r="V64" i="4" s="1"/>
  <c r="E50" i="19" l="1"/>
  <c r="F50" i="19" s="1"/>
  <c r="G52" i="17"/>
  <c r="N73" i="5"/>
  <c r="P73" i="5"/>
  <c r="G66" i="5"/>
  <c r="E67" i="5" s="1"/>
  <c r="C55" i="6"/>
  <c r="H54" i="6"/>
  <c r="J74" i="5"/>
  <c r="L74" i="5"/>
  <c r="Y63" i="5"/>
  <c r="AC63" i="5" s="1"/>
  <c r="W63" i="5"/>
  <c r="G73" i="4"/>
  <c r="E74" i="4" s="1"/>
  <c r="H74" i="4" s="1"/>
  <c r="J76" i="4"/>
  <c r="K76" i="4" s="1"/>
  <c r="I77" i="4" s="1"/>
  <c r="J77" i="4" s="1"/>
  <c r="P71" i="4"/>
  <c r="N71" i="4"/>
  <c r="Y64" i="4"/>
  <c r="AC64" i="4" s="1"/>
  <c r="W64" i="4"/>
  <c r="E52" i="17" l="1"/>
  <c r="F52" i="17" s="1"/>
  <c r="H50" i="19"/>
  <c r="O73" i="5"/>
  <c r="M74" i="5" s="1"/>
  <c r="N74" i="5" s="1"/>
  <c r="F74" i="4"/>
  <c r="G74" i="4" s="1"/>
  <c r="E75" i="4" s="1"/>
  <c r="H75" i="4" s="1"/>
  <c r="I55" i="6"/>
  <c r="E55" i="6"/>
  <c r="D55" i="6" s="1"/>
  <c r="F55" i="6" s="1"/>
  <c r="G55" i="6" s="1"/>
  <c r="K74" i="5"/>
  <c r="I75" i="5" s="1"/>
  <c r="X63" i="5"/>
  <c r="V64" i="5" s="1"/>
  <c r="F67" i="5"/>
  <c r="H67" i="5"/>
  <c r="L77" i="4"/>
  <c r="K77" i="4" s="1"/>
  <c r="I78" i="4" s="1"/>
  <c r="O71" i="4"/>
  <c r="M72" i="4" s="1"/>
  <c r="P72" i="4" s="1"/>
  <c r="X64" i="4"/>
  <c r="V65" i="4" s="1"/>
  <c r="H52" i="17" l="1"/>
  <c r="D53" i="17" s="1"/>
  <c r="D51" i="19"/>
  <c r="O50" i="19"/>
  <c r="P74" i="5"/>
  <c r="O74" i="5" s="1"/>
  <c r="M75" i="5" s="1"/>
  <c r="P75" i="5" s="1"/>
  <c r="F75" i="4"/>
  <c r="G75" i="4" s="1"/>
  <c r="E76" i="4" s="1"/>
  <c r="F76" i="4" s="1"/>
  <c r="H55" i="6"/>
  <c r="C56" i="6"/>
  <c r="J75" i="5"/>
  <c r="L75" i="5"/>
  <c r="Y64" i="5"/>
  <c r="AC64" i="5" s="1"/>
  <c r="W64" i="5"/>
  <c r="G67" i="5"/>
  <c r="E68" i="5" s="1"/>
  <c r="N72" i="4"/>
  <c r="O72" i="4" s="1"/>
  <c r="M73" i="4" s="1"/>
  <c r="L78" i="4"/>
  <c r="J78" i="4"/>
  <c r="Y65" i="4"/>
  <c r="AC65" i="4" s="1"/>
  <c r="W65" i="4"/>
  <c r="O52" i="17" l="1"/>
  <c r="C53" i="17"/>
  <c r="C51" i="19"/>
  <c r="N75" i="5"/>
  <c r="O75" i="5" s="1"/>
  <c r="M76" i="5" s="1"/>
  <c r="N76" i="5" s="1"/>
  <c r="I56" i="6"/>
  <c r="E56" i="6"/>
  <c r="D56" i="6" s="1"/>
  <c r="F56" i="6" s="1"/>
  <c r="G56" i="6" s="1"/>
  <c r="H76" i="4"/>
  <c r="G76" i="4" s="1"/>
  <c r="E77" i="4" s="1"/>
  <c r="K75" i="5"/>
  <c r="I76" i="5" s="1"/>
  <c r="J76" i="5" s="1"/>
  <c r="F68" i="5"/>
  <c r="E14" i="5"/>
  <c r="H14" i="5" s="1"/>
  <c r="H68" i="5" s="1"/>
  <c r="X64" i="5"/>
  <c r="V65" i="5" s="1"/>
  <c r="K78" i="4"/>
  <c r="I79" i="4" s="1"/>
  <c r="L79" i="4" s="1"/>
  <c r="P73" i="4"/>
  <c r="N73" i="4"/>
  <c r="X65" i="4"/>
  <c r="V66" i="4" s="1"/>
  <c r="G51" i="19" l="1"/>
  <c r="G53" i="17"/>
  <c r="P76" i="5"/>
  <c r="O76" i="5" s="1"/>
  <c r="M77" i="5" s="1"/>
  <c r="P77" i="5" s="1"/>
  <c r="L76" i="5"/>
  <c r="K76" i="5" s="1"/>
  <c r="I77" i="5" s="1"/>
  <c r="H56" i="6"/>
  <c r="C57" i="6"/>
  <c r="O73" i="4"/>
  <c r="M74" i="4" s="1"/>
  <c r="G68" i="5"/>
  <c r="E69" i="5" s="1"/>
  <c r="Y65" i="5"/>
  <c r="AC65" i="5" s="1"/>
  <c r="W65" i="5"/>
  <c r="J79" i="4"/>
  <c r="K79" i="4" s="1"/>
  <c r="I80" i="4" s="1"/>
  <c r="L80" i="4" s="1"/>
  <c r="Y66" i="4"/>
  <c r="AC66" i="4" s="1"/>
  <c r="W66" i="4"/>
  <c r="H77" i="4"/>
  <c r="F77" i="4"/>
  <c r="E53" i="17" l="1"/>
  <c r="F53" i="17" s="1"/>
  <c r="E51" i="19"/>
  <c r="F51" i="19" s="1"/>
  <c r="N77" i="5"/>
  <c r="O77" i="5" s="1"/>
  <c r="M78" i="5" s="1"/>
  <c r="E57" i="6"/>
  <c r="D57" i="6" s="1"/>
  <c r="F57" i="6" s="1"/>
  <c r="G57" i="6" s="1"/>
  <c r="I57" i="6"/>
  <c r="J77" i="5"/>
  <c r="L77" i="5"/>
  <c r="X65" i="5"/>
  <c r="V66" i="5" s="1"/>
  <c r="F69" i="5"/>
  <c r="H69" i="5"/>
  <c r="J80" i="4"/>
  <c r="K80" i="4" s="1"/>
  <c r="I81" i="4" s="1"/>
  <c r="G77" i="4"/>
  <c r="E78" i="4" s="1"/>
  <c r="X66" i="4"/>
  <c r="V67" i="4" s="1"/>
  <c r="N74" i="4"/>
  <c r="P74" i="4"/>
  <c r="H51" i="19" l="1"/>
  <c r="D52" i="19" s="1"/>
  <c r="H53" i="17"/>
  <c r="P78" i="5"/>
  <c r="N78" i="5"/>
  <c r="K77" i="5"/>
  <c r="I78" i="5" s="1"/>
  <c r="L78" i="5" s="1"/>
  <c r="C58" i="6"/>
  <c r="H57" i="6"/>
  <c r="G69" i="5"/>
  <c r="E70" i="5" s="1"/>
  <c r="Y66" i="5"/>
  <c r="AC66" i="5" s="1"/>
  <c r="W66" i="5"/>
  <c r="O74" i="4"/>
  <c r="M75" i="4" s="1"/>
  <c r="F78" i="4"/>
  <c r="H78" i="4"/>
  <c r="Y67" i="4"/>
  <c r="W67" i="4"/>
  <c r="AC67" i="4" s="1"/>
  <c r="AC16" i="4" s="1"/>
  <c r="L81" i="4"/>
  <c r="J81" i="4"/>
  <c r="O51" i="19" l="1"/>
  <c r="O53" i="17"/>
  <c r="D54" i="17"/>
  <c r="C52" i="19"/>
  <c r="O78" i="5"/>
  <c r="M79" i="5" s="1"/>
  <c r="P79" i="5" s="1"/>
  <c r="K81" i="4"/>
  <c r="I82" i="4" s="1"/>
  <c r="J78" i="5"/>
  <c r="K78" i="5" s="1"/>
  <c r="I79" i="5" s="1"/>
  <c r="J79" i="5" s="1"/>
  <c r="I58" i="6"/>
  <c r="E58" i="6"/>
  <c r="D58" i="6" s="1"/>
  <c r="F58" i="6" s="1"/>
  <c r="G58" i="6" s="1"/>
  <c r="X66" i="5"/>
  <c r="V67" i="5" s="1"/>
  <c r="F70" i="5"/>
  <c r="H70" i="5"/>
  <c r="N75" i="4"/>
  <c r="P75" i="4"/>
  <c r="G78" i="4"/>
  <c r="E79" i="4" s="1"/>
  <c r="X67" i="4"/>
  <c r="V68" i="4" s="1"/>
  <c r="G52" i="19" l="1"/>
  <c r="C54" i="17"/>
  <c r="N79" i="5"/>
  <c r="O79" i="5" s="1"/>
  <c r="M80" i="5" s="1"/>
  <c r="L79" i="5"/>
  <c r="K79" i="5" s="1"/>
  <c r="I80" i="5" s="1"/>
  <c r="L80" i="5" s="1"/>
  <c r="H58" i="6"/>
  <c r="C59" i="6"/>
  <c r="G70" i="5"/>
  <c r="E71" i="5" s="1"/>
  <c r="Y67" i="5"/>
  <c r="W67" i="5"/>
  <c r="AC67" i="5" s="1"/>
  <c r="AC16" i="5" s="1"/>
  <c r="O75" i="4"/>
  <c r="M76" i="4" s="1"/>
  <c r="P76" i="4" s="1"/>
  <c r="F79" i="4"/>
  <c r="H79" i="4"/>
  <c r="Y68" i="4"/>
  <c r="W68" i="4"/>
  <c r="J82" i="4"/>
  <c r="L82" i="4"/>
  <c r="G54" i="17" l="1"/>
  <c r="E52" i="19"/>
  <c r="F52" i="19" s="1"/>
  <c r="P80" i="5"/>
  <c r="N80" i="5"/>
  <c r="J80" i="5"/>
  <c r="K80" i="5" s="1"/>
  <c r="I81" i="5" s="1"/>
  <c r="J81" i="5" s="1"/>
  <c r="I59" i="6"/>
  <c r="E59" i="6"/>
  <c r="D59" i="6" s="1"/>
  <c r="F59" i="6" s="1"/>
  <c r="G59" i="6" s="1"/>
  <c r="X67" i="5"/>
  <c r="V68" i="5" s="1"/>
  <c r="H71" i="5"/>
  <c r="F71" i="5"/>
  <c r="N76" i="4"/>
  <c r="O76" i="4" s="1"/>
  <c r="M77" i="4" s="1"/>
  <c r="G79" i="4"/>
  <c r="E80" i="4" s="1"/>
  <c r="K82" i="4"/>
  <c r="I83" i="4" s="1"/>
  <c r="J83" i="4" s="1"/>
  <c r="X68" i="4"/>
  <c r="V69" i="4" s="1"/>
  <c r="H52" i="19" l="1"/>
  <c r="E54" i="17"/>
  <c r="F54" i="17" s="1"/>
  <c r="O80" i="5"/>
  <c r="M81" i="5" s="1"/>
  <c r="N81" i="5" s="1"/>
  <c r="L81" i="5"/>
  <c r="K81" i="5" s="1"/>
  <c r="I82" i="5" s="1"/>
  <c r="H59" i="6"/>
  <c r="C60" i="6"/>
  <c r="Y68" i="5"/>
  <c r="W68" i="5"/>
  <c r="G71" i="5"/>
  <c r="E72" i="5" s="1"/>
  <c r="L83" i="4"/>
  <c r="K83" i="4" s="1"/>
  <c r="I84" i="4" s="1"/>
  <c r="P77" i="4"/>
  <c r="N77" i="4"/>
  <c r="Y69" i="4"/>
  <c r="W69" i="4"/>
  <c r="H80" i="4"/>
  <c r="F80" i="4"/>
  <c r="H54" i="17" l="1"/>
  <c r="D55" i="17" s="1"/>
  <c r="O52" i="19"/>
  <c r="D53" i="19"/>
  <c r="P81" i="5"/>
  <c r="O81" i="5" s="1"/>
  <c r="M82" i="5" s="1"/>
  <c r="P82" i="5" s="1"/>
  <c r="E60" i="6"/>
  <c r="D60" i="6" s="1"/>
  <c r="F60" i="6" s="1"/>
  <c r="G60" i="6" s="1"/>
  <c r="I60" i="6"/>
  <c r="X68" i="5"/>
  <c r="V69" i="5" s="1"/>
  <c r="J82" i="5"/>
  <c r="L82" i="5"/>
  <c r="H72" i="5"/>
  <c r="F72" i="5"/>
  <c r="O77" i="4"/>
  <c r="M78" i="4" s="1"/>
  <c r="P78" i="4" s="1"/>
  <c r="G80" i="4"/>
  <c r="E81" i="4" s="1"/>
  <c r="L84" i="4"/>
  <c r="J84" i="4"/>
  <c r="X69" i="4"/>
  <c r="V70" i="4" s="1"/>
  <c r="O54" i="17" l="1"/>
  <c r="C53" i="19"/>
  <c r="C55" i="17"/>
  <c r="D14" i="17"/>
  <c r="N82" i="5"/>
  <c r="O82" i="5" s="1"/>
  <c r="M83" i="5" s="1"/>
  <c r="N83" i="5" s="1"/>
  <c r="C61" i="6"/>
  <c r="H60" i="6"/>
  <c r="G72" i="5"/>
  <c r="E73" i="5" s="1"/>
  <c r="F73" i="5" s="1"/>
  <c r="K82" i="5"/>
  <c r="I83" i="5" s="1"/>
  <c r="W69" i="5"/>
  <c r="Y69" i="5"/>
  <c r="N78" i="4"/>
  <c r="O78" i="4" s="1"/>
  <c r="M79" i="4" s="1"/>
  <c r="P79" i="4" s="1"/>
  <c r="K84" i="4"/>
  <c r="I85" i="4" s="1"/>
  <c r="J85" i="4" s="1"/>
  <c r="W70" i="4"/>
  <c r="Y70" i="4"/>
  <c r="H81" i="4"/>
  <c r="F81" i="4"/>
  <c r="G55" i="17" l="1"/>
  <c r="D17" i="17"/>
  <c r="G53" i="19"/>
  <c r="P83" i="5"/>
  <c r="O83" i="5" s="1"/>
  <c r="M84" i="5" s="1"/>
  <c r="N84" i="5" s="1"/>
  <c r="H73" i="5"/>
  <c r="G73" i="5" s="1"/>
  <c r="E74" i="5" s="1"/>
  <c r="H74" i="5" s="1"/>
  <c r="I61" i="6"/>
  <c r="E61" i="6"/>
  <c r="D61" i="6" s="1"/>
  <c r="F61" i="6" s="1"/>
  <c r="G61" i="6" s="1"/>
  <c r="X69" i="5"/>
  <c r="V70" i="5" s="1"/>
  <c r="L83" i="5"/>
  <c r="J83" i="5"/>
  <c r="G81" i="4"/>
  <c r="E82" i="4" s="1"/>
  <c r="H82" i="4" s="1"/>
  <c r="N79" i="4"/>
  <c r="O79" i="4" s="1"/>
  <c r="M80" i="4" s="1"/>
  <c r="P80" i="4" s="1"/>
  <c r="L85" i="4"/>
  <c r="K85" i="4" s="1"/>
  <c r="I86" i="4" s="1"/>
  <c r="X70" i="4"/>
  <c r="V71" i="4" s="1"/>
  <c r="E53" i="19" l="1"/>
  <c r="F53" i="19" s="1"/>
  <c r="D13" i="17"/>
  <c r="D15" i="17" s="1"/>
  <c r="E55" i="17"/>
  <c r="F55" i="17" s="1"/>
  <c r="P84" i="5"/>
  <c r="O84" i="5" s="1"/>
  <c r="M85" i="5" s="1"/>
  <c r="F74" i="5"/>
  <c r="G74" i="5" s="1"/>
  <c r="E75" i="5" s="1"/>
  <c r="H61" i="6"/>
  <c r="C62" i="6"/>
  <c r="N80" i="4"/>
  <c r="O80" i="4" s="1"/>
  <c r="M81" i="4" s="1"/>
  <c r="K83" i="5"/>
  <c r="I84" i="5" s="1"/>
  <c r="L84" i="5" s="1"/>
  <c r="Y70" i="5"/>
  <c r="W70" i="5"/>
  <c r="F82" i="4"/>
  <c r="G82" i="4" s="1"/>
  <c r="E83" i="4" s="1"/>
  <c r="F83" i="4" s="1"/>
  <c r="L86" i="4"/>
  <c r="J86" i="4"/>
  <c r="W71" i="4"/>
  <c r="Y71" i="4"/>
  <c r="H55" i="17" l="1"/>
  <c r="O55" i="17" s="1"/>
  <c r="H53" i="19"/>
  <c r="J84" i="5"/>
  <c r="K84" i="5" s="1"/>
  <c r="I85" i="5" s="1"/>
  <c r="N85" i="5"/>
  <c r="P85" i="5"/>
  <c r="X71" i="4"/>
  <c r="V72" i="4" s="1"/>
  <c r="I62" i="6"/>
  <c r="E62" i="6"/>
  <c r="D62" i="6" s="1"/>
  <c r="F62" i="6" s="1"/>
  <c r="G62" i="6" s="1"/>
  <c r="X70" i="5"/>
  <c r="V71" i="5" s="1"/>
  <c r="Y71" i="5" s="1"/>
  <c r="F75" i="5"/>
  <c r="H75" i="5"/>
  <c r="H83" i="4"/>
  <c r="G83" i="4" s="1"/>
  <c r="E84" i="4" s="1"/>
  <c r="N81" i="4"/>
  <c r="P81" i="4"/>
  <c r="K86" i="4"/>
  <c r="I87" i="4" s="1"/>
  <c r="L87" i="4" s="1"/>
  <c r="D56" i="17" l="1"/>
  <c r="C56" i="17" s="1"/>
  <c r="G56" i="17" s="1"/>
  <c r="I55" i="17"/>
  <c r="O53" i="19"/>
  <c r="D54" i="19"/>
  <c r="C54" i="19" s="1"/>
  <c r="G54" i="19" s="1"/>
  <c r="O85" i="5"/>
  <c r="M86" i="5" s="1"/>
  <c r="P86" i="5" s="1"/>
  <c r="J85" i="5"/>
  <c r="L85" i="5"/>
  <c r="J87" i="4"/>
  <c r="K87" i="4" s="1"/>
  <c r="I88" i="4" s="1"/>
  <c r="W71" i="5"/>
  <c r="X71" i="5" s="1"/>
  <c r="V72" i="5" s="1"/>
  <c r="H62" i="6"/>
  <c r="C63" i="6"/>
  <c r="G75" i="5"/>
  <c r="E76" i="5" s="1"/>
  <c r="H84" i="4"/>
  <c r="F84" i="4"/>
  <c r="O81" i="4"/>
  <c r="M82" i="4" s="1"/>
  <c r="P82" i="4" s="1"/>
  <c r="Y72" i="4"/>
  <c r="W72" i="4"/>
  <c r="E54" i="19" l="1"/>
  <c r="F54" i="19" s="1"/>
  <c r="E56" i="17"/>
  <c r="H56" i="17" s="1"/>
  <c r="N86" i="5"/>
  <c r="O86" i="5" s="1"/>
  <c r="M87" i="5" s="1"/>
  <c r="K85" i="5"/>
  <c r="I86" i="5" s="1"/>
  <c r="L86" i="5" s="1"/>
  <c r="G84" i="4"/>
  <c r="E85" i="4" s="1"/>
  <c r="H85" i="4" s="1"/>
  <c r="Y72" i="5"/>
  <c r="W72" i="5"/>
  <c r="E63" i="6"/>
  <c r="D63" i="6" s="1"/>
  <c r="F63" i="6" s="1"/>
  <c r="G63" i="6" s="1"/>
  <c r="I63" i="6"/>
  <c r="H76" i="5"/>
  <c r="F76" i="5"/>
  <c r="N82" i="4"/>
  <c r="O82" i="4" s="1"/>
  <c r="M83" i="4" s="1"/>
  <c r="X72" i="4"/>
  <c r="V73" i="4" s="1"/>
  <c r="L88" i="4"/>
  <c r="J88" i="4"/>
  <c r="O56" i="17" l="1"/>
  <c r="D57" i="17"/>
  <c r="F56" i="17"/>
  <c r="H54" i="19"/>
  <c r="F85" i="4"/>
  <c r="G85" i="4" s="1"/>
  <c r="E86" i="4" s="1"/>
  <c r="F86" i="4" s="1"/>
  <c r="J86" i="5"/>
  <c r="K86" i="5" s="1"/>
  <c r="I87" i="5" s="1"/>
  <c r="L87" i="5" s="1"/>
  <c r="X72" i="5"/>
  <c r="V73" i="5" s="1"/>
  <c r="W73" i="5" s="1"/>
  <c r="K88" i="4"/>
  <c r="I89" i="4" s="1"/>
  <c r="L89" i="4" s="1"/>
  <c r="P87" i="5"/>
  <c r="N87" i="5"/>
  <c r="G76" i="5"/>
  <c r="E77" i="5" s="1"/>
  <c r="P83" i="4"/>
  <c r="N83" i="4"/>
  <c r="C64" i="6"/>
  <c r="H63" i="6"/>
  <c r="Y73" i="4"/>
  <c r="W73" i="4"/>
  <c r="D55" i="19" l="1"/>
  <c r="O54" i="19"/>
  <c r="C57" i="17"/>
  <c r="G57" i="17" s="1"/>
  <c r="Y73" i="5"/>
  <c r="X73" i="5" s="1"/>
  <c r="V74" i="5" s="1"/>
  <c r="Y74" i="5" s="1"/>
  <c r="H86" i="4"/>
  <c r="G86" i="4" s="1"/>
  <c r="E87" i="4" s="1"/>
  <c r="J87" i="5"/>
  <c r="K87" i="5" s="1"/>
  <c r="I88" i="5" s="1"/>
  <c r="O87" i="5"/>
  <c r="M88" i="5" s="1"/>
  <c r="N88" i="5" s="1"/>
  <c r="O83" i="4"/>
  <c r="M84" i="4" s="1"/>
  <c r="N84" i="4" s="1"/>
  <c r="J89" i="4"/>
  <c r="K89" i="4" s="1"/>
  <c r="I90" i="4" s="1"/>
  <c r="L90" i="4" s="1"/>
  <c r="I64" i="6"/>
  <c r="E64" i="6"/>
  <c r="D64" i="6" s="1"/>
  <c r="F64" i="6" s="1"/>
  <c r="G64" i="6" s="1"/>
  <c r="H77" i="5"/>
  <c r="F77" i="5"/>
  <c r="X73" i="4"/>
  <c r="V74" i="4" s="1"/>
  <c r="E57" i="17" l="1"/>
  <c r="H57" i="17" s="1"/>
  <c r="C55" i="19"/>
  <c r="D14" i="19"/>
  <c r="P84" i="4"/>
  <c r="O84" i="4" s="1"/>
  <c r="M85" i="4" s="1"/>
  <c r="N85" i="4" s="1"/>
  <c r="L88" i="5"/>
  <c r="J88" i="5"/>
  <c r="P88" i="5"/>
  <c r="O88" i="5" s="1"/>
  <c r="M89" i="5" s="1"/>
  <c r="P89" i="5" s="1"/>
  <c r="J90" i="4"/>
  <c r="K90" i="4" s="1"/>
  <c r="I91" i="4" s="1"/>
  <c r="L91" i="4" s="1"/>
  <c r="W74" i="5"/>
  <c r="X74" i="5" s="1"/>
  <c r="V75" i="5" s="1"/>
  <c r="W75" i="5" s="1"/>
  <c r="G77" i="5"/>
  <c r="E78" i="5" s="1"/>
  <c r="H64" i="6"/>
  <c r="C65" i="6"/>
  <c r="H87" i="4"/>
  <c r="F87" i="4"/>
  <c r="Y74" i="4"/>
  <c r="W74" i="4"/>
  <c r="G55" i="19" l="1"/>
  <c r="D17" i="19"/>
  <c r="D58" i="17"/>
  <c r="O57" i="17"/>
  <c r="F57" i="17"/>
  <c r="K88" i="5"/>
  <c r="I89" i="5" s="1"/>
  <c r="J89" i="5" s="1"/>
  <c r="N89" i="5"/>
  <c r="O89" i="5" s="1"/>
  <c r="M90" i="5" s="1"/>
  <c r="P85" i="4"/>
  <c r="O85" i="4" s="1"/>
  <c r="M86" i="4" s="1"/>
  <c r="P86" i="4" s="1"/>
  <c r="H78" i="5"/>
  <c r="F78" i="5"/>
  <c r="G87" i="4"/>
  <c r="E88" i="4" s="1"/>
  <c r="F88" i="4" s="1"/>
  <c r="I65" i="6"/>
  <c r="E65" i="6"/>
  <c r="D65" i="6" s="1"/>
  <c r="F65" i="6" s="1"/>
  <c r="G65" i="6" s="1"/>
  <c r="Y75" i="5"/>
  <c r="X75" i="5" s="1"/>
  <c r="J91" i="4"/>
  <c r="K91" i="4" s="1"/>
  <c r="I92" i="4" s="1"/>
  <c r="X74" i="4"/>
  <c r="V75" i="4" s="1"/>
  <c r="Y75" i="4" s="1"/>
  <c r="C58" i="17" l="1"/>
  <c r="G58" i="17" s="1"/>
  <c r="D13" i="19"/>
  <c r="D15" i="19" s="1"/>
  <c r="E55" i="19"/>
  <c r="F55" i="19" s="1"/>
  <c r="L89" i="5"/>
  <c r="K89" i="5" s="1"/>
  <c r="I90" i="5" s="1"/>
  <c r="L90" i="5" s="1"/>
  <c r="N86" i="4"/>
  <c r="O86" i="4" s="1"/>
  <c r="M87" i="4" s="1"/>
  <c r="P87" i="4" s="1"/>
  <c r="G78" i="5"/>
  <c r="E79" i="5" s="1"/>
  <c r="F79" i="5" s="1"/>
  <c r="P90" i="5"/>
  <c r="N90" i="5"/>
  <c r="H88" i="4"/>
  <c r="G88" i="4" s="1"/>
  <c r="E89" i="4" s="1"/>
  <c r="H89" i="4" s="1"/>
  <c r="V76" i="5"/>
  <c r="Y76" i="5" s="1"/>
  <c r="H65" i="6"/>
  <c r="C66" i="6"/>
  <c r="W75" i="4"/>
  <c r="X75" i="4" s="1"/>
  <c r="V76" i="4" s="1"/>
  <c r="L92" i="4"/>
  <c r="J92" i="4"/>
  <c r="H55" i="19" l="1"/>
  <c r="E58" i="17"/>
  <c r="H58" i="17" s="1"/>
  <c r="J90" i="5"/>
  <c r="K90" i="5" s="1"/>
  <c r="I91" i="5" s="1"/>
  <c r="J91" i="5" s="1"/>
  <c r="H79" i="5"/>
  <c r="G79" i="5" s="1"/>
  <c r="E80" i="5" s="1"/>
  <c r="F80" i="5" s="1"/>
  <c r="O90" i="5"/>
  <c r="M91" i="5" s="1"/>
  <c r="N87" i="4"/>
  <c r="O87" i="4" s="1"/>
  <c r="M88" i="4" s="1"/>
  <c r="P88" i="4" s="1"/>
  <c r="W76" i="5"/>
  <c r="X76" i="5" s="1"/>
  <c r="V77" i="5" s="1"/>
  <c r="F89" i="4"/>
  <c r="G89" i="4" s="1"/>
  <c r="E90" i="4" s="1"/>
  <c r="E66" i="6"/>
  <c r="D66" i="6" s="1"/>
  <c r="F66" i="6" s="1"/>
  <c r="G66" i="6" s="1"/>
  <c r="I66" i="6"/>
  <c r="W76" i="4"/>
  <c r="Y76" i="4"/>
  <c r="K92" i="4"/>
  <c r="I93" i="4" s="1"/>
  <c r="O58" i="17" l="1"/>
  <c r="D59" i="17"/>
  <c r="F58" i="17"/>
  <c r="O55" i="19"/>
  <c r="D56" i="19"/>
  <c r="C56" i="19" s="1"/>
  <c r="G56" i="19" s="1"/>
  <c r="E56" i="19" s="1"/>
  <c r="F56" i="19" s="1"/>
  <c r="I55" i="19"/>
  <c r="L91" i="5"/>
  <c r="K91" i="5" s="1"/>
  <c r="I92" i="5" s="1"/>
  <c r="J92" i="5" s="1"/>
  <c r="H80" i="5"/>
  <c r="G80" i="5" s="1"/>
  <c r="E81" i="5" s="1"/>
  <c r="N88" i="4"/>
  <c r="O88" i="4" s="1"/>
  <c r="M89" i="4" s="1"/>
  <c r="N89" i="4" s="1"/>
  <c r="P91" i="5"/>
  <c r="N91" i="5"/>
  <c r="H66" i="6"/>
  <c r="C67" i="6"/>
  <c r="Y77" i="5"/>
  <c r="W77" i="5"/>
  <c r="X76" i="4"/>
  <c r="V77" i="4" s="1"/>
  <c r="W77" i="4" s="1"/>
  <c r="F90" i="4"/>
  <c r="H90" i="4"/>
  <c r="L93" i="4"/>
  <c r="J93" i="4"/>
  <c r="H56" i="19" l="1"/>
  <c r="C59" i="17"/>
  <c r="G59" i="17" s="1"/>
  <c r="L92" i="5"/>
  <c r="K92" i="5" s="1"/>
  <c r="I93" i="5" s="1"/>
  <c r="F81" i="5"/>
  <c r="H81" i="5"/>
  <c r="O91" i="5"/>
  <c r="M92" i="5" s="1"/>
  <c r="P92" i="5" s="1"/>
  <c r="I67" i="6"/>
  <c r="E67" i="6"/>
  <c r="D67" i="6" s="1"/>
  <c r="F67" i="6" s="1"/>
  <c r="G67" i="6" s="1"/>
  <c r="Y77" i="4"/>
  <c r="X77" i="4" s="1"/>
  <c r="V78" i="4" s="1"/>
  <c r="Y78" i="4" s="1"/>
  <c r="P89" i="4"/>
  <c r="O89" i="4" s="1"/>
  <c r="M90" i="4" s="1"/>
  <c r="N90" i="4" s="1"/>
  <c r="X77" i="5"/>
  <c r="V78" i="5" s="1"/>
  <c r="G90" i="4"/>
  <c r="E91" i="4" s="1"/>
  <c r="K93" i="4"/>
  <c r="I94" i="4" s="1"/>
  <c r="L94" i="4" s="1"/>
  <c r="E59" i="17" l="1"/>
  <c r="F59" i="17" s="1"/>
  <c r="O56" i="19"/>
  <c r="D57" i="19"/>
  <c r="C57" i="19" s="1"/>
  <c r="G57" i="19" s="1"/>
  <c r="G81" i="5"/>
  <c r="E82" i="5" s="1"/>
  <c r="N92" i="5"/>
  <c r="O92" i="5" s="1"/>
  <c r="M93" i="5" s="1"/>
  <c r="P93" i="5" s="1"/>
  <c r="H67" i="6"/>
  <c r="C68" i="6"/>
  <c r="P90" i="4"/>
  <c r="O90" i="4" s="1"/>
  <c r="W78" i="4"/>
  <c r="X78" i="4" s="1"/>
  <c r="V79" i="4" s="1"/>
  <c r="Y79" i="4" s="1"/>
  <c r="Y78" i="5"/>
  <c r="W78" i="5"/>
  <c r="L93" i="5"/>
  <c r="J93" i="5"/>
  <c r="J94" i="4"/>
  <c r="K94" i="4" s="1"/>
  <c r="I95" i="4" s="1"/>
  <c r="H91" i="4"/>
  <c r="F91" i="4"/>
  <c r="H59" i="17" l="1"/>
  <c r="D60" i="17" s="1"/>
  <c r="C60" i="17" s="1"/>
  <c r="G60" i="17" s="1"/>
  <c r="E57" i="19"/>
  <c r="F57" i="19" s="1"/>
  <c r="F82" i="5"/>
  <c r="H82" i="5"/>
  <c r="N93" i="5"/>
  <c r="O93" i="5" s="1"/>
  <c r="M94" i="5" s="1"/>
  <c r="N94" i="5" s="1"/>
  <c r="I68" i="6"/>
  <c r="E68" i="6"/>
  <c r="D68" i="6" s="1"/>
  <c r="F68" i="6" s="1"/>
  <c r="G68" i="6" s="1"/>
  <c r="M91" i="4"/>
  <c r="P91" i="4" s="1"/>
  <c r="X78" i="5"/>
  <c r="V79" i="5" s="1"/>
  <c r="K93" i="5"/>
  <c r="I94" i="5" s="1"/>
  <c r="W79" i="4"/>
  <c r="X79" i="4" s="1"/>
  <c r="V80" i="4" s="1"/>
  <c r="Y80" i="4" s="1"/>
  <c r="G91" i="4"/>
  <c r="E92" i="4" s="1"/>
  <c r="L95" i="4"/>
  <c r="J95" i="4"/>
  <c r="O59" i="17" l="1"/>
  <c r="E60" i="17"/>
  <c r="F60" i="17" s="1"/>
  <c r="H57" i="19"/>
  <c r="G82" i="5"/>
  <c r="E83" i="5" s="1"/>
  <c r="F83" i="5" s="1"/>
  <c r="P94" i="5"/>
  <c r="O94" i="5" s="1"/>
  <c r="M95" i="5" s="1"/>
  <c r="N95" i="5" s="1"/>
  <c r="N91" i="4"/>
  <c r="O91" i="4" s="1"/>
  <c r="M92" i="4" s="1"/>
  <c r="H68" i="6"/>
  <c r="C69" i="6"/>
  <c r="J94" i="5"/>
  <c r="L94" i="5"/>
  <c r="W79" i="5"/>
  <c r="Y79" i="5"/>
  <c r="K95" i="4"/>
  <c r="I96" i="4" s="1"/>
  <c r="W80" i="4"/>
  <c r="X80" i="4" s="1"/>
  <c r="V81" i="4" s="1"/>
  <c r="H92" i="4"/>
  <c r="F92" i="4"/>
  <c r="D58" i="19" l="1"/>
  <c r="C58" i="19" s="1"/>
  <c r="G58" i="19" s="1"/>
  <c r="O57" i="19"/>
  <c r="H60" i="17"/>
  <c r="H83" i="5"/>
  <c r="G83" i="5" s="1"/>
  <c r="E84" i="5" s="1"/>
  <c r="F84" i="5" s="1"/>
  <c r="P95" i="5"/>
  <c r="O95" i="5" s="1"/>
  <c r="M96" i="5" s="1"/>
  <c r="K94" i="5"/>
  <c r="I95" i="5" s="1"/>
  <c r="X79" i="5"/>
  <c r="V80" i="5" s="1"/>
  <c r="E69" i="6"/>
  <c r="D69" i="6" s="1"/>
  <c r="F69" i="6" s="1"/>
  <c r="G69" i="6" s="1"/>
  <c r="I69" i="6"/>
  <c r="G92" i="4"/>
  <c r="E93" i="4" s="1"/>
  <c r="H93" i="4" s="1"/>
  <c r="P92" i="4"/>
  <c r="N92" i="4"/>
  <c r="Y81" i="4"/>
  <c r="W81" i="4"/>
  <c r="L96" i="4"/>
  <c r="J96" i="4"/>
  <c r="D61" i="17" l="1"/>
  <c r="O60" i="17"/>
  <c r="E58" i="19"/>
  <c r="F58" i="19" s="1"/>
  <c r="H84" i="5"/>
  <c r="G84" i="5" s="1"/>
  <c r="E85" i="5" s="1"/>
  <c r="C70" i="6"/>
  <c r="H69" i="6"/>
  <c r="L95" i="5"/>
  <c r="J95" i="5"/>
  <c r="Y80" i="5"/>
  <c r="W80" i="5"/>
  <c r="P96" i="5"/>
  <c r="N96" i="5"/>
  <c r="F93" i="4"/>
  <c r="G93" i="4" s="1"/>
  <c r="E94" i="4" s="1"/>
  <c r="H94" i="4" s="1"/>
  <c r="O92" i="4"/>
  <c r="M93" i="4" s="1"/>
  <c r="N93" i="4" s="1"/>
  <c r="K96" i="4"/>
  <c r="I97" i="4" s="1"/>
  <c r="X81" i="4"/>
  <c r="V82" i="4" s="1"/>
  <c r="H58" i="19" l="1"/>
  <c r="O58" i="19" s="1"/>
  <c r="C61" i="17"/>
  <c r="G61" i="17" s="1"/>
  <c r="K95" i="5"/>
  <c r="I96" i="5" s="1"/>
  <c r="J96" i="5" s="1"/>
  <c r="P93" i="4"/>
  <c r="O93" i="4" s="1"/>
  <c r="M94" i="4" s="1"/>
  <c r="I70" i="6"/>
  <c r="E70" i="6"/>
  <c r="D70" i="6" s="1"/>
  <c r="F70" i="6" s="1"/>
  <c r="G70" i="6" s="1"/>
  <c r="X80" i="5"/>
  <c r="V81" i="5" s="1"/>
  <c r="O96" i="5"/>
  <c r="M97" i="5" s="1"/>
  <c r="H85" i="5"/>
  <c r="F85" i="5"/>
  <c r="F94" i="4"/>
  <c r="G94" i="4" s="1"/>
  <c r="E95" i="4" s="1"/>
  <c r="W82" i="4"/>
  <c r="Y82" i="4"/>
  <c r="J97" i="4"/>
  <c r="L97" i="4"/>
  <c r="D59" i="19" l="1"/>
  <c r="C59" i="19" s="1"/>
  <c r="G59" i="19" s="1"/>
  <c r="E59" i="19" s="1"/>
  <c r="F59" i="19" s="1"/>
  <c r="E61" i="17"/>
  <c r="H61" i="17" s="1"/>
  <c r="L96" i="5"/>
  <c r="K96" i="5" s="1"/>
  <c r="I97" i="5" s="1"/>
  <c r="L97" i="5" s="1"/>
  <c r="H70" i="6"/>
  <c r="C71" i="6"/>
  <c r="G85" i="5"/>
  <c r="E86" i="5" s="1"/>
  <c r="P97" i="5"/>
  <c r="N97" i="5"/>
  <c r="W81" i="5"/>
  <c r="Y81" i="5"/>
  <c r="K97" i="4"/>
  <c r="I98" i="4" s="1"/>
  <c r="L98" i="4" s="1"/>
  <c r="H95" i="4"/>
  <c r="F95" i="4"/>
  <c r="P94" i="4"/>
  <c r="N94" i="4"/>
  <c r="X82" i="4"/>
  <c r="V83" i="4" s="1"/>
  <c r="H59" i="19" l="1"/>
  <c r="D60" i="19" s="1"/>
  <c r="C60" i="19" s="1"/>
  <c r="G60" i="19" s="1"/>
  <c r="O61" i="17"/>
  <c r="D62" i="17"/>
  <c r="C62" i="17" s="1"/>
  <c r="G62" i="17" s="1"/>
  <c r="F61" i="17"/>
  <c r="J97" i="5"/>
  <c r="K97" i="5" s="1"/>
  <c r="I98" i="5" s="1"/>
  <c r="O97" i="5"/>
  <c r="M98" i="5" s="1"/>
  <c r="N98" i="5" s="1"/>
  <c r="I71" i="6"/>
  <c r="E71" i="6"/>
  <c r="D71" i="6" s="1"/>
  <c r="F71" i="6" s="1"/>
  <c r="G71" i="6" s="1"/>
  <c r="J98" i="4"/>
  <c r="K98" i="4" s="1"/>
  <c r="I99" i="4" s="1"/>
  <c r="X81" i="5"/>
  <c r="V82" i="5" s="1"/>
  <c r="Y82" i="5" s="1"/>
  <c r="H86" i="5"/>
  <c r="F86" i="5"/>
  <c r="G95" i="4"/>
  <c r="E96" i="4" s="1"/>
  <c r="H96" i="4" s="1"/>
  <c r="O94" i="4"/>
  <c r="M95" i="4" s="1"/>
  <c r="P95" i="4" s="1"/>
  <c r="Y83" i="4"/>
  <c r="W83" i="4"/>
  <c r="O59" i="19" l="1"/>
  <c r="E62" i="17"/>
  <c r="F62" i="17" s="1"/>
  <c r="E60" i="19"/>
  <c r="F60" i="19" s="1"/>
  <c r="P98" i="5"/>
  <c r="O98" i="5" s="1"/>
  <c r="M99" i="5" s="1"/>
  <c r="G86" i="5"/>
  <c r="E87" i="5" s="1"/>
  <c r="H71" i="6"/>
  <c r="C72" i="6"/>
  <c r="F96" i="4"/>
  <c r="G96" i="4" s="1"/>
  <c r="E97" i="4" s="1"/>
  <c r="N95" i="4"/>
  <c r="O95" i="4" s="1"/>
  <c r="M96" i="4" s="1"/>
  <c r="N96" i="4" s="1"/>
  <c r="W82" i="5"/>
  <c r="X82" i="5" s="1"/>
  <c r="V83" i="5" s="1"/>
  <c r="L98" i="5"/>
  <c r="J98" i="5"/>
  <c r="X83" i="4"/>
  <c r="V84" i="4" s="1"/>
  <c r="L99" i="4"/>
  <c r="J99" i="4"/>
  <c r="H60" i="19" l="1"/>
  <c r="H62" i="17"/>
  <c r="P96" i="4"/>
  <c r="O96" i="4" s="1"/>
  <c r="M97" i="4" s="1"/>
  <c r="E72" i="6"/>
  <c r="D72" i="6" s="1"/>
  <c r="F72" i="6" s="1"/>
  <c r="G72" i="6" s="1"/>
  <c r="I72" i="6"/>
  <c r="K98" i="5"/>
  <c r="I99" i="5" s="1"/>
  <c r="L99" i="5" s="1"/>
  <c r="Y83" i="5"/>
  <c r="W83" i="5"/>
  <c r="P99" i="5"/>
  <c r="N99" i="5"/>
  <c r="H87" i="5"/>
  <c r="F87" i="5"/>
  <c r="H97" i="4"/>
  <c r="F97" i="4"/>
  <c r="Y84" i="4"/>
  <c r="W84" i="4"/>
  <c r="K99" i="4"/>
  <c r="I100" i="4" s="1"/>
  <c r="O62" i="17" l="1"/>
  <c r="D63" i="17"/>
  <c r="C63" i="17" s="1"/>
  <c r="G63" i="17" s="1"/>
  <c r="O60" i="19"/>
  <c r="D61" i="19"/>
  <c r="C61" i="19" s="1"/>
  <c r="G61" i="19" s="1"/>
  <c r="E61" i="19" s="1"/>
  <c r="F61" i="19" s="1"/>
  <c r="J99" i="5"/>
  <c r="K99" i="5" s="1"/>
  <c r="I100" i="5" s="1"/>
  <c r="J100" i="5" s="1"/>
  <c r="G87" i="5"/>
  <c r="E88" i="5" s="1"/>
  <c r="C73" i="6"/>
  <c r="H72" i="6"/>
  <c r="G97" i="4"/>
  <c r="E98" i="4" s="1"/>
  <c r="X83" i="5"/>
  <c r="V84" i="5" s="1"/>
  <c r="W84" i="5" s="1"/>
  <c r="O99" i="5"/>
  <c r="M100" i="5" s="1"/>
  <c r="X84" i="4"/>
  <c r="V85" i="4" s="1"/>
  <c r="J100" i="4"/>
  <c r="L100" i="4"/>
  <c r="N97" i="4"/>
  <c r="P97" i="4"/>
  <c r="H61" i="19" l="1"/>
  <c r="E63" i="17"/>
  <c r="F63" i="17" s="1"/>
  <c r="H88" i="5"/>
  <c r="F88" i="5"/>
  <c r="L100" i="5"/>
  <c r="K100" i="5" s="1"/>
  <c r="I101" i="5" s="1"/>
  <c r="I73" i="6"/>
  <c r="E73" i="6"/>
  <c r="D73" i="6" s="1"/>
  <c r="F73" i="6" s="1"/>
  <c r="G73" i="6" s="1"/>
  <c r="Y84" i="5"/>
  <c r="X84" i="5" s="1"/>
  <c r="P100" i="5"/>
  <c r="N100" i="5"/>
  <c r="K100" i="4"/>
  <c r="I101" i="4" s="1"/>
  <c r="O97" i="4"/>
  <c r="M98" i="4" s="1"/>
  <c r="H98" i="4"/>
  <c r="F98" i="4"/>
  <c r="W85" i="4"/>
  <c r="Y85" i="4"/>
  <c r="H63" i="17" l="1"/>
  <c r="O61" i="19"/>
  <c r="D62" i="19"/>
  <c r="C62" i="19" s="1"/>
  <c r="G62" i="19" s="1"/>
  <c r="E62" i="19" s="1"/>
  <c r="F62" i="19" s="1"/>
  <c r="G88" i="5"/>
  <c r="E89" i="5" s="1"/>
  <c r="H89" i="5" s="1"/>
  <c r="G98" i="4"/>
  <c r="E99" i="4" s="1"/>
  <c r="V85" i="5"/>
  <c r="Y85" i="5" s="1"/>
  <c r="X85" i="4"/>
  <c r="V86" i="4" s="1"/>
  <c r="O100" i="5"/>
  <c r="M101" i="5" s="1"/>
  <c r="P101" i="5" s="1"/>
  <c r="H73" i="6"/>
  <c r="C74" i="6"/>
  <c r="J101" i="5"/>
  <c r="L101" i="5"/>
  <c r="P98" i="4"/>
  <c r="N98" i="4"/>
  <c r="L101" i="4"/>
  <c r="J101" i="4"/>
  <c r="H62" i="19" l="1"/>
  <c r="D64" i="17"/>
  <c r="C64" i="17" s="1"/>
  <c r="G64" i="17" s="1"/>
  <c r="O63" i="17"/>
  <c r="W85" i="5"/>
  <c r="X85" i="5" s="1"/>
  <c r="V86" i="5" s="1"/>
  <c r="Y86" i="5" s="1"/>
  <c r="N101" i="5"/>
  <c r="O101" i="5" s="1"/>
  <c r="M102" i="5" s="1"/>
  <c r="F89" i="5"/>
  <c r="G89" i="5" s="1"/>
  <c r="E90" i="5" s="1"/>
  <c r="F90" i="5" s="1"/>
  <c r="K101" i="4"/>
  <c r="I102" i="4" s="1"/>
  <c r="L102" i="4" s="1"/>
  <c r="O98" i="4"/>
  <c r="M99" i="4" s="1"/>
  <c r="P99" i="4" s="1"/>
  <c r="I74" i="6"/>
  <c r="E74" i="6"/>
  <c r="D74" i="6" s="1"/>
  <c r="F74" i="6" s="1"/>
  <c r="G74" i="6" s="1"/>
  <c r="K101" i="5"/>
  <c r="I102" i="5" s="1"/>
  <c r="Y86" i="4"/>
  <c r="W86" i="4"/>
  <c r="H99" i="4"/>
  <c r="F99" i="4"/>
  <c r="E64" i="17" l="1"/>
  <c r="F64" i="17" s="1"/>
  <c r="D63" i="19"/>
  <c r="C63" i="19" s="1"/>
  <c r="G63" i="19" s="1"/>
  <c r="E63" i="19" s="1"/>
  <c r="F63" i="19" s="1"/>
  <c r="O62" i="19"/>
  <c r="H90" i="5"/>
  <c r="G90" i="5" s="1"/>
  <c r="E91" i="5" s="1"/>
  <c r="J102" i="4"/>
  <c r="K102" i="4" s="1"/>
  <c r="I103" i="4" s="1"/>
  <c r="W86" i="5"/>
  <c r="X86" i="5" s="1"/>
  <c r="V87" i="5" s="1"/>
  <c r="W87" i="5" s="1"/>
  <c r="N99" i="4"/>
  <c r="O99" i="4" s="1"/>
  <c r="M100" i="4" s="1"/>
  <c r="L102" i="5"/>
  <c r="J102" i="5"/>
  <c r="H74" i="6"/>
  <c r="C75" i="6"/>
  <c r="P102" i="5"/>
  <c r="N102" i="5"/>
  <c r="G99" i="4"/>
  <c r="E100" i="4" s="1"/>
  <c r="H100" i="4" s="1"/>
  <c r="X86" i="4"/>
  <c r="V87" i="4" s="1"/>
  <c r="H63" i="19" l="1"/>
  <c r="H64" i="17"/>
  <c r="K102" i="5"/>
  <c r="I103" i="5" s="1"/>
  <c r="J103" i="5" s="1"/>
  <c r="Y87" i="5"/>
  <c r="X87" i="5" s="1"/>
  <c r="V88" i="5" s="1"/>
  <c r="E75" i="6"/>
  <c r="D75" i="6" s="1"/>
  <c r="F75" i="6" s="1"/>
  <c r="G75" i="6" s="1"/>
  <c r="I75" i="6"/>
  <c r="F100" i="4"/>
  <c r="G100" i="4" s="1"/>
  <c r="E101" i="4" s="1"/>
  <c r="H101" i="4" s="1"/>
  <c r="O102" i="5"/>
  <c r="M103" i="5" s="1"/>
  <c r="P103" i="5" s="1"/>
  <c r="H91" i="5"/>
  <c r="F91" i="5"/>
  <c r="Y87" i="4"/>
  <c r="W87" i="4"/>
  <c r="P100" i="4"/>
  <c r="N100" i="4"/>
  <c r="L103" i="4"/>
  <c r="J103" i="4"/>
  <c r="D65" i="17" l="1"/>
  <c r="C65" i="17" s="1"/>
  <c r="G65" i="17" s="1"/>
  <c r="O64" i="17"/>
  <c r="D64" i="19"/>
  <c r="O63" i="19"/>
  <c r="L103" i="5"/>
  <c r="K103" i="5" s="1"/>
  <c r="I104" i="5" s="1"/>
  <c r="G91" i="5"/>
  <c r="E92" i="5" s="1"/>
  <c r="F92" i="5" s="1"/>
  <c r="C76" i="6"/>
  <c r="H75" i="6"/>
  <c r="N103" i="5"/>
  <c r="O103" i="5" s="1"/>
  <c r="M104" i="5" s="1"/>
  <c r="F101" i="4"/>
  <c r="G101" i="4" s="1"/>
  <c r="E102" i="4" s="1"/>
  <c r="Y88" i="5"/>
  <c r="W88" i="5"/>
  <c r="K103" i="4"/>
  <c r="I104" i="4" s="1"/>
  <c r="J104" i="4" s="1"/>
  <c r="X87" i="4"/>
  <c r="V88" i="4" s="1"/>
  <c r="Y88" i="4" s="1"/>
  <c r="O100" i="4"/>
  <c r="M101" i="4" s="1"/>
  <c r="C64" i="19" l="1"/>
  <c r="G64" i="19" s="1"/>
  <c r="E65" i="17"/>
  <c r="F65" i="17" s="1"/>
  <c r="H92" i="5"/>
  <c r="G92" i="5" s="1"/>
  <c r="E93" i="5" s="1"/>
  <c r="H93" i="5" s="1"/>
  <c r="J104" i="5"/>
  <c r="L104" i="5"/>
  <c r="W88" i="4"/>
  <c r="X88" i="4" s="1"/>
  <c r="V89" i="4" s="1"/>
  <c r="I76" i="6"/>
  <c r="E76" i="6"/>
  <c r="D76" i="6" s="1"/>
  <c r="F76" i="6" s="1"/>
  <c r="G76" i="6" s="1"/>
  <c r="L104" i="4"/>
  <c r="K104" i="4" s="1"/>
  <c r="I105" i="4" s="1"/>
  <c r="X88" i="5"/>
  <c r="V89" i="5" s="1"/>
  <c r="P104" i="5"/>
  <c r="N104" i="5"/>
  <c r="N101" i="4"/>
  <c r="P101" i="4"/>
  <c r="H102" i="4"/>
  <c r="F102" i="4"/>
  <c r="H65" i="17" l="1"/>
  <c r="E64" i="19"/>
  <c r="H64" i="19" s="1"/>
  <c r="K104" i="5"/>
  <c r="I105" i="5" s="1"/>
  <c r="L105" i="5" s="1"/>
  <c r="F93" i="5"/>
  <c r="G93" i="5" s="1"/>
  <c r="E94" i="5" s="1"/>
  <c r="H76" i="6"/>
  <c r="C77" i="6"/>
  <c r="W89" i="5"/>
  <c r="Y89" i="5"/>
  <c r="O104" i="5"/>
  <c r="M105" i="5" s="1"/>
  <c r="L105" i="4"/>
  <c r="J105" i="4"/>
  <c r="G102" i="4"/>
  <c r="E103" i="4" s="1"/>
  <c r="H103" i="4" s="1"/>
  <c r="O101" i="4"/>
  <c r="M102" i="4" s="1"/>
  <c r="P102" i="4" s="1"/>
  <c r="Y89" i="4"/>
  <c r="W89" i="4"/>
  <c r="O64" i="19" l="1"/>
  <c r="D65" i="19"/>
  <c r="C65" i="19" s="1"/>
  <c r="G65" i="19" s="1"/>
  <c r="F64" i="19"/>
  <c r="D66" i="17"/>
  <c r="C66" i="17" s="1"/>
  <c r="G66" i="17" s="1"/>
  <c r="O65" i="17"/>
  <c r="J105" i="5"/>
  <c r="K105" i="5" s="1"/>
  <c r="I106" i="5" s="1"/>
  <c r="J106" i="5" s="1"/>
  <c r="F103" i="4"/>
  <c r="G103" i="4" s="1"/>
  <c r="E104" i="4" s="1"/>
  <c r="I77" i="6"/>
  <c r="E77" i="6"/>
  <c r="D77" i="6" s="1"/>
  <c r="F77" i="6" s="1"/>
  <c r="G77" i="6" s="1"/>
  <c r="P105" i="5"/>
  <c r="N105" i="5"/>
  <c r="H94" i="5"/>
  <c r="F94" i="5"/>
  <c r="X89" i="5"/>
  <c r="V90" i="5" s="1"/>
  <c r="N102" i="4"/>
  <c r="O102" i="4" s="1"/>
  <c r="M103" i="4" s="1"/>
  <c r="K105" i="4"/>
  <c r="I106" i="4" s="1"/>
  <c r="L106" i="4" s="1"/>
  <c r="X89" i="4"/>
  <c r="V90" i="4" s="1"/>
  <c r="E66" i="17" l="1"/>
  <c r="F66" i="17" s="1"/>
  <c r="E65" i="19"/>
  <c r="F65" i="19" s="1"/>
  <c r="L106" i="5"/>
  <c r="K106" i="5" s="1"/>
  <c r="I107" i="5" s="1"/>
  <c r="G94" i="5"/>
  <c r="E95" i="5" s="1"/>
  <c r="H77" i="6"/>
  <c r="C78" i="6"/>
  <c r="Y90" i="5"/>
  <c r="W90" i="5"/>
  <c r="O105" i="5"/>
  <c r="M106" i="5" s="1"/>
  <c r="N103" i="4"/>
  <c r="P103" i="4"/>
  <c r="J106" i="4"/>
  <c r="K106" i="4" s="1"/>
  <c r="I107" i="4" s="1"/>
  <c r="J107" i="4" s="1"/>
  <c r="Y90" i="4"/>
  <c r="W90" i="4"/>
  <c r="H104" i="4"/>
  <c r="F104" i="4"/>
  <c r="H65" i="19" l="1"/>
  <c r="H66" i="17"/>
  <c r="E78" i="6"/>
  <c r="D78" i="6" s="1"/>
  <c r="F78" i="6" s="1"/>
  <c r="G78" i="6" s="1"/>
  <c r="I78" i="6"/>
  <c r="N106" i="5"/>
  <c r="P106" i="5"/>
  <c r="H95" i="5"/>
  <c r="F95" i="5"/>
  <c r="L107" i="5"/>
  <c r="J107" i="5"/>
  <c r="X90" i="5"/>
  <c r="V91" i="5" s="1"/>
  <c r="G104" i="4"/>
  <c r="E105" i="4" s="1"/>
  <c r="F105" i="4" s="1"/>
  <c r="O103" i="4"/>
  <c r="M104" i="4" s="1"/>
  <c r="P104" i="4" s="1"/>
  <c r="L107" i="4"/>
  <c r="K107" i="4" s="1"/>
  <c r="I108" i="4" s="1"/>
  <c r="X90" i="4"/>
  <c r="V91" i="4" s="1"/>
  <c r="O66" i="17" l="1"/>
  <c r="D67" i="17"/>
  <c r="O65" i="19"/>
  <c r="D66" i="19"/>
  <c r="C66" i="19" s="1"/>
  <c r="G66" i="19" s="1"/>
  <c r="N104" i="4"/>
  <c r="O104" i="4" s="1"/>
  <c r="M105" i="4" s="1"/>
  <c r="P105" i="4" s="1"/>
  <c r="C79" i="6"/>
  <c r="H78" i="6"/>
  <c r="G95" i="5"/>
  <c r="E96" i="5" s="1"/>
  <c r="K107" i="5"/>
  <c r="I108" i="5" s="1"/>
  <c r="W91" i="5"/>
  <c r="Y91" i="5"/>
  <c r="O106" i="5"/>
  <c r="M107" i="5" s="1"/>
  <c r="H105" i="4"/>
  <c r="G105" i="4" s="1"/>
  <c r="E106" i="4" s="1"/>
  <c r="H106" i="4" s="1"/>
  <c r="W91" i="4"/>
  <c r="Y91" i="4"/>
  <c r="L108" i="4"/>
  <c r="J108" i="4"/>
  <c r="E66" i="19" l="1"/>
  <c r="F66" i="19" s="1"/>
  <c r="C67" i="17"/>
  <c r="G67" i="17" s="1"/>
  <c r="N105" i="4"/>
  <c r="O105" i="4" s="1"/>
  <c r="M106" i="4" s="1"/>
  <c r="N106" i="4" s="1"/>
  <c r="I79" i="6"/>
  <c r="E79" i="6"/>
  <c r="D79" i="6" s="1"/>
  <c r="F79" i="6" s="1"/>
  <c r="G79" i="6" s="1"/>
  <c r="N107" i="5"/>
  <c r="P107" i="5"/>
  <c r="L108" i="5"/>
  <c r="J108" i="5"/>
  <c r="H96" i="5"/>
  <c r="F96" i="5"/>
  <c r="X91" i="5"/>
  <c r="V92" i="5" s="1"/>
  <c r="F106" i="4"/>
  <c r="G106" i="4" s="1"/>
  <c r="E107" i="4" s="1"/>
  <c r="K108" i="4"/>
  <c r="I109" i="4" s="1"/>
  <c r="X91" i="4"/>
  <c r="V92" i="4" s="1"/>
  <c r="E67" i="17" l="1"/>
  <c r="H67" i="17" s="1"/>
  <c r="H66" i="19"/>
  <c r="K108" i="5"/>
  <c r="I109" i="5" s="1"/>
  <c r="J109" i="5" s="1"/>
  <c r="H79" i="6"/>
  <c r="C80" i="6"/>
  <c r="P106" i="4"/>
  <c r="O106" i="4" s="1"/>
  <c r="M107" i="4" s="1"/>
  <c r="G96" i="5"/>
  <c r="E97" i="5" s="1"/>
  <c r="Y92" i="5"/>
  <c r="W92" i="5"/>
  <c r="O107" i="5"/>
  <c r="M108" i="5" s="1"/>
  <c r="Y92" i="4"/>
  <c r="W92" i="4"/>
  <c r="H107" i="4"/>
  <c r="F107" i="4"/>
  <c r="J109" i="4"/>
  <c r="L109" i="4"/>
  <c r="D67" i="19" l="1"/>
  <c r="O66" i="19"/>
  <c r="O67" i="17"/>
  <c r="D68" i="17"/>
  <c r="C68" i="17" s="1"/>
  <c r="G68" i="17" s="1"/>
  <c r="I67" i="17"/>
  <c r="F67" i="17"/>
  <c r="L109" i="5"/>
  <c r="K109" i="5" s="1"/>
  <c r="I110" i="5" s="1"/>
  <c r="I80" i="6"/>
  <c r="E80" i="6"/>
  <c r="D80" i="6" s="1"/>
  <c r="F80" i="6" s="1"/>
  <c r="G80" i="6" s="1"/>
  <c r="X92" i="5"/>
  <c r="V93" i="5" s="1"/>
  <c r="P108" i="5"/>
  <c r="N108" i="5"/>
  <c r="H97" i="5"/>
  <c r="F97" i="5"/>
  <c r="G107" i="4"/>
  <c r="E108" i="4" s="1"/>
  <c r="F108" i="4" s="1"/>
  <c r="K109" i="4"/>
  <c r="I110" i="4" s="1"/>
  <c r="J110" i="4" s="1"/>
  <c r="X92" i="4"/>
  <c r="V93" i="4" s="1"/>
  <c r="W93" i="4" s="1"/>
  <c r="P107" i="4"/>
  <c r="N107" i="4"/>
  <c r="C67" i="19" l="1"/>
  <c r="G67" i="19" s="1"/>
  <c r="O107" i="4"/>
  <c r="M108" i="4" s="1"/>
  <c r="N108" i="4" s="1"/>
  <c r="H80" i="6"/>
  <c r="C81" i="6"/>
  <c r="Y93" i="4"/>
  <c r="X93" i="4" s="1"/>
  <c r="V94" i="4" s="1"/>
  <c r="Y94" i="4" s="1"/>
  <c r="H108" i="4"/>
  <c r="G108" i="4" s="1"/>
  <c r="E109" i="4" s="1"/>
  <c r="F109" i="4" s="1"/>
  <c r="L110" i="4"/>
  <c r="K110" i="4" s="1"/>
  <c r="I111" i="4" s="1"/>
  <c r="O108" i="5"/>
  <c r="M109" i="5" s="1"/>
  <c r="L110" i="5"/>
  <c r="J110" i="5"/>
  <c r="G97" i="5"/>
  <c r="E98" i="5" s="1"/>
  <c r="Y93" i="5"/>
  <c r="W93" i="5"/>
  <c r="E67" i="19" l="1"/>
  <c r="H67" i="19" s="1"/>
  <c r="P108" i="4"/>
  <c r="O108" i="4" s="1"/>
  <c r="M109" i="4" s="1"/>
  <c r="N109" i="4" s="1"/>
  <c r="E81" i="6"/>
  <c r="D81" i="6" s="1"/>
  <c r="F81" i="6" s="1"/>
  <c r="G81" i="6" s="1"/>
  <c r="I81" i="6"/>
  <c r="X93" i="5"/>
  <c r="V94" i="5" s="1"/>
  <c r="H98" i="5"/>
  <c r="F98" i="5"/>
  <c r="P109" i="5"/>
  <c r="N109" i="5"/>
  <c r="K110" i="5"/>
  <c r="I111" i="5" s="1"/>
  <c r="H109" i="4"/>
  <c r="G109" i="4" s="1"/>
  <c r="E110" i="4" s="1"/>
  <c r="H110" i="4" s="1"/>
  <c r="W94" i="4"/>
  <c r="X94" i="4" s="1"/>
  <c r="V95" i="4" s="1"/>
  <c r="L111" i="4"/>
  <c r="J111" i="4"/>
  <c r="I67" i="19" l="1"/>
  <c r="D68" i="19"/>
  <c r="C68" i="19" s="1"/>
  <c r="G68" i="19" s="1"/>
  <c r="O67" i="19"/>
  <c r="F67" i="19"/>
  <c r="G98" i="5"/>
  <c r="E99" i="5" s="1"/>
  <c r="K111" i="4"/>
  <c r="I112" i="4" s="1"/>
  <c r="H81" i="6"/>
  <c r="C82" i="6"/>
  <c r="P109" i="4"/>
  <c r="O109" i="4" s="1"/>
  <c r="M110" i="4" s="1"/>
  <c r="O109" i="5"/>
  <c r="M110" i="5" s="1"/>
  <c r="P110" i="5" s="1"/>
  <c r="L111" i="5"/>
  <c r="J111" i="5"/>
  <c r="W94" i="5"/>
  <c r="Y94" i="5"/>
  <c r="F110" i="4"/>
  <c r="G110" i="4" s="1"/>
  <c r="E111" i="4" s="1"/>
  <c r="F111" i="4" s="1"/>
  <c r="W95" i="4"/>
  <c r="Y95" i="4"/>
  <c r="N110" i="5" l="1"/>
  <c r="O110" i="5" s="1"/>
  <c r="M111" i="5" s="1"/>
  <c r="P111" i="5" s="1"/>
  <c r="K111" i="5"/>
  <c r="I112" i="5" s="1"/>
  <c r="L112" i="5" s="1"/>
  <c r="I82" i="6"/>
  <c r="E82" i="6"/>
  <c r="D82" i="6" s="1"/>
  <c r="F82" i="6" s="1"/>
  <c r="G82" i="6" s="1"/>
  <c r="X94" i="5"/>
  <c r="V95" i="5" s="1"/>
  <c r="F99" i="5"/>
  <c r="H99" i="5"/>
  <c r="H111" i="4"/>
  <c r="G111" i="4" s="1"/>
  <c r="E112" i="4" s="1"/>
  <c r="X95" i="4"/>
  <c r="V96" i="4" s="1"/>
  <c r="P110" i="4"/>
  <c r="N110" i="4"/>
  <c r="L112" i="4"/>
  <c r="J112" i="4"/>
  <c r="J112" i="5" l="1"/>
  <c r="K112" i="5" s="1"/>
  <c r="I113" i="5" s="1"/>
  <c r="K112" i="4"/>
  <c r="I113" i="4" s="1"/>
  <c r="L113" i="4" s="1"/>
  <c r="C83" i="6"/>
  <c r="H82" i="6"/>
  <c r="N111" i="5"/>
  <c r="O111" i="5" s="1"/>
  <c r="M112" i="5" s="1"/>
  <c r="N112" i="5" s="1"/>
  <c r="O110" i="4"/>
  <c r="M111" i="4" s="1"/>
  <c r="P111" i="4" s="1"/>
  <c r="G99" i="5"/>
  <c r="E100" i="5" s="1"/>
  <c r="Y95" i="5"/>
  <c r="W95" i="5"/>
  <c r="H112" i="4"/>
  <c r="F112" i="4"/>
  <c r="Y96" i="4"/>
  <c r="W96" i="4"/>
  <c r="N111" i="4" l="1"/>
  <c r="O111" i="4" s="1"/>
  <c r="M112" i="4" s="1"/>
  <c r="I83" i="6"/>
  <c r="E83" i="6"/>
  <c r="D83" i="6" s="1"/>
  <c r="F83" i="6" s="1"/>
  <c r="G83" i="6" s="1"/>
  <c r="G112" i="4"/>
  <c r="E113" i="4" s="1"/>
  <c r="P112" i="5"/>
  <c r="O112" i="5" s="1"/>
  <c r="M113" i="5" s="1"/>
  <c r="L113" i="5"/>
  <c r="J113" i="5"/>
  <c r="X95" i="5"/>
  <c r="V96" i="5" s="1"/>
  <c r="H100" i="5"/>
  <c r="F100" i="5"/>
  <c r="J113" i="4"/>
  <c r="K113" i="4" s="1"/>
  <c r="I114" i="4" s="1"/>
  <c r="J114" i="4" s="1"/>
  <c r="X96" i="4"/>
  <c r="V97" i="4" s="1"/>
  <c r="K113" i="5" l="1"/>
  <c r="I114" i="5" s="1"/>
  <c r="C84" i="6"/>
  <c r="H83" i="6"/>
  <c r="F113" i="4"/>
  <c r="H113" i="4"/>
  <c r="G100" i="5"/>
  <c r="E101" i="5" s="1"/>
  <c r="N113" i="5"/>
  <c r="P113" i="5"/>
  <c r="Y96" i="5"/>
  <c r="W96" i="5"/>
  <c r="L114" i="4"/>
  <c r="K114" i="4" s="1"/>
  <c r="I115" i="4" s="1"/>
  <c r="P112" i="4"/>
  <c r="N112" i="4"/>
  <c r="W97" i="4"/>
  <c r="Y97" i="4"/>
  <c r="G113" i="4" l="1"/>
  <c r="E114" i="4" s="1"/>
  <c r="F114" i="4" s="1"/>
  <c r="O113" i="5"/>
  <c r="M114" i="5" s="1"/>
  <c r="P114" i="5" s="1"/>
  <c r="E84" i="6"/>
  <c r="D84" i="6" s="1"/>
  <c r="F84" i="6" s="1"/>
  <c r="G84" i="6" s="1"/>
  <c r="I84" i="6"/>
  <c r="X96" i="5"/>
  <c r="V97" i="5" s="1"/>
  <c r="W97" i="5" s="1"/>
  <c r="H101" i="5"/>
  <c r="F101" i="5"/>
  <c r="J114" i="5"/>
  <c r="L114" i="5"/>
  <c r="J115" i="4"/>
  <c r="L115" i="4"/>
  <c r="X97" i="4"/>
  <c r="V98" i="4" s="1"/>
  <c r="O112" i="4"/>
  <c r="M113" i="4" s="1"/>
  <c r="N114" i="5" l="1"/>
  <c r="O114" i="5" s="1"/>
  <c r="M115" i="5" s="1"/>
  <c r="H114" i="4"/>
  <c r="G114" i="4" s="1"/>
  <c r="E115" i="4" s="1"/>
  <c r="H84" i="6"/>
  <c r="C85" i="6"/>
  <c r="Y97" i="5"/>
  <c r="X97" i="5" s="1"/>
  <c r="V98" i="5" s="1"/>
  <c r="G101" i="5"/>
  <c r="E102" i="5" s="1"/>
  <c r="H102" i="5" s="1"/>
  <c r="K114" i="5"/>
  <c r="I115" i="5" s="1"/>
  <c r="J115" i="5" s="1"/>
  <c r="K115" i="4"/>
  <c r="I116" i="4" s="1"/>
  <c r="N113" i="4"/>
  <c r="P113" i="4"/>
  <c r="Y98" i="4"/>
  <c r="W98" i="4"/>
  <c r="F102" i="5" l="1"/>
  <c r="G102" i="5" s="1"/>
  <c r="E103" i="5" s="1"/>
  <c r="L115" i="5"/>
  <c r="K115" i="5" s="1"/>
  <c r="I116" i="5" s="1"/>
  <c r="I85" i="6"/>
  <c r="E85" i="6"/>
  <c r="D85" i="6" s="1"/>
  <c r="F85" i="6" s="1"/>
  <c r="G85" i="6" s="1"/>
  <c r="H115" i="4"/>
  <c r="F115" i="4"/>
  <c r="Y98" i="5"/>
  <c r="W98" i="5"/>
  <c r="P115" i="5"/>
  <c r="N115" i="5"/>
  <c r="O113" i="4"/>
  <c r="M114" i="4" s="1"/>
  <c r="J116" i="4"/>
  <c r="L116" i="4"/>
  <c r="X98" i="4"/>
  <c r="V99" i="4" s="1"/>
  <c r="L116" i="5" l="1"/>
  <c r="J116" i="5"/>
  <c r="G115" i="4"/>
  <c r="E116" i="4" s="1"/>
  <c r="H85" i="6"/>
  <c r="C86" i="6"/>
  <c r="O115" i="5"/>
  <c r="M116" i="5" s="1"/>
  <c r="X98" i="5"/>
  <c r="V99" i="5" s="1"/>
  <c r="H103" i="5"/>
  <c r="F103" i="5"/>
  <c r="K116" i="4"/>
  <c r="I117" i="4" s="1"/>
  <c r="Y99" i="4"/>
  <c r="W99" i="4"/>
  <c r="N114" i="4"/>
  <c r="P114" i="4"/>
  <c r="K116" i="5" l="1"/>
  <c r="I117" i="5" s="1"/>
  <c r="J117" i="5" s="1"/>
  <c r="H116" i="4"/>
  <c r="F116" i="4"/>
  <c r="E86" i="6"/>
  <c r="D86" i="6" s="1"/>
  <c r="F86" i="6" s="1"/>
  <c r="G86" i="6" s="1"/>
  <c r="I86" i="6"/>
  <c r="G103" i="5"/>
  <c r="E104" i="5" s="1"/>
  <c r="H104" i="5" s="1"/>
  <c r="Y99" i="5"/>
  <c r="W99" i="5"/>
  <c r="P116" i="5"/>
  <c r="N116" i="5"/>
  <c r="L117" i="4"/>
  <c r="J117" i="4"/>
  <c r="X99" i="4"/>
  <c r="V100" i="4" s="1"/>
  <c r="W100" i="4" s="1"/>
  <c r="O114" i="4"/>
  <c r="M115" i="4" s="1"/>
  <c r="L117" i="5" l="1"/>
  <c r="K117" i="5" s="1"/>
  <c r="I118" i="5" s="1"/>
  <c r="J118" i="5" s="1"/>
  <c r="K117" i="4"/>
  <c r="I118" i="4" s="1"/>
  <c r="J118" i="4" s="1"/>
  <c r="G116" i="4"/>
  <c r="E117" i="4" s="1"/>
  <c r="F104" i="5"/>
  <c r="G104" i="5" s="1"/>
  <c r="E105" i="5" s="1"/>
  <c r="F105" i="5" s="1"/>
  <c r="Y100" i="4"/>
  <c r="X100" i="4" s="1"/>
  <c r="C87" i="6"/>
  <c r="H86" i="6"/>
  <c r="O116" i="5"/>
  <c r="M117" i="5" s="1"/>
  <c r="P117" i="5" s="1"/>
  <c r="X99" i="5"/>
  <c r="V100" i="5" s="1"/>
  <c r="P115" i="4"/>
  <c r="N115" i="4"/>
  <c r="L118" i="5" l="1"/>
  <c r="K118" i="5" s="1"/>
  <c r="I119" i="5" s="1"/>
  <c r="L118" i="4"/>
  <c r="K118" i="4" s="1"/>
  <c r="I119" i="4" s="1"/>
  <c r="L119" i="4" s="1"/>
  <c r="H105" i="5"/>
  <c r="G105" i="5" s="1"/>
  <c r="E106" i="5" s="1"/>
  <c r="F117" i="4"/>
  <c r="H117" i="4"/>
  <c r="V101" i="4"/>
  <c r="Y101" i="4" s="1"/>
  <c r="N117" i="5"/>
  <c r="O117" i="5" s="1"/>
  <c r="M118" i="5" s="1"/>
  <c r="E87" i="6"/>
  <c r="D87" i="6" s="1"/>
  <c r="F87" i="6" s="1"/>
  <c r="G87" i="6" s="1"/>
  <c r="I87" i="6"/>
  <c r="Y100" i="5"/>
  <c r="W100" i="5"/>
  <c r="O115" i="4"/>
  <c r="M116" i="4" s="1"/>
  <c r="P116" i="4" s="1"/>
  <c r="G117" i="4" l="1"/>
  <c r="E118" i="4" s="1"/>
  <c r="W101" i="4"/>
  <c r="X101" i="4" s="1"/>
  <c r="V102" i="4" s="1"/>
  <c r="J119" i="4"/>
  <c r="K119" i="4" s="1"/>
  <c r="I120" i="4" s="1"/>
  <c r="L120" i="4" s="1"/>
  <c r="C88" i="6"/>
  <c r="H87" i="6"/>
  <c r="X100" i="5"/>
  <c r="V101" i="5" s="1"/>
  <c r="L119" i="5"/>
  <c r="J119" i="5"/>
  <c r="H106" i="5"/>
  <c r="F106" i="5"/>
  <c r="P118" i="5"/>
  <c r="N118" i="5"/>
  <c r="N116" i="4"/>
  <c r="O116" i="4" s="1"/>
  <c r="M117" i="4" s="1"/>
  <c r="F118" i="4" l="1"/>
  <c r="H118" i="4"/>
  <c r="J120" i="4"/>
  <c r="K120" i="4" s="1"/>
  <c r="I121" i="4" s="1"/>
  <c r="J121" i="4" s="1"/>
  <c r="I88" i="6"/>
  <c r="E88" i="6"/>
  <c r="D88" i="6" s="1"/>
  <c r="F88" i="6" s="1"/>
  <c r="G88" i="6" s="1"/>
  <c r="O118" i="5"/>
  <c r="M119" i="5" s="1"/>
  <c r="N119" i="5" s="1"/>
  <c r="G106" i="5"/>
  <c r="E107" i="5" s="1"/>
  <c r="F107" i="5" s="1"/>
  <c r="K119" i="5"/>
  <c r="I120" i="5" s="1"/>
  <c r="L120" i="5" s="1"/>
  <c r="W101" i="5"/>
  <c r="Y101" i="5"/>
  <c r="N117" i="4"/>
  <c r="P117" i="4"/>
  <c r="W102" i="4"/>
  <c r="Y102" i="4"/>
  <c r="G118" i="4" l="1"/>
  <c r="E119" i="4" s="1"/>
  <c r="F119" i="4" s="1"/>
  <c r="O117" i="4"/>
  <c r="M118" i="4" s="1"/>
  <c r="P118" i="4" s="1"/>
  <c r="P119" i="5"/>
  <c r="O119" i="5" s="1"/>
  <c r="M120" i="5" s="1"/>
  <c r="H107" i="5"/>
  <c r="G107" i="5" s="1"/>
  <c r="E108" i="5" s="1"/>
  <c r="H108" i="5" s="1"/>
  <c r="L121" i="4"/>
  <c r="K121" i="4" s="1"/>
  <c r="I122" i="4" s="1"/>
  <c r="J122" i="4" s="1"/>
  <c r="J120" i="5"/>
  <c r="K120" i="5" s="1"/>
  <c r="I121" i="5" s="1"/>
  <c r="J121" i="5" s="1"/>
  <c r="C89" i="6"/>
  <c r="H88" i="6"/>
  <c r="X101" i="5"/>
  <c r="V102" i="5" s="1"/>
  <c r="X102" i="4"/>
  <c r="V103" i="4" s="1"/>
  <c r="H119" i="4" l="1"/>
  <c r="G119" i="4" s="1"/>
  <c r="E120" i="4" s="1"/>
  <c r="N118" i="4"/>
  <c r="O118" i="4" s="1"/>
  <c r="M119" i="4" s="1"/>
  <c r="N119" i="4" s="1"/>
  <c r="F108" i="5"/>
  <c r="G108" i="5" s="1"/>
  <c r="E109" i="5" s="1"/>
  <c r="F109" i="5" s="1"/>
  <c r="L122" i="4"/>
  <c r="K122" i="4" s="1"/>
  <c r="I123" i="4" s="1"/>
  <c r="L123" i="4" s="1"/>
  <c r="L121" i="5"/>
  <c r="K121" i="5" s="1"/>
  <c r="I122" i="5" s="1"/>
  <c r="I89" i="6"/>
  <c r="E89" i="6"/>
  <c r="D89" i="6" s="1"/>
  <c r="F89" i="6" s="1"/>
  <c r="G89" i="6" s="1"/>
  <c r="N120" i="5"/>
  <c r="P120" i="5"/>
  <c r="W102" i="5"/>
  <c r="Y102" i="5"/>
  <c r="Y103" i="4"/>
  <c r="W103" i="4"/>
  <c r="H120" i="4" l="1"/>
  <c r="F120" i="4"/>
  <c r="P119" i="4"/>
  <c r="O119" i="4" s="1"/>
  <c r="M120" i="4" s="1"/>
  <c r="H109" i="5"/>
  <c r="G109" i="5" s="1"/>
  <c r="E110" i="5" s="1"/>
  <c r="C90" i="6"/>
  <c r="H89" i="6"/>
  <c r="J123" i="4"/>
  <c r="K123" i="4" s="1"/>
  <c r="I124" i="4" s="1"/>
  <c r="O120" i="5"/>
  <c r="M121" i="5" s="1"/>
  <c r="X102" i="5"/>
  <c r="V103" i="5" s="1"/>
  <c r="L122" i="5"/>
  <c r="J122" i="5"/>
  <c r="X103" i="4"/>
  <c r="V104" i="4" s="1"/>
  <c r="W104" i="4" s="1"/>
  <c r="G120" i="4" l="1"/>
  <c r="E121" i="4" s="1"/>
  <c r="H121" i="4" s="1"/>
  <c r="K122" i="5"/>
  <c r="I123" i="5" s="1"/>
  <c r="L123" i="5" s="1"/>
  <c r="E90" i="6"/>
  <c r="D90" i="6" s="1"/>
  <c r="F90" i="6" s="1"/>
  <c r="G90" i="6" s="1"/>
  <c r="I90" i="6"/>
  <c r="Y104" i="4"/>
  <c r="X104" i="4" s="1"/>
  <c r="V105" i="4" s="1"/>
  <c r="P120" i="4"/>
  <c r="N120" i="4"/>
  <c r="F110" i="5"/>
  <c r="H110" i="5"/>
  <c r="P121" i="5"/>
  <c r="N121" i="5"/>
  <c r="W103" i="5"/>
  <c r="Y103" i="5"/>
  <c r="L124" i="4"/>
  <c r="J124" i="4"/>
  <c r="F121" i="4" l="1"/>
  <c r="G121" i="4" s="1"/>
  <c r="E122" i="4" s="1"/>
  <c r="H122" i="4" s="1"/>
  <c r="J123" i="5"/>
  <c r="K123" i="5" s="1"/>
  <c r="I124" i="5" s="1"/>
  <c r="J124" i="5" s="1"/>
  <c r="G110" i="5"/>
  <c r="E111" i="5" s="1"/>
  <c r="H111" i="5" s="1"/>
  <c r="X103" i="5"/>
  <c r="V104" i="5" s="1"/>
  <c r="O120" i="4"/>
  <c r="M121" i="4" s="1"/>
  <c r="N121" i="4" s="1"/>
  <c r="C91" i="6"/>
  <c r="H90" i="6"/>
  <c r="O121" i="5"/>
  <c r="M122" i="5" s="1"/>
  <c r="K124" i="4"/>
  <c r="I125" i="4" s="1"/>
  <c r="Y105" i="4"/>
  <c r="W105" i="4"/>
  <c r="F111" i="5" l="1"/>
  <c r="G111" i="5" s="1"/>
  <c r="E112" i="5" s="1"/>
  <c r="F122" i="4"/>
  <c r="G122" i="4" s="1"/>
  <c r="E123" i="4" s="1"/>
  <c r="H123" i="4" s="1"/>
  <c r="L124" i="5"/>
  <c r="K124" i="5" s="1"/>
  <c r="I125" i="5" s="1"/>
  <c r="L125" i="5" s="1"/>
  <c r="P121" i="4"/>
  <c r="O121" i="4" s="1"/>
  <c r="M122" i="4" s="1"/>
  <c r="I91" i="6"/>
  <c r="E91" i="6"/>
  <c r="D91" i="6" s="1"/>
  <c r="F91" i="6" s="1"/>
  <c r="G91" i="6" s="1"/>
  <c r="Y104" i="5"/>
  <c r="W104" i="5"/>
  <c r="N122" i="5"/>
  <c r="P122" i="5"/>
  <c r="L125" i="4"/>
  <c r="J125" i="4"/>
  <c r="X105" i="4"/>
  <c r="V106" i="4" s="1"/>
  <c r="F123" i="4" l="1"/>
  <c r="G123" i="4" s="1"/>
  <c r="E124" i="4" s="1"/>
  <c r="H124" i="4" s="1"/>
  <c r="K125" i="4"/>
  <c r="I126" i="4" s="1"/>
  <c r="J126" i="4" s="1"/>
  <c r="J125" i="5"/>
  <c r="K125" i="5" s="1"/>
  <c r="I126" i="5" s="1"/>
  <c r="C92" i="6"/>
  <c r="H91" i="6"/>
  <c r="P122" i="4"/>
  <c r="N122" i="4"/>
  <c r="O122" i="5"/>
  <c r="M123" i="5" s="1"/>
  <c r="N123" i="5" s="1"/>
  <c r="X104" i="5"/>
  <c r="V105" i="5" s="1"/>
  <c r="H112" i="5"/>
  <c r="F112" i="5"/>
  <c r="Y106" i="4"/>
  <c r="W106" i="4"/>
  <c r="F124" i="4" l="1"/>
  <c r="G124" i="4" s="1"/>
  <c r="E125" i="4" s="1"/>
  <c r="H125" i="4" s="1"/>
  <c r="L126" i="4"/>
  <c r="K126" i="4" s="1"/>
  <c r="I127" i="4" s="1"/>
  <c r="O122" i="4"/>
  <c r="M123" i="4" s="1"/>
  <c r="P123" i="4" s="1"/>
  <c r="P123" i="5"/>
  <c r="O123" i="5" s="1"/>
  <c r="M124" i="5" s="1"/>
  <c r="I92" i="6"/>
  <c r="E92" i="6"/>
  <c r="D92" i="6" s="1"/>
  <c r="F92" i="6" s="1"/>
  <c r="G92" i="6" s="1"/>
  <c r="L126" i="5"/>
  <c r="J126" i="5"/>
  <c r="Y105" i="5"/>
  <c r="W105" i="5"/>
  <c r="G112" i="5"/>
  <c r="E113" i="5" s="1"/>
  <c r="X106" i="4"/>
  <c r="V107" i="4" s="1"/>
  <c r="F125" i="4" l="1"/>
  <c r="G125" i="4" s="1"/>
  <c r="E126" i="4" s="1"/>
  <c r="N123" i="4"/>
  <c r="O123" i="4" s="1"/>
  <c r="M124" i="4" s="1"/>
  <c r="P124" i="5"/>
  <c r="N124" i="5"/>
  <c r="H92" i="6"/>
  <c r="C93" i="6"/>
  <c r="X105" i="5"/>
  <c r="V106" i="5" s="1"/>
  <c r="H113" i="5"/>
  <c r="F113" i="5"/>
  <c r="K126" i="5"/>
  <c r="I127" i="5" s="1"/>
  <c r="L127" i="4"/>
  <c r="J127" i="4"/>
  <c r="W107" i="4"/>
  <c r="Y107" i="4"/>
  <c r="H126" i="4" l="1"/>
  <c r="F126" i="4"/>
  <c r="O124" i="5"/>
  <c r="M125" i="5" s="1"/>
  <c r="N125" i="5" s="1"/>
  <c r="P124" i="4"/>
  <c r="N124" i="4"/>
  <c r="G113" i="5"/>
  <c r="E114" i="5" s="1"/>
  <c r="H114" i="5" s="1"/>
  <c r="E93" i="6"/>
  <c r="D93" i="6" s="1"/>
  <c r="F93" i="6" s="1"/>
  <c r="G93" i="6" s="1"/>
  <c r="I93" i="6"/>
  <c r="L127" i="5"/>
  <c r="J127" i="5"/>
  <c r="W106" i="5"/>
  <c r="Y106" i="5"/>
  <c r="X107" i="4"/>
  <c r="V108" i="4" s="1"/>
  <c r="K127" i="4"/>
  <c r="I128" i="4" s="1"/>
  <c r="J128" i="4" s="1"/>
  <c r="G126" i="4" l="1"/>
  <c r="E127" i="4" s="1"/>
  <c r="F127" i="4" s="1"/>
  <c r="O124" i="4"/>
  <c r="M125" i="4" s="1"/>
  <c r="N125" i="4" s="1"/>
  <c r="P125" i="5"/>
  <c r="O125" i="5" s="1"/>
  <c r="M126" i="5" s="1"/>
  <c r="P126" i="5" s="1"/>
  <c r="F114" i="5"/>
  <c r="G114" i="5" s="1"/>
  <c r="E115" i="5" s="1"/>
  <c r="K127" i="5"/>
  <c r="I128" i="5" s="1"/>
  <c r="J128" i="5" s="1"/>
  <c r="C94" i="6"/>
  <c r="H93" i="6"/>
  <c r="X106" i="5"/>
  <c r="V107" i="5" s="1"/>
  <c r="L128" i="4"/>
  <c r="K128" i="4" s="1"/>
  <c r="I129" i="4" s="1"/>
  <c r="Y108" i="4"/>
  <c r="W108" i="4"/>
  <c r="L128" i="5" l="1"/>
  <c r="K128" i="5" s="1"/>
  <c r="I129" i="5" s="1"/>
  <c r="J129" i="5" s="1"/>
  <c r="H127" i="4"/>
  <c r="G127" i="4" s="1"/>
  <c r="E128" i="4" s="1"/>
  <c r="H128" i="4" s="1"/>
  <c r="P125" i="4"/>
  <c r="O125" i="4" s="1"/>
  <c r="M126" i="4" s="1"/>
  <c r="N126" i="4" s="1"/>
  <c r="N126" i="5"/>
  <c r="O126" i="5" s="1"/>
  <c r="M127" i="5" s="1"/>
  <c r="I94" i="6"/>
  <c r="E94" i="6"/>
  <c r="D94" i="6" s="1"/>
  <c r="F94" i="6" s="1"/>
  <c r="G94" i="6" s="1"/>
  <c r="Y107" i="5"/>
  <c r="W107" i="5"/>
  <c r="H115" i="5"/>
  <c r="F115" i="5"/>
  <c r="X108" i="4"/>
  <c r="V109" i="4" s="1"/>
  <c r="J129" i="4"/>
  <c r="L129" i="4"/>
  <c r="F128" i="4" l="1"/>
  <c r="G128" i="4" s="1"/>
  <c r="E129" i="4" s="1"/>
  <c r="P126" i="4"/>
  <c r="O126" i="4" s="1"/>
  <c r="M127" i="4" s="1"/>
  <c r="N127" i="4" s="1"/>
  <c r="L129" i="5"/>
  <c r="K129" i="5" s="1"/>
  <c r="I130" i="5" s="1"/>
  <c r="L130" i="5" s="1"/>
  <c r="H94" i="6"/>
  <c r="C95" i="6"/>
  <c r="X107" i="5"/>
  <c r="V108" i="5" s="1"/>
  <c r="Y108" i="5" s="1"/>
  <c r="G115" i="5"/>
  <c r="E116" i="5" s="1"/>
  <c r="H116" i="5" s="1"/>
  <c r="P127" i="5"/>
  <c r="N127" i="5"/>
  <c r="K129" i="4"/>
  <c r="I130" i="4" s="1"/>
  <c r="W109" i="4"/>
  <c r="Y109" i="4"/>
  <c r="P127" i="4" l="1"/>
  <c r="O127" i="4" s="1"/>
  <c r="M128" i="4" s="1"/>
  <c r="P128" i="4" s="1"/>
  <c r="H129" i="4"/>
  <c r="F129" i="4"/>
  <c r="W108" i="5"/>
  <c r="X108" i="5" s="1"/>
  <c r="V109" i="5" s="1"/>
  <c r="Y109" i="5" s="1"/>
  <c r="O127" i="5"/>
  <c r="M128" i="5" s="1"/>
  <c r="E95" i="6"/>
  <c r="D95" i="6" s="1"/>
  <c r="F95" i="6" s="1"/>
  <c r="G95" i="6" s="1"/>
  <c r="I95" i="6"/>
  <c r="F116" i="5"/>
  <c r="G116" i="5" s="1"/>
  <c r="E117" i="5" s="1"/>
  <c r="J130" i="5"/>
  <c r="K130" i="5" s="1"/>
  <c r="I131" i="5" s="1"/>
  <c r="L130" i="4"/>
  <c r="J130" i="4"/>
  <c r="X109" i="4"/>
  <c r="V110" i="4" s="1"/>
  <c r="N128" i="4" l="1"/>
  <c r="O128" i="4" s="1"/>
  <c r="M129" i="4" s="1"/>
  <c r="P129" i="4" s="1"/>
  <c r="G129" i="4"/>
  <c r="E130" i="4" s="1"/>
  <c r="H130" i="4" s="1"/>
  <c r="W109" i="5"/>
  <c r="X109" i="5" s="1"/>
  <c r="V110" i="5" s="1"/>
  <c r="C96" i="6"/>
  <c r="H95" i="6"/>
  <c r="H117" i="5"/>
  <c r="F117" i="5"/>
  <c r="J131" i="5"/>
  <c r="L131" i="5"/>
  <c r="P128" i="5"/>
  <c r="N128" i="5"/>
  <c r="K130" i="4"/>
  <c r="I131" i="4" s="1"/>
  <c r="W110" i="4"/>
  <c r="Y110" i="4"/>
  <c r="F130" i="4" l="1"/>
  <c r="G130" i="4" s="1"/>
  <c r="E131" i="4" s="1"/>
  <c r="X110" i="4"/>
  <c r="V111" i="4" s="1"/>
  <c r="E96" i="6"/>
  <c r="D96" i="6" s="1"/>
  <c r="F96" i="6" s="1"/>
  <c r="G96" i="6" s="1"/>
  <c r="I96" i="6"/>
  <c r="N129" i="4"/>
  <c r="O129" i="4" s="1"/>
  <c r="M130" i="4" s="1"/>
  <c r="G117" i="5"/>
  <c r="E118" i="5" s="1"/>
  <c r="H118" i="5" s="1"/>
  <c r="K131" i="5"/>
  <c r="I132" i="5" s="1"/>
  <c r="O128" i="5"/>
  <c r="M129" i="5" s="1"/>
  <c r="Y110" i="5"/>
  <c r="W110" i="5"/>
  <c r="L131" i="4"/>
  <c r="J131" i="4"/>
  <c r="H131" i="4" l="1"/>
  <c r="F131" i="4"/>
  <c r="F118" i="5"/>
  <c r="G118" i="5" s="1"/>
  <c r="E119" i="5" s="1"/>
  <c r="C97" i="6"/>
  <c r="H96" i="6"/>
  <c r="X110" i="5"/>
  <c r="V111" i="5" s="1"/>
  <c r="Y111" i="5" s="1"/>
  <c r="N129" i="5"/>
  <c r="P129" i="5"/>
  <c r="J132" i="5"/>
  <c r="L132" i="5"/>
  <c r="P130" i="4"/>
  <c r="N130" i="4"/>
  <c r="K131" i="4"/>
  <c r="I132" i="4" s="1"/>
  <c r="Y111" i="4"/>
  <c r="W111" i="4"/>
  <c r="G131" i="4" l="1"/>
  <c r="E132" i="4" s="1"/>
  <c r="H132" i="4" s="1"/>
  <c r="H119" i="5"/>
  <c r="F119" i="5"/>
  <c r="W111" i="5"/>
  <c r="X111" i="5" s="1"/>
  <c r="V112" i="5" s="1"/>
  <c r="W112" i="5" s="1"/>
  <c r="I97" i="6"/>
  <c r="E97" i="6"/>
  <c r="D97" i="6" s="1"/>
  <c r="F97" i="6" s="1"/>
  <c r="G97" i="6" s="1"/>
  <c r="O129" i="5"/>
  <c r="M130" i="5" s="1"/>
  <c r="K132" i="5"/>
  <c r="I133" i="5" s="1"/>
  <c r="X111" i="4"/>
  <c r="V112" i="4" s="1"/>
  <c r="O130" i="4"/>
  <c r="M131" i="4" s="1"/>
  <c r="P131" i="4" s="1"/>
  <c r="J132" i="4"/>
  <c r="L132" i="4"/>
  <c r="F132" i="4" l="1"/>
  <c r="G132" i="4" s="1"/>
  <c r="E133" i="4" s="1"/>
  <c r="F133" i="4" s="1"/>
  <c r="G119" i="5"/>
  <c r="E120" i="5" s="1"/>
  <c r="F120" i="5" s="1"/>
  <c r="Y112" i="5"/>
  <c r="X112" i="5" s="1"/>
  <c r="H97" i="6"/>
  <c r="C98" i="6"/>
  <c r="L133" i="5"/>
  <c r="J133" i="5"/>
  <c r="P130" i="5"/>
  <c r="N130" i="5"/>
  <c r="N131" i="4"/>
  <c r="O131" i="4" s="1"/>
  <c r="M132" i="4" s="1"/>
  <c r="K132" i="4"/>
  <c r="I133" i="4" s="1"/>
  <c r="J133" i="4" s="1"/>
  <c r="Y112" i="4"/>
  <c r="W112" i="4"/>
  <c r="H133" i="4" l="1"/>
  <c r="G133" i="4" s="1"/>
  <c r="E134" i="4" s="1"/>
  <c r="H134" i="4" s="1"/>
  <c r="H120" i="5"/>
  <c r="G120" i="5" s="1"/>
  <c r="E121" i="5" s="1"/>
  <c r="F121" i="5" s="1"/>
  <c r="V113" i="5"/>
  <c r="W113" i="5" s="1"/>
  <c r="I98" i="6"/>
  <c r="E98" i="6"/>
  <c r="D98" i="6" s="1"/>
  <c r="F98" i="6" s="1"/>
  <c r="G98" i="6" s="1"/>
  <c r="L133" i="4"/>
  <c r="K133" i="4" s="1"/>
  <c r="I134" i="4" s="1"/>
  <c r="K133" i="5"/>
  <c r="I134" i="5" s="1"/>
  <c r="L134" i="5" s="1"/>
  <c r="O130" i="5"/>
  <c r="M131" i="5" s="1"/>
  <c r="X112" i="4"/>
  <c r="V113" i="4" s="1"/>
  <c r="N132" i="4"/>
  <c r="P132" i="4"/>
  <c r="Y113" i="5" l="1"/>
  <c r="X113" i="5" s="1"/>
  <c r="V114" i="5" s="1"/>
  <c r="F134" i="4"/>
  <c r="G134" i="4" s="1"/>
  <c r="E135" i="4" s="1"/>
  <c r="F135" i="4" s="1"/>
  <c r="H121" i="5"/>
  <c r="G121" i="5" s="1"/>
  <c r="E122" i="5" s="1"/>
  <c r="H98" i="6"/>
  <c r="C99" i="6"/>
  <c r="J134" i="5"/>
  <c r="K134" i="5" s="1"/>
  <c r="I135" i="5" s="1"/>
  <c r="P131" i="5"/>
  <c r="N131" i="5"/>
  <c r="O132" i="4"/>
  <c r="M133" i="4" s="1"/>
  <c r="Y113" i="4"/>
  <c r="W113" i="4"/>
  <c r="L134" i="4"/>
  <c r="J134" i="4"/>
  <c r="H135" i="4" l="1"/>
  <c r="G135" i="4" s="1"/>
  <c r="E136" i="4" s="1"/>
  <c r="F136" i="4" s="1"/>
  <c r="K134" i="4"/>
  <c r="I135" i="4" s="1"/>
  <c r="L135" i="4" s="1"/>
  <c r="E99" i="6"/>
  <c r="D99" i="6" s="1"/>
  <c r="F99" i="6" s="1"/>
  <c r="G99" i="6" s="1"/>
  <c r="I99" i="6"/>
  <c r="O131" i="5"/>
  <c r="M132" i="5" s="1"/>
  <c r="P132" i="5" s="1"/>
  <c r="J135" i="5"/>
  <c r="L135" i="5"/>
  <c r="F122" i="5"/>
  <c r="H122" i="5"/>
  <c r="Y114" i="5"/>
  <c r="W114" i="5"/>
  <c r="P133" i="4"/>
  <c r="N133" i="4"/>
  <c r="X113" i="4"/>
  <c r="V114" i="4" s="1"/>
  <c r="H136" i="4" l="1"/>
  <c r="G136" i="4" s="1"/>
  <c r="E137" i="4" s="1"/>
  <c r="H137" i="4" s="1"/>
  <c r="N132" i="5"/>
  <c r="O132" i="5" s="1"/>
  <c r="M133" i="5" s="1"/>
  <c r="N133" i="5" s="1"/>
  <c r="J135" i="4"/>
  <c r="K135" i="4" s="1"/>
  <c r="I136" i="4" s="1"/>
  <c r="K135" i="5"/>
  <c r="I136" i="5" s="1"/>
  <c r="J136" i="5" s="1"/>
  <c r="C100" i="6"/>
  <c r="H99" i="6"/>
  <c r="X114" i="5"/>
  <c r="V115" i="5" s="1"/>
  <c r="G122" i="5"/>
  <c r="E123" i="5" s="1"/>
  <c r="O133" i="4"/>
  <c r="M134" i="4" s="1"/>
  <c r="P134" i="4" s="1"/>
  <c r="Y114" i="4"/>
  <c r="W114" i="4"/>
  <c r="L136" i="5" l="1"/>
  <c r="K136" i="5" s="1"/>
  <c r="I137" i="5" s="1"/>
  <c r="F137" i="4"/>
  <c r="G137" i="4" s="1"/>
  <c r="E138" i="4" s="1"/>
  <c r="H138" i="4" s="1"/>
  <c r="I100" i="6"/>
  <c r="E100" i="6"/>
  <c r="D100" i="6" s="1"/>
  <c r="F100" i="6" s="1"/>
  <c r="G100" i="6" s="1"/>
  <c r="P133" i="5"/>
  <c r="O133" i="5" s="1"/>
  <c r="M134" i="5" s="1"/>
  <c r="F123" i="5"/>
  <c r="H123" i="5"/>
  <c r="W115" i="5"/>
  <c r="Y115" i="5"/>
  <c r="N134" i="4"/>
  <c r="O134" i="4" s="1"/>
  <c r="M135" i="4" s="1"/>
  <c r="X114" i="4"/>
  <c r="V115" i="4" s="1"/>
  <c r="J136" i="4"/>
  <c r="L136" i="4"/>
  <c r="F138" i="4" l="1"/>
  <c r="G138" i="4" s="1"/>
  <c r="E139" i="4" s="1"/>
  <c r="C101" i="6"/>
  <c r="H100" i="6"/>
  <c r="P134" i="5"/>
  <c r="N134" i="5"/>
  <c r="J137" i="5"/>
  <c r="L137" i="5"/>
  <c r="X115" i="5"/>
  <c r="V116" i="5" s="1"/>
  <c r="G123" i="5"/>
  <c r="E124" i="5" s="1"/>
  <c r="Y115" i="4"/>
  <c r="W115" i="4"/>
  <c r="K136" i="4"/>
  <c r="I137" i="4" s="1"/>
  <c r="P135" i="4"/>
  <c r="N135" i="4"/>
  <c r="H139" i="4" l="1"/>
  <c r="F139" i="4"/>
  <c r="O134" i="5"/>
  <c r="M135" i="5" s="1"/>
  <c r="I101" i="6"/>
  <c r="E101" i="6"/>
  <c r="D101" i="6" s="1"/>
  <c r="F101" i="6" s="1"/>
  <c r="G101" i="6" s="1"/>
  <c r="K137" i="5"/>
  <c r="I138" i="5" s="1"/>
  <c r="F124" i="5"/>
  <c r="H124" i="5"/>
  <c r="Y116" i="5"/>
  <c r="W116" i="5"/>
  <c r="X115" i="4"/>
  <c r="V116" i="4" s="1"/>
  <c r="J137" i="4"/>
  <c r="L137" i="4"/>
  <c r="O135" i="4"/>
  <c r="M136" i="4" s="1"/>
  <c r="G139" i="4" l="1"/>
  <c r="E140" i="4" s="1"/>
  <c r="F140" i="4" s="1"/>
  <c r="C102" i="6"/>
  <c r="H101" i="6"/>
  <c r="G124" i="5"/>
  <c r="E125" i="5" s="1"/>
  <c r="X116" i="5"/>
  <c r="V117" i="5" s="1"/>
  <c r="J138" i="5"/>
  <c r="L138" i="5"/>
  <c r="P135" i="5"/>
  <c r="N135" i="5"/>
  <c r="K137" i="4"/>
  <c r="I138" i="4" s="1"/>
  <c r="Y116" i="4"/>
  <c r="W116" i="4"/>
  <c r="N136" i="4"/>
  <c r="P136" i="4"/>
  <c r="H140" i="4" l="1"/>
  <c r="G140" i="4" s="1"/>
  <c r="E141" i="4" s="1"/>
  <c r="F141" i="4" s="1"/>
  <c r="O135" i="5"/>
  <c r="M136" i="5" s="1"/>
  <c r="E102" i="6"/>
  <c r="D102" i="6" s="1"/>
  <c r="F102" i="6" s="1"/>
  <c r="G102" i="6" s="1"/>
  <c r="I102" i="6"/>
  <c r="K138" i="5"/>
  <c r="I139" i="5" s="1"/>
  <c r="L139" i="5" s="1"/>
  <c r="Y117" i="5"/>
  <c r="W117" i="5"/>
  <c r="H125" i="5"/>
  <c r="F125" i="5"/>
  <c r="O136" i="4"/>
  <c r="M137" i="4" s="1"/>
  <c r="X116" i="4"/>
  <c r="V117" i="4" s="1"/>
  <c r="L138" i="4"/>
  <c r="J138" i="4"/>
  <c r="H141" i="4" l="1"/>
  <c r="G141" i="4" s="1"/>
  <c r="E142" i="4" s="1"/>
  <c r="H142" i="4" s="1"/>
  <c r="J139" i="5"/>
  <c r="K139" i="5" s="1"/>
  <c r="I140" i="5" s="1"/>
  <c r="L140" i="5" s="1"/>
  <c r="H102" i="6"/>
  <c r="C103" i="6"/>
  <c r="K138" i="4"/>
  <c r="I139" i="4" s="1"/>
  <c r="J139" i="4" s="1"/>
  <c r="G125" i="5"/>
  <c r="E126" i="5" s="1"/>
  <c r="F126" i="5" s="1"/>
  <c r="X117" i="5"/>
  <c r="V118" i="5" s="1"/>
  <c r="N136" i="5"/>
  <c r="P136" i="5"/>
  <c r="Y117" i="4"/>
  <c r="W117" i="4"/>
  <c r="N137" i="4"/>
  <c r="P137" i="4"/>
  <c r="J140" i="5" l="1"/>
  <c r="K140" i="5" s="1"/>
  <c r="I141" i="5" s="1"/>
  <c r="L141" i="5" s="1"/>
  <c r="H126" i="5"/>
  <c r="G126" i="5" s="1"/>
  <c r="E127" i="5" s="1"/>
  <c r="I103" i="6"/>
  <c r="E103" i="6"/>
  <c r="D103" i="6" s="1"/>
  <c r="F103" i="6" s="1"/>
  <c r="G103" i="6" s="1"/>
  <c r="L139" i="4"/>
  <c r="K139" i="4" s="1"/>
  <c r="I140" i="4" s="1"/>
  <c r="F142" i="4"/>
  <c r="G142" i="4" s="1"/>
  <c r="E143" i="4" s="1"/>
  <c r="O136" i="5"/>
  <c r="M137" i="5" s="1"/>
  <c r="W118" i="5"/>
  <c r="Y118" i="5"/>
  <c r="X117" i="4"/>
  <c r="V118" i="4" s="1"/>
  <c r="Y118" i="4" s="1"/>
  <c r="O137" i="4"/>
  <c r="M138" i="4" s="1"/>
  <c r="J141" i="5" l="1"/>
  <c r="K141" i="5" s="1"/>
  <c r="I142" i="5" s="1"/>
  <c r="L142" i="5" s="1"/>
  <c r="H103" i="6"/>
  <c r="C104" i="6"/>
  <c r="X118" i="5"/>
  <c r="V119" i="5" s="1"/>
  <c r="F127" i="5"/>
  <c r="H127" i="5"/>
  <c r="P137" i="5"/>
  <c r="N137" i="5"/>
  <c r="W118" i="4"/>
  <c r="X118" i="4" s="1"/>
  <c r="V119" i="4" s="1"/>
  <c r="L140" i="4"/>
  <c r="J140" i="4"/>
  <c r="P138" i="4"/>
  <c r="N138" i="4"/>
  <c r="H143" i="4"/>
  <c r="F143" i="4"/>
  <c r="J142" i="5" l="1"/>
  <c r="K142" i="5" s="1"/>
  <c r="I143" i="5" s="1"/>
  <c r="L143" i="5" s="1"/>
  <c r="K140" i="4"/>
  <c r="I141" i="4" s="1"/>
  <c r="E104" i="6"/>
  <c r="D104" i="6" s="1"/>
  <c r="F104" i="6" s="1"/>
  <c r="G104" i="6" s="1"/>
  <c r="I104" i="6"/>
  <c r="O138" i="4"/>
  <c r="M139" i="4" s="1"/>
  <c r="N139" i="4" s="1"/>
  <c r="O137" i="5"/>
  <c r="M138" i="5" s="1"/>
  <c r="G127" i="5"/>
  <c r="E128" i="5" s="1"/>
  <c r="H128" i="5" s="1"/>
  <c r="Y119" i="5"/>
  <c r="W119" i="5"/>
  <c r="G143" i="4"/>
  <c r="E144" i="4" s="1"/>
  <c r="Y119" i="4"/>
  <c r="W119" i="4"/>
  <c r="J143" i="5" l="1"/>
  <c r="K143" i="5" s="1"/>
  <c r="I144" i="5" s="1"/>
  <c r="P139" i="4"/>
  <c r="O139" i="4" s="1"/>
  <c r="M140" i="4" s="1"/>
  <c r="C105" i="6"/>
  <c r="H104" i="6"/>
  <c r="X119" i="5"/>
  <c r="V120" i="5" s="1"/>
  <c r="Y120" i="5" s="1"/>
  <c r="F128" i="5"/>
  <c r="G128" i="5" s="1"/>
  <c r="E129" i="5" s="1"/>
  <c r="P138" i="5"/>
  <c r="N138" i="5"/>
  <c r="L141" i="4"/>
  <c r="J141" i="4"/>
  <c r="X119" i="4"/>
  <c r="V120" i="4" s="1"/>
  <c r="F144" i="4"/>
  <c r="H144" i="4"/>
  <c r="W120" i="5" l="1"/>
  <c r="X120" i="5" s="1"/>
  <c r="V121" i="5" s="1"/>
  <c r="Y121" i="5" s="1"/>
  <c r="E105" i="6"/>
  <c r="D105" i="6" s="1"/>
  <c r="F105" i="6" s="1"/>
  <c r="G105" i="6" s="1"/>
  <c r="I105" i="6"/>
  <c r="F129" i="5"/>
  <c r="H129" i="5"/>
  <c r="O138" i="5"/>
  <c r="M139" i="5" s="1"/>
  <c r="J144" i="5"/>
  <c r="L144" i="5"/>
  <c r="G144" i="4"/>
  <c r="E145" i="4" s="1"/>
  <c r="K141" i="4"/>
  <c r="I142" i="4" s="1"/>
  <c r="Y120" i="4"/>
  <c r="W120" i="4"/>
  <c r="N140" i="4"/>
  <c r="P140" i="4"/>
  <c r="W121" i="5" l="1"/>
  <c r="X121" i="5" s="1"/>
  <c r="V122" i="5" s="1"/>
  <c r="C106" i="6"/>
  <c r="H105" i="6"/>
  <c r="K144" i="5"/>
  <c r="I145" i="5" s="1"/>
  <c r="G129" i="5"/>
  <c r="E130" i="5" s="1"/>
  <c r="H130" i="5" s="1"/>
  <c r="P139" i="5"/>
  <c r="N139" i="5"/>
  <c r="O140" i="4"/>
  <c r="M141" i="4" s="1"/>
  <c r="L142" i="4"/>
  <c r="J142" i="4"/>
  <c r="F145" i="4"/>
  <c r="H145" i="4"/>
  <c r="X120" i="4"/>
  <c r="V121" i="4" s="1"/>
  <c r="O139" i="5" l="1"/>
  <c r="M140" i="5" s="1"/>
  <c r="P140" i="5" s="1"/>
  <c r="F130" i="5"/>
  <c r="G130" i="5" s="1"/>
  <c r="E131" i="5" s="1"/>
  <c r="K142" i="4"/>
  <c r="I143" i="4" s="1"/>
  <c r="I106" i="6"/>
  <c r="E106" i="6"/>
  <c r="D106" i="6" s="1"/>
  <c r="F106" i="6" s="1"/>
  <c r="G106" i="6" s="1"/>
  <c r="L145" i="5"/>
  <c r="J145" i="5"/>
  <c r="Y122" i="5"/>
  <c r="W122" i="5"/>
  <c r="N141" i="4"/>
  <c r="P141" i="4"/>
  <c r="G145" i="4"/>
  <c r="E146" i="4" s="1"/>
  <c r="W121" i="4"/>
  <c r="Y121" i="4"/>
  <c r="N140" i="5" l="1"/>
  <c r="O140" i="5" s="1"/>
  <c r="M141" i="5" s="1"/>
  <c r="C107" i="6"/>
  <c r="H106" i="6"/>
  <c r="O141" i="4"/>
  <c r="M142" i="4" s="1"/>
  <c r="N142" i="4" s="1"/>
  <c r="K145" i="5"/>
  <c r="I146" i="5" s="1"/>
  <c r="L146" i="5" s="1"/>
  <c r="X122" i="5"/>
  <c r="V123" i="5" s="1"/>
  <c r="Y123" i="5" s="1"/>
  <c r="H131" i="5"/>
  <c r="F131" i="5"/>
  <c r="F146" i="4"/>
  <c r="H146" i="4"/>
  <c r="X121" i="4"/>
  <c r="V122" i="4" s="1"/>
  <c r="L143" i="4"/>
  <c r="J143" i="4"/>
  <c r="N141" i="5" l="1"/>
  <c r="P141" i="5"/>
  <c r="W123" i="5"/>
  <c r="X123" i="5" s="1"/>
  <c r="V124" i="5" s="1"/>
  <c r="P142" i="4"/>
  <c r="O142" i="4" s="1"/>
  <c r="M143" i="4" s="1"/>
  <c r="I107" i="6"/>
  <c r="E107" i="6"/>
  <c r="D107" i="6" s="1"/>
  <c r="F107" i="6" s="1"/>
  <c r="G107" i="6" s="1"/>
  <c r="J146" i="5"/>
  <c r="K146" i="5" s="1"/>
  <c r="I147" i="5" s="1"/>
  <c r="J147" i="5" s="1"/>
  <c r="G131" i="5"/>
  <c r="E132" i="5" s="1"/>
  <c r="G146" i="4"/>
  <c r="E147" i="4" s="1"/>
  <c r="K143" i="4"/>
  <c r="I144" i="4" s="1"/>
  <c r="L144" i="4" s="1"/>
  <c r="W122" i="4"/>
  <c r="Y122" i="4"/>
  <c r="O141" i="5" l="1"/>
  <c r="M142" i="5" s="1"/>
  <c r="N142" i="5" s="1"/>
  <c r="H107" i="6"/>
  <c r="C108" i="6"/>
  <c r="L147" i="5"/>
  <c r="K147" i="5" s="1"/>
  <c r="H132" i="5"/>
  <c r="F132" i="5"/>
  <c r="Y124" i="5"/>
  <c r="W124" i="5"/>
  <c r="J144" i="4"/>
  <c r="K144" i="4" s="1"/>
  <c r="I145" i="4" s="1"/>
  <c r="J145" i="4" s="1"/>
  <c r="P143" i="4"/>
  <c r="N143" i="4"/>
  <c r="X122" i="4"/>
  <c r="V123" i="4" s="1"/>
  <c r="H147" i="4"/>
  <c r="F147" i="4"/>
  <c r="P142" i="5" l="1"/>
  <c r="O142" i="5" s="1"/>
  <c r="M143" i="5" s="1"/>
  <c r="P143" i="5" s="1"/>
  <c r="G132" i="5"/>
  <c r="E133" i="5" s="1"/>
  <c r="F133" i="5" s="1"/>
  <c r="E108" i="6"/>
  <c r="D108" i="6" s="1"/>
  <c r="F108" i="6" s="1"/>
  <c r="G108" i="6" s="1"/>
  <c r="I108" i="6"/>
  <c r="X124" i="5"/>
  <c r="V125" i="5" s="1"/>
  <c r="I148" i="5"/>
  <c r="L145" i="4"/>
  <c r="K145" i="4" s="1"/>
  <c r="O143" i="4"/>
  <c r="M144" i="4" s="1"/>
  <c r="P144" i="4" s="1"/>
  <c r="Y123" i="4"/>
  <c r="W123" i="4"/>
  <c r="G147" i="4"/>
  <c r="E148" i="4" s="1"/>
  <c r="H133" i="5" l="1"/>
  <c r="G133" i="5" s="1"/>
  <c r="E134" i="5" s="1"/>
  <c r="N143" i="5"/>
  <c r="O143" i="5" s="1"/>
  <c r="M144" i="5" s="1"/>
  <c r="P144" i="5" s="1"/>
  <c r="I146" i="4"/>
  <c r="L146" i="4" s="1"/>
  <c r="C109" i="6"/>
  <c r="H108" i="6"/>
  <c r="N144" i="4"/>
  <c r="O144" i="4" s="1"/>
  <c r="M145" i="4" s="1"/>
  <c r="P145" i="4" s="1"/>
  <c r="J148" i="5"/>
  <c r="L148" i="5"/>
  <c r="Y125" i="5"/>
  <c r="W125" i="5"/>
  <c r="X123" i="4"/>
  <c r="V124" i="4" s="1"/>
  <c r="Y124" i="4" s="1"/>
  <c r="H148" i="4"/>
  <c r="F148" i="4"/>
  <c r="N144" i="5" l="1"/>
  <c r="O144" i="5" s="1"/>
  <c r="M145" i="5" s="1"/>
  <c r="P145" i="5" s="1"/>
  <c r="N145" i="4"/>
  <c r="O145" i="4" s="1"/>
  <c r="M146" i="4" s="1"/>
  <c r="P146" i="4" s="1"/>
  <c r="J146" i="4"/>
  <c r="K146" i="4" s="1"/>
  <c r="I147" i="4" s="1"/>
  <c r="L147" i="4" s="1"/>
  <c r="K148" i="5"/>
  <c r="I149" i="5" s="1"/>
  <c r="J149" i="5" s="1"/>
  <c r="I109" i="6"/>
  <c r="E109" i="6"/>
  <c r="D109" i="6" s="1"/>
  <c r="F109" i="6" s="1"/>
  <c r="G109" i="6" s="1"/>
  <c r="W124" i="4"/>
  <c r="X124" i="4" s="1"/>
  <c r="V125" i="4" s="1"/>
  <c r="G148" i="4"/>
  <c r="E149" i="4" s="1"/>
  <c r="H149" i="4" s="1"/>
  <c r="H134" i="5"/>
  <c r="F134" i="5"/>
  <c r="X125" i="5"/>
  <c r="V126" i="5" s="1"/>
  <c r="N145" i="5" l="1"/>
  <c r="O145" i="5" s="1"/>
  <c r="M146" i="5" s="1"/>
  <c r="L149" i="5"/>
  <c r="K149" i="5" s="1"/>
  <c r="I150" i="5" s="1"/>
  <c r="F149" i="4"/>
  <c r="G149" i="4" s="1"/>
  <c r="E150" i="4" s="1"/>
  <c r="H150" i="4" s="1"/>
  <c r="J147" i="4"/>
  <c r="K147" i="4" s="1"/>
  <c r="I148" i="4" s="1"/>
  <c r="C110" i="6"/>
  <c r="H109" i="6"/>
  <c r="N146" i="4"/>
  <c r="O146" i="4" s="1"/>
  <c r="M147" i="4" s="1"/>
  <c r="W126" i="5"/>
  <c r="Y126" i="5"/>
  <c r="G134" i="5"/>
  <c r="E135" i="5" s="1"/>
  <c r="Y125" i="4"/>
  <c r="W125" i="4"/>
  <c r="F150" i="4" l="1"/>
  <c r="G150" i="4" s="1"/>
  <c r="E151" i="4" s="1"/>
  <c r="F151" i="4" s="1"/>
  <c r="I110" i="6"/>
  <c r="E110" i="6"/>
  <c r="D110" i="6" s="1"/>
  <c r="F110" i="6" s="1"/>
  <c r="G110" i="6" s="1"/>
  <c r="X126" i="5"/>
  <c r="V127" i="5" s="1"/>
  <c r="W127" i="5" s="1"/>
  <c r="J150" i="5"/>
  <c r="L150" i="5"/>
  <c r="H135" i="5"/>
  <c r="F135" i="5"/>
  <c r="N146" i="5"/>
  <c r="P146" i="5"/>
  <c r="X125" i="4"/>
  <c r="V126" i="4" s="1"/>
  <c r="P147" i="4"/>
  <c r="N147" i="4"/>
  <c r="J148" i="4"/>
  <c r="L148" i="4"/>
  <c r="Y127" i="5" l="1"/>
  <c r="X127" i="5" s="1"/>
  <c r="V128" i="5" s="1"/>
  <c r="G135" i="5"/>
  <c r="E136" i="5" s="1"/>
  <c r="H136" i="5" s="1"/>
  <c r="K150" i="5"/>
  <c r="I151" i="5" s="1"/>
  <c r="J151" i="5" s="1"/>
  <c r="H110" i="6"/>
  <c r="C111" i="6"/>
  <c r="O146" i="5"/>
  <c r="M147" i="5" s="1"/>
  <c r="H151" i="4"/>
  <c r="G151" i="4" s="1"/>
  <c r="E152" i="4" s="1"/>
  <c r="O147" i="4"/>
  <c r="M148" i="4" s="1"/>
  <c r="K148" i="4"/>
  <c r="I149" i="4" s="1"/>
  <c r="Y126" i="4"/>
  <c r="W126" i="4"/>
  <c r="F136" i="5" l="1"/>
  <c r="G136" i="5" s="1"/>
  <c r="E137" i="5" s="1"/>
  <c r="L151" i="5"/>
  <c r="K151" i="5" s="1"/>
  <c r="I152" i="5" s="1"/>
  <c r="J152" i="5" s="1"/>
  <c r="E111" i="6"/>
  <c r="D111" i="6" s="1"/>
  <c r="F111" i="6" s="1"/>
  <c r="G111" i="6" s="1"/>
  <c r="I111" i="6"/>
  <c r="P147" i="5"/>
  <c r="N147" i="5"/>
  <c r="W128" i="5"/>
  <c r="Y128" i="5"/>
  <c r="H152" i="4"/>
  <c r="F152" i="4"/>
  <c r="J149" i="4"/>
  <c r="L149" i="4"/>
  <c r="X126" i="4"/>
  <c r="V127" i="4" s="1"/>
  <c r="P148" i="4"/>
  <c r="N148" i="4"/>
  <c r="L152" i="5" l="1"/>
  <c r="K152" i="5" s="1"/>
  <c r="I153" i="5" s="1"/>
  <c r="C112" i="6"/>
  <c r="H111" i="6"/>
  <c r="X128" i="5"/>
  <c r="V129" i="5" s="1"/>
  <c r="W129" i="5" s="1"/>
  <c r="O147" i="5"/>
  <c r="M148" i="5" s="1"/>
  <c r="P148" i="5" s="1"/>
  <c r="H137" i="5"/>
  <c r="F137" i="5"/>
  <c r="G152" i="4"/>
  <c r="E153" i="4" s="1"/>
  <c r="H153" i="4" s="1"/>
  <c r="Y127" i="4"/>
  <c r="W127" i="4"/>
  <c r="K149" i="4"/>
  <c r="I150" i="4" s="1"/>
  <c r="O148" i="4"/>
  <c r="M149" i="4" s="1"/>
  <c r="G137" i="5" l="1"/>
  <c r="E138" i="5" s="1"/>
  <c r="F138" i="5" s="1"/>
  <c r="Y129" i="5"/>
  <c r="X129" i="5" s="1"/>
  <c r="V130" i="5" s="1"/>
  <c r="F153" i="4"/>
  <c r="G153" i="4" s="1"/>
  <c r="E154" i="4" s="1"/>
  <c r="I112" i="6"/>
  <c r="E112" i="6"/>
  <c r="D112" i="6" s="1"/>
  <c r="F112" i="6" s="1"/>
  <c r="G112" i="6" s="1"/>
  <c r="N148" i="5"/>
  <c r="O148" i="5" s="1"/>
  <c r="M149" i="5" s="1"/>
  <c r="J153" i="5"/>
  <c r="L153" i="5"/>
  <c r="X127" i="4"/>
  <c r="V128" i="4" s="1"/>
  <c r="J150" i="4"/>
  <c r="L150" i="4"/>
  <c r="N149" i="4"/>
  <c r="P149" i="4"/>
  <c r="H138" i="5" l="1"/>
  <c r="G138" i="5" s="1"/>
  <c r="E139" i="5" s="1"/>
  <c r="C113" i="6"/>
  <c r="H112" i="6"/>
  <c r="K153" i="5"/>
  <c r="I154" i="5" s="1"/>
  <c r="Y130" i="5"/>
  <c r="W130" i="5"/>
  <c r="P149" i="5"/>
  <c r="N149" i="5"/>
  <c r="K150" i="4"/>
  <c r="I151" i="4" s="1"/>
  <c r="Y128" i="4"/>
  <c r="W128" i="4"/>
  <c r="O149" i="4"/>
  <c r="M150" i="4" s="1"/>
  <c r="H154" i="4"/>
  <c r="F154" i="4"/>
  <c r="E113" i="6" l="1"/>
  <c r="D113" i="6" s="1"/>
  <c r="F113" i="6" s="1"/>
  <c r="G113" i="6" s="1"/>
  <c r="I113" i="6"/>
  <c r="G154" i="4"/>
  <c r="E155" i="4" s="1"/>
  <c r="L154" i="5"/>
  <c r="J154" i="5"/>
  <c r="O149" i="5"/>
  <c r="M150" i="5" s="1"/>
  <c r="H139" i="5"/>
  <c r="F139" i="5"/>
  <c r="X130" i="5"/>
  <c r="V131" i="5" s="1"/>
  <c r="P150" i="4"/>
  <c r="N150" i="4"/>
  <c r="L151" i="4"/>
  <c r="J151" i="4"/>
  <c r="X128" i="4"/>
  <c r="V129" i="4" s="1"/>
  <c r="K154" i="5" l="1"/>
  <c r="I155" i="5" s="1"/>
  <c r="L155" i="5" s="1"/>
  <c r="C114" i="6"/>
  <c r="H113" i="6"/>
  <c r="K151" i="4"/>
  <c r="I152" i="4" s="1"/>
  <c r="L152" i="4" s="1"/>
  <c r="G139" i="5"/>
  <c r="E140" i="5" s="1"/>
  <c r="F140" i="5" s="1"/>
  <c r="Y131" i="5"/>
  <c r="W131" i="5"/>
  <c r="P150" i="5"/>
  <c r="N150" i="5"/>
  <c r="O150" i="4"/>
  <c r="M151" i="4" s="1"/>
  <c r="Y129" i="4"/>
  <c r="W129" i="4"/>
  <c r="H155" i="4"/>
  <c r="F155" i="4"/>
  <c r="J155" i="5" l="1"/>
  <c r="K155" i="5" s="1"/>
  <c r="I156" i="5" s="1"/>
  <c r="H140" i="5"/>
  <c r="G140" i="5" s="1"/>
  <c r="E141" i="5" s="1"/>
  <c r="J152" i="4"/>
  <c r="K152" i="4" s="1"/>
  <c r="I153" i="4" s="1"/>
  <c r="J153" i="4" s="1"/>
  <c r="E114" i="6"/>
  <c r="D114" i="6" s="1"/>
  <c r="F114" i="6" s="1"/>
  <c r="G114" i="6" s="1"/>
  <c r="I114" i="6"/>
  <c r="O150" i="5"/>
  <c r="M151" i="5" s="1"/>
  <c r="N151" i="5" s="1"/>
  <c r="X131" i="5"/>
  <c r="V132" i="5" s="1"/>
  <c r="X129" i="4"/>
  <c r="V130" i="4" s="1"/>
  <c r="G155" i="4"/>
  <c r="E156" i="4" s="1"/>
  <c r="P151" i="4"/>
  <c r="N151" i="4"/>
  <c r="L156" i="5" l="1"/>
  <c r="J156" i="5"/>
  <c r="C115" i="6"/>
  <c r="H114" i="6"/>
  <c r="P151" i="5"/>
  <c r="O151" i="5" s="1"/>
  <c r="M152" i="5" s="1"/>
  <c r="W132" i="5"/>
  <c r="Y132" i="5"/>
  <c r="H141" i="5"/>
  <c r="F141" i="5"/>
  <c r="L153" i="4"/>
  <c r="K153" i="4" s="1"/>
  <c r="I154" i="4" s="1"/>
  <c r="F156" i="4"/>
  <c r="H156" i="4"/>
  <c r="O151" i="4"/>
  <c r="M152" i="4" s="1"/>
  <c r="Y130" i="4"/>
  <c r="W130" i="4"/>
  <c r="K156" i="5" l="1"/>
  <c r="I157" i="5" s="1"/>
  <c r="L157" i="5" s="1"/>
  <c r="I115" i="6"/>
  <c r="E115" i="6"/>
  <c r="D115" i="6" s="1"/>
  <c r="F115" i="6" s="1"/>
  <c r="G115" i="6" s="1"/>
  <c r="X132" i="5"/>
  <c r="V133" i="5" s="1"/>
  <c r="G141" i="5"/>
  <c r="E142" i="5" s="1"/>
  <c r="P152" i="5"/>
  <c r="N152" i="5"/>
  <c r="X130" i="4"/>
  <c r="V131" i="4" s="1"/>
  <c r="N152" i="4"/>
  <c r="P152" i="4"/>
  <c r="L154" i="4"/>
  <c r="J154" i="4"/>
  <c r="G156" i="4"/>
  <c r="E157" i="4" s="1"/>
  <c r="J157" i="5" l="1"/>
  <c r="K157" i="5" s="1"/>
  <c r="I158" i="5" s="1"/>
  <c r="O152" i="5"/>
  <c r="M153" i="5" s="1"/>
  <c r="N153" i="5" s="1"/>
  <c r="H115" i="6"/>
  <c r="C116" i="6"/>
  <c r="K154" i="4"/>
  <c r="I155" i="4" s="1"/>
  <c r="L155" i="4" s="1"/>
  <c r="W133" i="5"/>
  <c r="Y133" i="5"/>
  <c r="H142" i="5"/>
  <c r="F142" i="5"/>
  <c r="O152" i="4"/>
  <c r="M153" i="4" s="1"/>
  <c r="F157" i="4"/>
  <c r="H157" i="4"/>
  <c r="W131" i="4"/>
  <c r="Y131" i="4"/>
  <c r="L158" i="5" l="1"/>
  <c r="J158" i="5"/>
  <c r="P153" i="5"/>
  <c r="J155" i="4"/>
  <c r="K155" i="4" s="1"/>
  <c r="I156" i="4" s="1"/>
  <c r="I116" i="6"/>
  <c r="E116" i="6"/>
  <c r="D116" i="6" s="1"/>
  <c r="F116" i="6" s="1"/>
  <c r="G116" i="6" s="1"/>
  <c r="G157" i="4"/>
  <c r="E158" i="4" s="1"/>
  <c r="F158" i="4" s="1"/>
  <c r="X133" i="5"/>
  <c r="V134" i="5" s="1"/>
  <c r="G142" i="5"/>
  <c r="E143" i="5" s="1"/>
  <c r="H143" i="5" s="1"/>
  <c r="P153" i="4"/>
  <c r="N153" i="4"/>
  <c r="X131" i="4"/>
  <c r="V132" i="4" s="1"/>
  <c r="K158" i="5" l="1"/>
  <c r="I159" i="5" s="1"/>
  <c r="J159" i="5" s="1"/>
  <c r="O153" i="5"/>
  <c r="M154" i="5" s="1"/>
  <c r="P154" i="5" s="1"/>
  <c r="F143" i="5"/>
  <c r="G143" i="5" s="1"/>
  <c r="E144" i="5" s="1"/>
  <c r="H158" i="4"/>
  <c r="G158" i="4" s="1"/>
  <c r="E159" i="4" s="1"/>
  <c r="O153" i="4"/>
  <c r="M154" i="4" s="1"/>
  <c r="N154" i="4" s="1"/>
  <c r="H116" i="6"/>
  <c r="C117" i="6"/>
  <c r="Y134" i="5"/>
  <c r="W134" i="5"/>
  <c r="W132" i="4"/>
  <c r="Y132" i="4"/>
  <c r="L156" i="4"/>
  <c r="J156" i="4"/>
  <c r="L159" i="5" l="1"/>
  <c r="K159" i="5" s="1"/>
  <c r="I160" i="5" s="1"/>
  <c r="J160" i="5" s="1"/>
  <c r="N154" i="5"/>
  <c r="O154" i="5" s="1"/>
  <c r="M155" i="5" s="1"/>
  <c r="N155" i="5" s="1"/>
  <c r="P154" i="4"/>
  <c r="O154" i="4" s="1"/>
  <c r="M155" i="4" s="1"/>
  <c r="E117" i="6"/>
  <c r="D117" i="6" s="1"/>
  <c r="F117" i="6" s="1"/>
  <c r="G117" i="6" s="1"/>
  <c r="I117" i="6"/>
  <c r="X134" i="5"/>
  <c r="V135" i="5" s="1"/>
  <c r="F144" i="5"/>
  <c r="H144" i="5"/>
  <c r="K156" i="4"/>
  <c r="I157" i="4" s="1"/>
  <c r="J157" i="4" s="1"/>
  <c r="H159" i="4"/>
  <c r="F159" i="4"/>
  <c r="X132" i="4"/>
  <c r="V133" i="4" s="1"/>
  <c r="L160" i="5" l="1"/>
  <c r="K160" i="5" s="1"/>
  <c r="I161" i="5" s="1"/>
  <c r="J161" i="5" s="1"/>
  <c r="P155" i="5"/>
  <c r="O155" i="5" s="1"/>
  <c r="M156" i="5" s="1"/>
  <c r="P156" i="5" s="1"/>
  <c r="P155" i="4"/>
  <c r="N155" i="4"/>
  <c r="C118" i="6"/>
  <c r="H117" i="6"/>
  <c r="G144" i="5"/>
  <c r="E145" i="5" s="1"/>
  <c r="Y135" i="5"/>
  <c r="W135" i="5"/>
  <c r="L157" i="4"/>
  <c r="K157" i="4" s="1"/>
  <c r="I158" i="4" s="1"/>
  <c r="L158" i="4" s="1"/>
  <c r="G159" i="4"/>
  <c r="E160" i="4" s="1"/>
  <c r="H160" i="4" s="1"/>
  <c r="W133" i="4"/>
  <c r="Y133" i="4"/>
  <c r="L161" i="5" l="1"/>
  <c r="K161" i="5" s="1"/>
  <c r="I162" i="5" s="1"/>
  <c r="L162" i="5" s="1"/>
  <c r="N156" i="5"/>
  <c r="O156" i="5" s="1"/>
  <c r="M157" i="5" s="1"/>
  <c r="O155" i="4"/>
  <c r="M156" i="4" s="1"/>
  <c r="P156" i="4" s="1"/>
  <c r="I118" i="6"/>
  <c r="E118" i="6"/>
  <c r="D118" i="6" s="1"/>
  <c r="F118" i="6" s="1"/>
  <c r="G118" i="6" s="1"/>
  <c r="F145" i="5"/>
  <c r="H145" i="5"/>
  <c r="J158" i="4"/>
  <c r="K158" i="4" s="1"/>
  <c r="I159" i="4" s="1"/>
  <c r="L159" i="4" s="1"/>
  <c r="F160" i="4"/>
  <c r="G160" i="4" s="1"/>
  <c r="E161" i="4" s="1"/>
  <c r="F161" i="4" s="1"/>
  <c r="X135" i="5"/>
  <c r="V136" i="5" s="1"/>
  <c r="X133" i="4"/>
  <c r="V134" i="4" s="1"/>
  <c r="N156" i="4" l="1"/>
  <c r="O156" i="4" s="1"/>
  <c r="M157" i="4" s="1"/>
  <c r="P157" i="4" s="1"/>
  <c r="G145" i="5"/>
  <c r="E146" i="5" s="1"/>
  <c r="H146" i="5" s="1"/>
  <c r="J162" i="5"/>
  <c r="K162" i="5" s="1"/>
  <c r="I163" i="5" s="1"/>
  <c r="J159" i="4"/>
  <c r="K159" i="4" s="1"/>
  <c r="I160" i="4" s="1"/>
  <c r="C119" i="6"/>
  <c r="H118" i="6"/>
  <c r="Y136" i="5"/>
  <c r="W136" i="5"/>
  <c r="P157" i="5"/>
  <c r="N157" i="5"/>
  <c r="H161" i="4"/>
  <c r="G161" i="4" s="1"/>
  <c r="E162" i="4" s="1"/>
  <c r="Y134" i="4"/>
  <c r="W134" i="4"/>
  <c r="F146" i="5" l="1"/>
  <c r="G146" i="5" s="1"/>
  <c r="E147" i="5" s="1"/>
  <c r="N157" i="4"/>
  <c r="O157" i="4" s="1"/>
  <c r="M158" i="4" s="1"/>
  <c r="P158" i="4" s="1"/>
  <c r="X136" i="5"/>
  <c r="V137" i="5" s="1"/>
  <c r="I119" i="6"/>
  <c r="E119" i="6"/>
  <c r="D119" i="6" s="1"/>
  <c r="F119" i="6" s="1"/>
  <c r="G119" i="6" s="1"/>
  <c r="L163" i="5"/>
  <c r="J163" i="5"/>
  <c r="O157" i="5"/>
  <c r="M158" i="5" s="1"/>
  <c r="H162" i="4"/>
  <c r="F162" i="4"/>
  <c r="X134" i="4"/>
  <c r="V135" i="4" s="1"/>
  <c r="J160" i="4"/>
  <c r="L160" i="4"/>
  <c r="N158" i="4" l="1"/>
  <c r="O158" i="4" s="1"/>
  <c r="M159" i="4" s="1"/>
  <c r="P159" i="4" s="1"/>
  <c r="K163" i="5"/>
  <c r="I164" i="5" s="1"/>
  <c r="L164" i="5" s="1"/>
  <c r="G162" i="4"/>
  <c r="E163" i="4" s="1"/>
  <c r="F163" i="4" s="1"/>
  <c r="C120" i="6"/>
  <c r="H119" i="6"/>
  <c r="P158" i="5"/>
  <c r="N158" i="5"/>
  <c r="H147" i="5"/>
  <c r="F147" i="5"/>
  <c r="W137" i="5"/>
  <c r="Y137" i="5"/>
  <c r="Y135" i="4"/>
  <c r="W135" i="4"/>
  <c r="K160" i="4"/>
  <c r="I161" i="4" s="1"/>
  <c r="N159" i="4" l="1"/>
  <c r="O159" i="4" s="1"/>
  <c r="M160" i="4" s="1"/>
  <c r="J164" i="5"/>
  <c r="K164" i="5" s="1"/>
  <c r="I165" i="5" s="1"/>
  <c r="J165" i="5" s="1"/>
  <c r="G147" i="5"/>
  <c r="E148" i="5" s="1"/>
  <c r="H163" i="4"/>
  <c r="G163" i="4" s="1"/>
  <c r="E164" i="4" s="1"/>
  <c r="E120" i="6"/>
  <c r="D120" i="6" s="1"/>
  <c r="F120" i="6" s="1"/>
  <c r="G120" i="6" s="1"/>
  <c r="I120" i="6"/>
  <c r="X137" i="5"/>
  <c r="V138" i="5" s="1"/>
  <c r="O158" i="5"/>
  <c r="M159" i="5" s="1"/>
  <c r="X135" i="4"/>
  <c r="V136" i="4" s="1"/>
  <c r="J161" i="4"/>
  <c r="L161" i="4"/>
  <c r="L165" i="5" l="1"/>
  <c r="K165" i="5" s="1"/>
  <c r="I166" i="5" s="1"/>
  <c r="H164" i="4"/>
  <c r="F164" i="4"/>
  <c r="H120" i="6"/>
  <c r="C121" i="6"/>
  <c r="P159" i="5"/>
  <c r="N159" i="5"/>
  <c r="Y138" i="5"/>
  <c r="W138" i="5"/>
  <c r="H148" i="5"/>
  <c r="F148" i="5"/>
  <c r="P160" i="4"/>
  <c r="N160" i="4"/>
  <c r="K161" i="4"/>
  <c r="I162" i="4" s="1"/>
  <c r="W136" i="4"/>
  <c r="Y136" i="4"/>
  <c r="G164" i="4" l="1"/>
  <c r="E165" i="4" s="1"/>
  <c r="H165" i="4" s="1"/>
  <c r="G148" i="5"/>
  <c r="E149" i="5" s="1"/>
  <c r="H149" i="5" s="1"/>
  <c r="I121" i="6"/>
  <c r="E121" i="6"/>
  <c r="D121" i="6" s="1"/>
  <c r="F121" i="6" s="1"/>
  <c r="G121" i="6" s="1"/>
  <c r="J166" i="5"/>
  <c r="L166" i="5"/>
  <c r="X138" i="5"/>
  <c r="V139" i="5" s="1"/>
  <c r="O159" i="5"/>
  <c r="M160" i="5" s="1"/>
  <c r="O160" i="4"/>
  <c r="M161" i="4" s="1"/>
  <c r="N161" i="4" s="1"/>
  <c r="X136" i="4"/>
  <c r="V137" i="4" s="1"/>
  <c r="Y137" i="4" s="1"/>
  <c r="J162" i="4"/>
  <c r="L162" i="4"/>
  <c r="F165" i="4" l="1"/>
  <c r="G165" i="4" s="1"/>
  <c r="E166" i="4" s="1"/>
  <c r="H166" i="4" s="1"/>
  <c r="F149" i="5"/>
  <c r="G149" i="5" s="1"/>
  <c r="E150" i="5" s="1"/>
  <c r="K166" i="5"/>
  <c r="I167" i="5" s="1"/>
  <c r="L167" i="5" s="1"/>
  <c r="C122" i="6"/>
  <c r="H121" i="6"/>
  <c r="P161" i="4"/>
  <c r="N160" i="5"/>
  <c r="P160" i="5"/>
  <c r="Y139" i="5"/>
  <c r="W139" i="5"/>
  <c r="W137" i="4"/>
  <c r="X137" i="4" s="1"/>
  <c r="V138" i="4" s="1"/>
  <c r="K162" i="4"/>
  <c r="I163" i="4" s="1"/>
  <c r="F166" i="4" l="1"/>
  <c r="G166" i="4" s="1"/>
  <c r="E167" i="4" s="1"/>
  <c r="H167" i="4" s="1"/>
  <c r="J167" i="5"/>
  <c r="K167" i="5" s="1"/>
  <c r="I168" i="5" s="1"/>
  <c r="O161" i="4"/>
  <c r="M162" i="4" s="1"/>
  <c r="I122" i="6"/>
  <c r="E122" i="6"/>
  <c r="D122" i="6" s="1"/>
  <c r="F122" i="6" s="1"/>
  <c r="G122" i="6" s="1"/>
  <c r="O160" i="5"/>
  <c r="M161" i="5" s="1"/>
  <c r="X139" i="5"/>
  <c r="V140" i="5" s="1"/>
  <c r="H150" i="5"/>
  <c r="F150" i="5"/>
  <c r="L163" i="4"/>
  <c r="J163" i="4"/>
  <c r="Y138" i="4"/>
  <c r="W138" i="4"/>
  <c r="F167" i="4" l="1"/>
  <c r="G167" i="4" s="1"/>
  <c r="E168" i="4" s="1"/>
  <c r="F168" i="4" s="1"/>
  <c r="N162" i="4"/>
  <c r="P162" i="4"/>
  <c r="H122" i="6"/>
  <c r="C123" i="6"/>
  <c r="G150" i="5"/>
  <c r="E151" i="5" s="1"/>
  <c r="Y140" i="5"/>
  <c r="W140" i="5"/>
  <c r="P161" i="5"/>
  <c r="N161" i="5"/>
  <c r="J168" i="5"/>
  <c r="L168" i="5"/>
  <c r="K163" i="4"/>
  <c r="I164" i="4" s="1"/>
  <c r="L164" i="4" s="1"/>
  <c r="X138" i="4"/>
  <c r="V139" i="4" s="1"/>
  <c r="H168" i="4" l="1"/>
  <c r="G168" i="4" s="1"/>
  <c r="E169" i="4" s="1"/>
  <c r="F169" i="4" s="1"/>
  <c r="O162" i="4"/>
  <c r="M163" i="4" s="1"/>
  <c r="N163" i="4" s="1"/>
  <c r="E123" i="6"/>
  <c r="D123" i="6" s="1"/>
  <c r="F123" i="6" s="1"/>
  <c r="G123" i="6" s="1"/>
  <c r="I123" i="6"/>
  <c r="J164" i="4"/>
  <c r="K164" i="4" s="1"/>
  <c r="I165" i="4" s="1"/>
  <c r="L165" i="4" s="1"/>
  <c r="X140" i="5"/>
  <c r="V141" i="5" s="1"/>
  <c r="Y141" i="5" s="1"/>
  <c r="K168" i="5"/>
  <c r="I169" i="5" s="1"/>
  <c r="O161" i="5"/>
  <c r="M162" i="5" s="1"/>
  <c r="H151" i="5"/>
  <c r="F151" i="5"/>
  <c r="Y139" i="4"/>
  <c r="W139" i="4"/>
  <c r="H169" i="4" l="1"/>
  <c r="G169" i="4" s="1"/>
  <c r="E170" i="4" s="1"/>
  <c r="P163" i="4"/>
  <c r="O163" i="4" s="1"/>
  <c r="M164" i="4" s="1"/>
  <c r="N164" i="4" s="1"/>
  <c r="W141" i="5"/>
  <c r="X141" i="5" s="1"/>
  <c r="V142" i="5" s="1"/>
  <c r="H123" i="6"/>
  <c r="C124" i="6"/>
  <c r="J165" i="4"/>
  <c r="K165" i="4" s="1"/>
  <c r="I166" i="4" s="1"/>
  <c r="L166" i="4" s="1"/>
  <c r="G151" i="5"/>
  <c r="E152" i="5" s="1"/>
  <c r="L169" i="5"/>
  <c r="J169" i="5"/>
  <c r="P162" i="5"/>
  <c r="N162" i="5"/>
  <c r="X139" i="4"/>
  <c r="V140" i="4" s="1"/>
  <c r="P164" i="4" l="1"/>
  <c r="O164" i="4" s="1"/>
  <c r="M165" i="4" s="1"/>
  <c r="K169" i="5"/>
  <c r="I170" i="5" s="1"/>
  <c r="L170" i="5" s="1"/>
  <c r="J166" i="4"/>
  <c r="K166" i="4" s="1"/>
  <c r="I167" i="4" s="1"/>
  <c r="L167" i="4" s="1"/>
  <c r="I124" i="6"/>
  <c r="E124" i="6"/>
  <c r="D124" i="6" s="1"/>
  <c r="F124" i="6" s="1"/>
  <c r="G124" i="6" s="1"/>
  <c r="O162" i="5"/>
  <c r="M163" i="5" s="1"/>
  <c r="P163" i="5" s="1"/>
  <c r="W142" i="5"/>
  <c r="Y142" i="5"/>
  <c r="F152" i="5"/>
  <c r="H152" i="5"/>
  <c r="F170" i="4"/>
  <c r="H170" i="4"/>
  <c r="Y140" i="4"/>
  <c r="W140" i="4"/>
  <c r="J170" i="5" l="1"/>
  <c r="K170" i="5" s="1"/>
  <c r="I171" i="5" s="1"/>
  <c r="L171" i="5" s="1"/>
  <c r="N165" i="4"/>
  <c r="P165" i="4"/>
  <c r="G170" i="4"/>
  <c r="E171" i="4" s="1"/>
  <c r="J167" i="4"/>
  <c r="K167" i="4" s="1"/>
  <c r="I168" i="4" s="1"/>
  <c r="N163" i="5"/>
  <c r="O163" i="5" s="1"/>
  <c r="M164" i="5" s="1"/>
  <c r="H124" i="6"/>
  <c r="C125" i="6"/>
  <c r="G152" i="5"/>
  <c r="E153" i="5" s="1"/>
  <c r="X142" i="5"/>
  <c r="V143" i="5" s="1"/>
  <c r="X140" i="4"/>
  <c r="V141" i="4" s="1"/>
  <c r="Y141" i="4" s="1"/>
  <c r="O165" i="4" l="1"/>
  <c r="M166" i="4" s="1"/>
  <c r="N166" i="4" s="1"/>
  <c r="J171" i="5"/>
  <c r="K171" i="5" s="1"/>
  <c r="I172" i="5" s="1"/>
  <c r="I125" i="6"/>
  <c r="E125" i="6"/>
  <c r="D125" i="6" s="1"/>
  <c r="F125" i="6" s="1"/>
  <c r="G125" i="6" s="1"/>
  <c r="H153" i="5"/>
  <c r="F153" i="5"/>
  <c r="N164" i="5"/>
  <c r="P164" i="5"/>
  <c r="Y143" i="5"/>
  <c r="W143" i="5"/>
  <c r="W141" i="4"/>
  <c r="X141" i="4" s="1"/>
  <c r="V142" i="4" s="1"/>
  <c r="L168" i="4"/>
  <c r="J168" i="4"/>
  <c r="H171" i="4"/>
  <c r="F171" i="4"/>
  <c r="P166" i="4" l="1"/>
  <c r="O166" i="4" s="1"/>
  <c r="M167" i="4" s="1"/>
  <c r="P167" i="4" s="1"/>
  <c r="G153" i="5"/>
  <c r="E154" i="5" s="1"/>
  <c r="F154" i="5" s="1"/>
  <c r="C126" i="6"/>
  <c r="H125" i="6"/>
  <c r="X143" i="5"/>
  <c r="V144" i="5" s="1"/>
  <c r="O164" i="5"/>
  <c r="M165" i="5" s="1"/>
  <c r="L172" i="5"/>
  <c r="J172" i="5"/>
  <c r="K168" i="4"/>
  <c r="I169" i="4" s="1"/>
  <c r="J169" i="4" s="1"/>
  <c r="G171" i="4"/>
  <c r="E172" i="4" s="1"/>
  <c r="H172" i="4" s="1"/>
  <c r="Y142" i="4"/>
  <c r="W142" i="4"/>
  <c r="H154" i="5" l="1"/>
  <c r="G154" i="5" s="1"/>
  <c r="E155" i="5" s="1"/>
  <c r="F155" i="5" s="1"/>
  <c r="K172" i="5"/>
  <c r="I173" i="5" s="1"/>
  <c r="J173" i="5" s="1"/>
  <c r="N167" i="4"/>
  <c r="O167" i="4" s="1"/>
  <c r="M168" i="4" s="1"/>
  <c r="P168" i="4" s="1"/>
  <c r="E126" i="6"/>
  <c r="D126" i="6" s="1"/>
  <c r="F126" i="6" s="1"/>
  <c r="G126" i="6" s="1"/>
  <c r="I126" i="6"/>
  <c r="L169" i="4"/>
  <c r="K169" i="4" s="1"/>
  <c r="I170" i="4" s="1"/>
  <c r="F172" i="4"/>
  <c r="G172" i="4" s="1"/>
  <c r="E173" i="4" s="1"/>
  <c r="N165" i="5"/>
  <c r="P165" i="5"/>
  <c r="W144" i="5"/>
  <c r="Y144" i="5"/>
  <c r="X142" i="4"/>
  <c r="V143" i="4" s="1"/>
  <c r="Y143" i="4" s="1"/>
  <c r="L173" i="5" l="1"/>
  <c r="K173" i="5" s="1"/>
  <c r="I174" i="5" s="1"/>
  <c r="L174" i="5" s="1"/>
  <c r="H155" i="5"/>
  <c r="G155" i="5" s="1"/>
  <c r="E156" i="5" s="1"/>
  <c r="H173" i="4"/>
  <c r="F173" i="4"/>
  <c r="H126" i="6"/>
  <c r="C127" i="6"/>
  <c r="N168" i="4"/>
  <c r="O168" i="4" s="1"/>
  <c r="M169" i="4" s="1"/>
  <c r="P169" i="4" s="1"/>
  <c r="W143" i="4"/>
  <c r="X143" i="4" s="1"/>
  <c r="V144" i="4" s="1"/>
  <c r="X144" i="5"/>
  <c r="V145" i="5" s="1"/>
  <c r="O165" i="5"/>
  <c r="M166" i="5" s="1"/>
  <c r="L170" i="4"/>
  <c r="J170" i="4"/>
  <c r="G173" i="4" l="1"/>
  <c r="E174" i="4" s="1"/>
  <c r="H174" i="4" s="1"/>
  <c r="K170" i="4"/>
  <c r="I171" i="4" s="1"/>
  <c r="L171" i="4" s="1"/>
  <c r="W145" i="5"/>
  <c r="Y145" i="5"/>
  <c r="J174" i="5"/>
  <c r="K174" i="5" s="1"/>
  <c r="I175" i="5" s="1"/>
  <c r="N169" i="4"/>
  <c r="O169" i="4" s="1"/>
  <c r="M170" i="4" s="1"/>
  <c r="P170" i="4" s="1"/>
  <c r="I127" i="6"/>
  <c r="E127" i="6"/>
  <c r="D127" i="6" s="1"/>
  <c r="F127" i="6" s="1"/>
  <c r="G127" i="6" s="1"/>
  <c r="P166" i="5"/>
  <c r="N166" i="5"/>
  <c r="H156" i="5"/>
  <c r="F156" i="5"/>
  <c r="Y144" i="4"/>
  <c r="W144" i="4"/>
  <c r="F174" i="4" l="1"/>
  <c r="G174" i="4" s="1"/>
  <c r="E175" i="4" s="1"/>
  <c r="H175" i="4" s="1"/>
  <c r="J171" i="4"/>
  <c r="K171" i="4" s="1"/>
  <c r="I172" i="4" s="1"/>
  <c r="X145" i="5"/>
  <c r="V146" i="5" s="1"/>
  <c r="Y146" i="5" s="1"/>
  <c r="O166" i="5"/>
  <c r="M167" i="5" s="1"/>
  <c r="P167" i="5" s="1"/>
  <c r="C128" i="6"/>
  <c r="H127" i="6"/>
  <c r="N170" i="4"/>
  <c r="O170" i="4" s="1"/>
  <c r="M171" i="4" s="1"/>
  <c r="P171" i="4" s="1"/>
  <c r="L175" i="5"/>
  <c r="J175" i="5"/>
  <c r="G156" i="5"/>
  <c r="E157" i="5" s="1"/>
  <c r="X144" i="4"/>
  <c r="V145" i="4" s="1"/>
  <c r="W146" i="5" l="1"/>
  <c r="X146" i="5" s="1"/>
  <c r="V147" i="5" s="1"/>
  <c r="N167" i="5"/>
  <c r="O167" i="5" s="1"/>
  <c r="M168" i="5" s="1"/>
  <c r="N171" i="4"/>
  <c r="O171" i="4" s="1"/>
  <c r="M172" i="4" s="1"/>
  <c r="I128" i="6"/>
  <c r="E128" i="6"/>
  <c r="D128" i="6" s="1"/>
  <c r="F128" i="6" s="1"/>
  <c r="G128" i="6" s="1"/>
  <c r="K175" i="5"/>
  <c r="I176" i="5" s="1"/>
  <c r="F157" i="5"/>
  <c r="H157" i="5"/>
  <c r="F175" i="4"/>
  <c r="G175" i="4" s="1"/>
  <c r="E176" i="4" s="1"/>
  <c r="W145" i="4"/>
  <c r="Y145" i="4"/>
  <c r="L172" i="4"/>
  <c r="J172" i="4"/>
  <c r="W147" i="5" l="1"/>
  <c r="Y147" i="5"/>
  <c r="X145" i="4"/>
  <c r="V146" i="4" s="1"/>
  <c r="W146" i="4" s="1"/>
  <c r="N168" i="5"/>
  <c r="P168" i="5"/>
  <c r="H128" i="6"/>
  <c r="C129" i="6"/>
  <c r="J176" i="5"/>
  <c r="L176" i="5"/>
  <c r="G157" i="5"/>
  <c r="E158" i="5" s="1"/>
  <c r="K172" i="4"/>
  <c r="I173" i="4" s="1"/>
  <c r="P172" i="4"/>
  <c r="N172" i="4"/>
  <c r="H176" i="4"/>
  <c r="F176" i="4"/>
  <c r="X147" i="5" l="1"/>
  <c r="V148" i="5" s="1"/>
  <c r="Y148" i="5" s="1"/>
  <c r="Y146" i="4"/>
  <c r="X146" i="4" s="1"/>
  <c r="V147" i="4" s="1"/>
  <c r="Y147" i="4" s="1"/>
  <c r="O168" i="5"/>
  <c r="M169" i="5" s="1"/>
  <c r="E129" i="6"/>
  <c r="D129" i="6" s="1"/>
  <c r="F129" i="6" s="1"/>
  <c r="G129" i="6" s="1"/>
  <c r="I129" i="6"/>
  <c r="K176" i="5"/>
  <c r="I177" i="5" s="1"/>
  <c r="J177" i="5" s="1"/>
  <c r="H158" i="5"/>
  <c r="F158" i="5"/>
  <c r="G176" i="4"/>
  <c r="E177" i="4" s="1"/>
  <c r="O172" i="4"/>
  <c r="M173" i="4" s="1"/>
  <c r="J173" i="4"/>
  <c r="L173" i="4"/>
  <c r="W148" i="5" l="1"/>
  <c r="X148" i="5" s="1"/>
  <c r="V149" i="5" s="1"/>
  <c r="N169" i="5"/>
  <c r="P169" i="5"/>
  <c r="L177" i="5"/>
  <c r="K177" i="5" s="1"/>
  <c r="H129" i="6"/>
  <c r="C130" i="6"/>
  <c r="H177" i="4"/>
  <c r="F177" i="4"/>
  <c r="G158" i="5"/>
  <c r="E159" i="5" s="1"/>
  <c r="H159" i="5" s="1"/>
  <c r="W147" i="4"/>
  <c r="X147" i="4" s="1"/>
  <c r="V148" i="4" s="1"/>
  <c r="K173" i="4"/>
  <c r="I174" i="4" s="1"/>
  <c r="P173" i="4"/>
  <c r="N173" i="4"/>
  <c r="O169" i="5" l="1"/>
  <c r="M170" i="5" s="1"/>
  <c r="I178" i="5"/>
  <c r="J178" i="5" s="1"/>
  <c r="G177" i="4"/>
  <c r="E178" i="4" s="1"/>
  <c r="H178" i="4" s="1"/>
  <c r="I130" i="6"/>
  <c r="E130" i="6"/>
  <c r="D130" i="6" s="1"/>
  <c r="F130" i="6" s="1"/>
  <c r="G130" i="6" s="1"/>
  <c r="F159" i="5"/>
  <c r="G159" i="5" s="1"/>
  <c r="E160" i="5" s="1"/>
  <c r="F160" i="5" s="1"/>
  <c r="W149" i="5"/>
  <c r="Y149" i="5"/>
  <c r="O173" i="4"/>
  <c r="M174" i="4" s="1"/>
  <c r="P174" i="4" s="1"/>
  <c r="W148" i="4"/>
  <c r="Y148" i="4"/>
  <c r="J174" i="4"/>
  <c r="L174" i="4"/>
  <c r="L178" i="5" l="1"/>
  <c r="K178" i="5" s="1"/>
  <c r="I179" i="5" s="1"/>
  <c r="F178" i="4"/>
  <c r="G178" i="4" s="1"/>
  <c r="E179" i="4" s="1"/>
  <c r="H179" i="4" s="1"/>
  <c r="P170" i="5"/>
  <c r="N170" i="5"/>
  <c r="H130" i="6"/>
  <c r="C131" i="6"/>
  <c r="H160" i="5"/>
  <c r="G160" i="5" s="1"/>
  <c r="E161" i="5" s="1"/>
  <c r="X149" i="5"/>
  <c r="V150" i="5" s="1"/>
  <c r="N174" i="4"/>
  <c r="O174" i="4" s="1"/>
  <c r="M175" i="4" s="1"/>
  <c r="P175" i="4" s="1"/>
  <c r="K174" i="4"/>
  <c r="I175" i="4" s="1"/>
  <c r="X148" i="4"/>
  <c r="V149" i="4" s="1"/>
  <c r="F179" i="4" l="1"/>
  <c r="G179" i="4" s="1"/>
  <c r="E180" i="4" s="1"/>
  <c r="H180" i="4" s="1"/>
  <c r="O170" i="5"/>
  <c r="M171" i="5" s="1"/>
  <c r="I131" i="6"/>
  <c r="E131" i="6"/>
  <c r="D131" i="6" s="1"/>
  <c r="F131" i="6" s="1"/>
  <c r="G131" i="6" s="1"/>
  <c r="W150" i="5"/>
  <c r="Y150" i="5"/>
  <c r="H161" i="5"/>
  <c r="F161" i="5"/>
  <c r="L179" i="5"/>
  <c r="J179" i="5"/>
  <c r="N175" i="4"/>
  <c r="O175" i="4" s="1"/>
  <c r="M176" i="4" s="1"/>
  <c r="W149" i="4"/>
  <c r="Y149" i="4"/>
  <c r="L175" i="4"/>
  <c r="J175" i="4"/>
  <c r="F180" i="4" l="1"/>
  <c r="G180" i="4" s="1"/>
  <c r="E181" i="4" s="1"/>
  <c r="N171" i="5"/>
  <c r="P171" i="5"/>
  <c r="X149" i="4"/>
  <c r="V150" i="4" s="1"/>
  <c r="W150" i="4" s="1"/>
  <c r="X150" i="5"/>
  <c r="V151" i="5" s="1"/>
  <c r="C132" i="6"/>
  <c r="H131" i="6"/>
  <c r="K179" i="5"/>
  <c r="I180" i="5" s="1"/>
  <c r="G161" i="5"/>
  <c r="E162" i="5" s="1"/>
  <c r="K175" i="4"/>
  <c r="I176" i="4" s="1"/>
  <c r="P176" i="4"/>
  <c r="N176" i="4"/>
  <c r="Y150" i="4" l="1"/>
  <c r="X150" i="4" s="1"/>
  <c r="V151" i="4" s="1"/>
  <c r="O171" i="5"/>
  <c r="M172" i="5" s="1"/>
  <c r="E132" i="6"/>
  <c r="D132" i="6" s="1"/>
  <c r="F132" i="6" s="1"/>
  <c r="G132" i="6" s="1"/>
  <c r="I132" i="6"/>
  <c r="F162" i="5"/>
  <c r="H162" i="5"/>
  <c r="J180" i="5"/>
  <c r="L180" i="5"/>
  <c r="Y151" i="5"/>
  <c r="W151" i="5"/>
  <c r="O176" i="4"/>
  <c r="M177" i="4" s="1"/>
  <c r="N177" i="4" s="1"/>
  <c r="F181" i="4"/>
  <c r="H181" i="4"/>
  <c r="L176" i="4"/>
  <c r="J176" i="4"/>
  <c r="K176" i="4" l="1"/>
  <c r="I177" i="4" s="1"/>
  <c r="N172" i="5"/>
  <c r="P172" i="5"/>
  <c r="H132" i="6"/>
  <c r="C133" i="6"/>
  <c r="P177" i="4"/>
  <c r="O177" i="4" s="1"/>
  <c r="M178" i="4" s="1"/>
  <c r="K180" i="5"/>
  <c r="I181" i="5" s="1"/>
  <c r="G162" i="5"/>
  <c r="E163" i="5" s="1"/>
  <c r="X151" i="5"/>
  <c r="V152" i="5" s="1"/>
  <c r="Y151" i="4"/>
  <c r="W151" i="4"/>
  <c r="G181" i="4"/>
  <c r="E182" i="4" s="1"/>
  <c r="O172" i="5" l="1"/>
  <c r="M173" i="5" s="1"/>
  <c r="I133" i="6"/>
  <c r="E133" i="6"/>
  <c r="D133" i="6" s="1"/>
  <c r="F133" i="6" s="1"/>
  <c r="G133" i="6" s="1"/>
  <c r="H163" i="5"/>
  <c r="F163" i="5"/>
  <c r="Y152" i="5"/>
  <c r="W152" i="5"/>
  <c r="L181" i="5"/>
  <c r="J181" i="5"/>
  <c r="X151" i="4"/>
  <c r="V152" i="4" s="1"/>
  <c r="Y152" i="4" s="1"/>
  <c r="F182" i="4"/>
  <c r="H182" i="4"/>
  <c r="N178" i="4"/>
  <c r="P178" i="4"/>
  <c r="L177" i="4"/>
  <c r="J177" i="4"/>
  <c r="P173" i="5" l="1"/>
  <c r="N173" i="5"/>
  <c r="K181" i="5"/>
  <c r="I182" i="5" s="1"/>
  <c r="L182" i="5" s="1"/>
  <c r="G163" i="5"/>
  <c r="E164" i="5" s="1"/>
  <c r="F164" i="5" s="1"/>
  <c r="W152" i="4"/>
  <c r="X152" i="4" s="1"/>
  <c r="V153" i="4" s="1"/>
  <c r="C134" i="6"/>
  <c r="H133" i="6"/>
  <c r="X152" i="5"/>
  <c r="V153" i="5" s="1"/>
  <c r="O178" i="4"/>
  <c r="M179" i="4" s="1"/>
  <c r="G182" i="4"/>
  <c r="E183" i="4" s="1"/>
  <c r="K177" i="4"/>
  <c r="I178" i="4" s="1"/>
  <c r="J178" i="4" s="1"/>
  <c r="O173" i="5" l="1"/>
  <c r="M174" i="5" s="1"/>
  <c r="P174" i="5" s="1"/>
  <c r="H164" i="5"/>
  <c r="G164" i="5" s="1"/>
  <c r="E165" i="5" s="1"/>
  <c r="F165" i="5" s="1"/>
  <c r="W153" i="4"/>
  <c r="Y153" i="4"/>
  <c r="I134" i="6"/>
  <c r="E134" i="6"/>
  <c r="D134" i="6" s="1"/>
  <c r="F134" i="6" s="1"/>
  <c r="G134" i="6" s="1"/>
  <c r="J182" i="5"/>
  <c r="K182" i="5" s="1"/>
  <c r="I183" i="5" s="1"/>
  <c r="Y153" i="5"/>
  <c r="W153" i="5"/>
  <c r="L178" i="4"/>
  <c r="K178" i="4" s="1"/>
  <c r="I179" i="4" s="1"/>
  <c r="H183" i="4"/>
  <c r="F183" i="4"/>
  <c r="P179" i="4"/>
  <c r="N179" i="4"/>
  <c r="X153" i="4" l="1"/>
  <c r="V154" i="4" s="1"/>
  <c r="W154" i="4" s="1"/>
  <c r="N174" i="5"/>
  <c r="O174" i="5" s="1"/>
  <c r="M175" i="5" s="1"/>
  <c r="H165" i="5"/>
  <c r="G165" i="5" s="1"/>
  <c r="E166" i="5" s="1"/>
  <c r="H166" i="5" s="1"/>
  <c r="O179" i="4"/>
  <c r="M180" i="4" s="1"/>
  <c r="P180" i="4" s="1"/>
  <c r="H134" i="6"/>
  <c r="C135" i="6"/>
  <c r="X153" i="5"/>
  <c r="V154" i="5" s="1"/>
  <c r="Y154" i="5" s="1"/>
  <c r="J183" i="5"/>
  <c r="L183" i="5"/>
  <c r="L179" i="4"/>
  <c r="J179" i="4"/>
  <c r="G183" i="4"/>
  <c r="E184" i="4" s="1"/>
  <c r="H184" i="4" s="1"/>
  <c r="Y154" i="4" l="1"/>
  <c r="X154" i="4" s="1"/>
  <c r="V155" i="4" s="1"/>
  <c r="Y155" i="4" s="1"/>
  <c r="P175" i="5"/>
  <c r="N175" i="5"/>
  <c r="F184" i="4"/>
  <c r="G184" i="4" s="1"/>
  <c r="E185" i="4" s="1"/>
  <c r="H185" i="4" s="1"/>
  <c r="N180" i="4"/>
  <c r="O180" i="4" s="1"/>
  <c r="M181" i="4" s="1"/>
  <c r="W154" i="5"/>
  <c r="X154" i="5" s="1"/>
  <c r="V155" i="5" s="1"/>
  <c r="K179" i="4"/>
  <c r="I180" i="4" s="1"/>
  <c r="L180" i="4" s="1"/>
  <c r="F166" i="5"/>
  <c r="G166" i="5" s="1"/>
  <c r="E167" i="5" s="1"/>
  <c r="F167" i="5" s="1"/>
  <c r="E135" i="6"/>
  <c r="D135" i="6" s="1"/>
  <c r="F135" i="6" s="1"/>
  <c r="G135" i="6" s="1"/>
  <c r="I135" i="6"/>
  <c r="K183" i="5"/>
  <c r="I184" i="5" s="1"/>
  <c r="J184" i="5" s="1"/>
  <c r="W155" i="4" l="1"/>
  <c r="X155" i="4" s="1"/>
  <c r="V156" i="4" s="1"/>
  <c r="W156" i="4" s="1"/>
  <c r="O175" i="5"/>
  <c r="M176" i="5" s="1"/>
  <c r="N176" i="5" s="1"/>
  <c r="N181" i="4"/>
  <c r="P181" i="4"/>
  <c r="H167" i="5"/>
  <c r="G167" i="5" s="1"/>
  <c r="E168" i="5" s="1"/>
  <c r="J180" i="4"/>
  <c r="K180" i="4" s="1"/>
  <c r="I181" i="4" s="1"/>
  <c r="F185" i="4"/>
  <c r="G185" i="4" s="1"/>
  <c r="E186" i="4" s="1"/>
  <c r="H186" i="4" s="1"/>
  <c r="H135" i="6"/>
  <c r="C136" i="6"/>
  <c r="L184" i="5"/>
  <c r="K184" i="5" s="1"/>
  <c r="I185" i="5" s="1"/>
  <c r="W155" i="5"/>
  <c r="Y155" i="5"/>
  <c r="Y156" i="4" l="1"/>
  <c r="X156" i="4" s="1"/>
  <c r="V157" i="4" s="1"/>
  <c r="P176" i="5"/>
  <c r="O176" i="5" s="1"/>
  <c r="M177" i="5" s="1"/>
  <c r="O181" i="4"/>
  <c r="M182" i="4" s="1"/>
  <c r="N182" i="4" s="1"/>
  <c r="F186" i="4"/>
  <c r="G186" i="4" s="1"/>
  <c r="E187" i="4" s="1"/>
  <c r="I136" i="6"/>
  <c r="E136" i="6"/>
  <c r="D136" i="6" s="1"/>
  <c r="F136" i="6" s="1"/>
  <c r="G136" i="6" s="1"/>
  <c r="L185" i="5"/>
  <c r="J185" i="5"/>
  <c r="X155" i="5"/>
  <c r="V156" i="5" s="1"/>
  <c r="H168" i="5"/>
  <c r="F168" i="5"/>
  <c r="L181" i="4"/>
  <c r="J181" i="4"/>
  <c r="N177" i="5" l="1"/>
  <c r="P177" i="5"/>
  <c r="P182" i="4"/>
  <c r="O182" i="4" s="1"/>
  <c r="M183" i="4" s="1"/>
  <c r="K181" i="4"/>
  <c r="I182" i="4" s="1"/>
  <c r="L182" i="4" s="1"/>
  <c r="F187" i="4"/>
  <c r="H187" i="4"/>
  <c r="C137" i="6"/>
  <c r="H136" i="6"/>
  <c r="G168" i="5"/>
  <c r="E169" i="5" s="1"/>
  <c r="W156" i="5"/>
  <c r="Y156" i="5"/>
  <c r="K185" i="5"/>
  <c r="I186" i="5" s="1"/>
  <c r="W157" i="4"/>
  <c r="Y157" i="4"/>
  <c r="O177" i="5" l="1"/>
  <c r="M178" i="5" s="1"/>
  <c r="P178" i="5" s="1"/>
  <c r="N183" i="4"/>
  <c r="P183" i="4"/>
  <c r="J182" i="4"/>
  <c r="K182" i="4" s="1"/>
  <c r="I183" i="4" s="1"/>
  <c r="J183" i="4" s="1"/>
  <c r="X156" i="5"/>
  <c r="V157" i="5" s="1"/>
  <c r="G187" i="4"/>
  <c r="E188" i="4" s="1"/>
  <c r="H188" i="4" s="1"/>
  <c r="I137" i="6"/>
  <c r="E137" i="6"/>
  <c r="D137" i="6" s="1"/>
  <c r="F137" i="6" s="1"/>
  <c r="G137" i="6" s="1"/>
  <c r="L186" i="5"/>
  <c r="J186" i="5"/>
  <c r="F169" i="5"/>
  <c r="H169" i="5"/>
  <c r="X157" i="4"/>
  <c r="V158" i="4" s="1"/>
  <c r="N178" i="5" l="1"/>
  <c r="O178" i="5" s="1"/>
  <c r="M179" i="5" s="1"/>
  <c r="N179" i="5" s="1"/>
  <c r="O183" i="4"/>
  <c r="M184" i="4" s="1"/>
  <c r="P184" i="4" s="1"/>
  <c r="F188" i="4"/>
  <c r="G188" i="4" s="1"/>
  <c r="E189" i="4" s="1"/>
  <c r="L183" i="4"/>
  <c r="K183" i="4" s="1"/>
  <c r="I184" i="4" s="1"/>
  <c r="G169" i="5"/>
  <c r="E170" i="5" s="1"/>
  <c r="K186" i="5"/>
  <c r="I187" i="5" s="1"/>
  <c r="C138" i="6"/>
  <c r="H137" i="6"/>
  <c r="Y157" i="5"/>
  <c r="W157" i="5"/>
  <c r="Y158" i="4"/>
  <c r="W158" i="4"/>
  <c r="P179" i="5" l="1"/>
  <c r="O179" i="5" s="1"/>
  <c r="M180" i="5" s="1"/>
  <c r="N180" i="5" s="1"/>
  <c r="N184" i="4"/>
  <c r="O184" i="4" s="1"/>
  <c r="M185" i="4" s="1"/>
  <c r="P185" i="4" s="1"/>
  <c r="E138" i="6"/>
  <c r="D138" i="6" s="1"/>
  <c r="F138" i="6" s="1"/>
  <c r="G138" i="6" s="1"/>
  <c r="I138" i="6"/>
  <c r="X157" i="5"/>
  <c r="V158" i="5" s="1"/>
  <c r="H170" i="5"/>
  <c r="F170" i="5"/>
  <c r="J187" i="5"/>
  <c r="L187" i="5"/>
  <c r="X158" i="4"/>
  <c r="V159" i="4" s="1"/>
  <c r="H189" i="4"/>
  <c r="F189" i="4"/>
  <c r="L184" i="4"/>
  <c r="J184" i="4"/>
  <c r="P180" i="5" l="1"/>
  <c r="O180" i="5" s="1"/>
  <c r="M181" i="5" s="1"/>
  <c r="N181" i="5" s="1"/>
  <c r="N185" i="4"/>
  <c r="O185" i="4" s="1"/>
  <c r="M186" i="4" s="1"/>
  <c r="N186" i="4" s="1"/>
  <c r="G189" i="4"/>
  <c r="E190" i="4" s="1"/>
  <c r="H190" i="4" s="1"/>
  <c r="H138" i="6"/>
  <c r="C139" i="6"/>
  <c r="K187" i="5"/>
  <c r="I188" i="5" s="1"/>
  <c r="G170" i="5"/>
  <c r="E171" i="5" s="1"/>
  <c r="H171" i="5" s="1"/>
  <c r="Y158" i="5"/>
  <c r="W158" i="5"/>
  <c r="K184" i="4"/>
  <c r="I185" i="4" s="1"/>
  <c r="Y159" i="4"/>
  <c r="W159" i="4"/>
  <c r="P186" i="4" l="1"/>
  <c r="O186" i="4" s="1"/>
  <c r="M187" i="4" s="1"/>
  <c r="P187" i="4" s="1"/>
  <c r="F190" i="4"/>
  <c r="G190" i="4" s="1"/>
  <c r="E191" i="4" s="1"/>
  <c r="F191" i="4" s="1"/>
  <c r="P181" i="5"/>
  <c r="O181" i="5" s="1"/>
  <c r="M182" i="5" s="1"/>
  <c r="F171" i="5"/>
  <c r="G171" i="5" s="1"/>
  <c r="E172" i="5" s="1"/>
  <c r="F172" i="5" s="1"/>
  <c r="I139" i="6"/>
  <c r="E139" i="6"/>
  <c r="D139" i="6" s="1"/>
  <c r="F139" i="6" s="1"/>
  <c r="G139" i="6" s="1"/>
  <c r="X158" i="5"/>
  <c r="V159" i="5" s="1"/>
  <c r="J188" i="5"/>
  <c r="L188" i="5"/>
  <c r="X159" i="4"/>
  <c r="V160" i="4" s="1"/>
  <c r="J185" i="4"/>
  <c r="L185" i="4"/>
  <c r="N187" i="4" l="1"/>
  <c r="O187" i="4" s="1"/>
  <c r="M188" i="4" s="1"/>
  <c r="P188" i="4" s="1"/>
  <c r="P182" i="5"/>
  <c r="N182" i="5"/>
  <c r="H172" i="5"/>
  <c r="G172" i="5" s="1"/>
  <c r="E173" i="5" s="1"/>
  <c r="C140" i="6"/>
  <c r="H139" i="6"/>
  <c r="H191" i="4"/>
  <c r="G191" i="4" s="1"/>
  <c r="E192" i="4" s="1"/>
  <c r="K188" i="5"/>
  <c r="I189" i="5" s="1"/>
  <c r="Y159" i="5"/>
  <c r="W159" i="5"/>
  <c r="K185" i="4"/>
  <c r="I186" i="4" s="1"/>
  <c r="W160" i="4"/>
  <c r="Y160" i="4"/>
  <c r="N188" i="4" l="1"/>
  <c r="O188" i="4" s="1"/>
  <c r="M189" i="4" s="1"/>
  <c r="O182" i="5"/>
  <c r="M183" i="5" s="1"/>
  <c r="P183" i="5" s="1"/>
  <c r="I140" i="6"/>
  <c r="E140" i="6"/>
  <c r="D140" i="6" s="1"/>
  <c r="F140" i="6" s="1"/>
  <c r="G140" i="6" s="1"/>
  <c r="L189" i="5"/>
  <c r="J189" i="5"/>
  <c r="X159" i="5"/>
  <c r="V160" i="5" s="1"/>
  <c r="F173" i="5"/>
  <c r="H173" i="5"/>
  <c r="J186" i="4"/>
  <c r="L186" i="4"/>
  <c r="X160" i="4"/>
  <c r="V161" i="4" s="1"/>
  <c r="H192" i="4"/>
  <c r="F192" i="4"/>
  <c r="N183" i="5" l="1"/>
  <c r="O183" i="5" s="1"/>
  <c r="M184" i="5" s="1"/>
  <c r="P184" i="5" s="1"/>
  <c r="K189" i="5"/>
  <c r="I190" i="5" s="1"/>
  <c r="L190" i="5" s="1"/>
  <c r="C141" i="6"/>
  <c r="H140" i="6"/>
  <c r="G173" i="5"/>
  <c r="E174" i="5" s="1"/>
  <c r="F174" i="5" s="1"/>
  <c r="W160" i="5"/>
  <c r="Y160" i="5"/>
  <c r="K186" i="4"/>
  <c r="I187" i="4" s="1"/>
  <c r="J187" i="4" s="1"/>
  <c r="W161" i="4"/>
  <c r="Y161" i="4"/>
  <c r="G192" i="4"/>
  <c r="E193" i="4" s="1"/>
  <c r="N189" i="4"/>
  <c r="P189" i="4"/>
  <c r="N184" i="5" l="1"/>
  <c r="O184" i="5" s="1"/>
  <c r="M185" i="5" s="1"/>
  <c r="P185" i="5" s="1"/>
  <c r="H174" i="5"/>
  <c r="G174" i="5" s="1"/>
  <c r="E175" i="5" s="1"/>
  <c r="J190" i="5"/>
  <c r="K190" i="5" s="1"/>
  <c r="I191" i="5" s="1"/>
  <c r="L191" i="5" s="1"/>
  <c r="X161" i="4"/>
  <c r="V162" i="4" s="1"/>
  <c r="W162" i="4" s="1"/>
  <c r="L187" i="4"/>
  <c r="K187" i="4" s="1"/>
  <c r="I188" i="4" s="1"/>
  <c r="J188" i="4" s="1"/>
  <c r="E141" i="6"/>
  <c r="D141" i="6" s="1"/>
  <c r="F141" i="6" s="1"/>
  <c r="G141" i="6" s="1"/>
  <c r="I141" i="6"/>
  <c r="X160" i="5"/>
  <c r="V161" i="5" s="1"/>
  <c r="O189" i="4"/>
  <c r="M190" i="4" s="1"/>
  <c r="F193" i="4"/>
  <c r="H193" i="4"/>
  <c r="J191" i="5" l="1"/>
  <c r="K191" i="5" s="1"/>
  <c r="I192" i="5" s="1"/>
  <c r="J192" i="5" s="1"/>
  <c r="N185" i="5"/>
  <c r="O185" i="5" s="1"/>
  <c r="M186" i="5" s="1"/>
  <c r="Y162" i="4"/>
  <c r="X162" i="4" s="1"/>
  <c r="V163" i="4" s="1"/>
  <c r="L188" i="4"/>
  <c r="K188" i="4" s="1"/>
  <c r="I189" i="4" s="1"/>
  <c r="L189" i="4" s="1"/>
  <c r="H141" i="6"/>
  <c r="C142" i="6"/>
  <c r="F175" i="5"/>
  <c r="H175" i="5"/>
  <c r="W161" i="5"/>
  <c r="Y161" i="5"/>
  <c r="G193" i="4"/>
  <c r="E194" i="4" s="1"/>
  <c r="H194" i="4" s="1"/>
  <c r="N190" i="4"/>
  <c r="P190" i="4"/>
  <c r="L192" i="5" l="1"/>
  <c r="K192" i="5" s="1"/>
  <c r="I193" i="5" s="1"/>
  <c r="J193" i="5" s="1"/>
  <c r="P186" i="5"/>
  <c r="N186" i="5"/>
  <c r="I142" i="6"/>
  <c r="E142" i="6"/>
  <c r="D142" i="6" s="1"/>
  <c r="F142" i="6" s="1"/>
  <c r="G142" i="6" s="1"/>
  <c r="F194" i="4"/>
  <c r="G194" i="4" s="1"/>
  <c r="E195" i="4" s="1"/>
  <c r="J189" i="4"/>
  <c r="K189" i="4" s="1"/>
  <c r="I190" i="4" s="1"/>
  <c r="L190" i="4" s="1"/>
  <c r="X161" i="5"/>
  <c r="V162" i="5" s="1"/>
  <c r="G175" i="5"/>
  <c r="E176" i="5" s="1"/>
  <c r="F176" i="5" s="1"/>
  <c r="O190" i="4"/>
  <c r="M191" i="4" s="1"/>
  <c r="Y163" i="4"/>
  <c r="W163" i="4"/>
  <c r="O186" i="5" l="1"/>
  <c r="M187" i="5" s="1"/>
  <c r="L193" i="5"/>
  <c r="K193" i="5" s="1"/>
  <c r="I194" i="5" s="1"/>
  <c r="J190" i="4"/>
  <c r="K190" i="4" s="1"/>
  <c r="I191" i="4" s="1"/>
  <c r="J191" i="4" s="1"/>
  <c r="C143" i="6"/>
  <c r="H142" i="6"/>
  <c r="H176" i="5"/>
  <c r="G176" i="5" s="1"/>
  <c r="E177" i="5" s="1"/>
  <c r="Y162" i="5"/>
  <c r="W162" i="5"/>
  <c r="X163" i="4"/>
  <c r="V164" i="4" s="1"/>
  <c r="P191" i="4"/>
  <c r="N191" i="4"/>
  <c r="H195" i="4"/>
  <c r="F195" i="4"/>
  <c r="N187" i="5" l="1"/>
  <c r="P187" i="5"/>
  <c r="O191" i="4"/>
  <c r="M192" i="4" s="1"/>
  <c r="P192" i="4" s="1"/>
  <c r="E143" i="6"/>
  <c r="D143" i="6" s="1"/>
  <c r="F143" i="6" s="1"/>
  <c r="G143" i="6" s="1"/>
  <c r="I143" i="6"/>
  <c r="L194" i="5"/>
  <c r="J194" i="5"/>
  <c r="H177" i="5"/>
  <c r="F177" i="5"/>
  <c r="X162" i="5"/>
  <c r="V163" i="5" s="1"/>
  <c r="L191" i="4"/>
  <c r="G195" i="4"/>
  <c r="E196" i="4" s="1"/>
  <c r="H196" i="4" s="1"/>
  <c r="Y164" i="4"/>
  <c r="W164" i="4"/>
  <c r="O187" i="5" l="1"/>
  <c r="M188" i="5" s="1"/>
  <c r="N188" i="5" s="1"/>
  <c r="N192" i="4"/>
  <c r="O192" i="4" s="1"/>
  <c r="M193" i="4" s="1"/>
  <c r="P193" i="4" s="1"/>
  <c r="K194" i="5"/>
  <c r="I195" i="5" s="1"/>
  <c r="J195" i="5" s="1"/>
  <c r="G177" i="5"/>
  <c r="E178" i="5" s="1"/>
  <c r="H143" i="6"/>
  <c r="C144" i="6"/>
  <c r="K191" i="4"/>
  <c r="I192" i="4" s="1"/>
  <c r="Y163" i="5"/>
  <c r="W163" i="5"/>
  <c r="F196" i="4"/>
  <c r="G196" i="4" s="1"/>
  <c r="E197" i="4" s="1"/>
  <c r="X164" i="4"/>
  <c r="V165" i="4" s="1"/>
  <c r="P188" i="5" l="1"/>
  <c r="O188" i="5" s="1"/>
  <c r="M189" i="5" s="1"/>
  <c r="N193" i="4"/>
  <c r="O193" i="4" s="1"/>
  <c r="M194" i="4" s="1"/>
  <c r="L195" i="5"/>
  <c r="K195" i="5" s="1"/>
  <c r="I196" i="5" s="1"/>
  <c r="L196" i="5" s="1"/>
  <c r="E144" i="6"/>
  <c r="D144" i="6" s="1"/>
  <c r="F144" i="6" s="1"/>
  <c r="G144" i="6" s="1"/>
  <c r="I144" i="6"/>
  <c r="J192" i="4"/>
  <c r="L192" i="4"/>
  <c r="X163" i="5"/>
  <c r="V164" i="5" s="1"/>
  <c r="Y164" i="5" s="1"/>
  <c r="H178" i="5"/>
  <c r="F178" i="5"/>
  <c r="H197" i="4"/>
  <c r="F197" i="4"/>
  <c r="Y165" i="4"/>
  <c r="W165" i="4"/>
  <c r="N189" i="5" l="1"/>
  <c r="P189" i="5"/>
  <c r="W164" i="5"/>
  <c r="X164" i="5" s="1"/>
  <c r="V165" i="5" s="1"/>
  <c r="J196" i="5"/>
  <c r="K196" i="5" s="1"/>
  <c r="I197" i="5" s="1"/>
  <c r="K192" i="4"/>
  <c r="I193" i="4" s="1"/>
  <c r="L193" i="4" s="1"/>
  <c r="H144" i="6"/>
  <c r="C145" i="6"/>
  <c r="G197" i="4"/>
  <c r="E198" i="4" s="1"/>
  <c r="F198" i="4" s="1"/>
  <c r="G178" i="5"/>
  <c r="E179" i="5" s="1"/>
  <c r="X165" i="4"/>
  <c r="V166" i="4" s="1"/>
  <c r="P194" i="4"/>
  <c r="N194" i="4"/>
  <c r="O189" i="5" l="1"/>
  <c r="M190" i="5" s="1"/>
  <c r="P190" i="5" s="1"/>
  <c r="H198" i="4"/>
  <c r="G198" i="4" s="1"/>
  <c r="E199" i="4" s="1"/>
  <c r="F199" i="4" s="1"/>
  <c r="J193" i="4"/>
  <c r="K193" i="4" s="1"/>
  <c r="I194" i="4" s="1"/>
  <c r="L194" i="4" s="1"/>
  <c r="I145" i="6"/>
  <c r="E145" i="6"/>
  <c r="D145" i="6" s="1"/>
  <c r="F145" i="6" s="1"/>
  <c r="G145" i="6" s="1"/>
  <c r="F179" i="5"/>
  <c r="H179" i="5"/>
  <c r="W165" i="5"/>
  <c r="Y165" i="5"/>
  <c r="L197" i="5"/>
  <c r="J197" i="5"/>
  <c r="O194" i="4"/>
  <c r="M195" i="4" s="1"/>
  <c r="N195" i="4" s="1"/>
  <c r="Y166" i="4"/>
  <c r="W166" i="4"/>
  <c r="N190" i="5" l="1"/>
  <c r="O190" i="5" s="1"/>
  <c r="M191" i="5" s="1"/>
  <c r="H199" i="4"/>
  <c r="G199" i="4" s="1"/>
  <c r="E200" i="4" s="1"/>
  <c r="J194" i="4"/>
  <c r="K194" i="4" s="1"/>
  <c r="I195" i="4" s="1"/>
  <c r="L195" i="4" s="1"/>
  <c r="C146" i="6"/>
  <c r="H145" i="6"/>
  <c r="X165" i="5"/>
  <c r="V166" i="5" s="1"/>
  <c r="P195" i="4"/>
  <c r="O195" i="4" s="1"/>
  <c r="M196" i="4" s="1"/>
  <c r="K197" i="5"/>
  <c r="I198" i="5" s="1"/>
  <c r="J198" i="5" s="1"/>
  <c r="G179" i="5"/>
  <c r="E180" i="5" s="1"/>
  <c r="X166" i="4"/>
  <c r="V167" i="4" s="1"/>
  <c r="W167" i="4" s="1"/>
  <c r="P191" i="5" l="1"/>
  <c r="N191" i="5"/>
  <c r="J195" i="4"/>
  <c r="K195" i="4" s="1"/>
  <c r="I196" i="4" s="1"/>
  <c r="L196" i="4" s="1"/>
  <c r="L198" i="5"/>
  <c r="K198" i="5" s="1"/>
  <c r="I199" i="5" s="1"/>
  <c r="I146" i="6"/>
  <c r="E146" i="6"/>
  <c r="D146" i="6" s="1"/>
  <c r="F146" i="6" s="1"/>
  <c r="G146" i="6" s="1"/>
  <c r="Y167" i="4"/>
  <c r="X167" i="4" s="1"/>
  <c r="F180" i="5"/>
  <c r="H180" i="5"/>
  <c r="Y166" i="5"/>
  <c r="W166" i="5"/>
  <c r="P196" i="4"/>
  <c r="N196" i="4"/>
  <c r="F200" i="4"/>
  <c r="H200" i="4"/>
  <c r="O191" i="5" l="1"/>
  <c r="M192" i="5" s="1"/>
  <c r="P192" i="5" s="1"/>
  <c r="J196" i="4"/>
  <c r="K196" i="4" s="1"/>
  <c r="I197" i="4" s="1"/>
  <c r="V168" i="4"/>
  <c r="Y168" i="4" s="1"/>
  <c r="C147" i="6"/>
  <c r="H146" i="6"/>
  <c r="G180" i="5"/>
  <c r="E181" i="5" s="1"/>
  <c r="X166" i="5"/>
  <c r="V167" i="5" s="1"/>
  <c r="J199" i="5"/>
  <c r="L199" i="5"/>
  <c r="G200" i="4"/>
  <c r="E201" i="4" s="1"/>
  <c r="O196" i="4"/>
  <c r="M197" i="4" s="1"/>
  <c r="P197" i="4" s="1"/>
  <c r="N192" i="5" l="1"/>
  <c r="O192" i="5" s="1"/>
  <c r="M193" i="5" s="1"/>
  <c r="N193" i="5" s="1"/>
  <c r="W168" i="4"/>
  <c r="X168" i="4" s="1"/>
  <c r="V169" i="4" s="1"/>
  <c r="Y169" i="4" s="1"/>
  <c r="E147" i="6"/>
  <c r="D147" i="6" s="1"/>
  <c r="F147" i="6" s="1"/>
  <c r="G147" i="6" s="1"/>
  <c r="I147" i="6"/>
  <c r="K199" i="5"/>
  <c r="I200" i="5" s="1"/>
  <c r="W167" i="5"/>
  <c r="Y167" i="5"/>
  <c r="H181" i="5"/>
  <c r="F181" i="5"/>
  <c r="N197" i="4"/>
  <c r="O197" i="4" s="1"/>
  <c r="M198" i="4" s="1"/>
  <c r="L197" i="4"/>
  <c r="J197" i="4"/>
  <c r="H201" i="4"/>
  <c r="F201" i="4"/>
  <c r="P193" i="5" l="1"/>
  <c r="O193" i="5" s="1"/>
  <c r="M194" i="5" s="1"/>
  <c r="P194" i="5" s="1"/>
  <c r="W169" i="4"/>
  <c r="X169" i="4" s="1"/>
  <c r="V170" i="4" s="1"/>
  <c r="Y170" i="4" s="1"/>
  <c r="H147" i="6"/>
  <c r="C148" i="6"/>
  <c r="J200" i="5"/>
  <c r="L200" i="5"/>
  <c r="G181" i="5"/>
  <c r="E182" i="5" s="1"/>
  <c r="H182" i="5" s="1"/>
  <c r="X167" i="5"/>
  <c r="V168" i="5" s="1"/>
  <c r="G201" i="4"/>
  <c r="E202" i="4" s="1"/>
  <c r="K197" i="4"/>
  <c r="I198" i="4" s="1"/>
  <c r="N198" i="4"/>
  <c r="P198" i="4"/>
  <c r="N194" i="5" l="1"/>
  <c r="O194" i="5" s="1"/>
  <c r="M195" i="5" s="1"/>
  <c r="N195" i="5" s="1"/>
  <c r="F182" i="5"/>
  <c r="G182" i="5" s="1"/>
  <c r="E183" i="5" s="1"/>
  <c r="K200" i="5"/>
  <c r="I201" i="5" s="1"/>
  <c r="J201" i="5" s="1"/>
  <c r="I148" i="6"/>
  <c r="E148" i="6"/>
  <c r="D148" i="6" s="1"/>
  <c r="F148" i="6" s="1"/>
  <c r="G148" i="6" s="1"/>
  <c r="W170" i="4"/>
  <c r="X170" i="4" s="1"/>
  <c r="V171" i="4" s="1"/>
  <c r="Y171" i="4" s="1"/>
  <c r="W168" i="5"/>
  <c r="Y168" i="5"/>
  <c r="L198" i="4"/>
  <c r="J198" i="4"/>
  <c r="F202" i="4"/>
  <c r="H202" i="4"/>
  <c r="O198" i="4"/>
  <c r="M199" i="4" s="1"/>
  <c r="P195" i="5" l="1"/>
  <c r="O195" i="5" s="1"/>
  <c r="M196" i="5" s="1"/>
  <c r="L201" i="5"/>
  <c r="K201" i="5" s="1"/>
  <c r="I202" i="5" s="1"/>
  <c r="L202" i="5" s="1"/>
  <c r="X168" i="5"/>
  <c r="V169" i="5" s="1"/>
  <c r="Y169" i="5" s="1"/>
  <c r="K198" i="4"/>
  <c r="I199" i="4" s="1"/>
  <c r="L199" i="4" s="1"/>
  <c r="C149" i="6"/>
  <c r="H148" i="6"/>
  <c r="W171" i="4"/>
  <c r="X171" i="4" s="1"/>
  <c r="V172" i="4" s="1"/>
  <c r="F183" i="5"/>
  <c r="H183" i="5"/>
  <c r="G202" i="4"/>
  <c r="E203" i="4" s="1"/>
  <c r="H203" i="4" s="1"/>
  <c r="N199" i="4"/>
  <c r="P199" i="4"/>
  <c r="N196" i="5" l="1"/>
  <c r="P196" i="5"/>
  <c r="J199" i="4"/>
  <c r="K199" i="4" s="1"/>
  <c r="I200" i="4" s="1"/>
  <c r="L200" i="4" s="1"/>
  <c r="J202" i="5"/>
  <c r="K202" i="5" s="1"/>
  <c r="I203" i="5" s="1"/>
  <c r="J203" i="5" s="1"/>
  <c r="W169" i="5"/>
  <c r="X169" i="5" s="1"/>
  <c r="V170" i="5" s="1"/>
  <c r="I149" i="6"/>
  <c r="E149" i="6"/>
  <c r="D149" i="6" s="1"/>
  <c r="F149" i="6" s="1"/>
  <c r="G149" i="6" s="1"/>
  <c r="F203" i="4"/>
  <c r="G203" i="4" s="1"/>
  <c r="E204" i="4" s="1"/>
  <c r="G183" i="5"/>
  <c r="E184" i="5" s="1"/>
  <c r="F184" i="5" s="1"/>
  <c r="O199" i="4"/>
  <c r="M200" i="4" s="1"/>
  <c r="N200" i="4" s="1"/>
  <c r="Y172" i="4"/>
  <c r="W172" i="4"/>
  <c r="O196" i="5" l="1"/>
  <c r="M197" i="5" s="1"/>
  <c r="P200" i="4"/>
  <c r="O200" i="4" s="1"/>
  <c r="M201" i="4" s="1"/>
  <c r="L203" i="5"/>
  <c r="K203" i="5" s="1"/>
  <c r="I204" i="5" s="1"/>
  <c r="J204" i="5" s="1"/>
  <c r="C150" i="6"/>
  <c r="H149" i="6"/>
  <c r="H204" i="4"/>
  <c r="F204" i="4"/>
  <c r="H184" i="5"/>
  <c r="G184" i="5" s="1"/>
  <c r="E185" i="5" s="1"/>
  <c r="Y170" i="5"/>
  <c r="W170" i="5"/>
  <c r="J200" i="4"/>
  <c r="K200" i="4" s="1"/>
  <c r="I201" i="4" s="1"/>
  <c r="X172" i="4"/>
  <c r="V173" i="4" s="1"/>
  <c r="N197" i="5" l="1"/>
  <c r="P197" i="5"/>
  <c r="G204" i="4"/>
  <c r="E205" i="4" s="1"/>
  <c r="H205" i="4" s="1"/>
  <c r="L204" i="5"/>
  <c r="K204" i="5" s="1"/>
  <c r="I205" i="5" s="1"/>
  <c r="E150" i="6"/>
  <c r="D150" i="6" s="1"/>
  <c r="F150" i="6" s="1"/>
  <c r="G150" i="6" s="1"/>
  <c r="I150" i="6"/>
  <c r="X170" i="5"/>
  <c r="V171" i="5" s="1"/>
  <c r="H185" i="5"/>
  <c r="F185" i="5"/>
  <c r="W173" i="4"/>
  <c r="Y173" i="4"/>
  <c r="P201" i="4"/>
  <c r="N201" i="4"/>
  <c r="L201" i="4"/>
  <c r="J201" i="4"/>
  <c r="F205" i="4" l="1"/>
  <c r="G205" i="4" s="1"/>
  <c r="E206" i="4" s="1"/>
  <c r="F206" i="4" s="1"/>
  <c r="O197" i="5"/>
  <c r="M198" i="5" s="1"/>
  <c r="N198" i="5" s="1"/>
  <c r="H150" i="6"/>
  <c r="C151" i="6"/>
  <c r="G185" i="5"/>
  <c r="E186" i="5" s="1"/>
  <c r="H186" i="5" s="1"/>
  <c r="Y171" i="5"/>
  <c r="W171" i="5"/>
  <c r="L205" i="5"/>
  <c r="J205" i="5"/>
  <c r="K201" i="4"/>
  <c r="I202" i="4" s="1"/>
  <c r="O201" i="4"/>
  <c r="M202" i="4" s="1"/>
  <c r="P202" i="4" s="1"/>
  <c r="X173" i="4"/>
  <c r="V174" i="4" s="1"/>
  <c r="P198" i="5" l="1"/>
  <c r="O198" i="5" s="1"/>
  <c r="M199" i="5" s="1"/>
  <c r="N199" i="5" s="1"/>
  <c r="N202" i="4"/>
  <c r="O202" i="4" s="1"/>
  <c r="M203" i="4" s="1"/>
  <c r="F186" i="5"/>
  <c r="G186" i="5" s="1"/>
  <c r="E187" i="5" s="1"/>
  <c r="H187" i="5" s="1"/>
  <c r="K205" i="5"/>
  <c r="I206" i="5" s="1"/>
  <c r="I151" i="6"/>
  <c r="E151" i="6"/>
  <c r="D151" i="6" s="1"/>
  <c r="F151" i="6" s="1"/>
  <c r="G151" i="6" s="1"/>
  <c r="L202" i="4"/>
  <c r="J202" i="4"/>
  <c r="H206" i="4"/>
  <c r="G206" i="4" s="1"/>
  <c r="E207" i="4" s="1"/>
  <c r="X171" i="5"/>
  <c r="V172" i="5" s="1"/>
  <c r="W174" i="4"/>
  <c r="Y174" i="4"/>
  <c r="P199" i="5" l="1"/>
  <c r="O199" i="5" s="1"/>
  <c r="M200" i="5" s="1"/>
  <c r="K202" i="4"/>
  <c r="I203" i="4" s="1"/>
  <c r="L203" i="4" s="1"/>
  <c r="X174" i="4"/>
  <c r="V175" i="4" s="1"/>
  <c r="F187" i="5"/>
  <c r="G187" i="5" s="1"/>
  <c r="E188" i="5" s="1"/>
  <c r="F188" i="5" s="1"/>
  <c r="C152" i="6"/>
  <c r="H151" i="6"/>
  <c r="Y172" i="5"/>
  <c r="W172" i="5"/>
  <c r="L206" i="5"/>
  <c r="J206" i="5"/>
  <c r="F207" i="4"/>
  <c r="H207" i="4"/>
  <c r="N203" i="4"/>
  <c r="P203" i="4"/>
  <c r="J203" i="4" l="1"/>
  <c r="K203" i="4" s="1"/>
  <c r="I204" i="4" s="1"/>
  <c r="L204" i="4" s="1"/>
  <c r="N200" i="5"/>
  <c r="P200" i="5"/>
  <c r="H188" i="5"/>
  <c r="G188" i="5" s="1"/>
  <c r="E189" i="5" s="1"/>
  <c r="K206" i="5"/>
  <c r="I207" i="5" s="1"/>
  <c r="L207" i="5" s="1"/>
  <c r="E152" i="6"/>
  <c r="D152" i="6" s="1"/>
  <c r="F152" i="6" s="1"/>
  <c r="G152" i="6" s="1"/>
  <c r="I152" i="6"/>
  <c r="X172" i="5"/>
  <c r="V173" i="5" s="1"/>
  <c r="O203" i="4"/>
  <c r="M204" i="4" s="1"/>
  <c r="G207" i="4"/>
  <c r="E208" i="4" s="1"/>
  <c r="Y175" i="4"/>
  <c r="W175" i="4"/>
  <c r="J207" i="5" l="1"/>
  <c r="K207" i="5" s="1"/>
  <c r="I208" i="5" s="1"/>
  <c r="J204" i="4"/>
  <c r="K204" i="4" s="1"/>
  <c r="I205" i="4" s="1"/>
  <c r="L205" i="4" s="1"/>
  <c r="O200" i="5"/>
  <c r="M201" i="5" s="1"/>
  <c r="H189" i="5"/>
  <c r="F189" i="5"/>
  <c r="H152" i="6"/>
  <c r="C153" i="6"/>
  <c r="W173" i="5"/>
  <c r="Y173" i="5"/>
  <c r="X175" i="4"/>
  <c r="V176" i="4" s="1"/>
  <c r="Y176" i="4" s="1"/>
  <c r="H208" i="4"/>
  <c r="F208" i="4"/>
  <c r="P204" i="4"/>
  <c r="N204" i="4"/>
  <c r="J205" i="4" l="1"/>
  <c r="K205" i="4" s="1"/>
  <c r="I206" i="4" s="1"/>
  <c r="N201" i="5"/>
  <c r="P201" i="5"/>
  <c r="G189" i="5"/>
  <c r="E190" i="5" s="1"/>
  <c r="H190" i="5" s="1"/>
  <c r="X173" i="5"/>
  <c r="V174" i="5" s="1"/>
  <c r="W176" i="4"/>
  <c r="X176" i="4" s="1"/>
  <c r="V177" i="4" s="1"/>
  <c r="W177" i="4" s="1"/>
  <c r="E153" i="6"/>
  <c r="D153" i="6" s="1"/>
  <c r="F153" i="6" s="1"/>
  <c r="G153" i="6" s="1"/>
  <c r="I153" i="6"/>
  <c r="L208" i="5"/>
  <c r="J208" i="5"/>
  <c r="O204" i="4"/>
  <c r="M205" i="4" s="1"/>
  <c r="G208" i="4"/>
  <c r="E209" i="4" s="1"/>
  <c r="O201" i="5" l="1"/>
  <c r="M202" i="5" s="1"/>
  <c r="P202" i="5" s="1"/>
  <c r="F190" i="5"/>
  <c r="G190" i="5" s="1"/>
  <c r="E191" i="5" s="1"/>
  <c r="H153" i="6"/>
  <c r="C154" i="6"/>
  <c r="Y177" i="4"/>
  <c r="X177" i="4" s="1"/>
  <c r="V178" i="4" s="1"/>
  <c r="Y178" i="4" s="1"/>
  <c r="K208" i="5"/>
  <c r="I209" i="5" s="1"/>
  <c r="Y174" i="5"/>
  <c r="W174" i="5"/>
  <c r="F209" i="4"/>
  <c r="H209" i="4"/>
  <c r="L206" i="4"/>
  <c r="J206" i="4"/>
  <c r="P205" i="4"/>
  <c r="N205" i="4"/>
  <c r="N202" i="5" l="1"/>
  <c r="O202" i="5" s="1"/>
  <c r="M203" i="5" s="1"/>
  <c r="N203" i="5" s="1"/>
  <c r="I154" i="6"/>
  <c r="E154" i="6"/>
  <c r="D154" i="6" s="1"/>
  <c r="F154" i="6" s="1"/>
  <c r="G154" i="6" s="1"/>
  <c r="W178" i="4"/>
  <c r="X178" i="4" s="1"/>
  <c r="V179" i="4" s="1"/>
  <c r="W179" i="4" s="1"/>
  <c r="K206" i="4"/>
  <c r="I207" i="4" s="1"/>
  <c r="J207" i="4" s="1"/>
  <c r="X174" i="5"/>
  <c r="V175" i="5" s="1"/>
  <c r="Y175" i="5" s="1"/>
  <c r="L209" i="5"/>
  <c r="J209" i="5"/>
  <c r="F191" i="5"/>
  <c r="H191" i="5"/>
  <c r="O205" i="4"/>
  <c r="M206" i="4" s="1"/>
  <c r="G209" i="4"/>
  <c r="E210" i="4" s="1"/>
  <c r="F210" i="4" s="1"/>
  <c r="P203" i="5" l="1"/>
  <c r="O203" i="5" s="1"/>
  <c r="M204" i="5" s="1"/>
  <c r="N204" i="5" s="1"/>
  <c r="K209" i="5"/>
  <c r="I210" i="5" s="1"/>
  <c r="J210" i="5" s="1"/>
  <c r="L207" i="4"/>
  <c r="K207" i="4" s="1"/>
  <c r="I208" i="4" s="1"/>
  <c r="C155" i="6"/>
  <c r="H154" i="6"/>
  <c r="H210" i="4"/>
  <c r="G210" i="4" s="1"/>
  <c r="E211" i="4" s="1"/>
  <c r="H211" i="4" s="1"/>
  <c r="G191" i="5"/>
  <c r="E192" i="5" s="1"/>
  <c r="F192" i="5" s="1"/>
  <c r="W175" i="5"/>
  <c r="X175" i="5" s="1"/>
  <c r="V176" i="5" s="1"/>
  <c r="Y179" i="4"/>
  <c r="X179" i="4" s="1"/>
  <c r="V180" i="4" s="1"/>
  <c r="N206" i="4"/>
  <c r="P206" i="4"/>
  <c r="L210" i="5" l="1"/>
  <c r="K210" i="5" s="1"/>
  <c r="I211" i="5" s="1"/>
  <c r="J211" i="5" s="1"/>
  <c r="P204" i="5"/>
  <c r="O204" i="5" s="1"/>
  <c r="M205" i="5" s="1"/>
  <c r="P205" i="5" s="1"/>
  <c r="Y176" i="5"/>
  <c r="W176" i="5"/>
  <c r="I155" i="6"/>
  <c r="E155" i="6"/>
  <c r="D155" i="6" s="1"/>
  <c r="F155" i="6" s="1"/>
  <c r="G155" i="6" s="1"/>
  <c r="H192" i="5"/>
  <c r="G192" i="5" s="1"/>
  <c r="E193" i="5" s="1"/>
  <c r="F211" i="4"/>
  <c r="G211" i="4" s="1"/>
  <c r="E212" i="4" s="1"/>
  <c r="O206" i="4"/>
  <c r="M207" i="4" s="1"/>
  <c r="P207" i="4" s="1"/>
  <c r="Y180" i="4"/>
  <c r="W180" i="4"/>
  <c r="L208" i="4"/>
  <c r="J208" i="4"/>
  <c r="N205" i="5" l="1"/>
  <c r="O205" i="5" s="1"/>
  <c r="M206" i="5" s="1"/>
  <c r="X176" i="5"/>
  <c r="V177" i="5" s="1"/>
  <c r="W177" i="5" s="1"/>
  <c r="C156" i="6"/>
  <c r="H155" i="6"/>
  <c r="H212" i="4"/>
  <c r="F212" i="4"/>
  <c r="L211" i="5"/>
  <c r="H193" i="5"/>
  <c r="F193" i="5"/>
  <c r="N207" i="4"/>
  <c r="O207" i="4" s="1"/>
  <c r="M208" i="4" s="1"/>
  <c r="P208" i="4" s="1"/>
  <c r="K208" i="4"/>
  <c r="I209" i="4" s="1"/>
  <c r="L209" i="4" s="1"/>
  <c r="X180" i="4"/>
  <c r="V181" i="4" s="1"/>
  <c r="Y177" i="5" l="1"/>
  <c r="X177" i="5" s="1"/>
  <c r="V178" i="5" s="1"/>
  <c r="G193" i="5"/>
  <c r="E194" i="5" s="1"/>
  <c r="H194" i="5" s="1"/>
  <c r="G212" i="4"/>
  <c r="E213" i="4" s="1"/>
  <c r="H213" i="4" s="1"/>
  <c r="E156" i="6"/>
  <c r="D156" i="6" s="1"/>
  <c r="F156" i="6" s="1"/>
  <c r="G156" i="6" s="1"/>
  <c r="I156" i="6"/>
  <c r="N208" i="4"/>
  <c r="O208" i="4" s="1"/>
  <c r="M209" i="4" s="1"/>
  <c r="N209" i="4" s="1"/>
  <c r="J209" i="4"/>
  <c r="K209" i="4" s="1"/>
  <c r="I210" i="4" s="1"/>
  <c r="J210" i="4" s="1"/>
  <c r="K211" i="5"/>
  <c r="I212" i="5" s="1"/>
  <c r="P206" i="5"/>
  <c r="N206" i="5"/>
  <c r="Y181" i="4"/>
  <c r="W181" i="4"/>
  <c r="F213" i="4" l="1"/>
  <c r="G213" i="4" s="1"/>
  <c r="E214" i="4" s="1"/>
  <c r="F214" i="4" s="1"/>
  <c r="F194" i="5"/>
  <c r="G194" i="5" s="1"/>
  <c r="E195" i="5" s="1"/>
  <c r="P209" i="4"/>
  <c r="O209" i="4" s="1"/>
  <c r="M210" i="4" s="1"/>
  <c r="H156" i="6"/>
  <c r="C157" i="6"/>
  <c r="L210" i="4"/>
  <c r="K210" i="4" s="1"/>
  <c r="I211" i="4" s="1"/>
  <c r="O206" i="5"/>
  <c r="M207" i="5" s="1"/>
  <c r="P207" i="5" s="1"/>
  <c r="L212" i="5"/>
  <c r="J212" i="5"/>
  <c r="Y178" i="5"/>
  <c r="W178" i="5"/>
  <c r="X181" i="4"/>
  <c r="V182" i="4" s="1"/>
  <c r="H214" i="4" l="1"/>
  <c r="G214" i="4" s="1"/>
  <c r="E215" i="4" s="1"/>
  <c r="N207" i="5"/>
  <c r="O207" i="5" s="1"/>
  <c r="M208" i="5" s="1"/>
  <c r="N208" i="5" s="1"/>
  <c r="K212" i="5"/>
  <c r="I213" i="5" s="1"/>
  <c r="L213" i="5" s="1"/>
  <c r="I157" i="6"/>
  <c r="E157" i="6"/>
  <c r="D157" i="6" s="1"/>
  <c r="F157" i="6" s="1"/>
  <c r="G157" i="6" s="1"/>
  <c r="J211" i="4"/>
  <c r="L211" i="4"/>
  <c r="X178" i="5"/>
  <c r="V179" i="5" s="1"/>
  <c r="F195" i="5"/>
  <c r="H195" i="5"/>
  <c r="Y182" i="4"/>
  <c r="W182" i="4"/>
  <c r="P210" i="4"/>
  <c r="N210" i="4"/>
  <c r="J213" i="5" l="1"/>
  <c r="K213" i="5" s="1"/>
  <c r="I214" i="5" s="1"/>
  <c r="L214" i="5" s="1"/>
  <c r="P208" i="5"/>
  <c r="O208" i="5" s="1"/>
  <c r="M209" i="5" s="1"/>
  <c r="O210" i="4"/>
  <c r="M211" i="4" s="1"/>
  <c r="K211" i="4"/>
  <c r="I212" i="4" s="1"/>
  <c r="L212" i="4" s="1"/>
  <c r="C158" i="6"/>
  <c r="H157" i="6"/>
  <c r="G195" i="5"/>
  <c r="E196" i="5" s="1"/>
  <c r="Y179" i="5"/>
  <c r="W179" i="5"/>
  <c r="X182" i="4"/>
  <c r="V183" i="4" s="1"/>
  <c r="W183" i="4" s="1"/>
  <c r="F215" i="4"/>
  <c r="H215" i="4"/>
  <c r="J212" i="4" l="1"/>
  <c r="K212" i="4" s="1"/>
  <c r="I213" i="4" s="1"/>
  <c r="J214" i="5"/>
  <c r="K214" i="5" s="1"/>
  <c r="I215" i="5" s="1"/>
  <c r="L215" i="5" s="1"/>
  <c r="I158" i="6"/>
  <c r="E158" i="6"/>
  <c r="D158" i="6" s="1"/>
  <c r="F158" i="6" s="1"/>
  <c r="G158" i="6" s="1"/>
  <c r="Y183" i="4"/>
  <c r="X183" i="4" s="1"/>
  <c r="V184" i="4" s="1"/>
  <c r="F196" i="5"/>
  <c r="H196" i="5"/>
  <c r="X179" i="5"/>
  <c r="V180" i="5" s="1"/>
  <c r="P209" i="5"/>
  <c r="N209" i="5"/>
  <c r="G215" i="4"/>
  <c r="E216" i="4" s="1"/>
  <c r="F216" i="4" s="1"/>
  <c r="N211" i="4"/>
  <c r="P211" i="4"/>
  <c r="J215" i="5" l="1"/>
  <c r="K215" i="5" s="1"/>
  <c r="I216" i="5" s="1"/>
  <c r="H216" i="4"/>
  <c r="G216" i="4" s="1"/>
  <c r="E217" i="4" s="1"/>
  <c r="C159" i="6"/>
  <c r="H158" i="6"/>
  <c r="O209" i="5"/>
  <c r="M210" i="5" s="1"/>
  <c r="Y180" i="5"/>
  <c r="W180" i="5"/>
  <c r="G196" i="5"/>
  <c r="E197" i="5" s="1"/>
  <c r="O211" i="4"/>
  <c r="M212" i="4" s="1"/>
  <c r="N212" i="4" s="1"/>
  <c r="L213" i="4"/>
  <c r="J213" i="4"/>
  <c r="Y184" i="4"/>
  <c r="W184" i="4"/>
  <c r="L216" i="5" l="1"/>
  <c r="J216" i="5"/>
  <c r="E159" i="6"/>
  <c r="D159" i="6" s="1"/>
  <c r="F159" i="6" s="1"/>
  <c r="G159" i="6" s="1"/>
  <c r="I159" i="6"/>
  <c r="P212" i="4"/>
  <c r="O212" i="4" s="1"/>
  <c r="M213" i="4" s="1"/>
  <c r="X180" i="5"/>
  <c r="V181" i="5" s="1"/>
  <c r="H197" i="5"/>
  <c r="F197" i="5"/>
  <c r="P210" i="5"/>
  <c r="N210" i="5"/>
  <c r="K213" i="4"/>
  <c r="I214" i="4" s="1"/>
  <c r="J214" i="4" s="1"/>
  <c r="X184" i="4"/>
  <c r="V185" i="4" s="1"/>
  <c r="H217" i="4"/>
  <c r="F217" i="4"/>
  <c r="K216" i="5" l="1"/>
  <c r="I217" i="5" s="1"/>
  <c r="L217" i="5" s="1"/>
  <c r="H159" i="6"/>
  <c r="C160" i="6"/>
  <c r="O210" i="5"/>
  <c r="M211" i="5" s="1"/>
  <c r="N211" i="5" s="1"/>
  <c r="L214" i="4"/>
  <c r="K214" i="4" s="1"/>
  <c r="I215" i="4" s="1"/>
  <c r="G197" i="5"/>
  <c r="E198" i="5" s="1"/>
  <c r="F198" i="5" s="1"/>
  <c r="Y181" i="5"/>
  <c r="W181" i="5"/>
  <c r="G217" i="4"/>
  <c r="E218" i="4" s="1"/>
  <c r="H218" i="4" s="1"/>
  <c r="P213" i="4"/>
  <c r="N213" i="4"/>
  <c r="W185" i="4"/>
  <c r="Y185" i="4"/>
  <c r="J217" i="5" l="1"/>
  <c r="K217" i="5" s="1"/>
  <c r="I218" i="5" s="1"/>
  <c r="L218" i="5" s="1"/>
  <c r="H198" i="5"/>
  <c r="G198" i="5" s="1"/>
  <c r="E199" i="5" s="1"/>
  <c r="P211" i="5"/>
  <c r="O211" i="5" s="1"/>
  <c r="M212" i="5" s="1"/>
  <c r="P212" i="5" s="1"/>
  <c r="I160" i="6"/>
  <c r="E160" i="6"/>
  <c r="D160" i="6" s="1"/>
  <c r="F160" i="6" s="1"/>
  <c r="G160" i="6" s="1"/>
  <c r="X181" i="5"/>
  <c r="V182" i="5" s="1"/>
  <c r="F218" i="4"/>
  <c r="G218" i="4" s="1"/>
  <c r="E219" i="4" s="1"/>
  <c r="X185" i="4"/>
  <c r="V186" i="4" s="1"/>
  <c r="O213" i="4"/>
  <c r="M214" i="4" s="1"/>
  <c r="L215" i="4"/>
  <c r="J215" i="4"/>
  <c r="J218" i="5" l="1"/>
  <c r="K218" i="5" s="1"/>
  <c r="I219" i="5" s="1"/>
  <c r="F199" i="5"/>
  <c r="H199" i="5"/>
  <c r="N212" i="5"/>
  <c r="O212" i="5" s="1"/>
  <c r="M213" i="5" s="1"/>
  <c r="C161" i="6"/>
  <c r="H160" i="6"/>
  <c r="H219" i="4"/>
  <c r="F219" i="4"/>
  <c r="Y182" i="5"/>
  <c r="W182" i="5"/>
  <c r="K215" i="4"/>
  <c r="I216" i="4" s="1"/>
  <c r="P214" i="4"/>
  <c r="N214" i="4"/>
  <c r="W186" i="4"/>
  <c r="Y186" i="4"/>
  <c r="G199" i="5" l="1"/>
  <c r="E200" i="5" s="1"/>
  <c r="F200" i="5" s="1"/>
  <c r="G219" i="4"/>
  <c r="E220" i="4" s="1"/>
  <c r="F220" i="4" s="1"/>
  <c r="E161" i="6"/>
  <c r="D161" i="6" s="1"/>
  <c r="F161" i="6" s="1"/>
  <c r="G161" i="6" s="1"/>
  <c r="I161" i="6"/>
  <c r="O214" i="4"/>
  <c r="M215" i="4" s="1"/>
  <c r="P215" i="4" s="1"/>
  <c r="X182" i="5"/>
  <c r="V183" i="5" s="1"/>
  <c r="J219" i="5"/>
  <c r="L219" i="5"/>
  <c r="P213" i="5"/>
  <c r="N213" i="5"/>
  <c r="X186" i="4"/>
  <c r="V187" i="4" s="1"/>
  <c r="L216" i="4"/>
  <c r="J216" i="4"/>
  <c r="H220" i="4" l="1"/>
  <c r="G220" i="4" s="1"/>
  <c r="E221" i="4" s="1"/>
  <c r="H221" i="4" s="1"/>
  <c r="H200" i="5"/>
  <c r="G200" i="5" s="1"/>
  <c r="E201" i="5" s="1"/>
  <c r="H201" i="5" s="1"/>
  <c r="O213" i="5"/>
  <c r="M214" i="5" s="1"/>
  <c r="P214" i="5" s="1"/>
  <c r="N215" i="4"/>
  <c r="O215" i="4" s="1"/>
  <c r="M216" i="4" s="1"/>
  <c r="H161" i="6"/>
  <c r="C162" i="6"/>
  <c r="K216" i="4"/>
  <c r="I217" i="4" s="1"/>
  <c r="L217" i="4" s="1"/>
  <c r="W183" i="5"/>
  <c r="Y183" i="5"/>
  <c r="K219" i="5"/>
  <c r="I220" i="5" s="1"/>
  <c r="Y187" i="4"/>
  <c r="W187" i="4"/>
  <c r="F201" i="5" l="1"/>
  <c r="G201" i="5" s="1"/>
  <c r="E202" i="5" s="1"/>
  <c r="H202" i="5" s="1"/>
  <c r="N214" i="5"/>
  <c r="O214" i="5" s="1"/>
  <c r="M215" i="5" s="1"/>
  <c r="J217" i="4"/>
  <c r="K217" i="4" s="1"/>
  <c r="I218" i="4" s="1"/>
  <c r="E162" i="6"/>
  <c r="D162" i="6" s="1"/>
  <c r="F162" i="6" s="1"/>
  <c r="G162" i="6" s="1"/>
  <c r="I162" i="6"/>
  <c r="F221" i="4"/>
  <c r="G221" i="4" s="1"/>
  <c r="E222" i="4" s="1"/>
  <c r="H222" i="4" s="1"/>
  <c r="X183" i="5"/>
  <c r="V184" i="5" s="1"/>
  <c r="W184" i="5" s="1"/>
  <c r="L220" i="5"/>
  <c r="J220" i="5"/>
  <c r="X187" i="4"/>
  <c r="V188" i="4" s="1"/>
  <c r="W188" i="4" s="1"/>
  <c r="P216" i="4"/>
  <c r="N216" i="4"/>
  <c r="F202" i="5" l="1"/>
  <c r="G202" i="5" s="1"/>
  <c r="E203" i="5" s="1"/>
  <c r="Y184" i="5"/>
  <c r="X184" i="5" s="1"/>
  <c r="V185" i="5" s="1"/>
  <c r="H162" i="6"/>
  <c r="C163" i="6"/>
  <c r="Y188" i="4"/>
  <c r="X188" i="4" s="1"/>
  <c r="V189" i="4" s="1"/>
  <c r="Y189" i="4" s="1"/>
  <c r="F222" i="4"/>
  <c r="G222" i="4" s="1"/>
  <c r="E223" i="4" s="1"/>
  <c r="H223" i="4" s="1"/>
  <c r="K220" i="5"/>
  <c r="I221" i="5" s="1"/>
  <c r="L221" i="5" s="1"/>
  <c r="N215" i="5"/>
  <c r="P215" i="5"/>
  <c r="O216" i="4"/>
  <c r="M217" i="4" s="1"/>
  <c r="J218" i="4"/>
  <c r="L218" i="4"/>
  <c r="F203" i="5" l="1"/>
  <c r="H203" i="5"/>
  <c r="J221" i="5"/>
  <c r="K221" i="5" s="1"/>
  <c r="I222" i="5" s="1"/>
  <c r="L222" i="5" s="1"/>
  <c r="I163" i="6"/>
  <c r="E163" i="6"/>
  <c r="D163" i="6" s="1"/>
  <c r="F163" i="6" s="1"/>
  <c r="G163" i="6" s="1"/>
  <c r="W189" i="4"/>
  <c r="X189" i="4" s="1"/>
  <c r="V190" i="4" s="1"/>
  <c r="Y190" i="4" s="1"/>
  <c r="Y185" i="5"/>
  <c r="W185" i="5"/>
  <c r="O215" i="5"/>
  <c r="M216" i="5" s="1"/>
  <c r="F223" i="4"/>
  <c r="G223" i="4" s="1"/>
  <c r="E224" i="4" s="1"/>
  <c r="F224" i="4" s="1"/>
  <c r="K218" i="4"/>
  <c r="I219" i="4" s="1"/>
  <c r="P217" i="4"/>
  <c r="N217" i="4"/>
  <c r="G203" i="5" l="1"/>
  <c r="E204" i="5" s="1"/>
  <c r="H204" i="5" s="1"/>
  <c r="J222" i="5"/>
  <c r="K222" i="5" s="1"/>
  <c r="I223" i="5" s="1"/>
  <c r="C164" i="6"/>
  <c r="H163" i="6"/>
  <c r="H224" i="4"/>
  <c r="G224" i="4" s="1"/>
  <c r="E225" i="4" s="1"/>
  <c r="H225" i="4" s="1"/>
  <c r="W190" i="4"/>
  <c r="X190" i="4" s="1"/>
  <c r="V191" i="4" s="1"/>
  <c r="W191" i="4" s="1"/>
  <c r="N216" i="5"/>
  <c r="P216" i="5"/>
  <c r="X185" i="5"/>
  <c r="V186" i="5" s="1"/>
  <c r="O217" i="4"/>
  <c r="M218" i="4" s="1"/>
  <c r="J219" i="4"/>
  <c r="L219" i="4"/>
  <c r="F204" i="5" l="1"/>
  <c r="G204" i="5" s="1"/>
  <c r="E205" i="5" s="1"/>
  <c r="I164" i="6"/>
  <c r="E164" i="6"/>
  <c r="D164" i="6" s="1"/>
  <c r="F164" i="6" s="1"/>
  <c r="G164" i="6" s="1"/>
  <c r="Y191" i="4"/>
  <c r="X191" i="4" s="1"/>
  <c r="V192" i="4" s="1"/>
  <c r="O216" i="5"/>
  <c r="M217" i="5" s="1"/>
  <c r="P217" i="5" s="1"/>
  <c r="Y186" i="5"/>
  <c r="W186" i="5"/>
  <c r="J223" i="5"/>
  <c r="L223" i="5"/>
  <c r="F225" i="4"/>
  <c r="G225" i="4" s="1"/>
  <c r="E226" i="4" s="1"/>
  <c r="K219" i="4"/>
  <c r="I220" i="4" s="1"/>
  <c r="J220" i="4" s="1"/>
  <c r="P218" i="4"/>
  <c r="N218" i="4"/>
  <c r="N217" i="5" l="1"/>
  <c r="O217" i="5" s="1"/>
  <c r="M218" i="5" s="1"/>
  <c r="C165" i="6"/>
  <c r="H164" i="6"/>
  <c r="K223" i="5"/>
  <c r="I224" i="5" s="1"/>
  <c r="J224" i="5" s="1"/>
  <c r="H205" i="5"/>
  <c r="F205" i="5"/>
  <c r="X186" i="5"/>
  <c r="V187" i="5" s="1"/>
  <c r="O218" i="4"/>
  <c r="M219" i="4" s="1"/>
  <c r="P219" i="4" s="1"/>
  <c r="L220" i="4"/>
  <c r="K220" i="4" s="1"/>
  <c r="Y192" i="4"/>
  <c r="W192" i="4"/>
  <c r="H226" i="4"/>
  <c r="F226" i="4"/>
  <c r="P218" i="5" l="1"/>
  <c r="N218" i="5"/>
  <c r="L224" i="5"/>
  <c r="K224" i="5" s="1"/>
  <c r="I225" i="5" s="1"/>
  <c r="J225" i="5" s="1"/>
  <c r="N219" i="4"/>
  <c r="O219" i="4" s="1"/>
  <c r="M220" i="4" s="1"/>
  <c r="P220" i="4" s="1"/>
  <c r="E165" i="6"/>
  <c r="D165" i="6" s="1"/>
  <c r="F165" i="6" s="1"/>
  <c r="G165" i="6" s="1"/>
  <c r="I165" i="6"/>
  <c r="I221" i="4"/>
  <c r="J221" i="4" s="1"/>
  <c r="G205" i="5"/>
  <c r="E206" i="5" s="1"/>
  <c r="W187" i="5"/>
  <c r="Y187" i="5"/>
  <c r="X192" i="4"/>
  <c r="V193" i="4" s="1"/>
  <c r="Y193" i="4" s="1"/>
  <c r="G226" i="4"/>
  <c r="E227" i="4" s="1"/>
  <c r="O218" i="5" l="1"/>
  <c r="M219" i="5" s="1"/>
  <c r="P219" i="5" s="1"/>
  <c r="X187" i="5"/>
  <c r="V188" i="5" s="1"/>
  <c r="W188" i="5" s="1"/>
  <c r="L221" i="4"/>
  <c r="K221" i="4" s="1"/>
  <c r="I222" i="4" s="1"/>
  <c r="N220" i="4"/>
  <c r="O220" i="4" s="1"/>
  <c r="M221" i="4" s="1"/>
  <c r="P221" i="4" s="1"/>
  <c r="L225" i="5"/>
  <c r="K225" i="5" s="1"/>
  <c r="I226" i="5" s="1"/>
  <c r="H165" i="6"/>
  <c r="C166" i="6"/>
  <c r="F206" i="5"/>
  <c r="H206" i="5"/>
  <c r="W193" i="4"/>
  <c r="X193" i="4" s="1"/>
  <c r="V194" i="4" s="1"/>
  <c r="Y194" i="4" s="1"/>
  <c r="F227" i="4"/>
  <c r="H227" i="4"/>
  <c r="N219" i="5" l="1"/>
  <c r="O219" i="5" s="1"/>
  <c r="M220" i="5" s="1"/>
  <c r="N221" i="4"/>
  <c r="O221" i="4" s="1"/>
  <c r="M222" i="4" s="1"/>
  <c r="Y188" i="5"/>
  <c r="I166" i="6"/>
  <c r="E166" i="6"/>
  <c r="D166" i="6" s="1"/>
  <c r="F166" i="6" s="1"/>
  <c r="G166" i="6" s="1"/>
  <c r="G206" i="5"/>
  <c r="E207" i="5" s="1"/>
  <c r="F207" i="5" s="1"/>
  <c r="L226" i="5"/>
  <c r="J226" i="5"/>
  <c r="G227" i="4"/>
  <c r="E228" i="4" s="1"/>
  <c r="W194" i="4"/>
  <c r="X194" i="4" s="1"/>
  <c r="V195" i="4" s="1"/>
  <c r="L222" i="4"/>
  <c r="J222" i="4"/>
  <c r="P220" i="5" l="1"/>
  <c r="N220" i="5"/>
  <c r="H207" i="5"/>
  <c r="G207" i="5" s="1"/>
  <c r="E208" i="5" s="1"/>
  <c r="X188" i="5"/>
  <c r="V189" i="5" s="1"/>
  <c r="C167" i="6"/>
  <c r="H166" i="6"/>
  <c r="K226" i="5"/>
  <c r="I227" i="5" s="1"/>
  <c r="K222" i="4"/>
  <c r="I223" i="4" s="1"/>
  <c r="L223" i="4" s="1"/>
  <c r="Y195" i="4"/>
  <c r="W195" i="4"/>
  <c r="F228" i="4"/>
  <c r="H228" i="4"/>
  <c r="N222" i="4"/>
  <c r="P222" i="4"/>
  <c r="O220" i="5" l="1"/>
  <c r="M221" i="5" s="1"/>
  <c r="Y189" i="5"/>
  <c r="W189" i="5"/>
  <c r="J223" i="4"/>
  <c r="K223" i="4" s="1"/>
  <c r="I224" i="4" s="1"/>
  <c r="I167" i="6"/>
  <c r="E167" i="6"/>
  <c r="D167" i="6" s="1"/>
  <c r="F167" i="6" s="1"/>
  <c r="G167" i="6" s="1"/>
  <c r="L227" i="5"/>
  <c r="J227" i="5"/>
  <c r="F208" i="5"/>
  <c r="H208" i="5"/>
  <c r="O222" i="4"/>
  <c r="M223" i="4" s="1"/>
  <c r="N223" i="4" s="1"/>
  <c r="X195" i="4"/>
  <c r="V196" i="4" s="1"/>
  <c r="G228" i="4"/>
  <c r="E229" i="4" s="1"/>
  <c r="P221" i="5" l="1"/>
  <c r="N221" i="5"/>
  <c r="X189" i="5"/>
  <c r="V190" i="5" s="1"/>
  <c r="Y190" i="5" s="1"/>
  <c r="C168" i="6"/>
  <c r="H167" i="6"/>
  <c r="G208" i="5"/>
  <c r="E209" i="5" s="1"/>
  <c r="K227" i="5"/>
  <c r="I228" i="5" s="1"/>
  <c r="P223" i="4"/>
  <c r="O223" i="4" s="1"/>
  <c r="L224" i="4"/>
  <c r="J224" i="4"/>
  <c r="H229" i="4"/>
  <c r="F229" i="4"/>
  <c r="Y196" i="4"/>
  <c r="W196" i="4"/>
  <c r="O221" i="5" l="1"/>
  <c r="M222" i="5" s="1"/>
  <c r="W190" i="5"/>
  <c r="X190" i="5" s="1"/>
  <c r="V191" i="5" s="1"/>
  <c r="Y191" i="5" s="1"/>
  <c r="K224" i="4"/>
  <c r="I225" i="4" s="1"/>
  <c r="L225" i="4" s="1"/>
  <c r="E168" i="6"/>
  <c r="D168" i="6" s="1"/>
  <c r="F168" i="6" s="1"/>
  <c r="G168" i="6" s="1"/>
  <c r="I168" i="6"/>
  <c r="M224" i="4"/>
  <c r="N224" i="4" s="1"/>
  <c r="J228" i="5"/>
  <c r="L228" i="5"/>
  <c r="H209" i="5"/>
  <c r="F209" i="5"/>
  <c r="G229" i="4"/>
  <c r="E230" i="4" s="1"/>
  <c r="X196" i="4"/>
  <c r="V197" i="4" s="1"/>
  <c r="P222" i="5" l="1"/>
  <c r="N222" i="5"/>
  <c r="J225" i="4"/>
  <c r="K225" i="4" s="1"/>
  <c r="I226" i="4" s="1"/>
  <c r="L226" i="4" s="1"/>
  <c r="P224" i="4"/>
  <c r="O224" i="4" s="1"/>
  <c r="M225" i="4" s="1"/>
  <c r="W191" i="5"/>
  <c r="X191" i="5" s="1"/>
  <c r="V192" i="5" s="1"/>
  <c r="W192" i="5" s="1"/>
  <c r="H168" i="6"/>
  <c r="C169" i="6"/>
  <c r="K228" i="5"/>
  <c r="I229" i="5" s="1"/>
  <c r="G209" i="5"/>
  <c r="E210" i="5" s="1"/>
  <c r="H210" i="5" s="1"/>
  <c r="Y197" i="4"/>
  <c r="W197" i="4"/>
  <c r="H230" i="4"/>
  <c r="F230" i="4"/>
  <c r="O222" i="5" l="1"/>
  <c r="M223" i="5" s="1"/>
  <c r="J229" i="5"/>
  <c r="L229" i="5"/>
  <c r="Y192" i="5"/>
  <c r="X192" i="5" s="1"/>
  <c r="F210" i="5"/>
  <c r="G210" i="5" s="1"/>
  <c r="E211" i="5" s="1"/>
  <c r="I169" i="6"/>
  <c r="E169" i="6"/>
  <c r="D169" i="6" s="1"/>
  <c r="F169" i="6" s="1"/>
  <c r="G169" i="6" s="1"/>
  <c r="J226" i="4"/>
  <c r="K226" i="4" s="1"/>
  <c r="I227" i="4" s="1"/>
  <c r="L227" i="4" s="1"/>
  <c r="X197" i="4"/>
  <c r="V198" i="4" s="1"/>
  <c r="W198" i="4" s="1"/>
  <c r="G230" i="4"/>
  <c r="E231" i="4" s="1"/>
  <c r="P225" i="4"/>
  <c r="N225" i="4"/>
  <c r="N223" i="5" l="1"/>
  <c r="P223" i="5"/>
  <c r="V193" i="5"/>
  <c r="Y193" i="5" s="1"/>
  <c r="K229" i="5"/>
  <c r="I230" i="5" s="1"/>
  <c r="J230" i="5" s="1"/>
  <c r="Y198" i="4"/>
  <c r="X198" i="4" s="1"/>
  <c r="V199" i="4" s="1"/>
  <c r="C170" i="6"/>
  <c r="H169" i="6"/>
  <c r="J227" i="4"/>
  <c r="K227" i="4" s="1"/>
  <c r="I228" i="4" s="1"/>
  <c r="L228" i="4" s="1"/>
  <c r="H211" i="5"/>
  <c r="F211" i="5"/>
  <c r="O225" i="4"/>
  <c r="M226" i="4" s="1"/>
  <c r="P226" i="4" s="1"/>
  <c r="F231" i="4"/>
  <c r="H231" i="4"/>
  <c r="L230" i="5" l="1"/>
  <c r="K230" i="5" s="1"/>
  <c r="I231" i="5" s="1"/>
  <c r="J231" i="5" s="1"/>
  <c r="O223" i="5"/>
  <c r="M224" i="5" s="1"/>
  <c r="N224" i="5" s="1"/>
  <c r="W193" i="5"/>
  <c r="X193" i="5" s="1"/>
  <c r="V194" i="5" s="1"/>
  <c r="E170" i="6"/>
  <c r="D170" i="6" s="1"/>
  <c r="F170" i="6" s="1"/>
  <c r="G170" i="6" s="1"/>
  <c r="I170" i="6"/>
  <c r="N226" i="4"/>
  <c r="O226" i="4" s="1"/>
  <c r="M227" i="4" s="1"/>
  <c r="N227" i="4" s="1"/>
  <c r="J228" i="4"/>
  <c r="K228" i="4" s="1"/>
  <c r="I229" i="4" s="1"/>
  <c r="G211" i="5"/>
  <c r="E212" i="5" s="1"/>
  <c r="H212" i="5" s="1"/>
  <c r="G231" i="4"/>
  <c r="E232" i="4" s="1"/>
  <c r="F232" i="4" s="1"/>
  <c r="Y199" i="4"/>
  <c r="W199" i="4"/>
  <c r="P224" i="5" l="1"/>
  <c r="O224" i="5" s="1"/>
  <c r="M225" i="5" s="1"/>
  <c r="L231" i="5"/>
  <c r="K231" i="5" s="1"/>
  <c r="I232" i="5" s="1"/>
  <c r="F212" i="5"/>
  <c r="G212" i="5" s="1"/>
  <c r="E213" i="5" s="1"/>
  <c r="H170" i="6"/>
  <c r="C171" i="6"/>
  <c r="Y194" i="5"/>
  <c r="W194" i="5"/>
  <c r="P227" i="4"/>
  <c r="O227" i="4" s="1"/>
  <c r="H232" i="4"/>
  <c r="G232" i="4" s="1"/>
  <c r="E233" i="4" s="1"/>
  <c r="H233" i="4" s="1"/>
  <c r="X199" i="4"/>
  <c r="V200" i="4" s="1"/>
  <c r="L229" i="4"/>
  <c r="J229" i="4"/>
  <c r="P225" i="5" l="1"/>
  <c r="N225" i="5"/>
  <c r="K229" i="4"/>
  <c r="I230" i="4" s="1"/>
  <c r="M228" i="4"/>
  <c r="P228" i="4" s="1"/>
  <c r="E171" i="6"/>
  <c r="D171" i="6" s="1"/>
  <c r="F171" i="6" s="1"/>
  <c r="G171" i="6" s="1"/>
  <c r="I171" i="6"/>
  <c r="F233" i="4"/>
  <c r="G233" i="4" s="1"/>
  <c r="E234" i="4" s="1"/>
  <c r="X194" i="5"/>
  <c r="V195" i="5" s="1"/>
  <c r="L232" i="5"/>
  <c r="J232" i="5"/>
  <c r="H213" i="5"/>
  <c r="F213" i="5"/>
  <c r="Y200" i="4"/>
  <c r="W200" i="4"/>
  <c r="O225" i="5" l="1"/>
  <c r="M226" i="5" s="1"/>
  <c r="N226" i="5" s="1"/>
  <c r="N228" i="4"/>
  <c r="O228" i="4" s="1"/>
  <c r="M229" i="4" s="1"/>
  <c r="N229" i="4" s="1"/>
  <c r="G213" i="5"/>
  <c r="E214" i="5" s="1"/>
  <c r="H171" i="6"/>
  <c r="C172" i="6"/>
  <c r="K232" i="5"/>
  <c r="I233" i="5" s="1"/>
  <c r="W195" i="5"/>
  <c r="Y195" i="5"/>
  <c r="X200" i="4"/>
  <c r="V201" i="4" s="1"/>
  <c r="H234" i="4"/>
  <c r="F234" i="4"/>
  <c r="J230" i="4"/>
  <c r="L230" i="4"/>
  <c r="P226" i="5" l="1"/>
  <c r="O226" i="5" s="1"/>
  <c r="M227" i="5" s="1"/>
  <c r="P227" i="5" s="1"/>
  <c r="P229" i="4"/>
  <c r="O229" i="4" s="1"/>
  <c r="M230" i="4" s="1"/>
  <c r="I172" i="6"/>
  <c r="E172" i="6"/>
  <c r="D172" i="6" s="1"/>
  <c r="F172" i="6" s="1"/>
  <c r="G172" i="6" s="1"/>
  <c r="X195" i="5"/>
  <c r="V196" i="5" s="1"/>
  <c r="L233" i="5"/>
  <c r="J233" i="5"/>
  <c r="H214" i="5"/>
  <c r="F214" i="5"/>
  <c r="G234" i="4"/>
  <c r="E235" i="4" s="1"/>
  <c r="K230" i="4"/>
  <c r="I231" i="4" s="1"/>
  <c r="L231" i="4" s="1"/>
  <c r="W201" i="4"/>
  <c r="Y201" i="4"/>
  <c r="N227" i="5" l="1"/>
  <c r="O227" i="5" s="1"/>
  <c r="M228" i="5" s="1"/>
  <c r="C173" i="6"/>
  <c r="H172" i="6"/>
  <c r="K233" i="5"/>
  <c r="I234" i="5" s="1"/>
  <c r="G214" i="5"/>
  <c r="E215" i="5" s="1"/>
  <c r="F215" i="5" s="1"/>
  <c r="Y196" i="5"/>
  <c r="W196" i="5"/>
  <c r="J231" i="4"/>
  <c r="K231" i="4" s="1"/>
  <c r="I232" i="4" s="1"/>
  <c r="J232" i="4" s="1"/>
  <c r="X201" i="4"/>
  <c r="V202" i="4" s="1"/>
  <c r="N230" i="4"/>
  <c r="P230" i="4"/>
  <c r="F235" i="4"/>
  <c r="H235" i="4"/>
  <c r="P228" i="5" l="1"/>
  <c r="N228" i="5"/>
  <c r="E173" i="6"/>
  <c r="D173" i="6" s="1"/>
  <c r="F173" i="6" s="1"/>
  <c r="G173" i="6" s="1"/>
  <c r="I173" i="6"/>
  <c r="X196" i="5"/>
  <c r="V197" i="5" s="1"/>
  <c r="H215" i="5"/>
  <c r="G215" i="5" s="1"/>
  <c r="E216" i="5" s="1"/>
  <c r="J234" i="5"/>
  <c r="L234" i="5"/>
  <c r="O230" i="4"/>
  <c r="M231" i="4" s="1"/>
  <c r="L232" i="4"/>
  <c r="K232" i="4" s="1"/>
  <c r="I233" i="4" s="1"/>
  <c r="G235" i="4"/>
  <c r="E236" i="4" s="1"/>
  <c r="H236" i="4" s="1"/>
  <c r="Y202" i="4"/>
  <c r="W202" i="4"/>
  <c r="O228" i="5" l="1"/>
  <c r="M229" i="5" s="1"/>
  <c r="P229" i="5" s="1"/>
  <c r="F236" i="4"/>
  <c r="G236" i="4" s="1"/>
  <c r="E237" i="4" s="1"/>
  <c r="C174" i="6"/>
  <c r="H173" i="6"/>
  <c r="K234" i="5"/>
  <c r="I235" i="5" s="1"/>
  <c r="F216" i="5"/>
  <c r="H216" i="5"/>
  <c r="Y197" i="5"/>
  <c r="W197" i="5"/>
  <c r="J233" i="4"/>
  <c r="L233" i="4"/>
  <c r="X202" i="4"/>
  <c r="V203" i="4" s="1"/>
  <c r="P231" i="4"/>
  <c r="N231" i="4"/>
  <c r="N229" i="5" l="1"/>
  <c r="O229" i="5" s="1"/>
  <c r="M230" i="5" s="1"/>
  <c r="N230" i="5" s="1"/>
  <c r="O231" i="4"/>
  <c r="M232" i="4" s="1"/>
  <c r="P232" i="4" s="1"/>
  <c r="K233" i="4"/>
  <c r="I234" i="4" s="1"/>
  <c r="L234" i="4" s="1"/>
  <c r="E174" i="6"/>
  <c r="D174" i="6" s="1"/>
  <c r="F174" i="6" s="1"/>
  <c r="G174" i="6" s="1"/>
  <c r="I174" i="6"/>
  <c r="G216" i="5"/>
  <c r="E217" i="5" s="1"/>
  <c r="L235" i="5"/>
  <c r="J235" i="5"/>
  <c r="X197" i="5"/>
  <c r="V198" i="5" s="1"/>
  <c r="W203" i="4"/>
  <c r="Y203" i="4"/>
  <c r="H237" i="4"/>
  <c r="F237" i="4"/>
  <c r="P230" i="5" l="1"/>
  <c r="O230" i="5" s="1"/>
  <c r="M231" i="5" s="1"/>
  <c r="P231" i="5" s="1"/>
  <c r="N232" i="4"/>
  <c r="O232" i="4" s="1"/>
  <c r="M233" i="4" s="1"/>
  <c r="X203" i="4"/>
  <c r="V204" i="4" s="1"/>
  <c r="J234" i="4"/>
  <c r="K234" i="4" s="1"/>
  <c r="I235" i="4" s="1"/>
  <c r="L235" i="4" s="1"/>
  <c r="H174" i="6"/>
  <c r="C175" i="6"/>
  <c r="K235" i="5"/>
  <c r="I236" i="5" s="1"/>
  <c r="L236" i="5" s="1"/>
  <c r="H217" i="5"/>
  <c r="F217" i="5"/>
  <c r="Y198" i="5"/>
  <c r="W198" i="5"/>
  <c r="G237" i="4"/>
  <c r="E238" i="4" s="1"/>
  <c r="H238" i="4" s="1"/>
  <c r="N231" i="5" l="1"/>
  <c r="O231" i="5" s="1"/>
  <c r="M232" i="5" s="1"/>
  <c r="I175" i="6"/>
  <c r="E175" i="6"/>
  <c r="D175" i="6" s="1"/>
  <c r="F175" i="6" s="1"/>
  <c r="G175" i="6" s="1"/>
  <c r="J235" i="4"/>
  <c r="K235" i="4" s="1"/>
  <c r="I236" i="4" s="1"/>
  <c r="G217" i="5"/>
  <c r="E218" i="5" s="1"/>
  <c r="F218" i="5" s="1"/>
  <c r="J236" i="5"/>
  <c r="K236" i="5" s="1"/>
  <c r="I237" i="5" s="1"/>
  <c r="L237" i="5" s="1"/>
  <c r="X198" i="5"/>
  <c r="V199" i="5" s="1"/>
  <c r="F238" i="4"/>
  <c r="G238" i="4" s="1"/>
  <c r="E239" i="4" s="1"/>
  <c r="P233" i="4"/>
  <c r="N233" i="4"/>
  <c r="Y204" i="4"/>
  <c r="W204" i="4"/>
  <c r="J237" i="5" l="1"/>
  <c r="K237" i="5" s="1"/>
  <c r="I238" i="5" s="1"/>
  <c r="L238" i="5" s="1"/>
  <c r="H218" i="5"/>
  <c r="G218" i="5" s="1"/>
  <c r="E219" i="5" s="1"/>
  <c r="C176" i="6"/>
  <c r="H175" i="6"/>
  <c r="W199" i="5"/>
  <c r="Y199" i="5"/>
  <c r="P232" i="5"/>
  <c r="N232" i="5"/>
  <c r="O233" i="4"/>
  <c r="M234" i="4" s="1"/>
  <c r="X204" i="4"/>
  <c r="V205" i="4" s="1"/>
  <c r="Y205" i="4" s="1"/>
  <c r="L236" i="4"/>
  <c r="J236" i="4"/>
  <c r="H239" i="4"/>
  <c r="F239" i="4"/>
  <c r="X199" i="5" l="1"/>
  <c r="V200" i="5" s="1"/>
  <c r="W200" i="5" s="1"/>
  <c r="J238" i="5"/>
  <c r="K238" i="5" s="1"/>
  <c r="I239" i="5" s="1"/>
  <c r="L239" i="5" s="1"/>
  <c r="I176" i="6"/>
  <c r="E176" i="6"/>
  <c r="D176" i="6" s="1"/>
  <c r="F176" i="6" s="1"/>
  <c r="G176" i="6" s="1"/>
  <c r="O232" i="5"/>
  <c r="M233" i="5" s="1"/>
  <c r="F219" i="5"/>
  <c r="H219" i="5"/>
  <c r="W205" i="4"/>
  <c r="X205" i="4" s="1"/>
  <c r="V206" i="4" s="1"/>
  <c r="K236" i="4"/>
  <c r="I237" i="4" s="1"/>
  <c r="J237" i="4" s="1"/>
  <c r="G239" i="4"/>
  <c r="E240" i="4" s="1"/>
  <c r="N234" i="4"/>
  <c r="P234" i="4"/>
  <c r="Y200" i="5" l="1"/>
  <c r="X200" i="5" s="1"/>
  <c r="J239" i="5"/>
  <c r="K239" i="5" s="1"/>
  <c r="I240" i="5" s="1"/>
  <c r="C177" i="6"/>
  <c r="H176" i="6"/>
  <c r="G219" i="5"/>
  <c r="E220" i="5" s="1"/>
  <c r="F220" i="5" s="1"/>
  <c r="N233" i="5"/>
  <c r="P233" i="5"/>
  <c r="L237" i="4"/>
  <c r="F240" i="4"/>
  <c r="H240" i="4"/>
  <c r="O234" i="4"/>
  <c r="M235" i="4" s="1"/>
  <c r="Y206" i="4"/>
  <c r="W206" i="4"/>
  <c r="V201" i="5" l="1"/>
  <c r="W201" i="5" s="1"/>
  <c r="H220" i="5"/>
  <c r="G220" i="5" s="1"/>
  <c r="E221" i="5" s="1"/>
  <c r="H221" i="5" s="1"/>
  <c r="K237" i="4"/>
  <c r="I238" i="4" s="1"/>
  <c r="E177" i="6"/>
  <c r="D177" i="6" s="1"/>
  <c r="F177" i="6" s="1"/>
  <c r="G177" i="6" s="1"/>
  <c r="I177" i="6"/>
  <c r="O233" i="5"/>
  <c r="M234" i="5" s="1"/>
  <c r="L240" i="5"/>
  <c r="J240" i="5"/>
  <c r="P235" i="4"/>
  <c r="N235" i="4"/>
  <c r="X206" i="4"/>
  <c r="V207" i="4" s="1"/>
  <c r="G240" i="4"/>
  <c r="E241" i="4" s="1"/>
  <c r="Y201" i="5" l="1"/>
  <c r="X201" i="5" s="1"/>
  <c r="V202" i="5" s="1"/>
  <c r="W202" i="5" s="1"/>
  <c r="O235" i="4"/>
  <c r="M236" i="4" s="1"/>
  <c r="N236" i="4" s="1"/>
  <c r="L238" i="4"/>
  <c r="J238" i="4"/>
  <c r="F221" i="5"/>
  <c r="G221" i="5" s="1"/>
  <c r="E222" i="5" s="1"/>
  <c r="H222" i="5" s="1"/>
  <c r="H177" i="6"/>
  <c r="C178" i="6"/>
  <c r="K240" i="5"/>
  <c r="I241" i="5" s="1"/>
  <c r="N234" i="5"/>
  <c r="P234" i="5"/>
  <c r="H241" i="4"/>
  <c r="F241" i="4"/>
  <c r="W207" i="4"/>
  <c r="Y207" i="4"/>
  <c r="K238" i="4" l="1"/>
  <c r="I239" i="4" s="1"/>
  <c r="J239" i="4" s="1"/>
  <c r="P236" i="4"/>
  <c r="O236" i="4" s="1"/>
  <c r="M237" i="4" s="1"/>
  <c r="P237" i="4" s="1"/>
  <c r="Y202" i="5"/>
  <c r="X202" i="5" s="1"/>
  <c r="V203" i="5" s="1"/>
  <c r="I178" i="6"/>
  <c r="E178" i="6"/>
  <c r="D178" i="6" s="1"/>
  <c r="F178" i="6" s="1"/>
  <c r="G178" i="6" s="1"/>
  <c r="X207" i="4"/>
  <c r="V208" i="4" s="1"/>
  <c r="F222" i="5"/>
  <c r="G222" i="5" s="1"/>
  <c r="E223" i="5" s="1"/>
  <c r="O234" i="5"/>
  <c r="M235" i="5" s="1"/>
  <c r="J241" i="5"/>
  <c r="L241" i="5"/>
  <c r="G241" i="4"/>
  <c r="E242" i="4" s="1"/>
  <c r="L239" i="4" l="1"/>
  <c r="K239" i="4" s="1"/>
  <c r="I240" i="4" s="1"/>
  <c r="J240" i="4" s="1"/>
  <c r="N237" i="4"/>
  <c r="O237" i="4" s="1"/>
  <c r="M238" i="4" s="1"/>
  <c r="C179" i="6"/>
  <c r="H178" i="6"/>
  <c r="K241" i="5"/>
  <c r="I242" i="5" s="1"/>
  <c r="J242" i="5" s="1"/>
  <c r="F223" i="5"/>
  <c r="H223" i="5"/>
  <c r="Y203" i="5"/>
  <c r="W203" i="5"/>
  <c r="P235" i="5"/>
  <c r="N235" i="5"/>
  <c r="Y208" i="4"/>
  <c r="W208" i="4"/>
  <c r="H242" i="4"/>
  <c r="F242" i="4"/>
  <c r="L240" i="4" l="1"/>
  <c r="K240" i="4" s="1"/>
  <c r="I241" i="4" s="1"/>
  <c r="G223" i="5"/>
  <c r="E224" i="5" s="1"/>
  <c r="F224" i="5" s="1"/>
  <c r="L242" i="5"/>
  <c r="K242" i="5" s="1"/>
  <c r="I243" i="5" s="1"/>
  <c r="J243" i="5" s="1"/>
  <c r="I179" i="6"/>
  <c r="E179" i="6"/>
  <c r="D179" i="6" s="1"/>
  <c r="F179" i="6" s="1"/>
  <c r="G179" i="6" s="1"/>
  <c r="O235" i="5"/>
  <c r="M236" i="5" s="1"/>
  <c r="P236" i="5" s="1"/>
  <c r="X203" i="5"/>
  <c r="V204" i="5" s="1"/>
  <c r="W204" i="5" s="1"/>
  <c r="G242" i="4"/>
  <c r="E243" i="4" s="1"/>
  <c r="H243" i="4" s="1"/>
  <c r="X208" i="4"/>
  <c r="V209" i="4" s="1"/>
  <c r="P238" i="4"/>
  <c r="N238" i="4"/>
  <c r="H224" i="5" l="1"/>
  <c r="G224" i="5" s="1"/>
  <c r="E225" i="5" s="1"/>
  <c r="H225" i="5" s="1"/>
  <c r="L241" i="4"/>
  <c r="J241" i="4"/>
  <c r="L243" i="5"/>
  <c r="K243" i="5" s="1"/>
  <c r="I244" i="5" s="1"/>
  <c r="F243" i="4"/>
  <c r="G243" i="4" s="1"/>
  <c r="E244" i="4" s="1"/>
  <c r="H244" i="4" s="1"/>
  <c r="Y204" i="5"/>
  <c r="X204" i="5" s="1"/>
  <c r="V205" i="5" s="1"/>
  <c r="C180" i="6"/>
  <c r="H179" i="6"/>
  <c r="N236" i="5"/>
  <c r="O236" i="5" s="1"/>
  <c r="M237" i="5" s="1"/>
  <c r="O238" i="4"/>
  <c r="M239" i="4" s="1"/>
  <c r="N239" i="4" s="1"/>
  <c r="Y209" i="4"/>
  <c r="W209" i="4"/>
  <c r="K241" i="4" l="1"/>
  <c r="I242" i="4" s="1"/>
  <c r="J242" i="4" s="1"/>
  <c r="F225" i="5"/>
  <c r="G225" i="5" s="1"/>
  <c r="E226" i="5" s="1"/>
  <c r="E180" i="6"/>
  <c r="D180" i="6" s="1"/>
  <c r="F180" i="6" s="1"/>
  <c r="G180" i="6" s="1"/>
  <c r="I180" i="6"/>
  <c r="P237" i="5"/>
  <c r="N237" i="5"/>
  <c r="Y205" i="5"/>
  <c r="W205" i="5"/>
  <c r="L244" i="5"/>
  <c r="J244" i="5"/>
  <c r="P239" i="4"/>
  <c r="O239" i="4" s="1"/>
  <c r="M240" i="4" s="1"/>
  <c r="F244" i="4"/>
  <c r="G244" i="4" s="1"/>
  <c r="E245" i="4" s="1"/>
  <c r="X209" i="4"/>
  <c r="V210" i="4" s="1"/>
  <c r="W210" i="4" s="1"/>
  <c r="L242" i="4" l="1"/>
  <c r="K242" i="4" s="1"/>
  <c r="I243" i="4" s="1"/>
  <c r="L243" i="4" s="1"/>
  <c r="H180" i="6"/>
  <c r="C181" i="6"/>
  <c r="K244" i="5"/>
  <c r="I245" i="5" s="1"/>
  <c r="O237" i="5"/>
  <c r="M238" i="5" s="1"/>
  <c r="N238" i="5" s="1"/>
  <c r="X205" i="5"/>
  <c r="V206" i="5" s="1"/>
  <c r="H226" i="5"/>
  <c r="F226" i="5"/>
  <c r="H245" i="4"/>
  <c r="F245" i="4"/>
  <c r="Y210" i="4"/>
  <c r="X210" i="4" s="1"/>
  <c r="V211" i="4" s="1"/>
  <c r="P240" i="4"/>
  <c r="N240" i="4"/>
  <c r="J243" i="4" l="1"/>
  <c r="K243" i="4" s="1"/>
  <c r="I244" i="4" s="1"/>
  <c r="J244" i="4" s="1"/>
  <c r="G245" i="4"/>
  <c r="E246" i="4" s="1"/>
  <c r="F246" i="4" s="1"/>
  <c r="I181" i="6"/>
  <c r="E181" i="6"/>
  <c r="D181" i="6" s="1"/>
  <c r="F181" i="6" s="1"/>
  <c r="G181" i="6" s="1"/>
  <c r="P238" i="5"/>
  <c r="O238" i="5" s="1"/>
  <c r="M239" i="5" s="1"/>
  <c r="G226" i="5"/>
  <c r="E227" i="5" s="1"/>
  <c r="Y206" i="5"/>
  <c r="W206" i="5"/>
  <c r="J245" i="5"/>
  <c r="L245" i="5"/>
  <c r="W211" i="4"/>
  <c r="Y211" i="4"/>
  <c r="O240" i="4"/>
  <c r="M241" i="4" s="1"/>
  <c r="N241" i="4" s="1"/>
  <c r="H246" i="4" l="1"/>
  <c r="G246" i="4" s="1"/>
  <c r="E247" i="4" s="1"/>
  <c r="H247" i="4" s="1"/>
  <c r="L244" i="4"/>
  <c r="K244" i="4" s="1"/>
  <c r="I245" i="4" s="1"/>
  <c r="X211" i="4"/>
  <c r="V212" i="4" s="1"/>
  <c r="Y212" i="4" s="1"/>
  <c r="C182" i="6"/>
  <c r="H181" i="6"/>
  <c r="N239" i="5"/>
  <c r="P239" i="5"/>
  <c r="K245" i="5"/>
  <c r="I246" i="5" s="1"/>
  <c r="X206" i="5"/>
  <c r="V207" i="5" s="1"/>
  <c r="H227" i="5"/>
  <c r="F227" i="5"/>
  <c r="P241" i="4"/>
  <c r="O241" i="4" s="1"/>
  <c r="O239" i="5" l="1"/>
  <c r="M240" i="5" s="1"/>
  <c r="P240" i="5" s="1"/>
  <c r="E182" i="6"/>
  <c r="D182" i="6" s="1"/>
  <c r="F182" i="6" s="1"/>
  <c r="G182" i="6" s="1"/>
  <c r="I182" i="6"/>
  <c r="G227" i="5"/>
  <c r="E228" i="5" s="1"/>
  <c r="H228" i="5" s="1"/>
  <c r="F247" i="4"/>
  <c r="G247" i="4" s="1"/>
  <c r="E248" i="4" s="1"/>
  <c r="M242" i="4"/>
  <c r="P242" i="4" s="1"/>
  <c r="W212" i="4"/>
  <c r="X212" i="4" s="1"/>
  <c r="V213" i="4" s="1"/>
  <c r="W207" i="5"/>
  <c r="Y207" i="5"/>
  <c r="J246" i="5"/>
  <c r="L246" i="5"/>
  <c r="J245" i="4"/>
  <c r="L245" i="4"/>
  <c r="N240" i="5" l="1"/>
  <c r="O240" i="5" s="1"/>
  <c r="M241" i="5" s="1"/>
  <c r="N241" i="5" s="1"/>
  <c r="F228" i="5"/>
  <c r="G228" i="5" s="1"/>
  <c r="E229" i="5" s="1"/>
  <c r="N242" i="4"/>
  <c r="O242" i="4" s="1"/>
  <c r="M243" i="4" s="1"/>
  <c r="P243" i="4" s="1"/>
  <c r="C183" i="6"/>
  <c r="H182" i="6"/>
  <c r="X207" i="5"/>
  <c r="V208" i="5" s="1"/>
  <c r="K246" i="5"/>
  <c r="I247" i="5" s="1"/>
  <c r="K245" i="4"/>
  <c r="I246" i="4" s="1"/>
  <c r="L246" i="4" s="1"/>
  <c r="H248" i="4"/>
  <c r="F248" i="4"/>
  <c r="Y213" i="4"/>
  <c r="W213" i="4"/>
  <c r="P241" i="5" l="1"/>
  <c r="O241" i="5" s="1"/>
  <c r="M242" i="5" s="1"/>
  <c r="N243" i="4"/>
  <c r="O243" i="4" s="1"/>
  <c r="M244" i="4" s="1"/>
  <c r="E183" i="6"/>
  <c r="D183" i="6" s="1"/>
  <c r="F183" i="6" s="1"/>
  <c r="G183" i="6" s="1"/>
  <c r="I183" i="6"/>
  <c r="J246" i="4"/>
  <c r="K246" i="4" s="1"/>
  <c r="I247" i="4" s="1"/>
  <c r="G248" i="4"/>
  <c r="E249" i="4" s="1"/>
  <c r="J247" i="5"/>
  <c r="L247" i="5"/>
  <c r="H229" i="5"/>
  <c r="F229" i="5"/>
  <c r="Y208" i="5"/>
  <c r="W208" i="5"/>
  <c r="X213" i="4"/>
  <c r="V214" i="4" s="1"/>
  <c r="W214" i="4" s="1"/>
  <c r="G229" i="5" l="1"/>
  <c r="E230" i="5" s="1"/>
  <c r="H183" i="6"/>
  <c r="C184" i="6"/>
  <c r="X208" i="5"/>
  <c r="V209" i="5" s="1"/>
  <c r="K247" i="5"/>
  <c r="I248" i="5" s="1"/>
  <c r="L248" i="5" s="1"/>
  <c r="N242" i="5"/>
  <c r="P242" i="5"/>
  <c r="Y214" i="4"/>
  <c r="X214" i="4" s="1"/>
  <c r="V215" i="4" s="1"/>
  <c r="Y215" i="4" s="1"/>
  <c r="P244" i="4"/>
  <c r="N244" i="4"/>
  <c r="L247" i="4"/>
  <c r="J247" i="4"/>
  <c r="F249" i="4"/>
  <c r="H249" i="4"/>
  <c r="J248" i="5" l="1"/>
  <c r="K248" i="5" s="1"/>
  <c r="I249" i="5" s="1"/>
  <c r="J249" i="5" s="1"/>
  <c r="I184" i="6"/>
  <c r="E184" i="6"/>
  <c r="D184" i="6" s="1"/>
  <c r="F184" i="6" s="1"/>
  <c r="G184" i="6" s="1"/>
  <c r="O242" i="5"/>
  <c r="M243" i="5" s="1"/>
  <c r="F230" i="5"/>
  <c r="H230" i="5"/>
  <c r="Y209" i="5"/>
  <c r="W209" i="5"/>
  <c r="W215" i="4"/>
  <c r="X215" i="4" s="1"/>
  <c r="V216" i="4" s="1"/>
  <c r="Y216" i="4" s="1"/>
  <c r="O244" i="4"/>
  <c r="M245" i="4" s="1"/>
  <c r="N245" i="4" s="1"/>
  <c r="K247" i="4"/>
  <c r="I248" i="4" s="1"/>
  <c r="J248" i="4" s="1"/>
  <c r="G249" i="4"/>
  <c r="E250" i="4" s="1"/>
  <c r="L249" i="5" l="1"/>
  <c r="K249" i="5" s="1"/>
  <c r="I250" i="5" s="1"/>
  <c r="N243" i="5"/>
  <c r="P243" i="5"/>
  <c r="C185" i="6"/>
  <c r="H184" i="6"/>
  <c r="G230" i="5"/>
  <c r="E231" i="5" s="1"/>
  <c r="X209" i="5"/>
  <c r="V210" i="5" s="1"/>
  <c r="Y210" i="5" s="1"/>
  <c r="W216" i="4"/>
  <c r="X216" i="4" s="1"/>
  <c r="V217" i="4" s="1"/>
  <c r="P245" i="4"/>
  <c r="O245" i="4" s="1"/>
  <c r="M246" i="4" s="1"/>
  <c r="L248" i="4"/>
  <c r="K248" i="4" s="1"/>
  <c r="I249" i="4" s="1"/>
  <c r="L249" i="4" s="1"/>
  <c r="F250" i="4"/>
  <c r="H250" i="4"/>
  <c r="O243" i="5" l="1"/>
  <c r="M244" i="5" s="1"/>
  <c r="P244" i="5" s="1"/>
  <c r="I185" i="6"/>
  <c r="E185" i="6"/>
  <c r="D185" i="6" s="1"/>
  <c r="F185" i="6" s="1"/>
  <c r="G185" i="6" s="1"/>
  <c r="F231" i="5"/>
  <c r="H231" i="5"/>
  <c r="J249" i="4"/>
  <c r="K249" i="4" s="1"/>
  <c r="I250" i="4" s="1"/>
  <c r="L250" i="4" s="1"/>
  <c r="W210" i="5"/>
  <c r="X210" i="5" s="1"/>
  <c r="V211" i="5" s="1"/>
  <c r="L250" i="5"/>
  <c r="J250" i="5"/>
  <c r="P246" i="4"/>
  <c r="N246" i="4"/>
  <c r="Y217" i="4"/>
  <c r="W217" i="4"/>
  <c r="G250" i="4"/>
  <c r="E251" i="4" s="1"/>
  <c r="N244" i="5" l="1"/>
  <c r="O244" i="5" s="1"/>
  <c r="M245" i="5" s="1"/>
  <c r="G231" i="5"/>
  <c r="E232" i="5" s="1"/>
  <c r="F232" i="5" s="1"/>
  <c r="C186" i="6"/>
  <c r="H185" i="6"/>
  <c r="K250" i="5"/>
  <c r="I251" i="5" s="1"/>
  <c r="W211" i="5"/>
  <c r="Y211" i="5"/>
  <c r="J250" i="4"/>
  <c r="K250" i="4" s="1"/>
  <c r="I251" i="4" s="1"/>
  <c r="O246" i="4"/>
  <c r="M247" i="4" s="1"/>
  <c r="H251" i="4"/>
  <c r="F251" i="4"/>
  <c r="X217" i="4"/>
  <c r="V218" i="4" s="1"/>
  <c r="H232" i="5" l="1"/>
  <c r="G232" i="5" s="1"/>
  <c r="E233" i="5" s="1"/>
  <c r="H233" i="5" s="1"/>
  <c r="N245" i="5"/>
  <c r="P245" i="5"/>
  <c r="X211" i="5"/>
  <c r="V212" i="5" s="1"/>
  <c r="E186" i="6"/>
  <c r="D186" i="6" s="1"/>
  <c r="F186" i="6" s="1"/>
  <c r="G186" i="6" s="1"/>
  <c r="I186" i="6"/>
  <c r="L251" i="5"/>
  <c r="J251" i="5"/>
  <c r="G251" i="4"/>
  <c r="E252" i="4" s="1"/>
  <c r="W218" i="4"/>
  <c r="Y218" i="4"/>
  <c r="P247" i="4"/>
  <c r="N247" i="4"/>
  <c r="L251" i="4"/>
  <c r="J251" i="4"/>
  <c r="F233" i="5" l="1"/>
  <c r="G233" i="5" s="1"/>
  <c r="E234" i="5" s="1"/>
  <c r="O245" i="5"/>
  <c r="M246" i="5" s="1"/>
  <c r="N246" i="5" s="1"/>
  <c r="X218" i="4"/>
  <c r="V219" i="4" s="1"/>
  <c r="W219" i="4" s="1"/>
  <c r="H186" i="6"/>
  <c r="C187" i="6"/>
  <c r="W212" i="5"/>
  <c r="Y212" i="5"/>
  <c r="K251" i="5"/>
  <c r="I252" i="5" s="1"/>
  <c r="O247" i="4"/>
  <c r="M248" i="4" s="1"/>
  <c r="K251" i="4"/>
  <c r="I252" i="4" s="1"/>
  <c r="F252" i="4"/>
  <c r="H252" i="4"/>
  <c r="P246" i="5" l="1"/>
  <c r="O246" i="5" s="1"/>
  <c r="M247" i="5" s="1"/>
  <c r="P247" i="5" s="1"/>
  <c r="H234" i="5"/>
  <c r="F234" i="5"/>
  <c r="I187" i="6"/>
  <c r="E187" i="6"/>
  <c r="D187" i="6" s="1"/>
  <c r="F187" i="6" s="1"/>
  <c r="G187" i="6" s="1"/>
  <c r="X212" i="5"/>
  <c r="V213" i="5" s="1"/>
  <c r="Y213" i="5" s="1"/>
  <c r="L252" i="5"/>
  <c r="J252" i="5"/>
  <c r="Y219" i="4"/>
  <c r="X219" i="4" s="1"/>
  <c r="G252" i="4"/>
  <c r="E253" i="4" s="1"/>
  <c r="L252" i="4"/>
  <c r="J252" i="4"/>
  <c r="N248" i="4"/>
  <c r="P248" i="4"/>
  <c r="G234" i="5" l="1"/>
  <c r="E235" i="5" s="1"/>
  <c r="F235" i="5" s="1"/>
  <c r="N247" i="5"/>
  <c r="O247" i="5" s="1"/>
  <c r="M248" i="5" s="1"/>
  <c r="N248" i="5" s="1"/>
  <c r="C188" i="6"/>
  <c r="H187" i="6"/>
  <c r="W213" i="5"/>
  <c r="X213" i="5" s="1"/>
  <c r="V214" i="5" s="1"/>
  <c r="Y214" i="5" s="1"/>
  <c r="K252" i="4"/>
  <c r="I253" i="4" s="1"/>
  <c r="J253" i="4" s="1"/>
  <c r="K252" i="5"/>
  <c r="I253" i="5" s="1"/>
  <c r="V220" i="4"/>
  <c r="W220" i="4" s="1"/>
  <c r="O248" i="4"/>
  <c r="M249" i="4" s="1"/>
  <c r="H253" i="4"/>
  <c r="F253" i="4"/>
  <c r="P248" i="5" l="1"/>
  <c r="O248" i="5" s="1"/>
  <c r="M249" i="5" s="1"/>
  <c r="H235" i="5"/>
  <c r="G235" i="5" s="1"/>
  <c r="E236" i="5" s="1"/>
  <c r="L253" i="4"/>
  <c r="K253" i="4" s="1"/>
  <c r="I254" i="4" s="1"/>
  <c r="E188" i="6"/>
  <c r="D188" i="6" s="1"/>
  <c r="F188" i="6" s="1"/>
  <c r="G188" i="6" s="1"/>
  <c r="I188" i="6"/>
  <c r="W214" i="5"/>
  <c r="X214" i="5" s="1"/>
  <c r="V215" i="5" s="1"/>
  <c r="J253" i="5"/>
  <c r="L253" i="5"/>
  <c r="Y220" i="4"/>
  <c r="N249" i="4"/>
  <c r="P249" i="4"/>
  <c r="G253" i="4"/>
  <c r="E254" i="4" s="1"/>
  <c r="H254" i="4" s="1"/>
  <c r="H188" i="6" l="1"/>
  <c r="C189" i="6"/>
  <c r="K253" i="5"/>
  <c r="I254" i="5" s="1"/>
  <c r="J254" i="5" s="1"/>
  <c r="Y215" i="5"/>
  <c r="W215" i="5"/>
  <c r="H236" i="5"/>
  <c r="F236" i="5"/>
  <c r="P249" i="5"/>
  <c r="N249" i="5"/>
  <c r="F254" i="4"/>
  <c r="G254" i="4" s="1"/>
  <c r="E255" i="4" s="1"/>
  <c r="X220" i="4"/>
  <c r="V221" i="4" s="1"/>
  <c r="Y221" i="4" s="1"/>
  <c r="O249" i="4"/>
  <c r="M250" i="4" s="1"/>
  <c r="P250" i="4" s="1"/>
  <c r="L254" i="4"/>
  <c r="J254" i="4"/>
  <c r="G236" i="5" l="1"/>
  <c r="E237" i="5" s="1"/>
  <c r="F237" i="5" s="1"/>
  <c r="L254" i="5"/>
  <c r="K254" i="5" s="1"/>
  <c r="I255" i="5" s="1"/>
  <c r="N250" i="4"/>
  <c r="O250" i="4" s="1"/>
  <c r="M251" i="4" s="1"/>
  <c r="N251" i="4" s="1"/>
  <c r="E189" i="6"/>
  <c r="D189" i="6" s="1"/>
  <c r="F189" i="6" s="1"/>
  <c r="G189" i="6" s="1"/>
  <c r="I189" i="6"/>
  <c r="F255" i="4"/>
  <c r="H255" i="4"/>
  <c r="X215" i="5"/>
  <c r="V216" i="5" s="1"/>
  <c r="Y216" i="5" s="1"/>
  <c r="O249" i="5"/>
  <c r="M250" i="5" s="1"/>
  <c r="P250" i="5" s="1"/>
  <c r="W221" i="4"/>
  <c r="X221" i="4" s="1"/>
  <c r="V222" i="4" s="1"/>
  <c r="K254" i="4"/>
  <c r="I255" i="4" s="1"/>
  <c r="H237" i="5" l="1"/>
  <c r="G237" i="5" s="1"/>
  <c r="E238" i="5" s="1"/>
  <c r="W216" i="5"/>
  <c r="X216" i="5" s="1"/>
  <c r="V217" i="5" s="1"/>
  <c r="P251" i="4"/>
  <c r="O251" i="4" s="1"/>
  <c r="M252" i="4" s="1"/>
  <c r="G255" i="4"/>
  <c r="E256" i="4" s="1"/>
  <c r="C190" i="6"/>
  <c r="H189" i="6"/>
  <c r="N250" i="5"/>
  <c r="O250" i="5" s="1"/>
  <c r="M251" i="5" s="1"/>
  <c r="L255" i="5"/>
  <c r="J255" i="5"/>
  <c r="Y222" i="4"/>
  <c r="W222" i="4"/>
  <c r="L255" i="4"/>
  <c r="J255" i="4"/>
  <c r="K255" i="5" l="1"/>
  <c r="I256" i="5" s="1"/>
  <c r="L256" i="5" s="1"/>
  <c r="F256" i="4"/>
  <c r="H256" i="4"/>
  <c r="I190" i="6"/>
  <c r="E190" i="6"/>
  <c r="D190" i="6" s="1"/>
  <c r="F190" i="6" s="1"/>
  <c r="G190" i="6" s="1"/>
  <c r="N251" i="5"/>
  <c r="P251" i="5"/>
  <c r="H238" i="5"/>
  <c r="F238" i="5"/>
  <c r="Y217" i="5"/>
  <c r="W217" i="5"/>
  <c r="X222" i="4"/>
  <c r="V223" i="4" s="1"/>
  <c r="Y223" i="4" s="1"/>
  <c r="K255" i="4"/>
  <c r="I256" i="4" s="1"/>
  <c r="J256" i="4" s="1"/>
  <c r="P252" i="4"/>
  <c r="N252" i="4"/>
  <c r="J256" i="5" l="1"/>
  <c r="K256" i="5" s="1"/>
  <c r="I257" i="5" s="1"/>
  <c r="G256" i="4"/>
  <c r="E257" i="4" s="1"/>
  <c r="W223" i="4"/>
  <c r="X223" i="4" s="1"/>
  <c r="V224" i="4" s="1"/>
  <c r="C191" i="6"/>
  <c r="H190" i="6"/>
  <c r="O251" i="5"/>
  <c r="M252" i="5" s="1"/>
  <c r="G238" i="5"/>
  <c r="E239" i="5" s="1"/>
  <c r="X217" i="5"/>
  <c r="V218" i="5" s="1"/>
  <c r="L256" i="4"/>
  <c r="K256" i="4" s="1"/>
  <c r="O252" i="4"/>
  <c r="M253" i="4" s="1"/>
  <c r="P253" i="4" s="1"/>
  <c r="H257" i="4" l="1"/>
  <c r="F257" i="4"/>
  <c r="I191" i="6"/>
  <c r="E191" i="6"/>
  <c r="D191" i="6" s="1"/>
  <c r="F191" i="6" s="1"/>
  <c r="G191" i="6" s="1"/>
  <c r="J257" i="5"/>
  <c r="L257" i="5"/>
  <c r="Y218" i="5"/>
  <c r="W218" i="5"/>
  <c r="H239" i="5"/>
  <c r="F239" i="5"/>
  <c r="P252" i="5"/>
  <c r="N252" i="5"/>
  <c r="N253" i="4"/>
  <c r="O253" i="4" s="1"/>
  <c r="M254" i="4" s="1"/>
  <c r="I257" i="4"/>
  <c r="Y224" i="4"/>
  <c r="W224" i="4"/>
  <c r="G257" i="4" l="1"/>
  <c r="E258" i="4" s="1"/>
  <c r="K257" i="5"/>
  <c r="I258" i="5" s="1"/>
  <c r="L258" i="5" s="1"/>
  <c r="C192" i="6"/>
  <c r="H191" i="6"/>
  <c r="O252" i="5"/>
  <c r="M253" i="5" s="1"/>
  <c r="N253" i="5" s="1"/>
  <c r="G239" i="5"/>
  <c r="E240" i="5" s="1"/>
  <c r="H240" i="5" s="1"/>
  <c r="X218" i="5"/>
  <c r="V219" i="5" s="1"/>
  <c r="L257" i="4"/>
  <c r="J257" i="4"/>
  <c r="X224" i="4"/>
  <c r="V225" i="4" s="1"/>
  <c r="Y225" i="4" s="1"/>
  <c r="P254" i="4"/>
  <c r="N254" i="4"/>
  <c r="J258" i="5" l="1"/>
  <c r="K258" i="5" s="1"/>
  <c r="I259" i="5" s="1"/>
  <c r="F240" i="5"/>
  <c r="G240" i="5" s="1"/>
  <c r="E241" i="5" s="1"/>
  <c r="P253" i="5"/>
  <c r="O253" i="5" s="1"/>
  <c r="M254" i="5" s="1"/>
  <c r="N254" i="5" s="1"/>
  <c r="H258" i="4"/>
  <c r="F258" i="4"/>
  <c r="E192" i="6"/>
  <c r="D192" i="6" s="1"/>
  <c r="F192" i="6" s="1"/>
  <c r="G192" i="6" s="1"/>
  <c r="I192" i="6"/>
  <c r="W219" i="5"/>
  <c r="Y219" i="5"/>
  <c r="W225" i="4"/>
  <c r="X225" i="4" s="1"/>
  <c r="V226" i="4" s="1"/>
  <c r="W226" i="4" s="1"/>
  <c r="K257" i="4"/>
  <c r="I258" i="4" s="1"/>
  <c r="O254" i="4"/>
  <c r="M255" i="4" s="1"/>
  <c r="N255" i="4" s="1"/>
  <c r="P254" i="5" l="1"/>
  <c r="O254" i="5" s="1"/>
  <c r="M255" i="5" s="1"/>
  <c r="G258" i="4"/>
  <c r="E259" i="4" s="1"/>
  <c r="X219" i="5"/>
  <c r="V220" i="5" s="1"/>
  <c r="C193" i="6"/>
  <c r="H192" i="6"/>
  <c r="P255" i="4"/>
  <c r="O255" i="4" s="1"/>
  <c r="M256" i="4" s="1"/>
  <c r="L259" i="5"/>
  <c r="J259" i="5"/>
  <c r="H241" i="5"/>
  <c r="F241" i="5"/>
  <c r="L258" i="4"/>
  <c r="J258" i="4"/>
  <c r="Y226" i="4"/>
  <c r="X226" i="4" s="1"/>
  <c r="H259" i="4" l="1"/>
  <c r="F259" i="4"/>
  <c r="G241" i="5"/>
  <c r="E242" i="5" s="1"/>
  <c r="H242" i="5" s="1"/>
  <c r="I193" i="6"/>
  <c r="E193" i="6"/>
  <c r="D193" i="6" s="1"/>
  <c r="F193" i="6" s="1"/>
  <c r="G193" i="6" s="1"/>
  <c r="K259" i="5"/>
  <c r="I260" i="5" s="1"/>
  <c r="P255" i="5"/>
  <c r="N255" i="5"/>
  <c r="Y220" i="5"/>
  <c r="W220" i="5"/>
  <c r="K258" i="4"/>
  <c r="I259" i="4" s="1"/>
  <c r="J259" i="4" s="1"/>
  <c r="V227" i="4"/>
  <c r="Y227" i="4" s="1"/>
  <c r="P256" i="4"/>
  <c r="N256" i="4"/>
  <c r="G259" i="4" l="1"/>
  <c r="E260" i="4" s="1"/>
  <c r="H260" i="4" s="1"/>
  <c r="W227" i="4"/>
  <c r="X227" i="4" s="1"/>
  <c r="V228" i="4" s="1"/>
  <c r="Y228" i="4" s="1"/>
  <c r="F242" i="5"/>
  <c r="G242" i="5" s="1"/>
  <c r="E243" i="5" s="1"/>
  <c r="F243" i="5" s="1"/>
  <c r="O255" i="5"/>
  <c r="M256" i="5" s="1"/>
  <c r="N256" i="5" s="1"/>
  <c r="C194" i="6"/>
  <c r="H193" i="6"/>
  <c r="L259" i="4"/>
  <c r="K259" i="4" s="1"/>
  <c r="I260" i="4" s="1"/>
  <c r="L260" i="5"/>
  <c r="J260" i="5"/>
  <c r="X220" i="5"/>
  <c r="V221" i="5" s="1"/>
  <c r="O256" i="4"/>
  <c r="M257" i="4" s="1"/>
  <c r="P257" i="4" s="1"/>
  <c r="F260" i="4" l="1"/>
  <c r="G260" i="4" s="1"/>
  <c r="E261" i="4" s="1"/>
  <c r="H261" i="4" s="1"/>
  <c r="P256" i="5"/>
  <c r="O256" i="5" s="1"/>
  <c r="M257" i="5" s="1"/>
  <c r="H243" i="5"/>
  <c r="G243" i="5" s="1"/>
  <c r="E244" i="5" s="1"/>
  <c r="H244" i="5" s="1"/>
  <c r="E194" i="6"/>
  <c r="D194" i="6" s="1"/>
  <c r="F194" i="6" s="1"/>
  <c r="G194" i="6" s="1"/>
  <c r="I194" i="6"/>
  <c r="K260" i="5"/>
  <c r="I261" i="5" s="1"/>
  <c r="L261" i="5" s="1"/>
  <c r="N257" i="4"/>
  <c r="O257" i="4" s="1"/>
  <c r="M258" i="4" s="1"/>
  <c r="Y221" i="5"/>
  <c r="W221" i="5"/>
  <c r="L260" i="4"/>
  <c r="J260" i="4"/>
  <c r="W228" i="4"/>
  <c r="X228" i="4" s="1"/>
  <c r="V229" i="4" s="1"/>
  <c r="F261" i="4" l="1"/>
  <c r="G261" i="4" s="1"/>
  <c r="E262" i="4" s="1"/>
  <c r="J261" i="5"/>
  <c r="K261" i="5" s="1"/>
  <c r="I262" i="5" s="1"/>
  <c r="C195" i="6"/>
  <c r="H194" i="6"/>
  <c r="F244" i="5"/>
  <c r="G244" i="5" s="1"/>
  <c r="E245" i="5" s="1"/>
  <c r="H245" i="5" s="1"/>
  <c r="N257" i="5"/>
  <c r="P257" i="5"/>
  <c r="X221" i="5"/>
  <c r="V222" i="5" s="1"/>
  <c r="K260" i="4"/>
  <c r="I261" i="4" s="1"/>
  <c r="L261" i="4" s="1"/>
  <c r="W229" i="4"/>
  <c r="Y229" i="4"/>
  <c r="N258" i="4"/>
  <c r="P258" i="4"/>
  <c r="F245" i="5" l="1"/>
  <c r="G245" i="5" s="1"/>
  <c r="E246" i="5" s="1"/>
  <c r="X229" i="4"/>
  <c r="V230" i="4" s="1"/>
  <c r="Y230" i="4" s="1"/>
  <c r="H262" i="4"/>
  <c r="F262" i="4"/>
  <c r="E195" i="6"/>
  <c r="D195" i="6" s="1"/>
  <c r="F195" i="6" s="1"/>
  <c r="G195" i="6" s="1"/>
  <c r="I195" i="6"/>
  <c r="J261" i="4"/>
  <c r="K261" i="4" s="1"/>
  <c r="I262" i="4" s="1"/>
  <c r="L262" i="4" s="1"/>
  <c r="O257" i="5"/>
  <c r="M258" i="5" s="1"/>
  <c r="N258" i="5" s="1"/>
  <c r="J262" i="5"/>
  <c r="L262" i="5"/>
  <c r="Y222" i="5"/>
  <c r="W222" i="5"/>
  <c r="O258" i="4"/>
  <c r="M259" i="4" s="1"/>
  <c r="W230" i="4" l="1"/>
  <c r="X230" i="4" s="1"/>
  <c r="V231" i="4" s="1"/>
  <c r="P258" i="5"/>
  <c r="O258" i="5" s="1"/>
  <c r="M259" i="5" s="1"/>
  <c r="G262" i="4"/>
  <c r="E263" i="4" s="1"/>
  <c r="J262" i="4"/>
  <c r="K262" i="4" s="1"/>
  <c r="I263" i="4" s="1"/>
  <c r="J263" i="4" s="1"/>
  <c r="C196" i="6"/>
  <c r="H195" i="6"/>
  <c r="X222" i="5"/>
  <c r="V223" i="5" s="1"/>
  <c r="K262" i="5"/>
  <c r="I263" i="5" s="1"/>
  <c r="L263" i="5" s="1"/>
  <c r="F246" i="5"/>
  <c r="H246" i="5"/>
  <c r="P259" i="4"/>
  <c r="N259" i="4"/>
  <c r="L263" i="4" l="1"/>
  <c r="K263" i="4" s="1"/>
  <c r="I264" i="4" s="1"/>
  <c r="H263" i="4"/>
  <c r="F263" i="4"/>
  <c r="J263" i="5"/>
  <c r="K263" i="5" s="1"/>
  <c r="I264" i="5" s="1"/>
  <c r="I196" i="6"/>
  <c r="E196" i="6"/>
  <c r="D196" i="6" s="1"/>
  <c r="F196" i="6" s="1"/>
  <c r="G196" i="6" s="1"/>
  <c r="O259" i="4"/>
  <c r="M260" i="4" s="1"/>
  <c r="N260" i="4" s="1"/>
  <c r="G246" i="5"/>
  <c r="E247" i="5" s="1"/>
  <c r="P259" i="5"/>
  <c r="N259" i="5"/>
  <c r="W223" i="5"/>
  <c r="Y223" i="5"/>
  <c r="Y231" i="4"/>
  <c r="W231" i="4"/>
  <c r="O259" i="5" l="1"/>
  <c r="M260" i="5" s="1"/>
  <c r="P260" i="5" s="1"/>
  <c r="G263" i="4"/>
  <c r="E264" i="4" s="1"/>
  <c r="H264" i="4" s="1"/>
  <c r="P260" i="4"/>
  <c r="O260" i="4" s="1"/>
  <c r="M261" i="4" s="1"/>
  <c r="X223" i="5"/>
  <c r="V224" i="5" s="1"/>
  <c r="C197" i="6"/>
  <c r="H196" i="6"/>
  <c r="H247" i="5"/>
  <c r="F247" i="5"/>
  <c r="J264" i="5"/>
  <c r="L264" i="5"/>
  <c r="J264" i="4"/>
  <c r="L264" i="4"/>
  <c r="X231" i="4"/>
  <c r="V232" i="4" s="1"/>
  <c r="F264" i="4" l="1"/>
  <c r="G264" i="4" s="1"/>
  <c r="E265" i="4" s="1"/>
  <c r="N260" i="5"/>
  <c r="O260" i="5" s="1"/>
  <c r="M261" i="5" s="1"/>
  <c r="K264" i="4"/>
  <c r="I265" i="4" s="1"/>
  <c r="J265" i="4" s="1"/>
  <c r="I197" i="6"/>
  <c r="E197" i="6"/>
  <c r="D197" i="6" s="1"/>
  <c r="F197" i="6" s="1"/>
  <c r="G197" i="6" s="1"/>
  <c r="G247" i="5"/>
  <c r="E248" i="5" s="1"/>
  <c r="H248" i="5" s="1"/>
  <c r="K264" i="5"/>
  <c r="I265" i="5" s="1"/>
  <c r="W224" i="5"/>
  <c r="Y224" i="5"/>
  <c r="N261" i="4"/>
  <c r="P261" i="4"/>
  <c r="W232" i="4"/>
  <c r="Y232" i="4"/>
  <c r="F248" i="5" l="1"/>
  <c r="G248" i="5" s="1"/>
  <c r="E249" i="5" s="1"/>
  <c r="X224" i="5"/>
  <c r="V225" i="5" s="1"/>
  <c r="L265" i="4"/>
  <c r="K265" i="4" s="1"/>
  <c r="I266" i="4" s="1"/>
  <c r="F265" i="4"/>
  <c r="H265" i="4"/>
  <c r="C198" i="6"/>
  <c r="H197" i="6"/>
  <c r="P261" i="5"/>
  <c r="N261" i="5"/>
  <c r="J265" i="5"/>
  <c r="L265" i="5"/>
  <c r="O261" i="4"/>
  <c r="M262" i="4" s="1"/>
  <c r="P262" i="4" s="1"/>
  <c r="X232" i="4"/>
  <c r="V233" i="4" s="1"/>
  <c r="G265" i="4" l="1"/>
  <c r="E266" i="4" s="1"/>
  <c r="H266" i="4" s="1"/>
  <c r="O261" i="5"/>
  <c r="M262" i="5" s="1"/>
  <c r="P262" i="5" s="1"/>
  <c r="E198" i="6"/>
  <c r="D198" i="6" s="1"/>
  <c r="F198" i="6" s="1"/>
  <c r="G198" i="6" s="1"/>
  <c r="I198" i="6"/>
  <c r="N262" i="4"/>
  <c r="O262" i="4" s="1"/>
  <c r="M263" i="4" s="1"/>
  <c r="P263" i="4" s="1"/>
  <c r="J266" i="4"/>
  <c r="L266" i="4"/>
  <c r="K265" i="5"/>
  <c r="I266" i="5" s="1"/>
  <c r="F249" i="5"/>
  <c r="H249" i="5"/>
  <c r="Y225" i="5"/>
  <c r="W225" i="5"/>
  <c r="W233" i="4"/>
  <c r="Y233" i="4"/>
  <c r="N262" i="5" l="1"/>
  <c r="O262" i="5" s="1"/>
  <c r="M263" i="5" s="1"/>
  <c r="F266" i="4"/>
  <c r="G266" i="4" s="1"/>
  <c r="E267" i="4" s="1"/>
  <c r="H267" i="4" s="1"/>
  <c r="X233" i="4"/>
  <c r="V234" i="4" s="1"/>
  <c r="C199" i="6"/>
  <c r="H198" i="6"/>
  <c r="K266" i="4"/>
  <c r="I267" i="4" s="1"/>
  <c r="N263" i="4"/>
  <c r="O263" i="4" s="1"/>
  <c r="M264" i="4" s="1"/>
  <c r="P264" i="4" s="1"/>
  <c r="G249" i="5"/>
  <c r="E250" i="5" s="1"/>
  <c r="L266" i="5"/>
  <c r="J266" i="5"/>
  <c r="X225" i="5"/>
  <c r="V226" i="5" s="1"/>
  <c r="Y226" i="5" s="1"/>
  <c r="F267" i="4" l="1"/>
  <c r="G267" i="4" s="1"/>
  <c r="E268" i="4" s="1"/>
  <c r="H268" i="4" s="1"/>
  <c r="F250" i="5"/>
  <c r="H250" i="5"/>
  <c r="I199" i="6"/>
  <c r="E199" i="6"/>
  <c r="D199" i="6" s="1"/>
  <c r="F199" i="6" s="1"/>
  <c r="G199" i="6" s="1"/>
  <c r="J267" i="4"/>
  <c r="L267" i="4"/>
  <c r="N264" i="4"/>
  <c r="O264" i="4" s="1"/>
  <c r="M265" i="4" s="1"/>
  <c r="K266" i="5"/>
  <c r="I267" i="5" s="1"/>
  <c r="J267" i="5" s="1"/>
  <c r="W226" i="5"/>
  <c r="X226" i="5" s="1"/>
  <c r="V227" i="5" s="1"/>
  <c r="P263" i="5"/>
  <c r="N263" i="5"/>
  <c r="Y234" i="4"/>
  <c r="W234" i="4"/>
  <c r="G250" i="5" l="1"/>
  <c r="E251" i="5" s="1"/>
  <c r="F251" i="5" s="1"/>
  <c r="F268" i="4"/>
  <c r="G268" i="4" s="1"/>
  <c r="E269" i="4" s="1"/>
  <c r="K267" i="4"/>
  <c r="I268" i="4" s="1"/>
  <c r="L267" i="5"/>
  <c r="K267" i="5" s="1"/>
  <c r="I268" i="5" s="1"/>
  <c r="C200" i="6"/>
  <c r="H199" i="6"/>
  <c r="N265" i="4"/>
  <c r="P265" i="4"/>
  <c r="O263" i="5"/>
  <c r="M264" i="5" s="1"/>
  <c r="Y227" i="5"/>
  <c r="W227" i="5"/>
  <c r="X234" i="4"/>
  <c r="V235" i="4" s="1"/>
  <c r="H251" i="5" l="1"/>
  <c r="G251" i="5" s="1"/>
  <c r="E252" i="5" s="1"/>
  <c r="F269" i="4"/>
  <c r="H269" i="4"/>
  <c r="O265" i="4"/>
  <c r="M266" i="4" s="1"/>
  <c r="P266" i="4" s="1"/>
  <c r="J268" i="5"/>
  <c r="L268" i="5"/>
  <c r="E200" i="6"/>
  <c r="D200" i="6" s="1"/>
  <c r="F200" i="6" s="1"/>
  <c r="G200" i="6" s="1"/>
  <c r="I200" i="6"/>
  <c r="J268" i="4"/>
  <c r="L268" i="4"/>
  <c r="X227" i="5"/>
  <c r="V228" i="5" s="1"/>
  <c r="P264" i="5"/>
  <c r="N264" i="5"/>
  <c r="W235" i="4"/>
  <c r="Y235" i="4"/>
  <c r="G269" i="4" l="1"/>
  <c r="E270" i="4" s="1"/>
  <c r="H270" i="4" s="1"/>
  <c r="N266" i="4"/>
  <c r="O266" i="4" s="1"/>
  <c r="M267" i="4" s="1"/>
  <c r="K268" i="4"/>
  <c r="I269" i="4" s="1"/>
  <c r="J269" i="4" s="1"/>
  <c r="K268" i="5"/>
  <c r="I269" i="5" s="1"/>
  <c r="C201" i="6"/>
  <c r="H200" i="6"/>
  <c r="O264" i="5"/>
  <c r="M265" i="5" s="1"/>
  <c r="N265" i="5" s="1"/>
  <c r="W228" i="5"/>
  <c r="Y228" i="5"/>
  <c r="H252" i="5"/>
  <c r="F252" i="5"/>
  <c r="X235" i="4"/>
  <c r="V236" i="4" s="1"/>
  <c r="Y236" i="4" s="1"/>
  <c r="F270" i="4" l="1"/>
  <c r="G270" i="4" s="1"/>
  <c r="E271" i="4" s="1"/>
  <c r="X228" i="5"/>
  <c r="V229" i="5" s="1"/>
  <c r="L269" i="4"/>
  <c r="K269" i="4" s="1"/>
  <c r="I270" i="4" s="1"/>
  <c r="L270" i="4" s="1"/>
  <c r="G252" i="5"/>
  <c r="E253" i="5" s="1"/>
  <c r="P265" i="5"/>
  <c r="O265" i="5" s="1"/>
  <c r="M266" i="5" s="1"/>
  <c r="L269" i="5"/>
  <c r="J269" i="5"/>
  <c r="E201" i="6"/>
  <c r="D201" i="6" s="1"/>
  <c r="F201" i="6" s="1"/>
  <c r="G201" i="6" s="1"/>
  <c r="I201" i="6"/>
  <c r="P267" i="4"/>
  <c r="N267" i="4"/>
  <c r="W236" i="4"/>
  <c r="X236" i="4" s="1"/>
  <c r="V237" i="4" s="1"/>
  <c r="J270" i="4" l="1"/>
  <c r="K270" i="4" s="1"/>
  <c r="I271" i="4" s="1"/>
  <c r="L271" i="4" s="1"/>
  <c r="F271" i="4"/>
  <c r="H271" i="4"/>
  <c r="K269" i="5"/>
  <c r="I270" i="5" s="1"/>
  <c r="J270" i="5" s="1"/>
  <c r="C202" i="6"/>
  <c r="H201" i="6"/>
  <c r="W229" i="5"/>
  <c r="Y229" i="5"/>
  <c r="N266" i="5"/>
  <c r="P266" i="5"/>
  <c r="H253" i="5"/>
  <c r="F253" i="5"/>
  <c r="O267" i="4"/>
  <c r="M268" i="4" s="1"/>
  <c r="W237" i="4"/>
  <c r="Y237" i="4"/>
  <c r="J271" i="4" l="1"/>
  <c r="K271" i="4" s="1"/>
  <c r="I272" i="4" s="1"/>
  <c r="J272" i="4" s="1"/>
  <c r="G271" i="4"/>
  <c r="E272" i="4" s="1"/>
  <c r="F272" i="4" s="1"/>
  <c r="L270" i="5"/>
  <c r="K270" i="5" s="1"/>
  <c r="I271" i="5" s="1"/>
  <c r="L271" i="5" s="1"/>
  <c r="G253" i="5"/>
  <c r="E254" i="5" s="1"/>
  <c r="I202" i="6"/>
  <c r="E202" i="6"/>
  <c r="D202" i="6" s="1"/>
  <c r="F202" i="6" s="1"/>
  <c r="G202" i="6" s="1"/>
  <c r="N268" i="4"/>
  <c r="X229" i="5"/>
  <c r="V230" i="5" s="1"/>
  <c r="Y230" i="5" s="1"/>
  <c r="P268" i="4"/>
  <c r="O266" i="5"/>
  <c r="M267" i="5" s="1"/>
  <c r="N267" i="5" s="1"/>
  <c r="X237" i="4"/>
  <c r="V238" i="4" s="1"/>
  <c r="Y238" i="4" s="1"/>
  <c r="H272" i="4" l="1"/>
  <c r="G272" i="4" s="1"/>
  <c r="E273" i="4" s="1"/>
  <c r="H273" i="4" s="1"/>
  <c r="J271" i="5"/>
  <c r="K271" i="5" s="1"/>
  <c r="I272" i="5" s="1"/>
  <c r="L272" i="5" s="1"/>
  <c r="L272" i="4"/>
  <c r="K272" i="4" s="1"/>
  <c r="I273" i="4" s="1"/>
  <c r="O268" i="4"/>
  <c r="M269" i="4" s="1"/>
  <c r="P269" i="4" s="1"/>
  <c r="W230" i="5"/>
  <c r="X230" i="5" s="1"/>
  <c r="V231" i="5" s="1"/>
  <c r="W238" i="4"/>
  <c r="X238" i="4" s="1"/>
  <c r="V239" i="4" s="1"/>
  <c r="Y239" i="4" s="1"/>
  <c r="C203" i="6"/>
  <c r="H202" i="6"/>
  <c r="P267" i="5"/>
  <c r="O267" i="5" s="1"/>
  <c r="M268" i="5" s="1"/>
  <c r="P268" i="5" s="1"/>
  <c r="F254" i="5"/>
  <c r="H254" i="5"/>
  <c r="J272" i="5" l="1"/>
  <c r="K272" i="5" s="1"/>
  <c r="I273" i="5" s="1"/>
  <c r="F273" i="4"/>
  <c r="G273" i="4" s="1"/>
  <c r="E274" i="4" s="1"/>
  <c r="H274" i="4" s="1"/>
  <c r="L273" i="4"/>
  <c r="J273" i="4"/>
  <c r="N269" i="4"/>
  <c r="O269" i="4" s="1"/>
  <c r="M270" i="4" s="1"/>
  <c r="W239" i="4"/>
  <c r="X239" i="4" s="1"/>
  <c r="V240" i="4" s="1"/>
  <c r="Y240" i="4" s="1"/>
  <c r="N268" i="5"/>
  <c r="O268" i="5" s="1"/>
  <c r="M269" i="5" s="1"/>
  <c r="P269" i="5" s="1"/>
  <c r="I203" i="6"/>
  <c r="E203" i="6"/>
  <c r="D203" i="6" s="1"/>
  <c r="F203" i="6" s="1"/>
  <c r="G203" i="6" s="1"/>
  <c r="G254" i="5"/>
  <c r="E255" i="5" s="1"/>
  <c r="Y231" i="5"/>
  <c r="W231" i="5"/>
  <c r="F274" i="4" l="1"/>
  <c r="G274" i="4" s="1"/>
  <c r="E275" i="4" s="1"/>
  <c r="H275" i="4" s="1"/>
  <c r="K273" i="4"/>
  <c r="I274" i="4" s="1"/>
  <c r="L274" i="4" s="1"/>
  <c r="N269" i="5"/>
  <c r="O269" i="5" s="1"/>
  <c r="M270" i="5" s="1"/>
  <c r="N270" i="5" s="1"/>
  <c r="C204" i="6"/>
  <c r="H203" i="6"/>
  <c r="P270" i="4"/>
  <c r="N270" i="4"/>
  <c r="X231" i="5"/>
  <c r="V232" i="5" s="1"/>
  <c r="H255" i="5"/>
  <c r="F255" i="5"/>
  <c r="J273" i="5"/>
  <c r="L273" i="5"/>
  <c r="W240" i="4"/>
  <c r="X240" i="4" s="1"/>
  <c r="V241" i="4" s="1"/>
  <c r="W241" i="4" s="1"/>
  <c r="J274" i="4" l="1"/>
  <c r="K274" i="4" s="1"/>
  <c r="I275" i="4" s="1"/>
  <c r="L275" i="4" s="1"/>
  <c r="F275" i="4"/>
  <c r="G275" i="4" s="1"/>
  <c r="E276" i="4" s="1"/>
  <c r="F276" i="4" s="1"/>
  <c r="P270" i="5"/>
  <c r="O270" i="5" s="1"/>
  <c r="M271" i="5" s="1"/>
  <c r="E204" i="6"/>
  <c r="D204" i="6" s="1"/>
  <c r="F204" i="6" s="1"/>
  <c r="G204" i="6" s="1"/>
  <c r="I204" i="6"/>
  <c r="O270" i="4"/>
  <c r="M271" i="4" s="1"/>
  <c r="K273" i="5"/>
  <c r="I274" i="5" s="1"/>
  <c r="L274" i="5" s="1"/>
  <c r="G255" i="5"/>
  <c r="E256" i="5" s="1"/>
  <c r="W232" i="5"/>
  <c r="Y232" i="5"/>
  <c r="Y241" i="4"/>
  <c r="X241" i="4" s="1"/>
  <c r="V242" i="4" s="1"/>
  <c r="H276" i="4" l="1"/>
  <c r="G276" i="4" s="1"/>
  <c r="E277" i="4" s="1"/>
  <c r="F277" i="4" s="1"/>
  <c r="J274" i="5"/>
  <c r="K274" i="5" s="1"/>
  <c r="I275" i="5" s="1"/>
  <c r="H204" i="6"/>
  <c r="C205" i="6"/>
  <c r="P271" i="4"/>
  <c r="N271" i="4"/>
  <c r="P271" i="5"/>
  <c r="N271" i="5"/>
  <c r="X232" i="5"/>
  <c r="V233" i="5" s="1"/>
  <c r="H256" i="5"/>
  <c r="F256" i="5"/>
  <c r="J275" i="4"/>
  <c r="K275" i="4" s="1"/>
  <c r="I276" i="4" s="1"/>
  <c r="Y242" i="4"/>
  <c r="W242" i="4"/>
  <c r="G256" i="5" l="1"/>
  <c r="E257" i="5" s="1"/>
  <c r="O271" i="5"/>
  <c r="M272" i="5" s="1"/>
  <c r="P272" i="5" s="1"/>
  <c r="O271" i="4"/>
  <c r="M272" i="4" s="1"/>
  <c r="N272" i="4" s="1"/>
  <c r="H277" i="4"/>
  <c r="G277" i="4" s="1"/>
  <c r="E278" i="4" s="1"/>
  <c r="I205" i="6"/>
  <c r="E205" i="6"/>
  <c r="D205" i="6" s="1"/>
  <c r="F205" i="6" s="1"/>
  <c r="G205" i="6" s="1"/>
  <c r="W233" i="5"/>
  <c r="Y233" i="5"/>
  <c r="L275" i="5"/>
  <c r="J275" i="5"/>
  <c r="J276" i="4"/>
  <c r="L276" i="4"/>
  <c r="X242" i="4"/>
  <c r="V243" i="4" s="1"/>
  <c r="N272" i="5" l="1"/>
  <c r="O272" i="5" s="1"/>
  <c r="M273" i="5" s="1"/>
  <c r="P272" i="4"/>
  <c r="O272" i="4" s="1"/>
  <c r="M273" i="4" s="1"/>
  <c r="N273" i="4" s="1"/>
  <c r="K275" i="5"/>
  <c r="I276" i="5" s="1"/>
  <c r="J276" i="5" s="1"/>
  <c r="C206" i="6"/>
  <c r="H205" i="6"/>
  <c r="H278" i="4"/>
  <c r="F278" i="4"/>
  <c r="X233" i="5"/>
  <c r="V234" i="5" s="1"/>
  <c r="F257" i="5"/>
  <c r="H257" i="5"/>
  <c r="Y243" i="4"/>
  <c r="W243" i="4"/>
  <c r="K276" i="4"/>
  <c r="I277" i="4" s="1"/>
  <c r="P273" i="4" l="1"/>
  <c r="O273" i="4" s="1"/>
  <c r="M274" i="4" s="1"/>
  <c r="P274" i="4" s="1"/>
  <c r="L276" i="5"/>
  <c r="K276" i="5" s="1"/>
  <c r="I277" i="5" s="1"/>
  <c r="L277" i="5" s="1"/>
  <c r="X243" i="4"/>
  <c r="V244" i="4" s="1"/>
  <c r="W244" i="4" s="1"/>
  <c r="E206" i="6"/>
  <c r="D206" i="6" s="1"/>
  <c r="F206" i="6" s="1"/>
  <c r="G206" i="6" s="1"/>
  <c r="I206" i="6"/>
  <c r="G278" i="4"/>
  <c r="E279" i="4" s="1"/>
  <c r="G257" i="5"/>
  <c r="E258" i="5" s="1"/>
  <c r="W234" i="5"/>
  <c r="Y234" i="5"/>
  <c r="P273" i="5"/>
  <c r="N273" i="5"/>
  <c r="L277" i="4"/>
  <c r="J277" i="4"/>
  <c r="N274" i="4" l="1"/>
  <c r="O274" i="4" s="1"/>
  <c r="M275" i="4" s="1"/>
  <c r="N275" i="4" s="1"/>
  <c r="Y244" i="4"/>
  <c r="X244" i="4" s="1"/>
  <c r="V245" i="4" s="1"/>
  <c r="X234" i="5"/>
  <c r="V235" i="5" s="1"/>
  <c r="J277" i="5"/>
  <c r="K277" i="5" s="1"/>
  <c r="I278" i="5" s="1"/>
  <c r="J278" i="5" s="1"/>
  <c r="C207" i="6"/>
  <c r="H206" i="6"/>
  <c r="F279" i="4"/>
  <c r="H279" i="4"/>
  <c r="O273" i="5"/>
  <c r="M274" i="5" s="1"/>
  <c r="N274" i="5" s="1"/>
  <c r="H258" i="5"/>
  <c r="F258" i="5"/>
  <c r="K277" i="4"/>
  <c r="I278" i="4" s="1"/>
  <c r="P275" i="4" l="1"/>
  <c r="O275" i="4" s="1"/>
  <c r="M276" i="4" s="1"/>
  <c r="L278" i="5"/>
  <c r="K278" i="5" s="1"/>
  <c r="I279" i="5" s="1"/>
  <c r="L279" i="5" s="1"/>
  <c r="P274" i="5"/>
  <c r="O274" i="5" s="1"/>
  <c r="G279" i="4"/>
  <c r="E280" i="4" s="1"/>
  <c r="E207" i="6"/>
  <c r="D207" i="6" s="1"/>
  <c r="F207" i="6" s="1"/>
  <c r="G207" i="6" s="1"/>
  <c r="I207" i="6"/>
  <c r="G258" i="5"/>
  <c r="E259" i="5" s="1"/>
  <c r="Y235" i="5"/>
  <c r="W235" i="5"/>
  <c r="Y245" i="4"/>
  <c r="W245" i="4"/>
  <c r="L278" i="4"/>
  <c r="J278" i="4"/>
  <c r="M275" i="5" l="1"/>
  <c r="P275" i="5" s="1"/>
  <c r="J279" i="5"/>
  <c r="K279" i="5" s="1"/>
  <c r="I280" i="5" s="1"/>
  <c r="L280" i="5" s="1"/>
  <c r="K278" i="4"/>
  <c r="I279" i="4" s="1"/>
  <c r="J279" i="4" s="1"/>
  <c r="C208" i="6"/>
  <c r="H207" i="6"/>
  <c r="F280" i="4"/>
  <c r="H280" i="4"/>
  <c r="X235" i="5"/>
  <c r="V236" i="5" s="1"/>
  <c r="H259" i="5"/>
  <c r="F259" i="5"/>
  <c r="X245" i="4"/>
  <c r="V246" i="4" s="1"/>
  <c r="Y246" i="4" s="1"/>
  <c r="N276" i="4"/>
  <c r="P276" i="4"/>
  <c r="N275" i="5" l="1"/>
  <c r="O275" i="5" s="1"/>
  <c r="M276" i="5" s="1"/>
  <c r="J280" i="5"/>
  <c r="K280" i="5" s="1"/>
  <c r="I281" i="5" s="1"/>
  <c r="I208" i="6"/>
  <c r="E208" i="6"/>
  <c r="D208" i="6" s="1"/>
  <c r="F208" i="6" s="1"/>
  <c r="G208" i="6" s="1"/>
  <c r="G280" i="4"/>
  <c r="E281" i="4" s="1"/>
  <c r="G259" i="5"/>
  <c r="E260" i="5" s="1"/>
  <c r="Y236" i="5"/>
  <c r="W236" i="5"/>
  <c r="L279" i="4"/>
  <c r="K279" i="4" s="1"/>
  <c r="W246" i="4"/>
  <c r="X246" i="4" s="1"/>
  <c r="V247" i="4" s="1"/>
  <c r="O276" i="4"/>
  <c r="M277" i="4" s="1"/>
  <c r="C209" i="6" l="1"/>
  <c r="H208" i="6"/>
  <c r="I280" i="4"/>
  <c r="L280" i="4" s="1"/>
  <c r="F281" i="4"/>
  <c r="H281" i="4"/>
  <c r="X236" i="5"/>
  <c r="V237" i="5" s="1"/>
  <c r="Y237" i="5" s="1"/>
  <c r="L281" i="5"/>
  <c r="J281" i="5"/>
  <c r="H260" i="5"/>
  <c r="F260" i="5"/>
  <c r="P276" i="5"/>
  <c r="N276" i="5"/>
  <c r="N277" i="4"/>
  <c r="P277" i="4"/>
  <c r="W247" i="4"/>
  <c r="Y247" i="4"/>
  <c r="J280" i="4" l="1"/>
  <c r="K280" i="4" s="1"/>
  <c r="I281" i="4" s="1"/>
  <c r="X247" i="4"/>
  <c r="V248" i="4" s="1"/>
  <c r="W237" i="5"/>
  <c r="X237" i="5" s="1"/>
  <c r="V238" i="5" s="1"/>
  <c r="G260" i="5"/>
  <c r="E261" i="5" s="1"/>
  <c r="H261" i="5" s="1"/>
  <c r="O276" i="5"/>
  <c r="M277" i="5" s="1"/>
  <c r="P277" i="5" s="1"/>
  <c r="I209" i="6"/>
  <c r="E209" i="6"/>
  <c r="D209" i="6" s="1"/>
  <c r="F209" i="6" s="1"/>
  <c r="G209" i="6" s="1"/>
  <c r="G281" i="4"/>
  <c r="E282" i="4" s="1"/>
  <c r="K281" i="5"/>
  <c r="I282" i="5" s="1"/>
  <c r="O277" i="4"/>
  <c r="M278" i="4" s="1"/>
  <c r="F261" i="5" l="1"/>
  <c r="G261" i="5" s="1"/>
  <c r="E262" i="5" s="1"/>
  <c r="N277" i="5"/>
  <c r="O277" i="5" s="1"/>
  <c r="M278" i="5" s="1"/>
  <c r="P278" i="5" s="1"/>
  <c r="L282" i="5"/>
  <c r="J282" i="5"/>
  <c r="C210" i="6"/>
  <c r="H209" i="6"/>
  <c r="H282" i="4"/>
  <c r="F282" i="4"/>
  <c r="W238" i="5"/>
  <c r="Y238" i="5"/>
  <c r="N278" i="4"/>
  <c r="P278" i="4"/>
  <c r="Y248" i="4"/>
  <c r="W248" i="4"/>
  <c r="L281" i="4"/>
  <c r="J281" i="4"/>
  <c r="G282" i="4" l="1"/>
  <c r="E283" i="4" s="1"/>
  <c r="F283" i="4" s="1"/>
  <c r="N278" i="5"/>
  <c r="O278" i="5" s="1"/>
  <c r="M279" i="5" s="1"/>
  <c r="K282" i="5"/>
  <c r="I283" i="5" s="1"/>
  <c r="L283" i="5" s="1"/>
  <c r="E210" i="6"/>
  <c r="D210" i="6" s="1"/>
  <c r="F210" i="6" s="1"/>
  <c r="G210" i="6" s="1"/>
  <c r="I210" i="6"/>
  <c r="F262" i="5"/>
  <c r="H262" i="5"/>
  <c r="X238" i="5"/>
  <c r="V239" i="5" s="1"/>
  <c r="K281" i="4"/>
  <c r="I282" i="4" s="1"/>
  <c r="L282" i="4" s="1"/>
  <c r="X248" i="4"/>
  <c r="V249" i="4" s="1"/>
  <c r="Y249" i="4" s="1"/>
  <c r="O278" i="4"/>
  <c r="M279" i="4" s="1"/>
  <c r="J283" i="5" l="1"/>
  <c r="K283" i="5" s="1"/>
  <c r="I284" i="5" s="1"/>
  <c r="H283" i="4"/>
  <c r="G283" i="4" s="1"/>
  <c r="E284" i="4" s="1"/>
  <c r="W249" i="4"/>
  <c r="X249" i="4" s="1"/>
  <c r="V250" i="4" s="1"/>
  <c r="N279" i="5"/>
  <c r="P279" i="5"/>
  <c r="C211" i="6"/>
  <c r="H210" i="6"/>
  <c r="J282" i="4"/>
  <c r="K282" i="4" s="1"/>
  <c r="I283" i="4" s="1"/>
  <c r="G262" i="5"/>
  <c r="E263" i="5" s="1"/>
  <c r="Y239" i="5"/>
  <c r="W239" i="5"/>
  <c r="P279" i="4"/>
  <c r="N279" i="4"/>
  <c r="O279" i="5" l="1"/>
  <c r="M280" i="5" s="1"/>
  <c r="P280" i="5" s="1"/>
  <c r="I211" i="6"/>
  <c r="E211" i="6"/>
  <c r="D211" i="6" s="1"/>
  <c r="F211" i="6" s="1"/>
  <c r="G211" i="6" s="1"/>
  <c r="H284" i="4"/>
  <c r="F284" i="4"/>
  <c r="X239" i="5"/>
  <c r="V240" i="5" s="1"/>
  <c r="L284" i="5"/>
  <c r="J284" i="5"/>
  <c r="H263" i="5"/>
  <c r="F263" i="5"/>
  <c r="O279" i="4"/>
  <c r="M280" i="4" s="1"/>
  <c r="P280" i="4" s="1"/>
  <c r="Y250" i="4"/>
  <c r="W250" i="4"/>
  <c r="J283" i="4"/>
  <c r="L283" i="4"/>
  <c r="N280" i="5" l="1"/>
  <c r="O280" i="5" s="1"/>
  <c r="M281" i="5" s="1"/>
  <c r="G284" i="4"/>
  <c r="E285" i="4" s="1"/>
  <c r="H285" i="4" s="1"/>
  <c r="G263" i="5"/>
  <c r="E264" i="5" s="1"/>
  <c r="C212" i="6"/>
  <c r="H211" i="6"/>
  <c r="K284" i="5"/>
  <c r="I285" i="5" s="1"/>
  <c r="W240" i="5"/>
  <c r="Y240" i="5"/>
  <c r="N280" i="4"/>
  <c r="O280" i="4" s="1"/>
  <c r="M281" i="4" s="1"/>
  <c r="X250" i="4"/>
  <c r="V251" i="4" s="1"/>
  <c r="K283" i="4"/>
  <c r="I284" i="4" s="1"/>
  <c r="F285" i="4" l="1"/>
  <c r="G285" i="4" s="1"/>
  <c r="E286" i="4" s="1"/>
  <c r="E212" i="6"/>
  <c r="D212" i="6" s="1"/>
  <c r="F212" i="6" s="1"/>
  <c r="G212" i="6" s="1"/>
  <c r="I212" i="6"/>
  <c r="L285" i="5"/>
  <c r="J285" i="5"/>
  <c r="P281" i="5"/>
  <c r="N281" i="5"/>
  <c r="X240" i="5"/>
  <c r="V241" i="5" s="1"/>
  <c r="H264" i="5"/>
  <c r="F264" i="5"/>
  <c r="P281" i="4"/>
  <c r="N281" i="4"/>
  <c r="J284" i="4"/>
  <c r="L284" i="4"/>
  <c r="Y251" i="4"/>
  <c r="W251" i="4"/>
  <c r="H286" i="4" l="1"/>
  <c r="F286" i="4"/>
  <c r="H212" i="6"/>
  <c r="C213" i="6"/>
  <c r="K285" i="5"/>
  <c r="I286" i="5" s="1"/>
  <c r="L286" i="5" s="1"/>
  <c r="O281" i="5"/>
  <c r="M282" i="5" s="1"/>
  <c r="P282" i="5" s="1"/>
  <c r="G264" i="5"/>
  <c r="E265" i="5" s="1"/>
  <c r="W241" i="5"/>
  <c r="Y241" i="5"/>
  <c r="K284" i="4"/>
  <c r="I285" i="4" s="1"/>
  <c r="L285" i="4" s="1"/>
  <c r="O281" i="4"/>
  <c r="M282" i="4" s="1"/>
  <c r="P282" i="4" s="1"/>
  <c r="X251" i="4"/>
  <c r="V252" i="4" s="1"/>
  <c r="J286" i="5" l="1"/>
  <c r="K286" i="5" s="1"/>
  <c r="I287" i="5" s="1"/>
  <c r="J287" i="5" s="1"/>
  <c r="G286" i="4"/>
  <c r="E287" i="4" s="1"/>
  <c r="F287" i="4" s="1"/>
  <c r="N282" i="4"/>
  <c r="O282" i="4" s="1"/>
  <c r="M283" i="4" s="1"/>
  <c r="P283" i="4" s="1"/>
  <c r="N282" i="5"/>
  <c r="O282" i="5" s="1"/>
  <c r="M283" i="5" s="1"/>
  <c r="J285" i="4"/>
  <c r="K285" i="4" s="1"/>
  <c r="I286" i="4" s="1"/>
  <c r="E213" i="6"/>
  <c r="D213" i="6" s="1"/>
  <c r="F213" i="6" s="1"/>
  <c r="G213" i="6" s="1"/>
  <c r="I213" i="6"/>
  <c r="X241" i="5"/>
  <c r="V242" i="5" s="1"/>
  <c r="H265" i="5"/>
  <c r="F265" i="5"/>
  <c r="Y252" i="4"/>
  <c r="W252" i="4"/>
  <c r="H287" i="4" l="1"/>
  <c r="G287" i="4" s="1"/>
  <c r="E288" i="4" s="1"/>
  <c r="H288" i="4" s="1"/>
  <c r="P283" i="5"/>
  <c r="N283" i="5"/>
  <c r="L287" i="5"/>
  <c r="K287" i="5" s="1"/>
  <c r="I288" i="5" s="1"/>
  <c r="L288" i="5" s="1"/>
  <c r="C214" i="6"/>
  <c r="H213" i="6"/>
  <c r="W242" i="5"/>
  <c r="Y242" i="5"/>
  <c r="G265" i="5"/>
  <c r="E266" i="5" s="1"/>
  <c r="N283" i="4"/>
  <c r="O283" i="4" s="1"/>
  <c r="M284" i="4" s="1"/>
  <c r="P284" i="4" s="1"/>
  <c r="X252" i="4"/>
  <c r="V253" i="4" s="1"/>
  <c r="L286" i="4"/>
  <c r="J286" i="4"/>
  <c r="O283" i="5" l="1"/>
  <c r="M284" i="5" s="1"/>
  <c r="F288" i="4"/>
  <c r="G288" i="4" s="1"/>
  <c r="E289" i="4" s="1"/>
  <c r="F289" i="4" s="1"/>
  <c r="J288" i="5"/>
  <c r="K288" i="5" s="1"/>
  <c r="I289" i="5" s="1"/>
  <c r="J289" i="5" s="1"/>
  <c r="I214" i="6"/>
  <c r="E214" i="6"/>
  <c r="D214" i="6" s="1"/>
  <c r="F214" i="6" s="1"/>
  <c r="G214" i="6" s="1"/>
  <c r="K286" i="4"/>
  <c r="I287" i="4" s="1"/>
  <c r="L287" i="4" s="1"/>
  <c r="X242" i="5"/>
  <c r="V243" i="5" s="1"/>
  <c r="F266" i="5"/>
  <c r="H266" i="5"/>
  <c r="N284" i="4"/>
  <c r="O284" i="4" s="1"/>
  <c r="M285" i="4" s="1"/>
  <c r="P285" i="4" s="1"/>
  <c r="Y253" i="4"/>
  <c r="W253" i="4"/>
  <c r="P284" i="5" l="1"/>
  <c r="N284" i="5"/>
  <c r="H289" i="4"/>
  <c r="G289" i="4" s="1"/>
  <c r="E290" i="4" s="1"/>
  <c r="L289" i="5"/>
  <c r="K289" i="5" s="1"/>
  <c r="I290" i="5" s="1"/>
  <c r="L290" i="5" s="1"/>
  <c r="J287" i="4"/>
  <c r="K287" i="4" s="1"/>
  <c r="I288" i="4" s="1"/>
  <c r="C215" i="6"/>
  <c r="H214" i="6"/>
  <c r="G266" i="5"/>
  <c r="E267" i="5" s="1"/>
  <c r="H267" i="5" s="1"/>
  <c r="Y243" i="5"/>
  <c r="W243" i="5"/>
  <c r="N285" i="4"/>
  <c r="O285" i="4" s="1"/>
  <c r="M286" i="4" s="1"/>
  <c r="X253" i="4"/>
  <c r="V254" i="4" s="1"/>
  <c r="O284" i="5" l="1"/>
  <c r="M285" i="5" s="1"/>
  <c r="J290" i="5"/>
  <c r="K290" i="5" s="1"/>
  <c r="I291" i="5" s="1"/>
  <c r="J291" i="5" s="1"/>
  <c r="F267" i="5"/>
  <c r="G267" i="5" s="1"/>
  <c r="E268" i="5" s="1"/>
  <c r="L288" i="4"/>
  <c r="J288" i="4"/>
  <c r="I215" i="6"/>
  <c r="E215" i="6"/>
  <c r="D215" i="6" s="1"/>
  <c r="F215" i="6" s="1"/>
  <c r="G215" i="6" s="1"/>
  <c r="F290" i="4"/>
  <c r="H290" i="4"/>
  <c r="X243" i="5"/>
  <c r="V244" i="5" s="1"/>
  <c r="Y244" i="5" s="1"/>
  <c r="P286" i="4"/>
  <c r="N286" i="4"/>
  <c r="Y254" i="4"/>
  <c r="W254" i="4"/>
  <c r="K288" i="4" l="1"/>
  <c r="I289" i="4" s="1"/>
  <c r="J289" i="4" s="1"/>
  <c r="N285" i="5"/>
  <c r="P285" i="5"/>
  <c r="O286" i="4"/>
  <c r="M287" i="4" s="1"/>
  <c r="P287" i="4" s="1"/>
  <c r="C216" i="6"/>
  <c r="H215" i="6"/>
  <c r="G290" i="4"/>
  <c r="E291" i="4" s="1"/>
  <c r="L291" i="5"/>
  <c r="K291" i="5" s="1"/>
  <c r="I292" i="5" s="1"/>
  <c r="W244" i="5"/>
  <c r="X244" i="5" s="1"/>
  <c r="V245" i="5" s="1"/>
  <c r="H268" i="5"/>
  <c r="F268" i="5"/>
  <c r="X254" i="4"/>
  <c r="V255" i="4" s="1"/>
  <c r="L289" i="4" l="1"/>
  <c r="K289" i="4" s="1"/>
  <c r="I290" i="4" s="1"/>
  <c r="O285" i="5"/>
  <c r="M286" i="5" s="1"/>
  <c r="N287" i="4"/>
  <c r="O287" i="4" s="1"/>
  <c r="M288" i="4" s="1"/>
  <c r="P288" i="4" s="1"/>
  <c r="I216" i="6"/>
  <c r="E216" i="6"/>
  <c r="D216" i="6" s="1"/>
  <c r="F216" i="6" s="1"/>
  <c r="G216" i="6" s="1"/>
  <c r="H291" i="4"/>
  <c r="F291" i="4"/>
  <c r="L292" i="5"/>
  <c r="J292" i="5"/>
  <c r="G268" i="5"/>
  <c r="E269" i="5" s="1"/>
  <c r="F269" i="5" s="1"/>
  <c r="W245" i="5"/>
  <c r="Y245" i="5"/>
  <c r="Y255" i="4"/>
  <c r="W255" i="4"/>
  <c r="P286" i="5" l="1"/>
  <c r="N286" i="5"/>
  <c r="N288" i="4"/>
  <c r="O288" i="4" s="1"/>
  <c r="M289" i="4" s="1"/>
  <c r="G291" i="4"/>
  <c r="E292" i="4" s="1"/>
  <c r="H216" i="6"/>
  <c r="C217" i="6"/>
  <c r="K292" i="5"/>
  <c r="I293" i="5" s="1"/>
  <c r="L293" i="5" s="1"/>
  <c r="H269" i="5"/>
  <c r="G269" i="5" s="1"/>
  <c r="E270" i="5" s="1"/>
  <c r="X245" i="5"/>
  <c r="V246" i="5" s="1"/>
  <c r="X255" i="4"/>
  <c r="V256" i="4" s="1"/>
  <c r="L290" i="4"/>
  <c r="J290" i="4"/>
  <c r="O286" i="5" l="1"/>
  <c r="M287" i="5" s="1"/>
  <c r="J293" i="5"/>
  <c r="K293" i="5" s="1"/>
  <c r="I294" i="5" s="1"/>
  <c r="H292" i="4"/>
  <c r="F292" i="4"/>
  <c r="I217" i="6"/>
  <c r="E217" i="6"/>
  <c r="D217" i="6" s="1"/>
  <c r="F217" i="6" s="1"/>
  <c r="G217" i="6" s="1"/>
  <c r="H270" i="5"/>
  <c r="F270" i="5"/>
  <c r="W246" i="5"/>
  <c r="Y246" i="5"/>
  <c r="N289" i="4"/>
  <c r="P289" i="4"/>
  <c r="K290" i="4"/>
  <c r="I291" i="4" s="1"/>
  <c r="L291" i="4" s="1"/>
  <c r="W256" i="4"/>
  <c r="Y256" i="4"/>
  <c r="N287" i="5" l="1"/>
  <c r="P287" i="5"/>
  <c r="G270" i="5"/>
  <c r="E271" i="5" s="1"/>
  <c r="F271" i="5" s="1"/>
  <c r="X246" i="5"/>
  <c r="V247" i="5" s="1"/>
  <c r="G292" i="4"/>
  <c r="E293" i="4" s="1"/>
  <c r="C218" i="6"/>
  <c r="H217" i="6"/>
  <c r="L294" i="5"/>
  <c r="J294" i="5"/>
  <c r="J291" i="4"/>
  <c r="K291" i="4" s="1"/>
  <c r="I292" i="4" s="1"/>
  <c r="O289" i="4"/>
  <c r="M290" i="4" s="1"/>
  <c r="P290" i="4" s="1"/>
  <c r="X256" i="4"/>
  <c r="V257" i="4" s="1"/>
  <c r="O287" i="5" l="1"/>
  <c r="M288" i="5" s="1"/>
  <c r="P288" i="5" s="1"/>
  <c r="H271" i="5"/>
  <c r="G271" i="5" s="1"/>
  <c r="E272" i="5" s="1"/>
  <c r="H272" i="5" s="1"/>
  <c r="K294" i="5"/>
  <c r="I295" i="5" s="1"/>
  <c r="F293" i="4"/>
  <c r="H293" i="4"/>
  <c r="E218" i="6"/>
  <c r="D218" i="6" s="1"/>
  <c r="F218" i="6" s="1"/>
  <c r="G218" i="6" s="1"/>
  <c r="I218" i="6"/>
  <c r="Y247" i="5"/>
  <c r="W247" i="5"/>
  <c r="N290" i="4"/>
  <c r="O290" i="4" s="1"/>
  <c r="M291" i="4" s="1"/>
  <c r="N291" i="4" s="1"/>
  <c r="L292" i="4"/>
  <c r="J292" i="4"/>
  <c r="W257" i="4"/>
  <c r="Y257" i="4"/>
  <c r="N288" i="5" l="1"/>
  <c r="O288" i="5" s="1"/>
  <c r="M289" i="5" s="1"/>
  <c r="F272" i="5"/>
  <c r="G272" i="5" s="1"/>
  <c r="E273" i="5" s="1"/>
  <c r="F273" i="5" s="1"/>
  <c r="X257" i="4"/>
  <c r="V258" i="4" s="1"/>
  <c r="G293" i="4"/>
  <c r="E294" i="4" s="1"/>
  <c r="H218" i="6"/>
  <c r="C219" i="6"/>
  <c r="X247" i="5"/>
  <c r="V248" i="5" s="1"/>
  <c r="J295" i="5"/>
  <c r="L295" i="5"/>
  <c r="P291" i="4"/>
  <c r="O291" i="4" s="1"/>
  <c r="M292" i="4" s="1"/>
  <c r="K292" i="4"/>
  <c r="I293" i="4" s="1"/>
  <c r="J293" i="4" s="1"/>
  <c r="P289" i="5" l="1"/>
  <c r="N289" i="5"/>
  <c r="H273" i="5"/>
  <c r="G273" i="5" s="1"/>
  <c r="E274" i="5" s="1"/>
  <c r="H294" i="4"/>
  <c r="F294" i="4"/>
  <c r="I219" i="6"/>
  <c r="E219" i="6"/>
  <c r="D219" i="6" s="1"/>
  <c r="F219" i="6" s="1"/>
  <c r="G219" i="6" s="1"/>
  <c r="L293" i="4"/>
  <c r="K293" i="4" s="1"/>
  <c r="I294" i="4" s="1"/>
  <c r="K295" i="5"/>
  <c r="I296" i="5" s="1"/>
  <c r="Y248" i="5"/>
  <c r="W248" i="5"/>
  <c r="N292" i="4"/>
  <c r="P292" i="4"/>
  <c r="Y258" i="4"/>
  <c r="W258" i="4"/>
  <c r="O289" i="5" l="1"/>
  <c r="M290" i="5" s="1"/>
  <c r="G294" i="4"/>
  <c r="E295" i="4" s="1"/>
  <c r="F295" i="4" s="1"/>
  <c r="O292" i="4"/>
  <c r="M293" i="4" s="1"/>
  <c r="P293" i="4" s="1"/>
  <c r="C220" i="6"/>
  <c r="H219" i="6"/>
  <c r="L294" i="4"/>
  <c r="J294" i="4"/>
  <c r="X248" i="5"/>
  <c r="V249" i="5" s="1"/>
  <c r="Y249" i="5" s="1"/>
  <c r="F274" i="5"/>
  <c r="H274" i="5"/>
  <c r="J296" i="5"/>
  <c r="L296" i="5"/>
  <c r="X258" i="4"/>
  <c r="V259" i="4" s="1"/>
  <c r="N290" i="5" l="1"/>
  <c r="P290" i="5"/>
  <c r="H295" i="4"/>
  <c r="G295" i="4" s="1"/>
  <c r="E296" i="4" s="1"/>
  <c r="N293" i="4"/>
  <c r="O293" i="4" s="1"/>
  <c r="M294" i="4" s="1"/>
  <c r="K294" i="4"/>
  <c r="I295" i="4" s="1"/>
  <c r="J295" i="4" s="1"/>
  <c r="W249" i="5"/>
  <c r="X249" i="5" s="1"/>
  <c r="V250" i="5" s="1"/>
  <c r="W250" i="5" s="1"/>
  <c r="I220" i="6"/>
  <c r="E220" i="6"/>
  <c r="D220" i="6" s="1"/>
  <c r="F220" i="6" s="1"/>
  <c r="G220" i="6" s="1"/>
  <c r="G274" i="5"/>
  <c r="E275" i="5" s="1"/>
  <c r="K296" i="5"/>
  <c r="I297" i="5" s="1"/>
  <c r="J297" i="5" s="1"/>
  <c r="Y259" i="4"/>
  <c r="W259" i="4"/>
  <c r="O290" i="5" l="1"/>
  <c r="M291" i="5" s="1"/>
  <c r="N291" i="5" s="1"/>
  <c r="L295" i="4"/>
  <c r="K295" i="4" s="1"/>
  <c r="I296" i="4" s="1"/>
  <c r="J296" i="4" s="1"/>
  <c r="F296" i="4"/>
  <c r="H296" i="4"/>
  <c r="N294" i="4"/>
  <c r="P294" i="4"/>
  <c r="L297" i="5"/>
  <c r="K297" i="5" s="1"/>
  <c r="I298" i="5" s="1"/>
  <c r="Y250" i="5"/>
  <c r="X250" i="5" s="1"/>
  <c r="C221" i="6"/>
  <c r="H220" i="6"/>
  <c r="H275" i="5"/>
  <c r="F275" i="5"/>
  <c r="X259" i="4"/>
  <c r="V260" i="4" s="1"/>
  <c r="P291" i="5" l="1"/>
  <c r="O291" i="5" s="1"/>
  <c r="M292" i="5" s="1"/>
  <c r="N292" i="5" s="1"/>
  <c r="G296" i="4"/>
  <c r="E297" i="4" s="1"/>
  <c r="H297" i="4" s="1"/>
  <c r="L296" i="4"/>
  <c r="K296" i="4" s="1"/>
  <c r="I297" i="4" s="1"/>
  <c r="L297" i="4" s="1"/>
  <c r="O294" i="4"/>
  <c r="M295" i="4" s="1"/>
  <c r="N295" i="4" s="1"/>
  <c r="J298" i="5"/>
  <c r="L298" i="5"/>
  <c r="V251" i="5"/>
  <c r="Y251" i="5" s="1"/>
  <c r="G275" i="5"/>
  <c r="E276" i="5" s="1"/>
  <c r="H276" i="5" s="1"/>
  <c r="E221" i="6"/>
  <c r="D221" i="6" s="1"/>
  <c r="F221" i="6" s="1"/>
  <c r="G221" i="6" s="1"/>
  <c r="I221" i="6"/>
  <c r="Y260" i="4"/>
  <c r="W260" i="4"/>
  <c r="P292" i="5" l="1"/>
  <c r="O292" i="5" s="1"/>
  <c r="F297" i="4"/>
  <c r="G297" i="4" s="1"/>
  <c r="E298" i="4" s="1"/>
  <c r="F298" i="4" s="1"/>
  <c r="J297" i="4"/>
  <c r="K297" i="4" s="1"/>
  <c r="I298" i="4" s="1"/>
  <c r="L298" i="4" s="1"/>
  <c r="P295" i="4"/>
  <c r="O295" i="4" s="1"/>
  <c r="M296" i="4" s="1"/>
  <c r="P296" i="4" s="1"/>
  <c r="K298" i="5"/>
  <c r="I299" i="5" s="1"/>
  <c r="L299" i="5" s="1"/>
  <c r="W251" i="5"/>
  <c r="X251" i="5" s="1"/>
  <c r="V252" i="5" s="1"/>
  <c r="F276" i="5"/>
  <c r="G276" i="5" s="1"/>
  <c r="E277" i="5" s="1"/>
  <c r="H277" i="5" s="1"/>
  <c r="C222" i="6"/>
  <c r="H221" i="6"/>
  <c r="X260" i="4"/>
  <c r="V261" i="4" s="1"/>
  <c r="M293" i="5" l="1"/>
  <c r="P293" i="5" s="1"/>
  <c r="J298" i="4"/>
  <c r="K298" i="4" s="1"/>
  <c r="I299" i="4" s="1"/>
  <c r="L299" i="4" s="1"/>
  <c r="H298" i="4"/>
  <c r="G298" i="4" s="1"/>
  <c r="E299" i="4" s="1"/>
  <c r="H299" i="4" s="1"/>
  <c r="N296" i="4"/>
  <c r="O296" i="4" s="1"/>
  <c r="M297" i="4" s="1"/>
  <c r="N297" i="4" s="1"/>
  <c r="J299" i="5"/>
  <c r="K299" i="5" s="1"/>
  <c r="I300" i="5" s="1"/>
  <c r="J300" i="5" s="1"/>
  <c r="I222" i="6"/>
  <c r="E222" i="6"/>
  <c r="D222" i="6" s="1"/>
  <c r="F222" i="6" s="1"/>
  <c r="G222" i="6" s="1"/>
  <c r="F277" i="5"/>
  <c r="G277" i="5" s="1"/>
  <c r="E278" i="5" s="1"/>
  <c r="Y252" i="5"/>
  <c r="W252" i="5"/>
  <c r="Y261" i="4"/>
  <c r="W261" i="4"/>
  <c r="N293" i="5" l="1"/>
  <c r="O293" i="5" s="1"/>
  <c r="M294" i="5" s="1"/>
  <c r="P294" i="5" s="1"/>
  <c r="J299" i="4"/>
  <c r="K299" i="4" s="1"/>
  <c r="I300" i="4" s="1"/>
  <c r="F299" i="4"/>
  <c r="G299" i="4" s="1"/>
  <c r="E300" i="4" s="1"/>
  <c r="H300" i="4" s="1"/>
  <c r="P297" i="4"/>
  <c r="O297" i="4" s="1"/>
  <c r="M298" i="4" s="1"/>
  <c r="L300" i="5"/>
  <c r="K300" i="5" s="1"/>
  <c r="I301" i="5" s="1"/>
  <c r="C223" i="6"/>
  <c r="H222" i="6"/>
  <c r="X252" i="5"/>
  <c r="V253" i="5" s="1"/>
  <c r="H278" i="5"/>
  <c r="F278" i="5"/>
  <c r="X261" i="4"/>
  <c r="V262" i="4" s="1"/>
  <c r="N294" i="5" l="1"/>
  <c r="O294" i="5" s="1"/>
  <c r="M295" i="5" s="1"/>
  <c r="P295" i="5" s="1"/>
  <c r="F300" i="4"/>
  <c r="G300" i="4" s="1"/>
  <c r="E301" i="4" s="1"/>
  <c r="H301" i="4" s="1"/>
  <c r="P298" i="4"/>
  <c r="N298" i="4"/>
  <c r="G278" i="5"/>
  <c r="E279" i="5" s="1"/>
  <c r="F279" i="5" s="1"/>
  <c r="E223" i="6"/>
  <c r="D223" i="6" s="1"/>
  <c r="F223" i="6" s="1"/>
  <c r="G223" i="6" s="1"/>
  <c r="I223" i="6"/>
  <c r="L301" i="5"/>
  <c r="J301" i="5"/>
  <c r="W253" i="5"/>
  <c r="Y253" i="5"/>
  <c r="J300" i="4"/>
  <c r="L300" i="4"/>
  <c r="Y262" i="4"/>
  <c r="W262" i="4"/>
  <c r="N295" i="5" l="1"/>
  <c r="O295" i="5" s="1"/>
  <c r="M296" i="5" s="1"/>
  <c r="N296" i="5" s="1"/>
  <c r="O298" i="4"/>
  <c r="M299" i="4" s="1"/>
  <c r="N299" i="4" s="1"/>
  <c r="F301" i="4"/>
  <c r="G301" i="4" s="1"/>
  <c r="E302" i="4" s="1"/>
  <c r="H279" i="5"/>
  <c r="G279" i="5" s="1"/>
  <c r="E280" i="5" s="1"/>
  <c r="F280" i="5" s="1"/>
  <c r="C224" i="6"/>
  <c r="H223" i="6"/>
  <c r="X253" i="5"/>
  <c r="V254" i="5" s="1"/>
  <c r="K301" i="5"/>
  <c r="I302" i="5" s="1"/>
  <c r="K300" i="4"/>
  <c r="I301" i="4" s="1"/>
  <c r="X262" i="4"/>
  <c r="V263" i="4" s="1"/>
  <c r="P296" i="5" l="1"/>
  <c r="O296" i="5" s="1"/>
  <c r="M297" i="5" s="1"/>
  <c r="P297" i="5" s="1"/>
  <c r="P299" i="4"/>
  <c r="O299" i="4" s="1"/>
  <c r="M300" i="4" s="1"/>
  <c r="P300" i="4" s="1"/>
  <c r="H280" i="5"/>
  <c r="G280" i="5" s="1"/>
  <c r="E281" i="5" s="1"/>
  <c r="F302" i="4"/>
  <c r="H302" i="4"/>
  <c r="I224" i="6"/>
  <c r="E224" i="6"/>
  <c r="D224" i="6" s="1"/>
  <c r="F224" i="6" s="1"/>
  <c r="G224" i="6" s="1"/>
  <c r="L302" i="5"/>
  <c r="J302" i="5"/>
  <c r="W254" i="5"/>
  <c r="Y254" i="5"/>
  <c r="Y263" i="4"/>
  <c r="W263" i="4"/>
  <c r="J301" i="4"/>
  <c r="L301" i="4"/>
  <c r="N297" i="5" l="1"/>
  <c r="O297" i="5" s="1"/>
  <c r="M298" i="5" s="1"/>
  <c r="N300" i="4"/>
  <c r="O300" i="4" s="1"/>
  <c r="M301" i="4" s="1"/>
  <c r="P301" i="4" s="1"/>
  <c r="G302" i="4"/>
  <c r="E303" i="4" s="1"/>
  <c r="F303" i="4" s="1"/>
  <c r="H224" i="6"/>
  <c r="C225" i="6"/>
  <c r="X254" i="5"/>
  <c r="V255" i="5" s="1"/>
  <c r="K302" i="5"/>
  <c r="I303" i="5" s="1"/>
  <c r="L303" i="5" s="1"/>
  <c r="H281" i="5"/>
  <c r="F281" i="5"/>
  <c r="K301" i="4"/>
  <c r="I302" i="4" s="1"/>
  <c r="X263" i="4"/>
  <c r="V264" i="4" s="1"/>
  <c r="N298" i="5" l="1"/>
  <c r="P298" i="5"/>
  <c r="N301" i="4"/>
  <c r="O301" i="4" s="1"/>
  <c r="M302" i="4" s="1"/>
  <c r="H303" i="4"/>
  <c r="G303" i="4" s="1"/>
  <c r="E304" i="4" s="1"/>
  <c r="F304" i="4" s="1"/>
  <c r="G281" i="5"/>
  <c r="E282" i="5" s="1"/>
  <c r="F282" i="5" s="1"/>
  <c r="E225" i="6"/>
  <c r="D225" i="6" s="1"/>
  <c r="F225" i="6" s="1"/>
  <c r="G225" i="6" s="1"/>
  <c r="I225" i="6"/>
  <c r="J303" i="5"/>
  <c r="K303" i="5" s="1"/>
  <c r="I304" i="5" s="1"/>
  <c r="L304" i="5" s="1"/>
  <c r="Y255" i="5"/>
  <c r="W255" i="5"/>
  <c r="Y264" i="4"/>
  <c r="W264" i="4"/>
  <c r="L302" i="4"/>
  <c r="J302" i="4"/>
  <c r="O298" i="5" l="1"/>
  <c r="M299" i="5" s="1"/>
  <c r="N299" i="5" s="1"/>
  <c r="H282" i="5"/>
  <c r="G282" i="5" s="1"/>
  <c r="E283" i="5" s="1"/>
  <c r="N302" i="4"/>
  <c r="P302" i="4"/>
  <c r="H304" i="4"/>
  <c r="G304" i="4" s="1"/>
  <c r="E305" i="4" s="1"/>
  <c r="K302" i="4"/>
  <c r="I303" i="4" s="1"/>
  <c r="C226" i="6"/>
  <c r="H225" i="6"/>
  <c r="J304" i="5"/>
  <c r="K304" i="5" s="1"/>
  <c r="I305" i="5" s="1"/>
  <c r="X255" i="5"/>
  <c r="V256" i="5" s="1"/>
  <c r="Y256" i="5" s="1"/>
  <c r="X264" i="4"/>
  <c r="V265" i="4" s="1"/>
  <c r="P299" i="5" l="1"/>
  <c r="O299" i="5" s="1"/>
  <c r="M300" i="5" s="1"/>
  <c r="P300" i="5" s="1"/>
  <c r="O302" i="4"/>
  <c r="M303" i="4" s="1"/>
  <c r="P303" i="4" s="1"/>
  <c r="H305" i="4"/>
  <c r="F305" i="4"/>
  <c r="J305" i="5"/>
  <c r="L305" i="5"/>
  <c r="E226" i="6"/>
  <c r="D226" i="6" s="1"/>
  <c r="F226" i="6" s="1"/>
  <c r="G226" i="6" s="1"/>
  <c r="I226" i="6"/>
  <c r="W256" i="5"/>
  <c r="X256" i="5" s="1"/>
  <c r="V257" i="5" s="1"/>
  <c r="F283" i="5"/>
  <c r="H283" i="5"/>
  <c r="Y265" i="4"/>
  <c r="W265" i="4"/>
  <c r="L303" i="4"/>
  <c r="J303" i="4"/>
  <c r="N300" i="5" l="1"/>
  <c r="O300" i="5" s="1"/>
  <c r="M301" i="5" s="1"/>
  <c r="P301" i="5" s="1"/>
  <c r="G305" i="4"/>
  <c r="E306" i="4" s="1"/>
  <c r="H306" i="4" s="1"/>
  <c r="N303" i="4"/>
  <c r="O303" i="4" s="1"/>
  <c r="M304" i="4" s="1"/>
  <c r="N304" i="4" s="1"/>
  <c r="K305" i="5"/>
  <c r="I306" i="5" s="1"/>
  <c r="L306" i="5" s="1"/>
  <c r="C227" i="6"/>
  <c r="H226" i="6"/>
  <c r="G283" i="5"/>
  <c r="E284" i="5" s="1"/>
  <c r="Y257" i="5"/>
  <c r="W257" i="5"/>
  <c r="K303" i="4"/>
  <c r="I304" i="4" s="1"/>
  <c r="X265" i="4"/>
  <c r="V266" i="4" s="1"/>
  <c r="N301" i="5" l="1"/>
  <c r="O301" i="5" s="1"/>
  <c r="M302" i="5" s="1"/>
  <c r="F306" i="4"/>
  <c r="G306" i="4" s="1"/>
  <c r="E307" i="4" s="1"/>
  <c r="H307" i="4" s="1"/>
  <c r="P304" i="4"/>
  <c r="O304" i="4" s="1"/>
  <c r="M305" i="4" s="1"/>
  <c r="J306" i="5"/>
  <c r="K306" i="5" s="1"/>
  <c r="I307" i="5" s="1"/>
  <c r="J304" i="4"/>
  <c r="L304" i="4"/>
  <c r="E227" i="6"/>
  <c r="D227" i="6" s="1"/>
  <c r="F227" i="6" s="1"/>
  <c r="G227" i="6" s="1"/>
  <c r="I227" i="6"/>
  <c r="F284" i="5"/>
  <c r="H284" i="5"/>
  <c r="X257" i="5"/>
  <c r="V258" i="5" s="1"/>
  <c r="Y266" i="4"/>
  <c r="W266" i="4"/>
  <c r="F307" i="4" l="1"/>
  <c r="G307" i="4" s="1"/>
  <c r="E308" i="4" s="1"/>
  <c r="F308" i="4" s="1"/>
  <c r="K304" i="4"/>
  <c r="I305" i="4" s="1"/>
  <c r="L305" i="4" s="1"/>
  <c r="C228" i="6"/>
  <c r="H227" i="6"/>
  <c r="P302" i="5"/>
  <c r="N302" i="5"/>
  <c r="W258" i="5"/>
  <c r="Y258" i="5"/>
  <c r="J307" i="5"/>
  <c r="L307" i="5"/>
  <c r="G284" i="5"/>
  <c r="E285" i="5" s="1"/>
  <c r="X266" i="4"/>
  <c r="V267" i="4" s="1"/>
  <c r="N305" i="4"/>
  <c r="P305" i="4"/>
  <c r="H308" i="4" l="1"/>
  <c r="G308" i="4" s="1"/>
  <c r="E309" i="4" s="1"/>
  <c r="F309" i="4" s="1"/>
  <c r="J305" i="4"/>
  <c r="K305" i="4" s="1"/>
  <c r="I306" i="4" s="1"/>
  <c r="L306" i="4" s="1"/>
  <c r="I228" i="6"/>
  <c r="E228" i="6"/>
  <c r="D228" i="6" s="1"/>
  <c r="F228" i="6" s="1"/>
  <c r="G228" i="6" s="1"/>
  <c r="X258" i="5"/>
  <c r="V259" i="5" s="1"/>
  <c r="O302" i="5"/>
  <c r="M303" i="5" s="1"/>
  <c r="K307" i="5"/>
  <c r="I308" i="5" s="1"/>
  <c r="J308" i="5" s="1"/>
  <c r="H285" i="5"/>
  <c r="F285" i="5"/>
  <c r="O305" i="4"/>
  <c r="M306" i="4" s="1"/>
  <c r="W267" i="4"/>
  <c r="Y267" i="4"/>
  <c r="J306" i="4" l="1"/>
  <c r="K306" i="4" s="1"/>
  <c r="I307" i="4" s="1"/>
  <c r="J307" i="4" s="1"/>
  <c r="H309" i="4"/>
  <c r="G309" i="4" s="1"/>
  <c r="E310" i="4" s="1"/>
  <c r="L308" i="5"/>
  <c r="K308" i="5" s="1"/>
  <c r="C229" i="6"/>
  <c r="H228" i="6"/>
  <c r="G285" i="5"/>
  <c r="E286" i="5" s="1"/>
  <c r="H286" i="5" s="1"/>
  <c r="W259" i="5"/>
  <c r="Y259" i="5"/>
  <c r="N303" i="5"/>
  <c r="P303" i="5"/>
  <c r="P306" i="4"/>
  <c r="N306" i="4"/>
  <c r="X267" i="4"/>
  <c r="V268" i="4" s="1"/>
  <c r="I309" i="5" l="1"/>
  <c r="L309" i="5" s="1"/>
  <c r="L307" i="4"/>
  <c r="K307" i="4" s="1"/>
  <c r="I229" i="6"/>
  <c r="E229" i="6"/>
  <c r="D229" i="6" s="1"/>
  <c r="F229" i="6" s="1"/>
  <c r="G229" i="6" s="1"/>
  <c r="O306" i="4"/>
  <c r="M307" i="4" s="1"/>
  <c r="P307" i="4" s="1"/>
  <c r="F286" i="5"/>
  <c r="G286" i="5" s="1"/>
  <c r="E287" i="5" s="1"/>
  <c r="H287" i="5" s="1"/>
  <c r="O303" i="5"/>
  <c r="M304" i="5" s="1"/>
  <c r="N304" i="5" s="1"/>
  <c r="X259" i="5"/>
  <c r="V260" i="5" s="1"/>
  <c r="W268" i="4"/>
  <c r="Y268" i="4"/>
  <c r="H310" i="4"/>
  <c r="F310" i="4"/>
  <c r="J309" i="5" l="1"/>
  <c r="K309" i="5" s="1"/>
  <c r="I310" i="5" s="1"/>
  <c r="I308" i="4"/>
  <c r="L308" i="4" s="1"/>
  <c r="X268" i="4"/>
  <c r="V269" i="4" s="1"/>
  <c r="F287" i="5"/>
  <c r="G287" i="5" s="1"/>
  <c r="E288" i="5" s="1"/>
  <c r="N307" i="4"/>
  <c r="O307" i="4" s="1"/>
  <c r="M308" i="4" s="1"/>
  <c r="C230" i="6"/>
  <c r="H229" i="6"/>
  <c r="P304" i="5"/>
  <c r="O304" i="5" s="1"/>
  <c r="M305" i="5" s="1"/>
  <c r="Y260" i="5"/>
  <c r="W260" i="5"/>
  <c r="G310" i="4"/>
  <c r="E311" i="4" s="1"/>
  <c r="H311" i="4" s="1"/>
  <c r="J308" i="4" l="1"/>
  <c r="K308" i="4" s="1"/>
  <c r="I309" i="4" s="1"/>
  <c r="L309" i="4" s="1"/>
  <c r="H288" i="5"/>
  <c r="F288" i="5"/>
  <c r="I230" i="6"/>
  <c r="E230" i="6"/>
  <c r="D230" i="6" s="1"/>
  <c r="F230" i="6" s="1"/>
  <c r="G230" i="6" s="1"/>
  <c r="J310" i="5"/>
  <c r="L310" i="5"/>
  <c r="X260" i="5"/>
  <c r="V261" i="5" s="1"/>
  <c r="P305" i="5"/>
  <c r="N305" i="5"/>
  <c r="F311" i="4"/>
  <c r="G311" i="4" s="1"/>
  <c r="E312" i="4" s="1"/>
  <c r="P308" i="4"/>
  <c r="N308" i="4"/>
  <c r="Y269" i="4"/>
  <c r="W269" i="4"/>
  <c r="G288" i="5" l="1"/>
  <c r="E289" i="5" s="1"/>
  <c r="H289" i="5" s="1"/>
  <c r="O308" i="4"/>
  <c r="M309" i="4" s="1"/>
  <c r="P309" i="4" s="1"/>
  <c r="J309" i="4"/>
  <c r="K309" i="4" s="1"/>
  <c r="I310" i="4" s="1"/>
  <c r="C231" i="6"/>
  <c r="H230" i="6"/>
  <c r="K310" i="5"/>
  <c r="I311" i="5" s="1"/>
  <c r="O305" i="5"/>
  <c r="M306" i="5" s="1"/>
  <c r="W261" i="5"/>
  <c r="Y261" i="5"/>
  <c r="F312" i="4"/>
  <c r="H312" i="4"/>
  <c r="X269" i="4"/>
  <c r="V270" i="4" s="1"/>
  <c r="Y270" i="4" s="1"/>
  <c r="F289" i="5" l="1"/>
  <c r="G289" i="5" s="1"/>
  <c r="E290" i="5" s="1"/>
  <c r="N309" i="4"/>
  <c r="O309" i="4" s="1"/>
  <c r="M310" i="4" s="1"/>
  <c r="L310" i="4"/>
  <c r="J310" i="4"/>
  <c r="X261" i="5"/>
  <c r="V262" i="5" s="1"/>
  <c r="G312" i="4"/>
  <c r="E313" i="4" s="1"/>
  <c r="H313" i="4" s="1"/>
  <c r="E231" i="6"/>
  <c r="D231" i="6" s="1"/>
  <c r="F231" i="6" s="1"/>
  <c r="G231" i="6" s="1"/>
  <c r="I231" i="6"/>
  <c r="J311" i="5"/>
  <c r="L311" i="5"/>
  <c r="P306" i="5"/>
  <c r="N306" i="5"/>
  <c r="W270" i="4"/>
  <c r="X270" i="4" s="1"/>
  <c r="V271" i="4" s="1"/>
  <c r="K310" i="4" l="1"/>
  <c r="I311" i="4" s="1"/>
  <c r="J311" i="4" s="1"/>
  <c r="F313" i="4"/>
  <c r="G313" i="4" s="1"/>
  <c r="E314" i="4" s="1"/>
  <c r="H314" i="4" s="1"/>
  <c r="H231" i="6"/>
  <c r="C232" i="6"/>
  <c r="H290" i="5"/>
  <c r="F290" i="5"/>
  <c r="K311" i="5"/>
  <c r="I312" i="5" s="1"/>
  <c r="O306" i="5"/>
  <c r="M307" i="5" s="1"/>
  <c r="Y262" i="5"/>
  <c r="W262" i="5"/>
  <c r="P310" i="4"/>
  <c r="N310" i="4"/>
  <c r="W271" i="4"/>
  <c r="Y271" i="4"/>
  <c r="L311" i="4" l="1"/>
  <c r="K311" i="4" s="1"/>
  <c r="I312" i="4" s="1"/>
  <c r="L312" i="4" s="1"/>
  <c r="F314" i="4"/>
  <c r="G314" i="4" s="1"/>
  <c r="E315" i="4" s="1"/>
  <c r="F315" i="4" s="1"/>
  <c r="O310" i="4"/>
  <c r="M311" i="4" s="1"/>
  <c r="P311" i="4" s="1"/>
  <c r="I232" i="6"/>
  <c r="E232" i="6"/>
  <c r="D232" i="6" s="1"/>
  <c r="F232" i="6" s="1"/>
  <c r="G232" i="6" s="1"/>
  <c r="P307" i="5"/>
  <c r="N307" i="5"/>
  <c r="J312" i="5"/>
  <c r="L312" i="5"/>
  <c r="X262" i="5"/>
  <c r="V263" i="5" s="1"/>
  <c r="G290" i="5"/>
  <c r="E291" i="5" s="1"/>
  <c r="X271" i="4"/>
  <c r="V272" i="4" s="1"/>
  <c r="J312" i="4" l="1"/>
  <c r="K312" i="4" s="1"/>
  <c r="I313" i="4" s="1"/>
  <c r="J313" i="4" s="1"/>
  <c r="N311" i="4"/>
  <c r="O311" i="4" s="1"/>
  <c r="M312" i="4" s="1"/>
  <c r="C233" i="6"/>
  <c r="H232" i="6"/>
  <c r="K312" i="5"/>
  <c r="I313" i="5" s="1"/>
  <c r="O307" i="5"/>
  <c r="M308" i="5" s="1"/>
  <c r="N308" i="5" s="1"/>
  <c r="F291" i="5"/>
  <c r="H291" i="5"/>
  <c r="Y263" i="5"/>
  <c r="W263" i="5"/>
  <c r="H315" i="4"/>
  <c r="G315" i="4" s="1"/>
  <c r="E316" i="4" s="1"/>
  <c r="W272" i="4"/>
  <c r="Y272" i="4"/>
  <c r="L313" i="4" l="1"/>
  <c r="K313" i="4" s="1"/>
  <c r="I314" i="4" s="1"/>
  <c r="X272" i="4"/>
  <c r="V273" i="4" s="1"/>
  <c r="P308" i="5"/>
  <c r="O308" i="5" s="1"/>
  <c r="M309" i="5" s="1"/>
  <c r="P309" i="5" s="1"/>
  <c r="I233" i="6"/>
  <c r="E233" i="6"/>
  <c r="D233" i="6" s="1"/>
  <c r="F233" i="6" s="1"/>
  <c r="G233" i="6" s="1"/>
  <c r="F316" i="4"/>
  <c r="H316" i="4"/>
  <c r="G291" i="5"/>
  <c r="E292" i="5" s="1"/>
  <c r="H292" i="5" s="1"/>
  <c r="X263" i="5"/>
  <c r="V264" i="5" s="1"/>
  <c r="L313" i="5"/>
  <c r="J313" i="5"/>
  <c r="P312" i="4"/>
  <c r="N312" i="4"/>
  <c r="G316" i="4" l="1"/>
  <c r="E317" i="4" s="1"/>
  <c r="F317" i="4" s="1"/>
  <c r="O312" i="4"/>
  <c r="M313" i="4" s="1"/>
  <c r="P313" i="4" s="1"/>
  <c r="F292" i="5"/>
  <c r="G292" i="5" s="1"/>
  <c r="E293" i="5" s="1"/>
  <c r="H293" i="5" s="1"/>
  <c r="C234" i="6"/>
  <c r="H233" i="6"/>
  <c r="N309" i="5"/>
  <c r="O309" i="5" s="1"/>
  <c r="M310" i="5" s="1"/>
  <c r="Y264" i="5"/>
  <c r="W264" i="5"/>
  <c r="K313" i="5"/>
  <c r="I314" i="5" s="1"/>
  <c r="L314" i="4"/>
  <c r="J314" i="4"/>
  <c r="Y273" i="4"/>
  <c r="W273" i="4"/>
  <c r="N313" i="4" l="1"/>
  <c r="O313" i="4" s="1"/>
  <c r="M314" i="4" s="1"/>
  <c r="P314" i="4" s="1"/>
  <c r="H317" i="4"/>
  <c r="G317" i="4" s="1"/>
  <c r="E318" i="4" s="1"/>
  <c r="I234" i="6"/>
  <c r="E234" i="6"/>
  <c r="D234" i="6" s="1"/>
  <c r="F234" i="6" s="1"/>
  <c r="G234" i="6" s="1"/>
  <c r="F293" i="5"/>
  <c r="G293" i="5" s="1"/>
  <c r="E294" i="5" s="1"/>
  <c r="X264" i="5"/>
  <c r="V265" i="5" s="1"/>
  <c r="P310" i="5"/>
  <c r="N310" i="5"/>
  <c r="L314" i="5"/>
  <c r="J314" i="5"/>
  <c r="X273" i="4"/>
  <c r="V274" i="4" s="1"/>
  <c r="K314" i="4"/>
  <c r="I315" i="4" s="1"/>
  <c r="L315" i="4" s="1"/>
  <c r="N314" i="4" l="1"/>
  <c r="O314" i="4" s="1"/>
  <c r="M315" i="4" s="1"/>
  <c r="N315" i="4" s="1"/>
  <c r="F294" i="5"/>
  <c r="H294" i="5"/>
  <c r="O310" i="5"/>
  <c r="M311" i="5" s="1"/>
  <c r="N311" i="5" s="1"/>
  <c r="K314" i="5"/>
  <c r="I315" i="5" s="1"/>
  <c r="H234" i="6"/>
  <c r="C235" i="6"/>
  <c r="J315" i="4"/>
  <c r="K315" i="4" s="1"/>
  <c r="I316" i="4" s="1"/>
  <c r="J316" i="4" s="1"/>
  <c r="W265" i="5"/>
  <c r="Y265" i="5"/>
  <c r="Y274" i="4"/>
  <c r="W274" i="4"/>
  <c r="H318" i="4"/>
  <c r="F318" i="4"/>
  <c r="P311" i="5" l="1"/>
  <c r="O311" i="5" s="1"/>
  <c r="M312" i="5" s="1"/>
  <c r="P312" i="5" s="1"/>
  <c r="G294" i="5"/>
  <c r="E295" i="5" s="1"/>
  <c r="H295" i="5" s="1"/>
  <c r="L316" i="4"/>
  <c r="K316" i="4" s="1"/>
  <c r="I317" i="4" s="1"/>
  <c r="L317" i="4" s="1"/>
  <c r="I235" i="6"/>
  <c r="E235" i="6"/>
  <c r="D235" i="6" s="1"/>
  <c r="F235" i="6" s="1"/>
  <c r="G235" i="6" s="1"/>
  <c r="X265" i="5"/>
  <c r="V266" i="5" s="1"/>
  <c r="L315" i="5"/>
  <c r="J315" i="5"/>
  <c r="P315" i="4"/>
  <c r="O315" i="4" s="1"/>
  <c r="M316" i="4" s="1"/>
  <c r="G318" i="4"/>
  <c r="E319" i="4" s="1"/>
  <c r="X274" i="4"/>
  <c r="V275" i="4" s="1"/>
  <c r="F295" i="5" l="1"/>
  <c r="G295" i="5" s="1"/>
  <c r="E296" i="5" s="1"/>
  <c r="K315" i="5"/>
  <c r="I316" i="5" s="1"/>
  <c r="J316" i="5" s="1"/>
  <c r="C236" i="6"/>
  <c r="H235" i="6"/>
  <c r="N312" i="5"/>
  <c r="O312" i="5" s="1"/>
  <c r="M313" i="5" s="1"/>
  <c r="J317" i="4"/>
  <c r="K317" i="4" s="1"/>
  <c r="I318" i="4" s="1"/>
  <c r="J318" i="4" s="1"/>
  <c r="W266" i="5"/>
  <c r="Y266" i="5"/>
  <c r="W275" i="4"/>
  <c r="Y275" i="4"/>
  <c r="N316" i="4"/>
  <c r="P316" i="4"/>
  <c r="F319" i="4"/>
  <c r="H319" i="4"/>
  <c r="L316" i="5" l="1"/>
  <c r="K316" i="5" s="1"/>
  <c r="I317" i="5" s="1"/>
  <c r="J317" i="5" s="1"/>
  <c r="X275" i="4"/>
  <c r="V276" i="4" s="1"/>
  <c r="L318" i="4"/>
  <c r="K318" i="4" s="1"/>
  <c r="I319" i="4" s="1"/>
  <c r="E236" i="6"/>
  <c r="D236" i="6" s="1"/>
  <c r="F236" i="6" s="1"/>
  <c r="G236" i="6" s="1"/>
  <c r="I236" i="6"/>
  <c r="P313" i="5"/>
  <c r="N313" i="5"/>
  <c r="X266" i="5"/>
  <c r="V267" i="5" s="1"/>
  <c r="F296" i="5"/>
  <c r="H296" i="5"/>
  <c r="O316" i="4"/>
  <c r="M317" i="4" s="1"/>
  <c r="G319" i="4"/>
  <c r="E320" i="4" s="1"/>
  <c r="O313" i="5" l="1"/>
  <c r="M314" i="5" s="1"/>
  <c r="N314" i="5" s="1"/>
  <c r="L319" i="4"/>
  <c r="J319" i="4"/>
  <c r="C237" i="6"/>
  <c r="H236" i="6"/>
  <c r="L317" i="5"/>
  <c r="K317" i="5" s="1"/>
  <c r="I318" i="5" s="1"/>
  <c r="G296" i="5"/>
  <c r="E297" i="5" s="1"/>
  <c r="H297" i="5" s="1"/>
  <c r="Y267" i="5"/>
  <c r="W267" i="5"/>
  <c r="N317" i="4"/>
  <c r="P317" i="4"/>
  <c r="F320" i="4"/>
  <c r="H320" i="4"/>
  <c r="W276" i="4"/>
  <c r="Y276" i="4"/>
  <c r="P314" i="5" l="1"/>
  <c r="O314" i="5" s="1"/>
  <c r="M315" i="5" s="1"/>
  <c r="N315" i="5" s="1"/>
  <c r="K319" i="4"/>
  <c r="I320" i="4" s="1"/>
  <c r="J320" i="4" s="1"/>
  <c r="I237" i="6"/>
  <c r="E237" i="6"/>
  <c r="D237" i="6" s="1"/>
  <c r="F237" i="6" s="1"/>
  <c r="G237" i="6" s="1"/>
  <c r="X267" i="5"/>
  <c r="V268" i="5" s="1"/>
  <c r="F297" i="5"/>
  <c r="G297" i="5" s="1"/>
  <c r="E298" i="5" s="1"/>
  <c r="H298" i="5" s="1"/>
  <c r="L318" i="5"/>
  <c r="J318" i="5"/>
  <c r="O317" i="4"/>
  <c r="M318" i="4" s="1"/>
  <c r="G320" i="4"/>
  <c r="E321" i="4" s="1"/>
  <c r="X276" i="4"/>
  <c r="V277" i="4" s="1"/>
  <c r="P315" i="5" l="1"/>
  <c r="O315" i="5" s="1"/>
  <c r="M316" i="5" s="1"/>
  <c r="L320" i="4"/>
  <c r="K320" i="4" s="1"/>
  <c r="I321" i="4" s="1"/>
  <c r="L321" i="4" s="1"/>
  <c r="F298" i="5"/>
  <c r="G298" i="5" s="1"/>
  <c r="E299" i="5" s="1"/>
  <c r="C238" i="6"/>
  <c r="H237" i="6"/>
  <c r="K318" i="5"/>
  <c r="I319" i="5" s="1"/>
  <c r="Y268" i="5"/>
  <c r="W268" i="5"/>
  <c r="Y277" i="4"/>
  <c r="W277" i="4"/>
  <c r="F321" i="4"/>
  <c r="H321" i="4"/>
  <c r="P318" i="4"/>
  <c r="N318" i="4"/>
  <c r="J321" i="4" l="1"/>
  <c r="K321" i="4" s="1"/>
  <c r="I322" i="4" s="1"/>
  <c r="J322" i="4" s="1"/>
  <c r="J319" i="5"/>
  <c r="L319" i="5"/>
  <c r="H299" i="5"/>
  <c r="F299" i="5"/>
  <c r="I238" i="6"/>
  <c r="E238" i="6"/>
  <c r="D238" i="6" s="1"/>
  <c r="F238" i="6" s="1"/>
  <c r="G238" i="6" s="1"/>
  <c r="X268" i="5"/>
  <c r="V269" i="5" s="1"/>
  <c r="N316" i="5"/>
  <c r="P316" i="5"/>
  <c r="G321" i="4"/>
  <c r="E322" i="4" s="1"/>
  <c r="O318" i="4"/>
  <c r="M319" i="4" s="1"/>
  <c r="X277" i="4"/>
  <c r="V278" i="4" s="1"/>
  <c r="L322" i="4" l="1"/>
  <c r="K322" i="4" s="1"/>
  <c r="I323" i="4" s="1"/>
  <c r="L323" i="4" s="1"/>
  <c r="G299" i="5"/>
  <c r="E300" i="5" s="1"/>
  <c r="H300" i="5" s="1"/>
  <c r="K319" i="5"/>
  <c r="I320" i="5" s="1"/>
  <c r="J320" i="5" s="1"/>
  <c r="C239" i="6"/>
  <c r="H238" i="6"/>
  <c r="O316" i="5"/>
  <c r="M317" i="5" s="1"/>
  <c r="Y269" i="5"/>
  <c r="W269" i="5"/>
  <c r="P319" i="4"/>
  <c r="N319" i="4"/>
  <c r="H322" i="4"/>
  <c r="F322" i="4"/>
  <c r="Y278" i="4"/>
  <c r="W278" i="4"/>
  <c r="L320" i="5" l="1"/>
  <c r="K320" i="5" s="1"/>
  <c r="I321" i="5" s="1"/>
  <c r="F300" i="5"/>
  <c r="G300" i="5" s="1"/>
  <c r="E301" i="5" s="1"/>
  <c r="H301" i="5" s="1"/>
  <c r="O319" i="4"/>
  <c r="M320" i="4" s="1"/>
  <c r="P320" i="4" s="1"/>
  <c r="J323" i="4"/>
  <c r="K323" i="4" s="1"/>
  <c r="I324" i="4" s="1"/>
  <c r="I239" i="6"/>
  <c r="E239" i="6"/>
  <c r="D239" i="6" s="1"/>
  <c r="F239" i="6" s="1"/>
  <c r="G239" i="6" s="1"/>
  <c r="X269" i="5"/>
  <c r="V270" i="5" s="1"/>
  <c r="P317" i="5"/>
  <c r="N317" i="5"/>
  <c r="G322" i="4"/>
  <c r="E323" i="4" s="1"/>
  <c r="F323" i="4" s="1"/>
  <c r="X278" i="4"/>
  <c r="V279" i="4" s="1"/>
  <c r="F301" i="5" l="1"/>
  <c r="G301" i="5" s="1"/>
  <c r="E302" i="5" s="1"/>
  <c r="N320" i="4"/>
  <c r="O320" i="4" s="1"/>
  <c r="M321" i="4" s="1"/>
  <c r="H323" i="4"/>
  <c r="G323" i="4" s="1"/>
  <c r="E324" i="4" s="1"/>
  <c r="H324" i="4" s="1"/>
  <c r="C240" i="6"/>
  <c r="H239" i="6"/>
  <c r="W270" i="5"/>
  <c r="Y270" i="5"/>
  <c r="O317" i="5"/>
  <c r="M318" i="5" s="1"/>
  <c r="L321" i="5"/>
  <c r="J321" i="5"/>
  <c r="W279" i="4"/>
  <c r="Y279" i="4"/>
  <c r="J324" i="4"/>
  <c r="L324" i="4"/>
  <c r="X270" i="5" l="1"/>
  <c r="V271" i="5" s="1"/>
  <c r="Y271" i="5" s="1"/>
  <c r="N321" i="4"/>
  <c r="P321" i="4"/>
  <c r="F324" i="4"/>
  <c r="G324" i="4" s="1"/>
  <c r="E325" i="4" s="1"/>
  <c r="X279" i="4"/>
  <c r="V280" i="4" s="1"/>
  <c r="E240" i="6"/>
  <c r="D240" i="6" s="1"/>
  <c r="F240" i="6" s="1"/>
  <c r="G240" i="6" s="1"/>
  <c r="I240" i="6"/>
  <c r="K321" i="5"/>
  <c r="I322" i="5" s="1"/>
  <c r="P318" i="5"/>
  <c r="N318" i="5"/>
  <c r="H302" i="5"/>
  <c r="F302" i="5"/>
  <c r="K324" i="4"/>
  <c r="I325" i="4" s="1"/>
  <c r="W271" i="5" l="1"/>
  <c r="X271" i="5" s="1"/>
  <c r="V272" i="5" s="1"/>
  <c r="O321" i="4"/>
  <c r="M322" i="4" s="1"/>
  <c r="P322" i="4" s="1"/>
  <c r="H325" i="4"/>
  <c r="F325" i="4"/>
  <c r="G302" i="5"/>
  <c r="E303" i="5" s="1"/>
  <c r="C241" i="6"/>
  <c r="H240" i="6"/>
  <c r="O318" i="5"/>
  <c r="M319" i="5" s="1"/>
  <c r="N319" i="5" s="1"/>
  <c r="J322" i="5"/>
  <c r="L322" i="5"/>
  <c r="J325" i="4"/>
  <c r="L325" i="4"/>
  <c r="Y280" i="4"/>
  <c r="W280" i="4"/>
  <c r="N322" i="4" l="1"/>
  <c r="O322" i="4" s="1"/>
  <c r="M323" i="4" s="1"/>
  <c r="N323" i="4" s="1"/>
  <c r="P319" i="5"/>
  <c r="O319" i="5" s="1"/>
  <c r="M320" i="5" s="1"/>
  <c r="N320" i="5" s="1"/>
  <c r="G325" i="4"/>
  <c r="E326" i="4" s="1"/>
  <c r="H326" i="4" s="1"/>
  <c r="E241" i="6"/>
  <c r="D241" i="6" s="1"/>
  <c r="F241" i="6" s="1"/>
  <c r="G241" i="6" s="1"/>
  <c r="I241" i="6"/>
  <c r="K325" i="4"/>
  <c r="I326" i="4" s="1"/>
  <c r="K322" i="5"/>
  <c r="I323" i="5" s="1"/>
  <c r="Y272" i="5"/>
  <c r="W272" i="5"/>
  <c r="F303" i="5"/>
  <c r="H303" i="5"/>
  <c r="X280" i="4"/>
  <c r="V281" i="4" s="1"/>
  <c r="P320" i="5" l="1"/>
  <c r="O320" i="5" s="1"/>
  <c r="M321" i="5" s="1"/>
  <c r="N321" i="5" s="1"/>
  <c r="F326" i="4"/>
  <c r="G326" i="4" s="1"/>
  <c r="E327" i="4" s="1"/>
  <c r="H327" i="4" s="1"/>
  <c r="C242" i="6"/>
  <c r="H241" i="6"/>
  <c r="X272" i="5"/>
  <c r="V273" i="5" s="1"/>
  <c r="G303" i="5"/>
  <c r="E304" i="5" s="1"/>
  <c r="J323" i="5"/>
  <c r="L323" i="5"/>
  <c r="P323" i="4"/>
  <c r="O323" i="4" s="1"/>
  <c r="M324" i="4" s="1"/>
  <c r="Y281" i="4"/>
  <c r="W281" i="4"/>
  <c r="L326" i="4"/>
  <c r="J326" i="4"/>
  <c r="P321" i="5" l="1"/>
  <c r="O321" i="5" s="1"/>
  <c r="M322" i="5" s="1"/>
  <c r="F327" i="4"/>
  <c r="G327" i="4" s="1"/>
  <c r="E328" i="4" s="1"/>
  <c r="H328" i="4" s="1"/>
  <c r="I242" i="6"/>
  <c r="E242" i="6"/>
  <c r="D242" i="6" s="1"/>
  <c r="F242" i="6" s="1"/>
  <c r="G242" i="6" s="1"/>
  <c r="K323" i="5"/>
  <c r="I324" i="5" s="1"/>
  <c r="H304" i="5"/>
  <c r="F304" i="5"/>
  <c r="W273" i="5"/>
  <c r="Y273" i="5"/>
  <c r="K326" i="4"/>
  <c r="I327" i="4" s="1"/>
  <c r="L327" i="4" s="1"/>
  <c r="X281" i="4"/>
  <c r="V282" i="4" s="1"/>
  <c r="P324" i="4"/>
  <c r="N324" i="4"/>
  <c r="F328" i="4" l="1"/>
  <c r="G328" i="4" s="1"/>
  <c r="E329" i="4" s="1"/>
  <c r="F329" i="4" s="1"/>
  <c r="O324" i="4"/>
  <c r="M325" i="4" s="1"/>
  <c r="N325" i="4" s="1"/>
  <c r="J327" i="4"/>
  <c r="K327" i="4" s="1"/>
  <c r="I328" i="4" s="1"/>
  <c r="J328" i="4" s="1"/>
  <c r="H242" i="6"/>
  <c r="C243" i="6"/>
  <c r="G304" i="5"/>
  <c r="E305" i="5" s="1"/>
  <c r="H305" i="5" s="1"/>
  <c r="J324" i="5"/>
  <c r="L324" i="5"/>
  <c r="X273" i="5"/>
  <c r="V274" i="5" s="1"/>
  <c r="P322" i="5"/>
  <c r="N322" i="5"/>
  <c r="Y282" i="4"/>
  <c r="W282" i="4"/>
  <c r="P325" i="4" l="1"/>
  <c r="O325" i="4" s="1"/>
  <c r="M326" i="4" s="1"/>
  <c r="F305" i="5"/>
  <c r="G305" i="5" s="1"/>
  <c r="E306" i="5" s="1"/>
  <c r="L328" i="4"/>
  <c r="K328" i="4" s="1"/>
  <c r="I329" i="4" s="1"/>
  <c r="I243" i="6"/>
  <c r="E243" i="6"/>
  <c r="D243" i="6" s="1"/>
  <c r="F243" i="6" s="1"/>
  <c r="G243" i="6" s="1"/>
  <c r="K324" i="5"/>
  <c r="I325" i="5" s="1"/>
  <c r="W274" i="5"/>
  <c r="Y274" i="5"/>
  <c r="O322" i="5"/>
  <c r="M323" i="5" s="1"/>
  <c r="H329" i="4"/>
  <c r="G329" i="4" s="1"/>
  <c r="E330" i="4" s="1"/>
  <c r="X282" i="4"/>
  <c r="V283" i="4" s="1"/>
  <c r="X274" i="5" l="1"/>
  <c r="V275" i="5" s="1"/>
  <c r="L329" i="4"/>
  <c r="J329" i="4"/>
  <c r="H243" i="6"/>
  <c r="C244" i="6"/>
  <c r="H306" i="5"/>
  <c r="F306" i="5"/>
  <c r="N323" i="5"/>
  <c r="P323" i="5"/>
  <c r="L325" i="5"/>
  <c r="J325" i="5"/>
  <c r="H330" i="4"/>
  <c r="F330" i="4"/>
  <c r="P326" i="4"/>
  <c r="N326" i="4"/>
  <c r="W283" i="4"/>
  <c r="Y283" i="4"/>
  <c r="K329" i="4" l="1"/>
  <c r="I330" i="4" s="1"/>
  <c r="J330" i="4" s="1"/>
  <c r="G330" i="4"/>
  <c r="E331" i="4" s="1"/>
  <c r="E244" i="6"/>
  <c r="D244" i="6" s="1"/>
  <c r="F244" i="6" s="1"/>
  <c r="G244" i="6" s="1"/>
  <c r="I244" i="6"/>
  <c r="K325" i="5"/>
  <c r="I326" i="5" s="1"/>
  <c r="L326" i="5" s="1"/>
  <c r="O323" i="5"/>
  <c r="M324" i="5" s="1"/>
  <c r="P324" i="5" s="1"/>
  <c r="O326" i="4"/>
  <c r="M327" i="4" s="1"/>
  <c r="G306" i="5"/>
  <c r="E307" i="5" s="1"/>
  <c r="H307" i="5" s="1"/>
  <c r="Y275" i="5"/>
  <c r="W275" i="5"/>
  <c r="X283" i="4"/>
  <c r="V284" i="4" s="1"/>
  <c r="L330" i="4" l="1"/>
  <c r="K330" i="4" s="1"/>
  <c r="I331" i="4" s="1"/>
  <c r="L331" i="4" s="1"/>
  <c r="J326" i="5"/>
  <c r="K326" i="5" s="1"/>
  <c r="I327" i="5" s="1"/>
  <c r="L327" i="5" s="1"/>
  <c r="F331" i="4"/>
  <c r="H331" i="4"/>
  <c r="F307" i="5"/>
  <c r="G307" i="5" s="1"/>
  <c r="E308" i="5" s="1"/>
  <c r="N324" i="5"/>
  <c r="O324" i="5" s="1"/>
  <c r="M325" i="5" s="1"/>
  <c r="C245" i="6"/>
  <c r="H244" i="6"/>
  <c r="X275" i="5"/>
  <c r="V276" i="5" s="1"/>
  <c r="W284" i="4"/>
  <c r="Y284" i="4"/>
  <c r="N327" i="4"/>
  <c r="P327" i="4"/>
  <c r="G331" i="4" l="1"/>
  <c r="E332" i="4" s="1"/>
  <c r="H332" i="4" s="1"/>
  <c r="J327" i="5"/>
  <c r="K327" i="5" s="1"/>
  <c r="I328" i="5" s="1"/>
  <c r="J331" i="4"/>
  <c r="K331" i="4" s="1"/>
  <c r="I332" i="4" s="1"/>
  <c r="L332" i="4" s="1"/>
  <c r="E245" i="6"/>
  <c r="D245" i="6" s="1"/>
  <c r="F245" i="6" s="1"/>
  <c r="G245" i="6" s="1"/>
  <c r="I245" i="6"/>
  <c r="W276" i="5"/>
  <c r="Y276" i="5"/>
  <c r="F308" i="5"/>
  <c r="H308" i="5"/>
  <c r="P325" i="5"/>
  <c r="N325" i="5"/>
  <c r="O327" i="4"/>
  <c r="M328" i="4" s="1"/>
  <c r="N328" i="4" s="1"/>
  <c r="X284" i="4"/>
  <c r="V285" i="4" s="1"/>
  <c r="F332" i="4" l="1"/>
  <c r="G332" i="4" s="1"/>
  <c r="E333" i="4" s="1"/>
  <c r="J328" i="5"/>
  <c r="L328" i="5"/>
  <c r="X276" i="5"/>
  <c r="V277" i="5" s="1"/>
  <c r="C246" i="6"/>
  <c r="H245" i="6"/>
  <c r="P328" i="4"/>
  <c r="O328" i="4" s="1"/>
  <c r="M329" i="4" s="1"/>
  <c r="J332" i="4"/>
  <c r="K332" i="4" s="1"/>
  <c r="I333" i="4" s="1"/>
  <c r="J333" i="4" s="1"/>
  <c r="O325" i="5"/>
  <c r="M326" i="5" s="1"/>
  <c r="G308" i="5"/>
  <c r="E309" i="5" s="1"/>
  <c r="W285" i="4"/>
  <c r="Y285" i="4"/>
  <c r="K328" i="5" l="1"/>
  <c r="I329" i="5" s="1"/>
  <c r="L329" i="5" s="1"/>
  <c r="E246" i="6"/>
  <c r="D246" i="6" s="1"/>
  <c r="F246" i="6" s="1"/>
  <c r="G246" i="6" s="1"/>
  <c r="I246" i="6"/>
  <c r="L333" i="4"/>
  <c r="K333" i="4" s="1"/>
  <c r="I334" i="4" s="1"/>
  <c r="H309" i="5"/>
  <c r="F309" i="5"/>
  <c r="Y277" i="5"/>
  <c r="W277" i="5"/>
  <c r="P326" i="5"/>
  <c r="N326" i="5"/>
  <c r="X285" i="4"/>
  <c r="V286" i="4" s="1"/>
  <c r="N329" i="4"/>
  <c r="P329" i="4"/>
  <c r="H333" i="4"/>
  <c r="F333" i="4"/>
  <c r="J329" i="5" l="1"/>
  <c r="K329" i="5" s="1"/>
  <c r="I330" i="5" s="1"/>
  <c r="G309" i="5"/>
  <c r="E310" i="5" s="1"/>
  <c r="H310" i="5" s="1"/>
  <c r="O326" i="5"/>
  <c r="M327" i="5" s="1"/>
  <c r="C247" i="6"/>
  <c r="H246" i="6"/>
  <c r="X277" i="5"/>
  <c r="V278" i="5" s="1"/>
  <c r="G333" i="4"/>
  <c r="E334" i="4" s="1"/>
  <c r="H334" i="4" s="1"/>
  <c r="O329" i="4"/>
  <c r="M330" i="4" s="1"/>
  <c r="L334" i="4"/>
  <c r="J334" i="4"/>
  <c r="Y286" i="4"/>
  <c r="W286" i="4"/>
  <c r="F310" i="5" l="1"/>
  <c r="G310" i="5" s="1"/>
  <c r="E311" i="5" s="1"/>
  <c r="H311" i="5" s="1"/>
  <c r="I247" i="6"/>
  <c r="E247" i="6"/>
  <c r="D247" i="6" s="1"/>
  <c r="F247" i="6" s="1"/>
  <c r="G247" i="6" s="1"/>
  <c r="Y278" i="5"/>
  <c r="W278" i="5"/>
  <c r="N327" i="5"/>
  <c r="P327" i="5"/>
  <c r="L330" i="5"/>
  <c r="J330" i="5"/>
  <c r="F334" i="4"/>
  <c r="G334" i="4" s="1"/>
  <c r="E335" i="4" s="1"/>
  <c r="F335" i="4" s="1"/>
  <c r="X286" i="4"/>
  <c r="V287" i="4" s="1"/>
  <c r="N330" i="4"/>
  <c r="P330" i="4"/>
  <c r="K334" i="4"/>
  <c r="I335" i="4" s="1"/>
  <c r="F311" i="5" l="1"/>
  <c r="G311" i="5" s="1"/>
  <c r="E312" i="5" s="1"/>
  <c r="C248" i="6"/>
  <c r="H247" i="6"/>
  <c r="K330" i="5"/>
  <c r="I331" i="5" s="1"/>
  <c r="O327" i="5"/>
  <c r="M328" i="5" s="1"/>
  <c r="X278" i="5"/>
  <c r="V279" i="5" s="1"/>
  <c r="O330" i="4"/>
  <c r="M331" i="4" s="1"/>
  <c r="N331" i="4" s="1"/>
  <c r="H335" i="4"/>
  <c r="G335" i="4" s="1"/>
  <c r="E336" i="4" s="1"/>
  <c r="J335" i="4"/>
  <c r="L335" i="4"/>
  <c r="Y287" i="4"/>
  <c r="W287" i="4"/>
  <c r="H312" i="5" l="1"/>
  <c r="F312" i="5"/>
  <c r="I248" i="6"/>
  <c r="E248" i="6"/>
  <c r="D248" i="6" s="1"/>
  <c r="F248" i="6" s="1"/>
  <c r="G248" i="6" s="1"/>
  <c r="L331" i="5"/>
  <c r="J331" i="5"/>
  <c r="P331" i="4"/>
  <c r="O331" i="4" s="1"/>
  <c r="M332" i="4" s="1"/>
  <c r="N328" i="5"/>
  <c r="P328" i="5"/>
  <c r="Y279" i="5"/>
  <c r="W279" i="5"/>
  <c r="K335" i="4"/>
  <c r="I336" i="4" s="1"/>
  <c r="L336" i="4" s="1"/>
  <c r="H336" i="4"/>
  <c r="F336" i="4"/>
  <c r="X287" i="4"/>
  <c r="V288" i="4" s="1"/>
  <c r="G312" i="5" l="1"/>
  <c r="E313" i="5" s="1"/>
  <c r="H313" i="5" s="1"/>
  <c r="K331" i="5"/>
  <c r="I332" i="5" s="1"/>
  <c r="L332" i="5" s="1"/>
  <c r="H248" i="6"/>
  <c r="C249" i="6"/>
  <c r="O328" i="5"/>
  <c r="M329" i="5" s="1"/>
  <c r="X279" i="5"/>
  <c r="V280" i="5" s="1"/>
  <c r="J336" i="4"/>
  <c r="K336" i="4" s="1"/>
  <c r="I337" i="4" s="1"/>
  <c r="G336" i="4"/>
  <c r="E337" i="4" s="1"/>
  <c r="P332" i="4"/>
  <c r="N332" i="4"/>
  <c r="W288" i="4"/>
  <c r="Y288" i="4"/>
  <c r="F313" i="5" l="1"/>
  <c r="G313" i="5" s="1"/>
  <c r="E314" i="5" s="1"/>
  <c r="H314" i="5" s="1"/>
  <c r="J332" i="5"/>
  <c r="K332" i="5" s="1"/>
  <c r="I333" i="5" s="1"/>
  <c r="J333" i="5" s="1"/>
  <c r="E249" i="6"/>
  <c r="D249" i="6" s="1"/>
  <c r="F249" i="6" s="1"/>
  <c r="G249" i="6" s="1"/>
  <c r="I249" i="6"/>
  <c r="X288" i="4"/>
  <c r="V289" i="4" s="1"/>
  <c r="Y280" i="5"/>
  <c r="W280" i="5"/>
  <c r="P329" i="5"/>
  <c r="N329" i="5"/>
  <c r="O332" i="4"/>
  <c r="M333" i="4" s="1"/>
  <c r="P333" i="4" s="1"/>
  <c r="H337" i="4"/>
  <c r="F337" i="4"/>
  <c r="L337" i="4"/>
  <c r="J337" i="4"/>
  <c r="F314" i="5" l="1"/>
  <c r="G314" i="5" s="1"/>
  <c r="E315" i="5" s="1"/>
  <c r="F315" i="5" s="1"/>
  <c r="L333" i="5"/>
  <c r="K333" i="5" s="1"/>
  <c r="I334" i="5" s="1"/>
  <c r="C250" i="6"/>
  <c r="H249" i="6"/>
  <c r="X280" i="5"/>
  <c r="V281" i="5" s="1"/>
  <c r="O329" i="5"/>
  <c r="M330" i="5" s="1"/>
  <c r="P330" i="5" s="1"/>
  <c r="N333" i="4"/>
  <c r="O333" i="4" s="1"/>
  <c r="M334" i="4" s="1"/>
  <c r="K337" i="4"/>
  <c r="I338" i="4" s="1"/>
  <c r="L338" i="4" s="1"/>
  <c r="G337" i="4"/>
  <c r="E338" i="4" s="1"/>
  <c r="F338" i="4" s="1"/>
  <c r="Y289" i="4"/>
  <c r="W289" i="4"/>
  <c r="L334" i="5" l="1"/>
  <c r="J334" i="5"/>
  <c r="J338" i="4"/>
  <c r="K338" i="4" s="1"/>
  <c r="I339" i="4" s="1"/>
  <c r="H315" i="5"/>
  <c r="G315" i="5" s="1"/>
  <c r="E316" i="5" s="1"/>
  <c r="N330" i="5"/>
  <c r="O330" i="5" s="1"/>
  <c r="M331" i="5" s="1"/>
  <c r="N331" i="5" s="1"/>
  <c r="H338" i="4"/>
  <c r="G338" i="4" s="1"/>
  <c r="E339" i="4" s="1"/>
  <c r="I250" i="6"/>
  <c r="E250" i="6"/>
  <c r="D250" i="6" s="1"/>
  <c r="F250" i="6" s="1"/>
  <c r="G250" i="6" s="1"/>
  <c r="N334" i="4"/>
  <c r="P334" i="4"/>
  <c r="Y281" i="5"/>
  <c r="W281" i="5"/>
  <c r="X289" i="4"/>
  <c r="V290" i="4" s="1"/>
  <c r="K334" i="5" l="1"/>
  <c r="I335" i="5" s="1"/>
  <c r="L335" i="5" s="1"/>
  <c r="L339" i="4"/>
  <c r="J339" i="4"/>
  <c r="H339" i="4"/>
  <c r="F339" i="4"/>
  <c r="P331" i="5"/>
  <c r="O331" i="5" s="1"/>
  <c r="M332" i="5" s="1"/>
  <c r="O334" i="4"/>
  <c r="M335" i="4" s="1"/>
  <c r="P335" i="4" s="1"/>
  <c r="C251" i="6"/>
  <c r="H250" i="6"/>
  <c r="X281" i="5"/>
  <c r="V282" i="5" s="1"/>
  <c r="H316" i="5"/>
  <c r="F316" i="5"/>
  <c r="Y290" i="4"/>
  <c r="W290" i="4"/>
  <c r="J335" i="5" l="1"/>
  <c r="K335" i="5" s="1"/>
  <c r="I336" i="5" s="1"/>
  <c r="L336" i="5" s="1"/>
  <c r="G339" i="4"/>
  <c r="E340" i="4" s="1"/>
  <c r="H340" i="4" s="1"/>
  <c r="K339" i="4"/>
  <c r="I340" i="4" s="1"/>
  <c r="J340" i="4" s="1"/>
  <c r="N335" i="4"/>
  <c r="O335" i="4" s="1"/>
  <c r="M336" i="4" s="1"/>
  <c r="N336" i="4" s="1"/>
  <c r="I251" i="6"/>
  <c r="E251" i="6"/>
  <c r="D251" i="6" s="1"/>
  <c r="F251" i="6" s="1"/>
  <c r="G251" i="6" s="1"/>
  <c r="G316" i="5"/>
  <c r="E317" i="5" s="1"/>
  <c r="N332" i="5"/>
  <c r="P332" i="5"/>
  <c r="Y282" i="5"/>
  <c r="W282" i="5"/>
  <c r="X290" i="4"/>
  <c r="V291" i="4" s="1"/>
  <c r="F340" i="4" l="1"/>
  <c r="G340" i="4" s="1"/>
  <c r="E341" i="4" s="1"/>
  <c r="F341" i="4" s="1"/>
  <c r="L340" i="4"/>
  <c r="K340" i="4" s="1"/>
  <c r="I341" i="4" s="1"/>
  <c r="J341" i="4" s="1"/>
  <c r="J336" i="5"/>
  <c r="K336" i="5" s="1"/>
  <c r="I337" i="5" s="1"/>
  <c r="P336" i="4"/>
  <c r="O336" i="4" s="1"/>
  <c r="M337" i="4" s="1"/>
  <c r="C252" i="6"/>
  <c r="H251" i="6"/>
  <c r="O332" i="5"/>
  <c r="M333" i="5" s="1"/>
  <c r="X282" i="5"/>
  <c r="V283" i="5" s="1"/>
  <c r="H317" i="5"/>
  <c r="F317" i="5"/>
  <c r="Y291" i="4"/>
  <c r="W291" i="4"/>
  <c r="L341" i="4" l="1"/>
  <c r="K341" i="4" s="1"/>
  <c r="I342" i="4" s="1"/>
  <c r="L342" i="4" s="1"/>
  <c r="H341" i="4"/>
  <c r="G341" i="4" s="1"/>
  <c r="E342" i="4" s="1"/>
  <c r="I252" i="6"/>
  <c r="E252" i="6"/>
  <c r="D252" i="6" s="1"/>
  <c r="F252" i="6" s="1"/>
  <c r="G252" i="6" s="1"/>
  <c r="L337" i="5"/>
  <c r="J337" i="5"/>
  <c r="W283" i="5"/>
  <c r="Y283" i="5"/>
  <c r="G317" i="5"/>
  <c r="E318" i="5" s="1"/>
  <c r="N333" i="5"/>
  <c r="P333" i="5"/>
  <c r="P337" i="4"/>
  <c r="N337" i="4"/>
  <c r="X291" i="4"/>
  <c r="V292" i="4" s="1"/>
  <c r="H252" i="6" l="1"/>
  <c r="C253" i="6"/>
  <c r="J342" i="4"/>
  <c r="K342" i="4" s="1"/>
  <c r="I343" i="4" s="1"/>
  <c r="L343" i="4" s="1"/>
  <c r="O333" i="5"/>
  <c r="M334" i="5" s="1"/>
  <c r="N334" i="5" s="1"/>
  <c r="K337" i="5"/>
  <c r="I338" i="5" s="1"/>
  <c r="H318" i="5"/>
  <c r="F318" i="5"/>
  <c r="X283" i="5"/>
  <c r="V284" i="5" s="1"/>
  <c r="O337" i="4"/>
  <c r="M338" i="4" s="1"/>
  <c r="Y292" i="4"/>
  <c r="W292" i="4"/>
  <c r="F342" i="4"/>
  <c r="H342" i="4"/>
  <c r="J343" i="4" l="1"/>
  <c r="K343" i="4" s="1"/>
  <c r="I344" i="4" s="1"/>
  <c r="L344" i="4" s="1"/>
  <c r="I253" i="6"/>
  <c r="E253" i="6"/>
  <c r="D253" i="6" s="1"/>
  <c r="F253" i="6" s="1"/>
  <c r="G253" i="6" s="1"/>
  <c r="P334" i="5"/>
  <c r="O334" i="5" s="1"/>
  <c r="M335" i="5" s="1"/>
  <c r="L338" i="5"/>
  <c r="J338" i="5"/>
  <c r="Y284" i="5"/>
  <c r="W284" i="5"/>
  <c r="G318" i="5"/>
  <c r="E319" i="5" s="1"/>
  <c r="N338" i="4"/>
  <c r="P338" i="4"/>
  <c r="G342" i="4"/>
  <c r="E343" i="4" s="1"/>
  <c r="X292" i="4"/>
  <c r="V293" i="4" s="1"/>
  <c r="J344" i="4" l="1"/>
  <c r="K344" i="4" s="1"/>
  <c r="I345" i="4" s="1"/>
  <c r="P335" i="5"/>
  <c r="N335" i="5"/>
  <c r="O338" i="4"/>
  <c r="M339" i="4" s="1"/>
  <c r="C254" i="6"/>
  <c r="H253" i="6"/>
  <c r="X284" i="5"/>
  <c r="V285" i="5" s="1"/>
  <c r="K338" i="5"/>
  <c r="I339" i="5" s="1"/>
  <c r="F319" i="5"/>
  <c r="H319" i="5"/>
  <c r="Y293" i="4"/>
  <c r="W293" i="4"/>
  <c r="F343" i="4"/>
  <c r="H343" i="4"/>
  <c r="O335" i="5" l="1"/>
  <c r="M336" i="5" s="1"/>
  <c r="N336" i="5" s="1"/>
  <c r="E254" i="6"/>
  <c r="D254" i="6" s="1"/>
  <c r="F254" i="6" s="1"/>
  <c r="G254" i="6" s="1"/>
  <c r="I254" i="6"/>
  <c r="L339" i="5"/>
  <c r="J339" i="5"/>
  <c r="G319" i="5"/>
  <c r="E320" i="5" s="1"/>
  <c r="Y285" i="5"/>
  <c r="W285" i="5"/>
  <c r="N339" i="4"/>
  <c r="P339" i="4"/>
  <c r="G343" i="4"/>
  <c r="E344" i="4" s="1"/>
  <c r="H344" i="4" s="1"/>
  <c r="L345" i="4"/>
  <c r="J345" i="4"/>
  <c r="X293" i="4"/>
  <c r="V294" i="4" s="1"/>
  <c r="P336" i="5" l="1"/>
  <c r="O336" i="5" s="1"/>
  <c r="M337" i="5" s="1"/>
  <c r="K345" i="4"/>
  <c r="I346" i="4" s="1"/>
  <c r="O339" i="4"/>
  <c r="M340" i="4" s="1"/>
  <c r="C255" i="6"/>
  <c r="H254" i="6"/>
  <c r="X285" i="5"/>
  <c r="V286" i="5" s="1"/>
  <c r="K339" i="5"/>
  <c r="I340" i="5" s="1"/>
  <c r="F320" i="5"/>
  <c r="H320" i="5"/>
  <c r="F344" i="4"/>
  <c r="G344" i="4" s="1"/>
  <c r="E345" i="4" s="1"/>
  <c r="W294" i="4"/>
  <c r="Y294" i="4"/>
  <c r="X294" i="4" l="1"/>
  <c r="V295" i="4" s="1"/>
  <c r="I255" i="6"/>
  <c r="E255" i="6"/>
  <c r="D255" i="6" s="1"/>
  <c r="F255" i="6" s="1"/>
  <c r="G255" i="6" s="1"/>
  <c r="G320" i="5"/>
  <c r="E321" i="5" s="1"/>
  <c r="J340" i="5"/>
  <c r="L340" i="5"/>
  <c r="Y286" i="5"/>
  <c r="W286" i="5"/>
  <c r="P337" i="5"/>
  <c r="N337" i="5"/>
  <c r="N340" i="4"/>
  <c r="P340" i="4"/>
  <c r="H345" i="4"/>
  <c r="F345" i="4"/>
  <c r="L346" i="4"/>
  <c r="J346" i="4"/>
  <c r="O337" i="5" l="1"/>
  <c r="M338" i="5" s="1"/>
  <c r="P338" i="5" s="1"/>
  <c r="K340" i="5"/>
  <c r="I341" i="5" s="1"/>
  <c r="J341" i="5" s="1"/>
  <c r="C256" i="6"/>
  <c r="H255" i="6"/>
  <c r="G345" i="4"/>
  <c r="E346" i="4" s="1"/>
  <c r="X286" i="5"/>
  <c r="V287" i="5" s="1"/>
  <c r="H321" i="5"/>
  <c r="F321" i="5"/>
  <c r="O340" i="4"/>
  <c r="M341" i="4" s="1"/>
  <c r="K346" i="4"/>
  <c r="I347" i="4" s="1"/>
  <c r="W295" i="4"/>
  <c r="Y295" i="4"/>
  <c r="X295" i="4" l="1"/>
  <c r="V296" i="4" s="1"/>
  <c r="N338" i="5"/>
  <c r="O338" i="5" s="1"/>
  <c r="M339" i="5" s="1"/>
  <c r="P339" i="5" s="1"/>
  <c r="L341" i="5"/>
  <c r="K341" i="5" s="1"/>
  <c r="I342" i="5" s="1"/>
  <c r="I256" i="6"/>
  <c r="E256" i="6"/>
  <c r="D256" i="6" s="1"/>
  <c r="F256" i="6" s="1"/>
  <c r="G256" i="6" s="1"/>
  <c r="G321" i="5"/>
  <c r="E322" i="5" s="1"/>
  <c r="W287" i="5"/>
  <c r="Y287" i="5"/>
  <c r="P341" i="4"/>
  <c r="N341" i="4"/>
  <c r="J347" i="4"/>
  <c r="L347" i="4"/>
  <c r="H346" i="4"/>
  <c r="F346" i="4"/>
  <c r="N339" i="5" l="1"/>
  <c r="O339" i="5" s="1"/>
  <c r="M340" i="5" s="1"/>
  <c r="J342" i="5"/>
  <c r="L342" i="5"/>
  <c r="O341" i="4"/>
  <c r="M342" i="4" s="1"/>
  <c r="P342" i="4" s="1"/>
  <c r="C257" i="6"/>
  <c r="H256" i="6"/>
  <c r="H322" i="5"/>
  <c r="F322" i="5"/>
  <c r="X287" i="5"/>
  <c r="V288" i="5" s="1"/>
  <c r="G346" i="4"/>
  <c r="E347" i="4" s="1"/>
  <c r="H347" i="4" s="1"/>
  <c r="K347" i="4"/>
  <c r="I348" i="4" s="1"/>
  <c r="Y296" i="4"/>
  <c r="W296" i="4"/>
  <c r="K342" i="5" l="1"/>
  <c r="I343" i="5" s="1"/>
  <c r="L343" i="5" s="1"/>
  <c r="N342" i="4"/>
  <c r="O342" i="4" s="1"/>
  <c r="M343" i="4" s="1"/>
  <c r="N343" i="4" s="1"/>
  <c r="I257" i="6"/>
  <c r="E257" i="6"/>
  <c r="D257" i="6" s="1"/>
  <c r="F257" i="6" s="1"/>
  <c r="G257" i="6" s="1"/>
  <c r="G322" i="5"/>
  <c r="E323" i="5" s="1"/>
  <c r="W288" i="5"/>
  <c r="Y288" i="5"/>
  <c r="N340" i="5"/>
  <c r="P340" i="5"/>
  <c r="F347" i="4"/>
  <c r="G347" i="4" s="1"/>
  <c r="E348" i="4" s="1"/>
  <c r="H348" i="4" s="1"/>
  <c r="J348" i="4"/>
  <c r="L348" i="4"/>
  <c r="X296" i="4"/>
  <c r="V297" i="4" s="1"/>
  <c r="J343" i="5" l="1"/>
  <c r="K343" i="5" s="1"/>
  <c r="I344" i="5" s="1"/>
  <c r="X288" i="5"/>
  <c r="V289" i="5" s="1"/>
  <c r="C258" i="6"/>
  <c r="H257" i="6"/>
  <c r="F348" i="4"/>
  <c r="G348" i="4" s="1"/>
  <c r="E349" i="4" s="1"/>
  <c r="F349" i="4" s="1"/>
  <c r="P343" i="4"/>
  <c r="O343" i="4" s="1"/>
  <c r="M344" i="4" s="1"/>
  <c r="N344" i="4" s="1"/>
  <c r="K348" i="4"/>
  <c r="I349" i="4" s="1"/>
  <c r="O340" i="5"/>
  <c r="M341" i="5" s="1"/>
  <c r="P341" i="5" s="1"/>
  <c r="H323" i="5"/>
  <c r="F323" i="5"/>
  <c r="Y297" i="4"/>
  <c r="W297" i="4"/>
  <c r="N341" i="5" l="1"/>
  <c r="O341" i="5" s="1"/>
  <c r="M342" i="5" s="1"/>
  <c r="H349" i="4"/>
  <c r="G349" i="4" s="1"/>
  <c r="E350" i="4" s="1"/>
  <c r="P344" i="4"/>
  <c r="O344" i="4" s="1"/>
  <c r="M345" i="4" s="1"/>
  <c r="N345" i="4" s="1"/>
  <c r="I258" i="6"/>
  <c r="E258" i="6"/>
  <c r="D258" i="6" s="1"/>
  <c r="F258" i="6" s="1"/>
  <c r="G258" i="6" s="1"/>
  <c r="L344" i="5"/>
  <c r="J344" i="5"/>
  <c r="G323" i="5"/>
  <c r="E324" i="5" s="1"/>
  <c r="Y289" i="5"/>
  <c r="W289" i="5"/>
  <c r="X297" i="4"/>
  <c r="V298" i="4" s="1"/>
  <c r="L349" i="4"/>
  <c r="J349" i="4"/>
  <c r="N342" i="5" l="1"/>
  <c r="P342" i="5"/>
  <c r="K344" i="5"/>
  <c r="I345" i="5" s="1"/>
  <c r="L345" i="5" s="1"/>
  <c r="K349" i="4"/>
  <c r="I350" i="4" s="1"/>
  <c r="L350" i="4" s="1"/>
  <c r="H350" i="4"/>
  <c r="F350" i="4"/>
  <c r="H258" i="6"/>
  <c r="C259" i="6"/>
  <c r="P345" i="4"/>
  <c r="O345" i="4" s="1"/>
  <c r="M346" i="4" s="1"/>
  <c r="N346" i="4" s="1"/>
  <c r="X289" i="5"/>
  <c r="V290" i="5" s="1"/>
  <c r="F324" i="5"/>
  <c r="H324" i="5"/>
  <c r="Y298" i="4"/>
  <c r="W298" i="4"/>
  <c r="J345" i="5" l="1"/>
  <c r="K345" i="5" s="1"/>
  <c r="I346" i="5" s="1"/>
  <c r="J346" i="5" s="1"/>
  <c r="G350" i="4"/>
  <c r="E351" i="4" s="1"/>
  <c r="H351" i="4" s="1"/>
  <c r="O342" i="5"/>
  <c r="M343" i="5" s="1"/>
  <c r="P343" i="5" s="1"/>
  <c r="J350" i="4"/>
  <c r="K350" i="4" s="1"/>
  <c r="I351" i="4" s="1"/>
  <c r="L351" i="4" s="1"/>
  <c r="P346" i="4"/>
  <c r="O346" i="4" s="1"/>
  <c r="M347" i="4" s="1"/>
  <c r="N347" i="4" s="1"/>
  <c r="E259" i="6"/>
  <c r="D259" i="6" s="1"/>
  <c r="F259" i="6" s="1"/>
  <c r="G259" i="6" s="1"/>
  <c r="I259" i="6"/>
  <c r="Y290" i="5"/>
  <c r="W290" i="5"/>
  <c r="G324" i="5"/>
  <c r="E325" i="5" s="1"/>
  <c r="X298" i="4"/>
  <c r="V299" i="4" s="1"/>
  <c r="N343" i="5" l="1"/>
  <c r="O343" i="5" s="1"/>
  <c r="M344" i="5" s="1"/>
  <c r="N344" i="5" s="1"/>
  <c r="F351" i="4"/>
  <c r="G351" i="4" s="1"/>
  <c r="E352" i="4" s="1"/>
  <c r="F352" i="4" s="1"/>
  <c r="P347" i="4"/>
  <c r="O347" i="4" s="1"/>
  <c r="M348" i="4" s="1"/>
  <c r="J351" i="4"/>
  <c r="K351" i="4" s="1"/>
  <c r="I352" i="4" s="1"/>
  <c r="H259" i="6"/>
  <c r="C260" i="6"/>
  <c r="L346" i="5"/>
  <c r="K346" i="5" s="1"/>
  <c r="I347" i="5" s="1"/>
  <c r="X290" i="5"/>
  <c r="V291" i="5" s="1"/>
  <c r="Y291" i="5" s="1"/>
  <c r="H325" i="5"/>
  <c r="F325" i="5"/>
  <c r="W299" i="4"/>
  <c r="Y299" i="4"/>
  <c r="P344" i="5" l="1"/>
  <c r="O344" i="5" s="1"/>
  <c r="M345" i="5" s="1"/>
  <c r="N345" i="5" s="1"/>
  <c r="H352" i="4"/>
  <c r="G352" i="4" s="1"/>
  <c r="E353" i="4" s="1"/>
  <c r="F353" i="4" s="1"/>
  <c r="W291" i="5"/>
  <c r="X291" i="5" s="1"/>
  <c r="V292" i="5" s="1"/>
  <c r="Y292" i="5" s="1"/>
  <c r="G325" i="5"/>
  <c r="E326" i="5" s="1"/>
  <c r="E260" i="6"/>
  <c r="D260" i="6" s="1"/>
  <c r="F260" i="6" s="1"/>
  <c r="G260" i="6" s="1"/>
  <c r="I260" i="6"/>
  <c r="L347" i="5"/>
  <c r="J347" i="5"/>
  <c r="P348" i="4"/>
  <c r="N348" i="4"/>
  <c r="X299" i="4"/>
  <c r="V300" i="4" s="1"/>
  <c r="L352" i="4"/>
  <c r="J352" i="4"/>
  <c r="H353" i="4" l="1"/>
  <c r="G353" i="4" s="1"/>
  <c r="E354" i="4" s="1"/>
  <c r="K347" i="5"/>
  <c r="I348" i="5" s="1"/>
  <c r="L348" i="5" s="1"/>
  <c r="P345" i="5"/>
  <c r="O345" i="5" s="1"/>
  <c r="M346" i="5" s="1"/>
  <c r="W292" i="5"/>
  <c r="X292" i="5" s="1"/>
  <c r="V293" i="5" s="1"/>
  <c r="C261" i="6"/>
  <c r="H260" i="6"/>
  <c r="H326" i="5"/>
  <c r="F326" i="5"/>
  <c r="O348" i="4"/>
  <c r="M349" i="4" s="1"/>
  <c r="W300" i="4"/>
  <c r="Y300" i="4"/>
  <c r="K352" i="4"/>
  <c r="I353" i="4" s="1"/>
  <c r="J348" i="5" l="1"/>
  <c r="K348" i="5" s="1"/>
  <c r="I349" i="5" s="1"/>
  <c r="P346" i="5"/>
  <c r="N346" i="5"/>
  <c r="I261" i="6"/>
  <c r="E261" i="6"/>
  <c r="D261" i="6" s="1"/>
  <c r="F261" i="6" s="1"/>
  <c r="G261" i="6" s="1"/>
  <c r="G326" i="5"/>
  <c r="E327" i="5" s="1"/>
  <c r="F327" i="5" s="1"/>
  <c r="Y293" i="5"/>
  <c r="W293" i="5"/>
  <c r="P349" i="4"/>
  <c r="N349" i="4"/>
  <c r="L353" i="4"/>
  <c r="J353" i="4"/>
  <c r="X300" i="4"/>
  <c r="V301" i="4" s="1"/>
  <c r="H354" i="4"/>
  <c r="F354" i="4"/>
  <c r="O346" i="5" l="1"/>
  <c r="M347" i="5" s="1"/>
  <c r="N347" i="5" s="1"/>
  <c r="H327" i="5"/>
  <c r="G327" i="5" s="1"/>
  <c r="E328" i="5" s="1"/>
  <c r="F328" i="5" s="1"/>
  <c r="O349" i="4"/>
  <c r="M350" i="4" s="1"/>
  <c r="N350" i="4" s="1"/>
  <c r="C262" i="6"/>
  <c r="H261" i="6"/>
  <c r="K353" i="4"/>
  <c r="I354" i="4" s="1"/>
  <c r="J354" i="4" s="1"/>
  <c r="X293" i="5"/>
  <c r="V294" i="5" s="1"/>
  <c r="L349" i="5"/>
  <c r="J349" i="5"/>
  <c r="W301" i="4"/>
  <c r="Y301" i="4"/>
  <c r="G354" i="4"/>
  <c r="E355" i="4" s="1"/>
  <c r="P347" i="5" l="1"/>
  <c r="O347" i="5" s="1"/>
  <c r="M348" i="5" s="1"/>
  <c r="P348" i="5" s="1"/>
  <c r="H328" i="5"/>
  <c r="G328" i="5" s="1"/>
  <c r="E329" i="5" s="1"/>
  <c r="H329" i="5" s="1"/>
  <c r="P350" i="4"/>
  <c r="O350" i="4" s="1"/>
  <c r="M351" i="4" s="1"/>
  <c r="K349" i="5"/>
  <c r="I350" i="5" s="1"/>
  <c r="L350" i="5" s="1"/>
  <c r="L354" i="4"/>
  <c r="K354" i="4" s="1"/>
  <c r="I355" i="4" s="1"/>
  <c r="I262" i="6"/>
  <c r="E262" i="6"/>
  <c r="D262" i="6" s="1"/>
  <c r="F262" i="6" s="1"/>
  <c r="G262" i="6" s="1"/>
  <c r="X301" i="4"/>
  <c r="V302" i="4" s="1"/>
  <c r="Y294" i="5"/>
  <c r="W294" i="5"/>
  <c r="F355" i="4"/>
  <c r="H355" i="4"/>
  <c r="N348" i="5" l="1"/>
  <c r="O348" i="5" s="1"/>
  <c r="M349" i="5" s="1"/>
  <c r="J350" i="5"/>
  <c r="K350" i="5" s="1"/>
  <c r="I351" i="5" s="1"/>
  <c r="L351" i="5" s="1"/>
  <c r="L355" i="4"/>
  <c r="J355" i="4"/>
  <c r="P351" i="4"/>
  <c r="N351" i="4"/>
  <c r="F329" i="5"/>
  <c r="G329" i="5" s="1"/>
  <c r="E330" i="5" s="1"/>
  <c r="G355" i="4"/>
  <c r="E356" i="4" s="1"/>
  <c r="F356" i="4" s="1"/>
  <c r="C263" i="6"/>
  <c r="H262" i="6"/>
  <c r="X294" i="5"/>
  <c r="V295" i="5" s="1"/>
  <c r="Y302" i="4"/>
  <c r="W302" i="4"/>
  <c r="K355" i="4" l="1"/>
  <c r="I356" i="4" s="1"/>
  <c r="L356" i="4" s="1"/>
  <c r="O351" i="4"/>
  <c r="M352" i="4" s="1"/>
  <c r="N352" i="4" s="1"/>
  <c r="J351" i="5"/>
  <c r="K351" i="5" s="1"/>
  <c r="I352" i="5" s="1"/>
  <c r="H356" i="4"/>
  <c r="G356" i="4" s="1"/>
  <c r="E357" i="4" s="1"/>
  <c r="I263" i="6"/>
  <c r="E263" i="6"/>
  <c r="D263" i="6" s="1"/>
  <c r="F263" i="6" s="1"/>
  <c r="G263" i="6" s="1"/>
  <c r="P349" i="5"/>
  <c r="N349" i="5"/>
  <c r="H330" i="5"/>
  <c r="F330" i="5"/>
  <c r="W295" i="5"/>
  <c r="Y295" i="5"/>
  <c r="X302" i="4"/>
  <c r="V303" i="4" s="1"/>
  <c r="J356" i="4" l="1"/>
  <c r="K356" i="4" s="1"/>
  <c r="I357" i="4" s="1"/>
  <c r="L357" i="4" s="1"/>
  <c r="P352" i="4"/>
  <c r="O352" i="4" s="1"/>
  <c r="M353" i="4" s="1"/>
  <c r="C264" i="6"/>
  <c r="H263" i="6"/>
  <c r="X295" i="5"/>
  <c r="V296" i="5" s="1"/>
  <c r="J352" i="5"/>
  <c r="L352" i="5"/>
  <c r="G330" i="5"/>
  <c r="E331" i="5" s="1"/>
  <c r="O349" i="5"/>
  <c r="M350" i="5" s="1"/>
  <c r="P350" i="5" s="1"/>
  <c r="Y303" i="4"/>
  <c r="W303" i="4"/>
  <c r="H357" i="4"/>
  <c r="F357" i="4"/>
  <c r="J357" i="4" l="1"/>
  <c r="K357" i="4" s="1"/>
  <c r="I358" i="4" s="1"/>
  <c r="J358" i="4" s="1"/>
  <c r="K352" i="5"/>
  <c r="I353" i="5" s="1"/>
  <c r="L353" i="5" s="1"/>
  <c r="E264" i="6"/>
  <c r="D264" i="6" s="1"/>
  <c r="F264" i="6" s="1"/>
  <c r="G264" i="6" s="1"/>
  <c r="I264" i="6"/>
  <c r="N350" i="5"/>
  <c r="O350" i="5" s="1"/>
  <c r="M351" i="5" s="1"/>
  <c r="Y296" i="5"/>
  <c r="W296" i="5"/>
  <c r="F331" i="5"/>
  <c r="H331" i="5"/>
  <c r="G357" i="4"/>
  <c r="E358" i="4" s="1"/>
  <c r="N353" i="4"/>
  <c r="P353" i="4"/>
  <c r="X303" i="4"/>
  <c r="V304" i="4" s="1"/>
  <c r="L358" i="4" l="1"/>
  <c r="K358" i="4" s="1"/>
  <c r="I359" i="4" s="1"/>
  <c r="L359" i="4" s="1"/>
  <c r="J353" i="5"/>
  <c r="K353" i="5" s="1"/>
  <c r="I354" i="5" s="1"/>
  <c r="L354" i="5" s="1"/>
  <c r="O353" i="4"/>
  <c r="M354" i="4" s="1"/>
  <c r="N354" i="4" s="1"/>
  <c r="H264" i="6"/>
  <c r="C265" i="6"/>
  <c r="H358" i="4"/>
  <c r="F358" i="4"/>
  <c r="X296" i="5"/>
  <c r="V297" i="5" s="1"/>
  <c r="G331" i="5"/>
  <c r="E332" i="5" s="1"/>
  <c r="N351" i="5"/>
  <c r="P351" i="5"/>
  <c r="Y304" i="4"/>
  <c r="W304" i="4"/>
  <c r="P354" i="4" l="1"/>
  <c r="O354" i="4" s="1"/>
  <c r="M355" i="4" s="1"/>
  <c r="J354" i="5"/>
  <c r="K354" i="5" s="1"/>
  <c r="I355" i="5" s="1"/>
  <c r="J355" i="5" s="1"/>
  <c r="G358" i="4"/>
  <c r="E359" i="4" s="1"/>
  <c r="H359" i="4" s="1"/>
  <c r="I265" i="6"/>
  <c r="E265" i="6"/>
  <c r="D265" i="6" s="1"/>
  <c r="F265" i="6" s="1"/>
  <c r="G265" i="6" s="1"/>
  <c r="O351" i="5"/>
  <c r="M352" i="5" s="1"/>
  <c r="Y297" i="5"/>
  <c r="W297" i="5"/>
  <c r="F332" i="5"/>
  <c r="H332" i="5"/>
  <c r="J359" i="4"/>
  <c r="K359" i="4" s="1"/>
  <c r="I360" i="4" s="1"/>
  <c r="X304" i="4"/>
  <c r="V305" i="4" s="1"/>
  <c r="L355" i="5" l="1"/>
  <c r="K355" i="5" s="1"/>
  <c r="I356" i="5" s="1"/>
  <c r="J356" i="5" s="1"/>
  <c r="F359" i="4"/>
  <c r="G359" i="4" s="1"/>
  <c r="E360" i="4" s="1"/>
  <c r="H360" i="4" s="1"/>
  <c r="L360" i="4"/>
  <c r="J360" i="4"/>
  <c r="H265" i="6"/>
  <c r="C266" i="6"/>
  <c r="G332" i="5"/>
  <c r="E333" i="5" s="1"/>
  <c r="H333" i="5" s="1"/>
  <c r="N352" i="5"/>
  <c r="P352" i="5"/>
  <c r="X297" i="5"/>
  <c r="V298" i="5" s="1"/>
  <c r="P355" i="4"/>
  <c r="N355" i="4"/>
  <c r="Y305" i="4"/>
  <c r="W305" i="4"/>
  <c r="L356" i="5" l="1"/>
  <c r="K356" i="5" s="1"/>
  <c r="I357" i="5" s="1"/>
  <c r="F360" i="4"/>
  <c r="G360" i="4" s="1"/>
  <c r="E361" i="4" s="1"/>
  <c r="F361" i="4" s="1"/>
  <c r="K360" i="4"/>
  <c r="I361" i="4" s="1"/>
  <c r="L361" i="4" s="1"/>
  <c r="O355" i="4"/>
  <c r="M356" i="4" s="1"/>
  <c r="P356" i="4" s="1"/>
  <c r="F333" i="5"/>
  <c r="G333" i="5" s="1"/>
  <c r="E334" i="5" s="1"/>
  <c r="F334" i="5" s="1"/>
  <c r="I266" i="6"/>
  <c r="E266" i="6"/>
  <c r="D266" i="6" s="1"/>
  <c r="F266" i="6" s="1"/>
  <c r="G266" i="6" s="1"/>
  <c r="O352" i="5"/>
  <c r="M353" i="5" s="1"/>
  <c r="P353" i="5" s="1"/>
  <c r="Y298" i="5"/>
  <c r="W298" i="5"/>
  <c r="X305" i="4"/>
  <c r="V306" i="4" s="1"/>
  <c r="Y306" i="4" s="1"/>
  <c r="H334" i="5" l="1"/>
  <c r="G334" i="5" s="1"/>
  <c r="E335" i="5" s="1"/>
  <c r="H335" i="5" s="1"/>
  <c r="J361" i="4"/>
  <c r="K361" i="4" s="1"/>
  <c r="I362" i="4" s="1"/>
  <c r="L362" i="4" s="1"/>
  <c r="N356" i="4"/>
  <c r="O356" i="4" s="1"/>
  <c r="M357" i="4" s="1"/>
  <c r="N353" i="5"/>
  <c r="O353" i="5" s="1"/>
  <c r="M354" i="5" s="1"/>
  <c r="N354" i="5" s="1"/>
  <c r="C267" i="6"/>
  <c r="H266" i="6"/>
  <c r="H361" i="4"/>
  <c r="G361" i="4" s="1"/>
  <c r="E362" i="4" s="1"/>
  <c r="L357" i="5"/>
  <c r="J357" i="5"/>
  <c r="X298" i="5"/>
  <c r="V299" i="5" s="1"/>
  <c r="W306" i="4"/>
  <c r="X306" i="4" s="1"/>
  <c r="V307" i="4" s="1"/>
  <c r="W307" i="4" s="1"/>
  <c r="J362" i="4" l="1"/>
  <c r="K362" i="4" s="1"/>
  <c r="I363" i="4" s="1"/>
  <c r="F335" i="5"/>
  <c r="G335" i="5" s="1"/>
  <c r="E336" i="5" s="1"/>
  <c r="K357" i="5"/>
  <c r="I358" i="5" s="1"/>
  <c r="L358" i="5" s="1"/>
  <c r="P354" i="5"/>
  <c r="O354" i="5" s="1"/>
  <c r="M355" i="5" s="1"/>
  <c r="N357" i="4"/>
  <c r="P357" i="4"/>
  <c r="E267" i="6"/>
  <c r="D267" i="6" s="1"/>
  <c r="F267" i="6" s="1"/>
  <c r="G267" i="6" s="1"/>
  <c r="I267" i="6"/>
  <c r="W299" i="5"/>
  <c r="Y299" i="5"/>
  <c r="Y307" i="4"/>
  <c r="X307" i="4" s="1"/>
  <c r="H362" i="4"/>
  <c r="F362" i="4"/>
  <c r="J358" i="5" l="1"/>
  <c r="K358" i="5" s="1"/>
  <c r="I359" i="5" s="1"/>
  <c r="J359" i="5" s="1"/>
  <c r="O357" i="4"/>
  <c r="M358" i="4" s="1"/>
  <c r="P358" i="4" s="1"/>
  <c r="F336" i="5"/>
  <c r="H336" i="5"/>
  <c r="V308" i="4"/>
  <c r="W308" i="4" s="1"/>
  <c r="C268" i="6"/>
  <c r="H267" i="6"/>
  <c r="P355" i="5"/>
  <c r="N355" i="5"/>
  <c r="X299" i="5"/>
  <c r="V300" i="5" s="1"/>
  <c r="J363" i="4"/>
  <c r="L363" i="4"/>
  <c r="G362" i="4"/>
  <c r="E363" i="4" s="1"/>
  <c r="H363" i="4" s="1"/>
  <c r="N358" i="4" l="1"/>
  <c r="O358" i="4" s="1"/>
  <c r="M359" i="4" s="1"/>
  <c r="P359" i="4" s="1"/>
  <c r="G336" i="5"/>
  <c r="E337" i="5" s="1"/>
  <c r="F337" i="5" s="1"/>
  <c r="Y308" i="4"/>
  <c r="X308" i="4" s="1"/>
  <c r="V309" i="4" s="1"/>
  <c r="L359" i="5"/>
  <c r="K359" i="5" s="1"/>
  <c r="I360" i="5" s="1"/>
  <c r="J360" i="5" s="1"/>
  <c r="K363" i="4"/>
  <c r="I364" i="4" s="1"/>
  <c r="L364" i="4" s="1"/>
  <c r="I268" i="6"/>
  <c r="E268" i="6"/>
  <c r="D268" i="6" s="1"/>
  <c r="F268" i="6" s="1"/>
  <c r="G268" i="6" s="1"/>
  <c r="O355" i="5"/>
  <c r="M356" i="5" s="1"/>
  <c r="W300" i="5"/>
  <c r="Y300" i="5"/>
  <c r="F363" i="4"/>
  <c r="G363" i="4" s="1"/>
  <c r="E364" i="4" s="1"/>
  <c r="H337" i="5" l="1"/>
  <c r="G337" i="5" s="1"/>
  <c r="E338" i="5" s="1"/>
  <c r="H338" i="5" s="1"/>
  <c r="N359" i="4"/>
  <c r="O359" i="4" s="1"/>
  <c r="M360" i="4" s="1"/>
  <c r="P360" i="4" s="1"/>
  <c r="J364" i="4"/>
  <c r="K364" i="4" s="1"/>
  <c r="I365" i="4" s="1"/>
  <c r="H268" i="6"/>
  <c r="C269" i="6"/>
  <c r="L360" i="5"/>
  <c r="K360" i="5" s="1"/>
  <c r="I361" i="5" s="1"/>
  <c r="P356" i="5"/>
  <c r="N356" i="5"/>
  <c r="X300" i="5"/>
  <c r="V301" i="5" s="1"/>
  <c r="H364" i="4"/>
  <c r="F364" i="4"/>
  <c r="Y309" i="4"/>
  <c r="W309" i="4"/>
  <c r="F338" i="5" l="1"/>
  <c r="G338" i="5" s="1"/>
  <c r="E339" i="5" s="1"/>
  <c r="N360" i="4"/>
  <c r="O360" i="4" s="1"/>
  <c r="M361" i="4" s="1"/>
  <c r="N361" i="4" s="1"/>
  <c r="O356" i="5"/>
  <c r="M357" i="5" s="1"/>
  <c r="G364" i="4"/>
  <c r="E365" i="4" s="1"/>
  <c r="H365" i="4" s="1"/>
  <c r="I269" i="6"/>
  <c r="E269" i="6"/>
  <c r="D269" i="6" s="1"/>
  <c r="F269" i="6" s="1"/>
  <c r="G269" i="6" s="1"/>
  <c r="L361" i="5"/>
  <c r="J361" i="5"/>
  <c r="Y301" i="5"/>
  <c r="W301" i="5"/>
  <c r="X309" i="4"/>
  <c r="V310" i="4" s="1"/>
  <c r="Y310" i="4" s="1"/>
  <c r="L365" i="4"/>
  <c r="J365" i="4"/>
  <c r="P361" i="4" l="1"/>
  <c r="O361" i="4" s="1"/>
  <c r="M362" i="4" s="1"/>
  <c r="F365" i="4"/>
  <c r="G365" i="4" s="1"/>
  <c r="E366" i="4" s="1"/>
  <c r="F366" i="4" s="1"/>
  <c r="K361" i="5"/>
  <c r="I362" i="5" s="1"/>
  <c r="L362" i="5" s="1"/>
  <c r="C270" i="6"/>
  <c r="H269" i="6"/>
  <c r="W310" i="4"/>
  <c r="X310" i="4" s="1"/>
  <c r="V311" i="4" s="1"/>
  <c r="X301" i="5"/>
  <c r="V302" i="5" s="1"/>
  <c r="H339" i="5"/>
  <c r="F339" i="5"/>
  <c r="N357" i="5"/>
  <c r="P357" i="5"/>
  <c r="K365" i="4"/>
  <c r="I366" i="4" s="1"/>
  <c r="J366" i="4" s="1"/>
  <c r="J362" i="5" l="1"/>
  <c r="K362" i="5" s="1"/>
  <c r="I363" i="5" s="1"/>
  <c r="L363" i="5" s="1"/>
  <c r="H366" i="4"/>
  <c r="G366" i="4" s="1"/>
  <c r="E367" i="4" s="1"/>
  <c r="G339" i="5"/>
  <c r="E340" i="5" s="1"/>
  <c r="H340" i="5" s="1"/>
  <c r="E270" i="6"/>
  <c r="D270" i="6" s="1"/>
  <c r="F270" i="6" s="1"/>
  <c r="G270" i="6" s="1"/>
  <c r="I270" i="6"/>
  <c r="L366" i="4"/>
  <c r="K366" i="4" s="1"/>
  <c r="I367" i="4" s="1"/>
  <c r="O357" i="5"/>
  <c r="M358" i="5" s="1"/>
  <c r="Y302" i="5"/>
  <c r="W302" i="5"/>
  <c r="N362" i="4"/>
  <c r="P362" i="4"/>
  <c r="W311" i="4"/>
  <c r="Y311" i="4"/>
  <c r="F340" i="5" l="1"/>
  <c r="G340" i="5" s="1"/>
  <c r="E341" i="5" s="1"/>
  <c r="F341" i="5" s="1"/>
  <c r="J363" i="5"/>
  <c r="K363" i="5" s="1"/>
  <c r="I364" i="5" s="1"/>
  <c r="J364" i="5" s="1"/>
  <c r="X311" i="4"/>
  <c r="V312" i="4" s="1"/>
  <c r="C271" i="6"/>
  <c r="H270" i="6"/>
  <c r="J367" i="4"/>
  <c r="L367" i="4"/>
  <c r="O362" i="4"/>
  <c r="M363" i="4" s="1"/>
  <c r="P358" i="5"/>
  <c r="N358" i="5"/>
  <c r="X302" i="5"/>
  <c r="V303" i="5" s="1"/>
  <c r="H367" i="4"/>
  <c r="F367" i="4"/>
  <c r="L364" i="5" l="1"/>
  <c r="K364" i="5" s="1"/>
  <c r="I365" i="5" s="1"/>
  <c r="J365" i="5" s="1"/>
  <c r="K367" i="4"/>
  <c r="I368" i="4" s="1"/>
  <c r="L368" i="4" s="1"/>
  <c r="I271" i="6"/>
  <c r="E271" i="6"/>
  <c r="D271" i="6" s="1"/>
  <c r="F271" i="6" s="1"/>
  <c r="G271" i="6" s="1"/>
  <c r="H341" i="5"/>
  <c r="G341" i="5" s="1"/>
  <c r="E342" i="5" s="1"/>
  <c r="O358" i="5"/>
  <c r="M359" i="5" s="1"/>
  <c r="P359" i="5" s="1"/>
  <c r="Y303" i="5"/>
  <c r="W303" i="5"/>
  <c r="P363" i="4"/>
  <c r="N363" i="4"/>
  <c r="G367" i="4"/>
  <c r="E368" i="4" s="1"/>
  <c r="H368" i="4" s="1"/>
  <c r="W312" i="4"/>
  <c r="Y312" i="4"/>
  <c r="J368" i="4" l="1"/>
  <c r="K368" i="4" s="1"/>
  <c r="I369" i="4" s="1"/>
  <c r="J369" i="4" s="1"/>
  <c r="L365" i="5"/>
  <c r="K365" i="5" s="1"/>
  <c r="I366" i="5" s="1"/>
  <c r="L366" i="5" s="1"/>
  <c r="N359" i="5"/>
  <c r="O359" i="5" s="1"/>
  <c r="M360" i="5" s="1"/>
  <c r="H271" i="6"/>
  <c r="C272" i="6"/>
  <c r="H342" i="5"/>
  <c r="F342" i="5"/>
  <c r="X303" i="5"/>
  <c r="V304" i="5" s="1"/>
  <c r="W304" i="5" s="1"/>
  <c r="F368" i="4"/>
  <c r="G368" i="4" s="1"/>
  <c r="E369" i="4" s="1"/>
  <c r="O363" i="4"/>
  <c r="M364" i="4" s="1"/>
  <c r="X312" i="4"/>
  <c r="V313" i="4" s="1"/>
  <c r="L369" i="4" l="1"/>
  <c r="K369" i="4" s="1"/>
  <c r="I370" i="4" s="1"/>
  <c r="L370" i="4" s="1"/>
  <c r="I272" i="6"/>
  <c r="E272" i="6"/>
  <c r="D272" i="6" s="1"/>
  <c r="F272" i="6" s="1"/>
  <c r="G272" i="6" s="1"/>
  <c r="Y304" i="5"/>
  <c r="X304" i="5" s="1"/>
  <c r="V305" i="5" s="1"/>
  <c r="G342" i="5"/>
  <c r="E343" i="5" s="1"/>
  <c r="J366" i="5"/>
  <c r="K366" i="5" s="1"/>
  <c r="I367" i="5" s="1"/>
  <c r="N360" i="5"/>
  <c r="P360" i="5"/>
  <c r="P364" i="4"/>
  <c r="N364" i="4"/>
  <c r="W313" i="4"/>
  <c r="Y313" i="4"/>
  <c r="H369" i="4"/>
  <c r="F369" i="4"/>
  <c r="O364" i="4" l="1"/>
  <c r="M365" i="4" s="1"/>
  <c r="N365" i="4" s="1"/>
  <c r="J370" i="4"/>
  <c r="K370" i="4" s="1"/>
  <c r="I371" i="4" s="1"/>
  <c r="L371" i="4" s="1"/>
  <c r="C273" i="6"/>
  <c r="H272" i="6"/>
  <c r="F343" i="5"/>
  <c r="H343" i="5"/>
  <c r="O360" i="5"/>
  <c r="M361" i="5" s="1"/>
  <c r="P361" i="5" s="1"/>
  <c r="Y305" i="5"/>
  <c r="W305" i="5"/>
  <c r="L367" i="5"/>
  <c r="J367" i="5"/>
  <c r="G369" i="4"/>
  <c r="E370" i="4" s="1"/>
  <c r="X313" i="4"/>
  <c r="V314" i="4" s="1"/>
  <c r="P365" i="4" l="1"/>
  <c r="O365" i="4" s="1"/>
  <c r="M366" i="4" s="1"/>
  <c r="G343" i="5"/>
  <c r="E344" i="5" s="1"/>
  <c r="K367" i="5"/>
  <c r="I368" i="5" s="1"/>
  <c r="J368" i="5" s="1"/>
  <c r="J371" i="4"/>
  <c r="K371" i="4" s="1"/>
  <c r="I372" i="4" s="1"/>
  <c r="E273" i="6"/>
  <c r="D273" i="6" s="1"/>
  <c r="F273" i="6" s="1"/>
  <c r="G273" i="6" s="1"/>
  <c r="I273" i="6"/>
  <c r="N361" i="5"/>
  <c r="O361" i="5" s="1"/>
  <c r="M362" i="5" s="1"/>
  <c r="N362" i="5" s="1"/>
  <c r="X305" i="5"/>
  <c r="V306" i="5" s="1"/>
  <c r="Y314" i="4"/>
  <c r="W314" i="4"/>
  <c r="H370" i="4"/>
  <c r="F370" i="4"/>
  <c r="L368" i="5" l="1"/>
  <c r="K368" i="5" s="1"/>
  <c r="I369" i="5" s="1"/>
  <c r="P366" i="4"/>
  <c r="N366" i="4"/>
  <c r="H273" i="6"/>
  <c r="C274" i="6"/>
  <c r="F344" i="5"/>
  <c r="H344" i="5"/>
  <c r="P362" i="5"/>
  <c r="O362" i="5" s="1"/>
  <c r="M363" i="5" s="1"/>
  <c r="Y306" i="5"/>
  <c r="W306" i="5"/>
  <c r="G370" i="4"/>
  <c r="E371" i="4" s="1"/>
  <c r="X314" i="4"/>
  <c r="V315" i="4" s="1"/>
  <c r="Y315" i="4" s="1"/>
  <c r="J372" i="4"/>
  <c r="L372" i="4"/>
  <c r="O366" i="4" l="1"/>
  <c r="M367" i="4" s="1"/>
  <c r="P367" i="4" s="1"/>
  <c r="E274" i="6"/>
  <c r="D274" i="6" s="1"/>
  <c r="F274" i="6" s="1"/>
  <c r="G274" i="6" s="1"/>
  <c r="I274" i="6"/>
  <c r="W315" i="4"/>
  <c r="X315" i="4" s="1"/>
  <c r="V316" i="4" s="1"/>
  <c r="G344" i="5"/>
  <c r="E345" i="5" s="1"/>
  <c r="P363" i="5"/>
  <c r="N363" i="5"/>
  <c r="X306" i="5"/>
  <c r="V307" i="5" s="1"/>
  <c r="L369" i="5"/>
  <c r="J369" i="5"/>
  <c r="K372" i="4"/>
  <c r="I373" i="4" s="1"/>
  <c r="H371" i="4"/>
  <c r="F371" i="4"/>
  <c r="N367" i="4" l="1"/>
  <c r="O367" i="4" s="1"/>
  <c r="M368" i="4" s="1"/>
  <c r="K369" i="5"/>
  <c r="I370" i="5" s="1"/>
  <c r="C275" i="6"/>
  <c r="H274" i="6"/>
  <c r="O363" i="5"/>
  <c r="M364" i="5" s="1"/>
  <c r="N364" i="5" s="1"/>
  <c r="H345" i="5"/>
  <c r="F345" i="5"/>
  <c r="G371" i="4"/>
  <c r="E372" i="4" s="1"/>
  <c r="W307" i="5"/>
  <c r="Y307" i="5"/>
  <c r="L373" i="4"/>
  <c r="J373" i="4"/>
  <c r="Y316" i="4"/>
  <c r="W316" i="4"/>
  <c r="P364" i="5" l="1"/>
  <c r="O364" i="5" s="1"/>
  <c r="M365" i="5" s="1"/>
  <c r="P365" i="5" s="1"/>
  <c r="X307" i="5"/>
  <c r="V308" i="5" s="1"/>
  <c r="I275" i="6"/>
  <c r="E275" i="6"/>
  <c r="D275" i="6" s="1"/>
  <c r="F275" i="6" s="1"/>
  <c r="G275" i="6" s="1"/>
  <c r="G345" i="5"/>
  <c r="E346" i="5" s="1"/>
  <c r="L370" i="5"/>
  <c r="J370" i="5"/>
  <c r="P368" i="4"/>
  <c r="N368" i="4"/>
  <c r="X316" i="4"/>
  <c r="V317" i="4" s="1"/>
  <c r="Y317" i="4" s="1"/>
  <c r="K373" i="4"/>
  <c r="I374" i="4" s="1"/>
  <c r="H372" i="4"/>
  <c r="F372" i="4"/>
  <c r="O368" i="4" l="1"/>
  <c r="M369" i="4" s="1"/>
  <c r="P369" i="4" s="1"/>
  <c r="N365" i="5"/>
  <c r="O365" i="5" s="1"/>
  <c r="M366" i="5" s="1"/>
  <c r="C276" i="6"/>
  <c r="H275" i="6"/>
  <c r="K370" i="5"/>
  <c r="I371" i="5" s="1"/>
  <c r="L371" i="5" s="1"/>
  <c r="W317" i="4"/>
  <c r="X317" i="4" s="1"/>
  <c r="V318" i="4" s="1"/>
  <c r="F346" i="5"/>
  <c r="H346" i="5"/>
  <c r="Y308" i="5"/>
  <c r="W308" i="5"/>
  <c r="J374" i="4"/>
  <c r="L374" i="4"/>
  <c r="G372" i="4"/>
  <c r="E373" i="4" s="1"/>
  <c r="N369" i="4" l="1"/>
  <c r="O369" i="4" s="1"/>
  <c r="M370" i="4" s="1"/>
  <c r="N370" i="4" s="1"/>
  <c r="J371" i="5"/>
  <c r="K371" i="5" s="1"/>
  <c r="I372" i="5" s="1"/>
  <c r="L372" i="5" s="1"/>
  <c r="I276" i="6"/>
  <c r="E276" i="6"/>
  <c r="D276" i="6" s="1"/>
  <c r="F276" i="6" s="1"/>
  <c r="G276" i="6" s="1"/>
  <c r="G346" i="5"/>
  <c r="E347" i="5" s="1"/>
  <c r="K374" i="4"/>
  <c r="I375" i="4" s="1"/>
  <c r="J375" i="4" s="1"/>
  <c r="X308" i="5"/>
  <c r="V309" i="5" s="1"/>
  <c r="P366" i="5"/>
  <c r="N366" i="5"/>
  <c r="Y318" i="4"/>
  <c r="W318" i="4"/>
  <c r="H373" i="4"/>
  <c r="F373" i="4"/>
  <c r="P370" i="4" l="1"/>
  <c r="O370" i="4" s="1"/>
  <c r="M371" i="4" s="1"/>
  <c r="L375" i="4"/>
  <c r="K375" i="4" s="1"/>
  <c r="I376" i="4" s="1"/>
  <c r="J376" i="4" s="1"/>
  <c r="J372" i="5"/>
  <c r="K372" i="5" s="1"/>
  <c r="I373" i="5" s="1"/>
  <c r="L373" i="5" s="1"/>
  <c r="O366" i="5"/>
  <c r="M367" i="5" s="1"/>
  <c r="P367" i="5" s="1"/>
  <c r="H276" i="6"/>
  <c r="C277" i="6"/>
  <c r="F347" i="5"/>
  <c r="H347" i="5"/>
  <c r="Y309" i="5"/>
  <c r="W309" i="5"/>
  <c r="X318" i="4"/>
  <c r="V319" i="4" s="1"/>
  <c r="W319" i="4" s="1"/>
  <c r="G373" i="4"/>
  <c r="E374" i="4" s="1"/>
  <c r="J373" i="5" l="1"/>
  <c r="K373" i="5" s="1"/>
  <c r="I374" i="5" s="1"/>
  <c r="L376" i="4"/>
  <c r="K376" i="4" s="1"/>
  <c r="I377" i="4" s="1"/>
  <c r="G347" i="5"/>
  <c r="E348" i="5" s="1"/>
  <c r="H348" i="5" s="1"/>
  <c r="N367" i="5"/>
  <c r="O367" i="5" s="1"/>
  <c r="M368" i="5" s="1"/>
  <c r="P368" i="5" s="1"/>
  <c r="I277" i="6"/>
  <c r="E277" i="6"/>
  <c r="D277" i="6" s="1"/>
  <c r="F277" i="6" s="1"/>
  <c r="G277" i="6" s="1"/>
  <c r="X309" i="5"/>
  <c r="V310" i="5" s="1"/>
  <c r="P371" i="4"/>
  <c r="N371" i="4"/>
  <c r="Y319" i="4"/>
  <c r="X319" i="4" s="1"/>
  <c r="F374" i="4"/>
  <c r="H374" i="4"/>
  <c r="L374" i="5" l="1"/>
  <c r="J374" i="5"/>
  <c r="F348" i="5"/>
  <c r="G348" i="5" s="1"/>
  <c r="E349" i="5" s="1"/>
  <c r="F349" i="5" s="1"/>
  <c r="N368" i="5"/>
  <c r="O368" i="5" s="1"/>
  <c r="M369" i="5" s="1"/>
  <c r="P369" i="5" s="1"/>
  <c r="O371" i="4"/>
  <c r="M372" i="4" s="1"/>
  <c r="P372" i="4" s="1"/>
  <c r="C278" i="6"/>
  <c r="H277" i="6"/>
  <c r="Y310" i="5"/>
  <c r="W310" i="5"/>
  <c r="V320" i="4"/>
  <c r="Y320" i="4" s="1"/>
  <c r="L377" i="4"/>
  <c r="J377" i="4"/>
  <c r="G374" i="4"/>
  <c r="E375" i="4" s="1"/>
  <c r="K374" i="5" l="1"/>
  <c r="I375" i="5" s="1"/>
  <c r="L375" i="5" s="1"/>
  <c r="H349" i="5"/>
  <c r="G349" i="5" s="1"/>
  <c r="E350" i="5" s="1"/>
  <c r="H350" i="5" s="1"/>
  <c r="W320" i="4"/>
  <c r="X320" i="4" s="1"/>
  <c r="V321" i="4" s="1"/>
  <c r="N372" i="4"/>
  <c r="O372" i="4" s="1"/>
  <c r="M373" i="4" s="1"/>
  <c r="P373" i="4" s="1"/>
  <c r="N369" i="5"/>
  <c r="O369" i="5" s="1"/>
  <c r="M370" i="5" s="1"/>
  <c r="K377" i="4"/>
  <c r="I378" i="4" s="1"/>
  <c r="J378" i="4" s="1"/>
  <c r="E278" i="6"/>
  <c r="D278" i="6" s="1"/>
  <c r="F278" i="6" s="1"/>
  <c r="G278" i="6" s="1"/>
  <c r="I278" i="6"/>
  <c r="X310" i="5"/>
  <c r="V311" i="5" s="1"/>
  <c r="H375" i="4"/>
  <c r="F375" i="4"/>
  <c r="J375" i="5" l="1"/>
  <c r="K375" i="5" s="1"/>
  <c r="I376" i="5" s="1"/>
  <c r="L376" i="5" s="1"/>
  <c r="F350" i="5"/>
  <c r="G350" i="5" s="1"/>
  <c r="E351" i="5" s="1"/>
  <c r="F351" i="5" s="1"/>
  <c r="L378" i="4"/>
  <c r="K378" i="4" s="1"/>
  <c r="I379" i="4" s="1"/>
  <c r="L379" i="4" s="1"/>
  <c r="N373" i="4"/>
  <c r="O373" i="4" s="1"/>
  <c r="M374" i="4" s="1"/>
  <c r="N374" i="4" s="1"/>
  <c r="C279" i="6"/>
  <c r="H278" i="6"/>
  <c r="N370" i="5"/>
  <c r="P370" i="5"/>
  <c r="W311" i="5"/>
  <c r="Y311" i="5"/>
  <c r="G375" i="4"/>
  <c r="E376" i="4" s="1"/>
  <c r="Y321" i="4"/>
  <c r="W321" i="4"/>
  <c r="J376" i="5" l="1"/>
  <c r="K376" i="5" s="1"/>
  <c r="I377" i="5" s="1"/>
  <c r="H351" i="5"/>
  <c r="G351" i="5" s="1"/>
  <c r="E352" i="5" s="1"/>
  <c r="F352" i="5" s="1"/>
  <c r="P374" i="4"/>
  <c r="O374" i="4" s="1"/>
  <c r="M375" i="4" s="1"/>
  <c r="P375" i="4" s="1"/>
  <c r="X311" i="5"/>
  <c r="V312" i="5" s="1"/>
  <c r="I279" i="6"/>
  <c r="E279" i="6"/>
  <c r="D279" i="6" s="1"/>
  <c r="F279" i="6" s="1"/>
  <c r="G279" i="6" s="1"/>
  <c r="J379" i="4"/>
  <c r="K379" i="4" s="1"/>
  <c r="I380" i="4" s="1"/>
  <c r="O370" i="5"/>
  <c r="M371" i="5" s="1"/>
  <c r="X321" i="4"/>
  <c r="V322" i="4" s="1"/>
  <c r="Y322" i="4" s="1"/>
  <c r="H376" i="4"/>
  <c r="F376" i="4"/>
  <c r="W322" i="4" l="1"/>
  <c r="X322" i="4" s="1"/>
  <c r="V323" i="4" s="1"/>
  <c r="H352" i="5"/>
  <c r="G352" i="5" s="1"/>
  <c r="E353" i="5" s="1"/>
  <c r="N375" i="4"/>
  <c r="O375" i="4" s="1"/>
  <c r="M376" i="4" s="1"/>
  <c r="P376" i="4" s="1"/>
  <c r="C280" i="6"/>
  <c r="H279" i="6"/>
  <c r="J377" i="5"/>
  <c r="L377" i="5"/>
  <c r="P371" i="5"/>
  <c r="N371" i="5"/>
  <c r="W312" i="5"/>
  <c r="Y312" i="5"/>
  <c r="G376" i="4"/>
  <c r="E377" i="4" s="1"/>
  <c r="H377" i="4" s="1"/>
  <c r="L380" i="4"/>
  <c r="J380" i="4"/>
  <c r="N376" i="4" l="1"/>
  <c r="O376" i="4" s="1"/>
  <c r="M377" i="4" s="1"/>
  <c r="P377" i="4" s="1"/>
  <c r="K377" i="5"/>
  <c r="I378" i="5" s="1"/>
  <c r="I280" i="6"/>
  <c r="E280" i="6"/>
  <c r="D280" i="6" s="1"/>
  <c r="F280" i="6" s="1"/>
  <c r="G280" i="6" s="1"/>
  <c r="O371" i="5"/>
  <c r="M372" i="5" s="1"/>
  <c r="P372" i="5" s="1"/>
  <c r="X312" i="5"/>
  <c r="V313" i="5" s="1"/>
  <c r="H353" i="5"/>
  <c r="F353" i="5"/>
  <c r="F377" i="4"/>
  <c r="G377" i="4" s="1"/>
  <c r="E378" i="4" s="1"/>
  <c r="F378" i="4" s="1"/>
  <c r="K380" i="4"/>
  <c r="I381" i="4" s="1"/>
  <c r="J381" i="4" s="1"/>
  <c r="W323" i="4"/>
  <c r="Y323" i="4"/>
  <c r="J378" i="5" l="1"/>
  <c r="L378" i="5"/>
  <c r="L381" i="4"/>
  <c r="K381" i="4" s="1"/>
  <c r="I382" i="4" s="1"/>
  <c r="L382" i="4" s="1"/>
  <c r="N377" i="4"/>
  <c r="O377" i="4" s="1"/>
  <c r="M378" i="4" s="1"/>
  <c r="N372" i="5"/>
  <c r="O372" i="5" s="1"/>
  <c r="M373" i="5" s="1"/>
  <c r="P373" i="5" s="1"/>
  <c r="C281" i="6"/>
  <c r="H280" i="6"/>
  <c r="Y313" i="5"/>
  <c r="W313" i="5"/>
  <c r="G353" i="5"/>
  <c r="E354" i="5" s="1"/>
  <c r="H378" i="4"/>
  <c r="G378" i="4" s="1"/>
  <c r="E379" i="4" s="1"/>
  <c r="X323" i="4"/>
  <c r="V324" i="4" s="1"/>
  <c r="K378" i="5" l="1"/>
  <c r="I379" i="5" s="1"/>
  <c r="J379" i="5" s="1"/>
  <c r="E281" i="6"/>
  <c r="D281" i="6" s="1"/>
  <c r="F281" i="6" s="1"/>
  <c r="G281" i="6" s="1"/>
  <c r="I281" i="6"/>
  <c r="J382" i="4"/>
  <c r="K382" i="4" s="1"/>
  <c r="I383" i="4" s="1"/>
  <c r="L383" i="4" s="1"/>
  <c r="N373" i="5"/>
  <c r="O373" i="5" s="1"/>
  <c r="M374" i="5" s="1"/>
  <c r="X313" i="5"/>
  <c r="V314" i="5" s="1"/>
  <c r="H354" i="5"/>
  <c r="F354" i="5"/>
  <c r="P378" i="4"/>
  <c r="N378" i="4"/>
  <c r="W324" i="4"/>
  <c r="Y324" i="4"/>
  <c r="F379" i="4"/>
  <c r="H379" i="4"/>
  <c r="L379" i="5" l="1"/>
  <c r="K379" i="5" s="1"/>
  <c r="I380" i="5" s="1"/>
  <c r="L380" i="5" s="1"/>
  <c r="G354" i="5"/>
  <c r="E355" i="5" s="1"/>
  <c r="F355" i="5" s="1"/>
  <c r="C282" i="6"/>
  <c r="H281" i="6"/>
  <c r="J383" i="4"/>
  <c r="K383" i="4" s="1"/>
  <c r="I384" i="4" s="1"/>
  <c r="P374" i="5"/>
  <c r="N374" i="5"/>
  <c r="Y314" i="5"/>
  <c r="W314" i="5"/>
  <c r="O378" i="4"/>
  <c r="M379" i="4" s="1"/>
  <c r="N379" i="4" s="1"/>
  <c r="G379" i="4"/>
  <c r="E380" i="4" s="1"/>
  <c r="F380" i="4" s="1"/>
  <c r="X324" i="4"/>
  <c r="V325" i="4" s="1"/>
  <c r="H355" i="5" l="1"/>
  <c r="G355" i="5" s="1"/>
  <c r="E356" i="5" s="1"/>
  <c r="P379" i="4"/>
  <c r="O379" i="4" s="1"/>
  <c r="M380" i="4" s="1"/>
  <c r="J380" i="5"/>
  <c r="K380" i="5" s="1"/>
  <c r="I381" i="5" s="1"/>
  <c r="J381" i="5" s="1"/>
  <c r="O374" i="5"/>
  <c r="M375" i="5" s="1"/>
  <c r="E282" i="6"/>
  <c r="D282" i="6" s="1"/>
  <c r="F282" i="6" s="1"/>
  <c r="G282" i="6" s="1"/>
  <c r="I282" i="6"/>
  <c r="X314" i="5"/>
  <c r="V315" i="5" s="1"/>
  <c r="H380" i="4"/>
  <c r="G380" i="4" s="1"/>
  <c r="E381" i="4" s="1"/>
  <c r="J384" i="4"/>
  <c r="L384" i="4"/>
  <c r="W325" i="4"/>
  <c r="Y325" i="4"/>
  <c r="P380" i="4" l="1"/>
  <c r="N380" i="4"/>
  <c r="P375" i="5"/>
  <c r="N375" i="5"/>
  <c r="C283" i="6"/>
  <c r="H282" i="6"/>
  <c r="L381" i="5"/>
  <c r="K381" i="5" s="1"/>
  <c r="I382" i="5" s="1"/>
  <c r="Y315" i="5"/>
  <c r="W315" i="5"/>
  <c r="F356" i="5"/>
  <c r="H356" i="5"/>
  <c r="K384" i="4"/>
  <c r="I385" i="4" s="1"/>
  <c r="X325" i="4"/>
  <c r="V326" i="4" s="1"/>
  <c r="H381" i="4"/>
  <c r="F381" i="4"/>
  <c r="O380" i="4" l="1"/>
  <c r="M381" i="4" s="1"/>
  <c r="P381" i="4" s="1"/>
  <c r="O375" i="5"/>
  <c r="M376" i="5" s="1"/>
  <c r="E283" i="6"/>
  <c r="D283" i="6" s="1"/>
  <c r="F283" i="6" s="1"/>
  <c r="G283" i="6" s="1"/>
  <c r="I283" i="6"/>
  <c r="X315" i="5"/>
  <c r="V316" i="5" s="1"/>
  <c r="J382" i="5"/>
  <c r="L382" i="5"/>
  <c r="G356" i="5"/>
  <c r="E357" i="5" s="1"/>
  <c r="G381" i="4"/>
  <c r="E382" i="4" s="1"/>
  <c r="L385" i="4"/>
  <c r="J385" i="4"/>
  <c r="Y326" i="4"/>
  <c r="W326" i="4"/>
  <c r="N381" i="4" l="1"/>
  <c r="O381" i="4" s="1"/>
  <c r="M382" i="4" s="1"/>
  <c r="P376" i="5"/>
  <c r="N376" i="5"/>
  <c r="C284" i="6"/>
  <c r="H283" i="6"/>
  <c r="K385" i="4"/>
  <c r="I386" i="4" s="1"/>
  <c r="L386" i="4" s="1"/>
  <c r="K382" i="5"/>
  <c r="I383" i="5" s="1"/>
  <c r="L383" i="5" s="1"/>
  <c r="W316" i="5"/>
  <c r="Y316" i="5"/>
  <c r="H357" i="5"/>
  <c r="F357" i="5"/>
  <c r="X326" i="4"/>
  <c r="V327" i="4" s="1"/>
  <c r="H382" i="4"/>
  <c r="F382" i="4"/>
  <c r="O376" i="5" l="1"/>
  <c r="M377" i="5" s="1"/>
  <c r="P377" i="5" s="1"/>
  <c r="G382" i="4"/>
  <c r="E383" i="4" s="1"/>
  <c r="J386" i="4"/>
  <c r="K386" i="4" s="1"/>
  <c r="I387" i="4" s="1"/>
  <c r="J383" i="5"/>
  <c r="K383" i="5" s="1"/>
  <c r="I384" i="5" s="1"/>
  <c r="L384" i="5" s="1"/>
  <c r="I284" i="6"/>
  <c r="E284" i="6"/>
  <c r="D284" i="6" s="1"/>
  <c r="F284" i="6" s="1"/>
  <c r="G284" i="6" s="1"/>
  <c r="G357" i="5"/>
  <c r="E358" i="5" s="1"/>
  <c r="H358" i="5" s="1"/>
  <c r="X316" i="5"/>
  <c r="V317" i="5" s="1"/>
  <c r="N382" i="4"/>
  <c r="P382" i="4"/>
  <c r="Y327" i="4"/>
  <c r="W327" i="4"/>
  <c r="J384" i="5" l="1"/>
  <c r="K384" i="5" s="1"/>
  <c r="I385" i="5" s="1"/>
  <c r="J385" i="5" s="1"/>
  <c r="N377" i="5"/>
  <c r="O377" i="5" s="1"/>
  <c r="M378" i="5" s="1"/>
  <c r="N378" i="5" s="1"/>
  <c r="F358" i="5"/>
  <c r="G358" i="5" s="1"/>
  <c r="E359" i="5" s="1"/>
  <c r="F359" i="5" s="1"/>
  <c r="C285" i="6"/>
  <c r="H284" i="6"/>
  <c r="O382" i="4"/>
  <c r="M383" i="4" s="1"/>
  <c r="Y317" i="5"/>
  <c r="W317" i="5"/>
  <c r="X327" i="4"/>
  <c r="V328" i="4" s="1"/>
  <c r="J387" i="4"/>
  <c r="L387" i="4"/>
  <c r="H383" i="4"/>
  <c r="F383" i="4"/>
  <c r="L385" i="5" l="1"/>
  <c r="K385" i="5" s="1"/>
  <c r="I386" i="5" s="1"/>
  <c r="L386" i="5" s="1"/>
  <c r="P378" i="5"/>
  <c r="O378" i="5" s="1"/>
  <c r="M379" i="5" s="1"/>
  <c r="H359" i="5"/>
  <c r="G359" i="5" s="1"/>
  <c r="E360" i="5" s="1"/>
  <c r="E285" i="6"/>
  <c r="D285" i="6" s="1"/>
  <c r="F285" i="6" s="1"/>
  <c r="G285" i="6" s="1"/>
  <c r="I285" i="6"/>
  <c r="N383" i="4"/>
  <c r="P383" i="4"/>
  <c r="X317" i="5"/>
  <c r="V318" i="5" s="1"/>
  <c r="K387" i="4"/>
  <c r="I388" i="4" s="1"/>
  <c r="G383" i="4"/>
  <c r="E384" i="4" s="1"/>
  <c r="F384" i="4" s="1"/>
  <c r="Y328" i="4"/>
  <c r="W328" i="4"/>
  <c r="J386" i="5" l="1"/>
  <c r="K386" i="5" s="1"/>
  <c r="I387" i="5" s="1"/>
  <c r="L387" i="5" s="1"/>
  <c r="P379" i="5"/>
  <c r="N379" i="5"/>
  <c r="H285" i="6"/>
  <c r="C286" i="6"/>
  <c r="O383" i="4"/>
  <c r="M384" i="4" s="1"/>
  <c r="Y318" i="5"/>
  <c r="W318" i="5"/>
  <c r="H360" i="5"/>
  <c r="F360" i="5"/>
  <c r="H384" i="4"/>
  <c r="G384" i="4" s="1"/>
  <c r="E385" i="4" s="1"/>
  <c r="L388" i="4"/>
  <c r="J388" i="4"/>
  <c r="X328" i="4"/>
  <c r="V329" i="4" s="1"/>
  <c r="O379" i="5" l="1"/>
  <c r="M380" i="5" s="1"/>
  <c r="P380" i="5" s="1"/>
  <c r="J387" i="5"/>
  <c r="K387" i="5" s="1"/>
  <c r="I388" i="5" s="1"/>
  <c r="L388" i="5" s="1"/>
  <c r="E286" i="6"/>
  <c r="D286" i="6" s="1"/>
  <c r="F286" i="6" s="1"/>
  <c r="G286" i="6" s="1"/>
  <c r="I286" i="6"/>
  <c r="N384" i="4"/>
  <c r="P384" i="4"/>
  <c r="X318" i="5"/>
  <c r="V319" i="5" s="1"/>
  <c r="W319" i="5" s="1"/>
  <c r="G360" i="5"/>
  <c r="E361" i="5" s="1"/>
  <c r="K388" i="4"/>
  <c r="I389" i="4" s="1"/>
  <c r="Y329" i="4"/>
  <c r="W329" i="4"/>
  <c r="H385" i="4"/>
  <c r="F385" i="4"/>
  <c r="N380" i="5" l="1"/>
  <c r="O380" i="5" s="1"/>
  <c r="M381" i="5" s="1"/>
  <c r="P381" i="5" s="1"/>
  <c r="J388" i="5"/>
  <c r="K388" i="5" s="1"/>
  <c r="I389" i="5" s="1"/>
  <c r="Y319" i="5"/>
  <c r="X319" i="5" s="1"/>
  <c r="V320" i="5" s="1"/>
  <c r="O384" i="4"/>
  <c r="M385" i="4" s="1"/>
  <c r="N385" i="4" s="1"/>
  <c r="H286" i="6"/>
  <c r="C287" i="6"/>
  <c r="F361" i="5"/>
  <c r="H361" i="5"/>
  <c r="X329" i="4"/>
  <c r="V330" i="4" s="1"/>
  <c r="Y330" i="4" s="1"/>
  <c r="J389" i="4"/>
  <c r="L389" i="4"/>
  <c r="G385" i="4"/>
  <c r="E386" i="4" s="1"/>
  <c r="F386" i="4" s="1"/>
  <c r="N381" i="5" l="1"/>
  <c r="O381" i="5" s="1"/>
  <c r="M382" i="5" s="1"/>
  <c r="N382" i="5" s="1"/>
  <c r="P385" i="4"/>
  <c r="O385" i="4" s="1"/>
  <c r="M386" i="4" s="1"/>
  <c r="W330" i="4"/>
  <c r="X330" i="4" s="1"/>
  <c r="V331" i="4" s="1"/>
  <c r="K389" i="4"/>
  <c r="I390" i="4" s="1"/>
  <c r="J390" i="4" s="1"/>
  <c r="E287" i="6"/>
  <c r="D287" i="6" s="1"/>
  <c r="F287" i="6" s="1"/>
  <c r="G287" i="6" s="1"/>
  <c r="I287" i="6"/>
  <c r="G361" i="5"/>
  <c r="E362" i="5" s="1"/>
  <c r="H362" i="5" s="1"/>
  <c r="Y320" i="5"/>
  <c r="W320" i="5"/>
  <c r="J389" i="5"/>
  <c r="L389" i="5"/>
  <c r="H386" i="4"/>
  <c r="G386" i="4" s="1"/>
  <c r="E387" i="4" s="1"/>
  <c r="P382" i="5" l="1"/>
  <c r="O382" i="5" s="1"/>
  <c r="M383" i="5" s="1"/>
  <c r="P383" i="5" s="1"/>
  <c r="P386" i="4"/>
  <c r="N386" i="4"/>
  <c r="L390" i="4"/>
  <c r="K390" i="4" s="1"/>
  <c r="I391" i="4" s="1"/>
  <c r="K389" i="5"/>
  <c r="I390" i="5" s="1"/>
  <c r="L390" i="5" s="1"/>
  <c r="F362" i="5"/>
  <c r="G362" i="5" s="1"/>
  <c r="E363" i="5" s="1"/>
  <c r="F387" i="4"/>
  <c r="H387" i="4"/>
  <c r="C288" i="6"/>
  <c r="H287" i="6"/>
  <c r="X320" i="5"/>
  <c r="V321" i="5" s="1"/>
  <c r="Y331" i="4"/>
  <c r="W331" i="4"/>
  <c r="O386" i="4" l="1"/>
  <c r="M387" i="4" s="1"/>
  <c r="P387" i="4" s="1"/>
  <c r="N383" i="5"/>
  <c r="O383" i="5" s="1"/>
  <c r="M384" i="5" s="1"/>
  <c r="P384" i="5" s="1"/>
  <c r="J390" i="5"/>
  <c r="K390" i="5" s="1"/>
  <c r="I391" i="5" s="1"/>
  <c r="G387" i="4"/>
  <c r="E388" i="4" s="1"/>
  <c r="H388" i="4" s="1"/>
  <c r="I288" i="6"/>
  <c r="E288" i="6"/>
  <c r="D288" i="6" s="1"/>
  <c r="F288" i="6" s="1"/>
  <c r="G288" i="6" s="1"/>
  <c r="Y321" i="5"/>
  <c r="W321" i="5"/>
  <c r="H363" i="5"/>
  <c r="F363" i="5"/>
  <c r="L391" i="4"/>
  <c r="J391" i="4"/>
  <c r="X331" i="4"/>
  <c r="V332" i="4" s="1"/>
  <c r="Y332" i="4" s="1"/>
  <c r="N387" i="4" l="1"/>
  <c r="O387" i="4" s="1"/>
  <c r="M388" i="4" s="1"/>
  <c r="N388" i="4" s="1"/>
  <c r="F388" i="4"/>
  <c r="G388" i="4" s="1"/>
  <c r="E389" i="4" s="1"/>
  <c r="F389" i="4" s="1"/>
  <c r="X321" i="5"/>
  <c r="V322" i="5" s="1"/>
  <c r="Y322" i="5" s="1"/>
  <c r="G363" i="5"/>
  <c r="E364" i="5" s="1"/>
  <c r="H288" i="6"/>
  <c r="C289" i="6"/>
  <c r="N384" i="5"/>
  <c r="O384" i="5" s="1"/>
  <c r="M385" i="5" s="1"/>
  <c r="N385" i="5" s="1"/>
  <c r="L391" i="5"/>
  <c r="J391" i="5"/>
  <c r="W332" i="4"/>
  <c r="X332" i="4" s="1"/>
  <c r="V333" i="4" s="1"/>
  <c r="W333" i="4" s="1"/>
  <c r="K391" i="4"/>
  <c r="I392" i="4" s="1"/>
  <c r="P388" i="4" l="1"/>
  <c r="O388" i="4" s="1"/>
  <c r="M389" i="4" s="1"/>
  <c r="P389" i="4" s="1"/>
  <c r="H389" i="4"/>
  <c r="G389" i="4" s="1"/>
  <c r="E390" i="4" s="1"/>
  <c r="H390" i="4" s="1"/>
  <c r="W322" i="5"/>
  <c r="X322" i="5" s="1"/>
  <c r="V323" i="5" s="1"/>
  <c r="I289" i="6"/>
  <c r="E289" i="6"/>
  <c r="D289" i="6" s="1"/>
  <c r="F289" i="6" s="1"/>
  <c r="G289" i="6" s="1"/>
  <c r="P385" i="5"/>
  <c r="O385" i="5" s="1"/>
  <c r="M386" i="5" s="1"/>
  <c r="K391" i="5"/>
  <c r="I392" i="5" s="1"/>
  <c r="F364" i="5"/>
  <c r="H364" i="5"/>
  <c r="L392" i="4"/>
  <c r="J392" i="4"/>
  <c r="Y333" i="4"/>
  <c r="X333" i="4" s="1"/>
  <c r="V334" i="4" s="1"/>
  <c r="F390" i="4" l="1"/>
  <c r="G390" i="4" s="1"/>
  <c r="E391" i="4" s="1"/>
  <c r="N389" i="4"/>
  <c r="O389" i="4" s="1"/>
  <c r="M390" i="4" s="1"/>
  <c r="K392" i="4"/>
  <c r="I393" i="4" s="1"/>
  <c r="L393" i="4" s="1"/>
  <c r="H289" i="6"/>
  <c r="C290" i="6"/>
  <c r="N386" i="5"/>
  <c r="P386" i="5"/>
  <c r="G364" i="5"/>
  <c r="E365" i="5" s="1"/>
  <c r="L392" i="5"/>
  <c r="J392" i="5"/>
  <c r="W323" i="5"/>
  <c r="Y323" i="5"/>
  <c r="Y334" i="4"/>
  <c r="W334" i="4"/>
  <c r="J393" i="4" l="1"/>
  <c r="K393" i="4" s="1"/>
  <c r="I394" i="4" s="1"/>
  <c r="L394" i="4" s="1"/>
  <c r="I290" i="6"/>
  <c r="E290" i="6"/>
  <c r="D290" i="6" s="1"/>
  <c r="F290" i="6" s="1"/>
  <c r="G290" i="6" s="1"/>
  <c r="O386" i="5"/>
  <c r="M387" i="5" s="1"/>
  <c r="K392" i="5"/>
  <c r="I393" i="5" s="1"/>
  <c r="L393" i="5" s="1"/>
  <c r="X323" i="5"/>
  <c r="V324" i="5" s="1"/>
  <c r="H365" i="5"/>
  <c r="F365" i="5"/>
  <c r="X334" i="4"/>
  <c r="V335" i="4" s="1"/>
  <c r="H391" i="4"/>
  <c r="F391" i="4"/>
  <c r="P390" i="4"/>
  <c r="N390" i="4"/>
  <c r="J394" i="4" l="1"/>
  <c r="K394" i="4" s="1"/>
  <c r="I395" i="4" s="1"/>
  <c r="C291" i="6"/>
  <c r="H290" i="6"/>
  <c r="J393" i="5"/>
  <c r="K393" i="5" s="1"/>
  <c r="I394" i="5" s="1"/>
  <c r="J394" i="5" s="1"/>
  <c r="O390" i="4"/>
  <c r="M391" i="4" s="1"/>
  <c r="G391" i="4"/>
  <c r="E392" i="4" s="1"/>
  <c r="G365" i="5"/>
  <c r="E366" i="5" s="1"/>
  <c r="H366" i="5" s="1"/>
  <c r="N387" i="5"/>
  <c r="P387" i="5"/>
  <c r="W324" i="5"/>
  <c r="Y324" i="5"/>
  <c r="W335" i="4"/>
  <c r="Y335" i="4"/>
  <c r="X335" i="4" l="1"/>
  <c r="V336" i="4" s="1"/>
  <c r="Y336" i="4" s="1"/>
  <c r="L394" i="5"/>
  <c r="K394" i="5" s="1"/>
  <c r="I395" i="5" s="1"/>
  <c r="O387" i="5"/>
  <c r="M388" i="5" s="1"/>
  <c r="P388" i="5" s="1"/>
  <c r="E291" i="6"/>
  <c r="D291" i="6" s="1"/>
  <c r="F291" i="6" s="1"/>
  <c r="G291" i="6" s="1"/>
  <c r="I291" i="6"/>
  <c r="F366" i="5"/>
  <c r="G366" i="5" s="1"/>
  <c r="E367" i="5" s="1"/>
  <c r="X324" i="5"/>
  <c r="V325" i="5" s="1"/>
  <c r="J395" i="4"/>
  <c r="L395" i="4"/>
  <c r="F392" i="4"/>
  <c r="H392" i="4"/>
  <c r="N391" i="4"/>
  <c r="P391" i="4"/>
  <c r="N388" i="5" l="1"/>
  <c r="O388" i="5" s="1"/>
  <c r="M389" i="5" s="1"/>
  <c r="N389" i="5" s="1"/>
  <c r="W336" i="4"/>
  <c r="X336" i="4" s="1"/>
  <c r="V337" i="4" s="1"/>
  <c r="L395" i="5"/>
  <c r="J395" i="5"/>
  <c r="C292" i="6"/>
  <c r="H291" i="6"/>
  <c r="F367" i="5"/>
  <c r="H367" i="5"/>
  <c r="Y325" i="5"/>
  <c r="W325" i="5"/>
  <c r="K395" i="4"/>
  <c r="I396" i="4" s="1"/>
  <c r="O391" i="4"/>
  <c r="M392" i="4" s="1"/>
  <c r="P392" i="4" s="1"/>
  <c r="G392" i="4"/>
  <c r="E393" i="4" s="1"/>
  <c r="K395" i="5" l="1"/>
  <c r="I396" i="5" s="1"/>
  <c r="L396" i="5" s="1"/>
  <c r="P389" i="5"/>
  <c r="O389" i="5" s="1"/>
  <c r="M390" i="5" s="1"/>
  <c r="I292" i="6"/>
  <c r="E292" i="6"/>
  <c r="D292" i="6" s="1"/>
  <c r="F292" i="6" s="1"/>
  <c r="G292" i="6" s="1"/>
  <c r="G367" i="5"/>
  <c r="E368" i="5" s="1"/>
  <c r="H368" i="5" s="1"/>
  <c r="X325" i="5"/>
  <c r="V326" i="5" s="1"/>
  <c r="Y326" i="5" s="1"/>
  <c r="J396" i="4"/>
  <c r="L396" i="4"/>
  <c r="N392" i="4"/>
  <c r="O392" i="4" s="1"/>
  <c r="M393" i="4" s="1"/>
  <c r="H393" i="4"/>
  <c r="F393" i="4"/>
  <c r="Y337" i="4"/>
  <c r="W337" i="4"/>
  <c r="J396" i="5" l="1"/>
  <c r="K396" i="5" s="1"/>
  <c r="I397" i="5" s="1"/>
  <c r="K396" i="4"/>
  <c r="I397" i="4" s="1"/>
  <c r="J397" i="4" s="1"/>
  <c r="F368" i="5"/>
  <c r="G368" i="5" s="1"/>
  <c r="E369" i="5" s="1"/>
  <c r="H369" i="5" s="1"/>
  <c r="C293" i="6"/>
  <c r="H292" i="6"/>
  <c r="N390" i="5"/>
  <c r="P390" i="5"/>
  <c r="W326" i="5"/>
  <c r="X326" i="5" s="1"/>
  <c r="V327" i="5" s="1"/>
  <c r="X337" i="4"/>
  <c r="V338" i="4" s="1"/>
  <c r="G393" i="4"/>
  <c r="E394" i="4" s="1"/>
  <c r="P393" i="4"/>
  <c r="N393" i="4"/>
  <c r="L397" i="4" l="1"/>
  <c r="K397" i="4" s="1"/>
  <c r="I398" i="4" s="1"/>
  <c r="J398" i="4" s="1"/>
  <c r="L397" i="5"/>
  <c r="J397" i="5"/>
  <c r="O390" i="5"/>
  <c r="M391" i="5" s="1"/>
  <c r="P391" i="5" s="1"/>
  <c r="F369" i="5"/>
  <c r="G369" i="5" s="1"/>
  <c r="E370" i="5" s="1"/>
  <c r="E293" i="6"/>
  <c r="D293" i="6" s="1"/>
  <c r="F293" i="6" s="1"/>
  <c r="G293" i="6" s="1"/>
  <c r="I293" i="6"/>
  <c r="W327" i="5"/>
  <c r="Y327" i="5"/>
  <c r="O393" i="4"/>
  <c r="M394" i="4" s="1"/>
  <c r="N394" i="4" s="1"/>
  <c r="Y338" i="4"/>
  <c r="W338" i="4"/>
  <c r="H394" i="4"/>
  <c r="F394" i="4"/>
  <c r="K397" i="5" l="1"/>
  <c r="I398" i="5" s="1"/>
  <c r="L398" i="5" s="1"/>
  <c r="N391" i="5"/>
  <c r="O391" i="5" s="1"/>
  <c r="M392" i="5" s="1"/>
  <c r="L398" i="4"/>
  <c r="K398" i="4" s="1"/>
  <c r="I399" i="4" s="1"/>
  <c r="C294" i="6"/>
  <c r="H293" i="6"/>
  <c r="X327" i="5"/>
  <c r="V328" i="5" s="1"/>
  <c r="W328" i="5" s="1"/>
  <c r="H370" i="5"/>
  <c r="F370" i="5"/>
  <c r="P394" i="4"/>
  <c r="O394" i="4" s="1"/>
  <c r="G394" i="4"/>
  <c r="E395" i="4" s="1"/>
  <c r="X338" i="4"/>
  <c r="V339" i="4" s="1"/>
  <c r="J398" i="5" l="1"/>
  <c r="K398" i="5" s="1"/>
  <c r="I399" i="5" s="1"/>
  <c r="L399" i="5" s="1"/>
  <c r="P392" i="5"/>
  <c r="N392" i="5"/>
  <c r="Y328" i="5"/>
  <c r="X328" i="5" s="1"/>
  <c r="M395" i="4"/>
  <c r="P395" i="4" s="1"/>
  <c r="I294" i="6"/>
  <c r="E294" i="6"/>
  <c r="D294" i="6" s="1"/>
  <c r="F294" i="6" s="1"/>
  <c r="G294" i="6" s="1"/>
  <c r="G370" i="5"/>
  <c r="E371" i="5" s="1"/>
  <c r="L399" i="4"/>
  <c r="J399" i="4"/>
  <c r="W339" i="4"/>
  <c r="Y339" i="4"/>
  <c r="H395" i="4"/>
  <c r="F395" i="4"/>
  <c r="J399" i="5" l="1"/>
  <c r="K399" i="5" s="1"/>
  <c r="I400" i="5" s="1"/>
  <c r="J400" i="5" s="1"/>
  <c r="O392" i="5"/>
  <c r="M393" i="5" s="1"/>
  <c r="P393" i="5" s="1"/>
  <c r="V329" i="5"/>
  <c r="Y329" i="5" s="1"/>
  <c r="N395" i="4"/>
  <c r="O395" i="4" s="1"/>
  <c r="M396" i="4" s="1"/>
  <c r="N396" i="4" s="1"/>
  <c r="K399" i="4"/>
  <c r="I400" i="4" s="1"/>
  <c r="L400" i="4" s="1"/>
  <c r="C295" i="6"/>
  <c r="H294" i="6"/>
  <c r="H371" i="5"/>
  <c r="F371" i="5"/>
  <c r="X339" i="4"/>
  <c r="V340" i="4" s="1"/>
  <c r="G395" i="4"/>
  <c r="E396" i="4" s="1"/>
  <c r="L400" i="5" l="1"/>
  <c r="K400" i="5" s="1"/>
  <c r="I401" i="5" s="1"/>
  <c r="J401" i="5" s="1"/>
  <c r="N393" i="5"/>
  <c r="O393" i="5" s="1"/>
  <c r="M394" i="5" s="1"/>
  <c r="P396" i="4"/>
  <c r="O396" i="4" s="1"/>
  <c r="M397" i="4" s="1"/>
  <c r="N397" i="4" s="1"/>
  <c r="W329" i="5"/>
  <c r="X329" i="5" s="1"/>
  <c r="V330" i="5" s="1"/>
  <c r="Y330" i="5" s="1"/>
  <c r="J400" i="4"/>
  <c r="K400" i="4" s="1"/>
  <c r="I401" i="4" s="1"/>
  <c r="J401" i="4" s="1"/>
  <c r="I295" i="6"/>
  <c r="E295" i="6"/>
  <c r="D295" i="6" s="1"/>
  <c r="F295" i="6" s="1"/>
  <c r="G295" i="6" s="1"/>
  <c r="G371" i="5"/>
  <c r="E372" i="5" s="1"/>
  <c r="H396" i="4"/>
  <c r="F396" i="4"/>
  <c r="Y340" i="4"/>
  <c r="W340" i="4"/>
  <c r="W330" i="5" l="1"/>
  <c r="X330" i="5" s="1"/>
  <c r="V331" i="5" s="1"/>
  <c r="P397" i="4"/>
  <c r="O397" i="4" s="1"/>
  <c r="M398" i="4" s="1"/>
  <c r="P398" i="4" s="1"/>
  <c r="G396" i="4"/>
  <c r="E397" i="4" s="1"/>
  <c r="L401" i="4"/>
  <c r="K401" i="4" s="1"/>
  <c r="I402" i="4" s="1"/>
  <c r="J402" i="4" s="1"/>
  <c r="H295" i="6"/>
  <c r="C296" i="6"/>
  <c r="L401" i="5"/>
  <c r="K401" i="5" s="1"/>
  <c r="I402" i="5" s="1"/>
  <c r="J402" i="5" s="1"/>
  <c r="P394" i="5"/>
  <c r="N394" i="5"/>
  <c r="H372" i="5"/>
  <c r="F372" i="5"/>
  <c r="X340" i="4"/>
  <c r="V341" i="4" s="1"/>
  <c r="W341" i="4" s="1"/>
  <c r="N398" i="4" l="1"/>
  <c r="O398" i="4" s="1"/>
  <c r="M399" i="4" s="1"/>
  <c r="N399" i="4" s="1"/>
  <c r="L402" i="4"/>
  <c r="K402" i="4" s="1"/>
  <c r="Y341" i="4"/>
  <c r="X341" i="4" s="1"/>
  <c r="V342" i="4" s="1"/>
  <c r="W342" i="4" s="1"/>
  <c r="G372" i="5"/>
  <c r="E373" i="5" s="1"/>
  <c r="E296" i="6"/>
  <c r="D296" i="6" s="1"/>
  <c r="F296" i="6" s="1"/>
  <c r="G296" i="6" s="1"/>
  <c r="I296" i="6"/>
  <c r="L402" i="5"/>
  <c r="K402" i="5" s="1"/>
  <c r="O394" i="5"/>
  <c r="M395" i="5" s="1"/>
  <c r="Y331" i="5"/>
  <c r="W331" i="5"/>
  <c r="H397" i="4"/>
  <c r="F397" i="4"/>
  <c r="P399" i="4" l="1"/>
  <c r="O399" i="4" s="1"/>
  <c r="M400" i="4" s="1"/>
  <c r="N400" i="4" s="1"/>
  <c r="I403" i="4"/>
  <c r="L403" i="4" s="1"/>
  <c r="I403" i="5"/>
  <c r="J403" i="5" s="1"/>
  <c r="C297" i="6"/>
  <c r="H296" i="6"/>
  <c r="P395" i="5"/>
  <c r="N395" i="5"/>
  <c r="X331" i="5"/>
  <c r="V332" i="5" s="1"/>
  <c r="W332" i="5" s="1"/>
  <c r="F373" i="5"/>
  <c r="H373" i="5"/>
  <c r="Y342" i="4"/>
  <c r="X342" i="4" s="1"/>
  <c r="V343" i="4" s="1"/>
  <c r="G397" i="4"/>
  <c r="E398" i="4" s="1"/>
  <c r="L403" i="5" l="1"/>
  <c r="K403" i="5" s="1"/>
  <c r="I404" i="5" s="1"/>
  <c r="L404" i="5" s="1"/>
  <c r="O395" i="5"/>
  <c r="M396" i="5" s="1"/>
  <c r="P396" i="5" s="1"/>
  <c r="J403" i="4"/>
  <c r="K403" i="4" s="1"/>
  <c r="I404" i="4" s="1"/>
  <c r="I297" i="6"/>
  <c r="E297" i="6"/>
  <c r="D297" i="6" s="1"/>
  <c r="F297" i="6" s="1"/>
  <c r="G297" i="6" s="1"/>
  <c r="G373" i="5"/>
  <c r="E374" i="5" s="1"/>
  <c r="F374" i="5" s="1"/>
  <c r="Y332" i="5"/>
  <c r="X332" i="5" s="1"/>
  <c r="W343" i="4"/>
  <c r="Y343" i="4"/>
  <c r="P400" i="4"/>
  <c r="O400" i="4" s="1"/>
  <c r="F398" i="4"/>
  <c r="H398" i="4"/>
  <c r="N396" i="5" l="1"/>
  <c r="O396" i="5" s="1"/>
  <c r="M397" i="5" s="1"/>
  <c r="P397" i="5" s="1"/>
  <c r="X343" i="4"/>
  <c r="V344" i="4" s="1"/>
  <c r="W344" i="4" s="1"/>
  <c r="J404" i="4"/>
  <c r="L404" i="4"/>
  <c r="V333" i="5"/>
  <c r="Y333" i="5" s="1"/>
  <c r="C298" i="6"/>
  <c r="H297" i="6"/>
  <c r="M401" i="4"/>
  <c r="P401" i="4" s="1"/>
  <c r="J404" i="5"/>
  <c r="K404" i="5" s="1"/>
  <c r="I405" i="5" s="1"/>
  <c r="L405" i="5" s="1"/>
  <c r="H374" i="5"/>
  <c r="G374" i="5" s="1"/>
  <c r="G398" i="4"/>
  <c r="E399" i="4" s="1"/>
  <c r="Y344" i="4" l="1"/>
  <c r="X344" i="4" s="1"/>
  <c r="V345" i="4" s="1"/>
  <c r="W345" i="4" s="1"/>
  <c r="W333" i="5"/>
  <c r="X333" i="5" s="1"/>
  <c r="V334" i="5" s="1"/>
  <c r="K404" i="4"/>
  <c r="I405" i="4" s="1"/>
  <c r="J405" i="4" s="1"/>
  <c r="N401" i="4"/>
  <c r="O401" i="4" s="1"/>
  <c r="M402" i="4" s="1"/>
  <c r="N397" i="5"/>
  <c r="O397" i="5" s="1"/>
  <c r="M398" i="5" s="1"/>
  <c r="P398" i="5" s="1"/>
  <c r="E298" i="6"/>
  <c r="D298" i="6" s="1"/>
  <c r="F298" i="6" s="1"/>
  <c r="G298" i="6" s="1"/>
  <c r="I298" i="6"/>
  <c r="E375" i="5"/>
  <c r="F375" i="5" s="1"/>
  <c r="J405" i="5"/>
  <c r="K405" i="5" s="1"/>
  <c r="I406" i="5" s="1"/>
  <c r="L406" i="5" s="1"/>
  <c r="H399" i="4"/>
  <c r="F399" i="4"/>
  <c r="Y345" i="4" l="1"/>
  <c r="X345" i="4" s="1"/>
  <c r="V346" i="4" s="1"/>
  <c r="W346" i="4" s="1"/>
  <c r="L405" i="4"/>
  <c r="K405" i="4" s="1"/>
  <c r="I406" i="4" s="1"/>
  <c r="H375" i="5"/>
  <c r="G375" i="5" s="1"/>
  <c r="E376" i="5" s="1"/>
  <c r="G399" i="4"/>
  <c r="E400" i="4" s="1"/>
  <c r="H400" i="4" s="1"/>
  <c r="J406" i="5"/>
  <c r="K406" i="5" s="1"/>
  <c r="I407" i="5" s="1"/>
  <c r="J407" i="5" s="1"/>
  <c r="N398" i="5"/>
  <c r="O398" i="5" s="1"/>
  <c r="M399" i="5" s="1"/>
  <c r="N399" i="5" s="1"/>
  <c r="H298" i="6"/>
  <c r="C299" i="6"/>
  <c r="W334" i="5"/>
  <c r="Y334" i="5"/>
  <c r="P402" i="4"/>
  <c r="N402" i="4"/>
  <c r="L406" i="4" l="1"/>
  <c r="J406" i="4"/>
  <c r="L407" i="5"/>
  <c r="K407" i="5" s="1"/>
  <c r="I408" i="5" s="1"/>
  <c r="L408" i="5" s="1"/>
  <c r="F400" i="4"/>
  <c r="G400" i="4" s="1"/>
  <c r="E401" i="4" s="1"/>
  <c r="H401" i="4" s="1"/>
  <c r="Y346" i="4"/>
  <c r="X346" i="4" s="1"/>
  <c r="V347" i="4" s="1"/>
  <c r="W347" i="4" s="1"/>
  <c r="P399" i="5"/>
  <c r="O399" i="5" s="1"/>
  <c r="M400" i="5" s="1"/>
  <c r="O402" i="4"/>
  <c r="M403" i="4" s="1"/>
  <c r="P403" i="4" s="1"/>
  <c r="E299" i="6"/>
  <c r="D299" i="6" s="1"/>
  <c r="F299" i="6" s="1"/>
  <c r="G299" i="6" s="1"/>
  <c r="I299" i="6"/>
  <c r="H376" i="5"/>
  <c r="F376" i="5"/>
  <c r="X334" i="5"/>
  <c r="V335" i="5" s="1"/>
  <c r="K406" i="4" l="1"/>
  <c r="I407" i="4" s="1"/>
  <c r="L407" i="4" s="1"/>
  <c r="N403" i="4"/>
  <c r="O403" i="4" s="1"/>
  <c r="M404" i="4" s="1"/>
  <c r="N400" i="5"/>
  <c r="P400" i="5"/>
  <c r="J408" i="5"/>
  <c r="K408" i="5" s="1"/>
  <c r="I409" i="5" s="1"/>
  <c r="L409" i="5" s="1"/>
  <c r="C300" i="6"/>
  <c r="H299" i="6"/>
  <c r="Y347" i="4"/>
  <c r="X347" i="4" s="1"/>
  <c r="V348" i="4" s="1"/>
  <c r="F401" i="4"/>
  <c r="G401" i="4" s="1"/>
  <c r="E402" i="4" s="1"/>
  <c r="G376" i="5"/>
  <c r="E377" i="5" s="1"/>
  <c r="F377" i="5" s="1"/>
  <c r="W335" i="5"/>
  <c r="Y335" i="5"/>
  <c r="J407" i="4" l="1"/>
  <c r="K407" i="4" s="1"/>
  <c r="I408" i="4" s="1"/>
  <c r="J408" i="4" s="1"/>
  <c r="O400" i="5"/>
  <c r="M401" i="5" s="1"/>
  <c r="P401" i="5" s="1"/>
  <c r="H377" i="5"/>
  <c r="G377" i="5" s="1"/>
  <c r="E378" i="5" s="1"/>
  <c r="J409" i="5"/>
  <c r="K409" i="5" s="1"/>
  <c r="I410" i="5" s="1"/>
  <c r="L410" i="5" s="1"/>
  <c r="E300" i="6"/>
  <c r="D300" i="6" s="1"/>
  <c r="F300" i="6" s="1"/>
  <c r="G300" i="6" s="1"/>
  <c r="I300" i="6"/>
  <c r="X335" i="5"/>
  <c r="V336" i="5" s="1"/>
  <c r="W348" i="4"/>
  <c r="Y348" i="4"/>
  <c r="H402" i="4"/>
  <c r="F402" i="4"/>
  <c r="N404" i="4"/>
  <c r="P404" i="4"/>
  <c r="L408" i="4" l="1"/>
  <c r="K408" i="4" s="1"/>
  <c r="I409" i="4" s="1"/>
  <c r="N401" i="5"/>
  <c r="O401" i="5" s="1"/>
  <c r="M402" i="5" s="1"/>
  <c r="H378" i="5"/>
  <c r="F378" i="5"/>
  <c r="J410" i="5"/>
  <c r="K410" i="5" s="1"/>
  <c r="I411" i="5" s="1"/>
  <c r="L411" i="5" s="1"/>
  <c r="C301" i="6"/>
  <c r="H300" i="6"/>
  <c r="W336" i="5"/>
  <c r="Y336" i="5"/>
  <c r="X348" i="4"/>
  <c r="V349" i="4" s="1"/>
  <c r="G402" i="4"/>
  <c r="E403" i="4" s="1"/>
  <c r="O404" i="4"/>
  <c r="M405" i="4" s="1"/>
  <c r="G378" i="5" l="1"/>
  <c r="E379" i="5" s="1"/>
  <c r="F379" i="5" s="1"/>
  <c r="J411" i="5"/>
  <c r="K411" i="5" s="1"/>
  <c r="I412" i="5" s="1"/>
  <c r="I301" i="6"/>
  <c r="E301" i="6"/>
  <c r="D301" i="6" s="1"/>
  <c r="F301" i="6" s="1"/>
  <c r="G301" i="6" s="1"/>
  <c r="N402" i="5"/>
  <c r="P402" i="5"/>
  <c r="X336" i="5"/>
  <c r="V337" i="5" s="1"/>
  <c r="P405" i="4"/>
  <c r="N405" i="4"/>
  <c r="Y349" i="4"/>
  <c r="W349" i="4"/>
  <c r="F403" i="4"/>
  <c r="H403" i="4"/>
  <c r="J409" i="4"/>
  <c r="L409" i="4"/>
  <c r="H379" i="5" l="1"/>
  <c r="G379" i="5" s="1"/>
  <c r="E380" i="5" s="1"/>
  <c r="H380" i="5" s="1"/>
  <c r="O402" i="5"/>
  <c r="M403" i="5" s="1"/>
  <c r="P403" i="5" s="1"/>
  <c r="O405" i="4"/>
  <c r="M406" i="4" s="1"/>
  <c r="H301" i="6"/>
  <c r="C302" i="6"/>
  <c r="Y337" i="5"/>
  <c r="W337" i="5"/>
  <c r="L412" i="5"/>
  <c r="J412" i="5"/>
  <c r="K409" i="4"/>
  <c r="I410" i="4" s="1"/>
  <c r="X349" i="4"/>
  <c r="V350" i="4" s="1"/>
  <c r="Y350" i="4" s="1"/>
  <c r="G403" i="4"/>
  <c r="E404" i="4" s="1"/>
  <c r="N403" i="5" l="1"/>
  <c r="O403" i="5" s="1"/>
  <c r="M404" i="5" s="1"/>
  <c r="P404" i="5" s="1"/>
  <c r="F380" i="5"/>
  <c r="G380" i="5" s="1"/>
  <c r="E381" i="5" s="1"/>
  <c r="H381" i="5" s="1"/>
  <c r="I302" i="6"/>
  <c r="E302" i="6"/>
  <c r="D302" i="6" s="1"/>
  <c r="F302" i="6" s="1"/>
  <c r="G302" i="6" s="1"/>
  <c r="K412" i="5"/>
  <c r="I413" i="5" s="1"/>
  <c r="X337" i="5"/>
  <c r="V338" i="5" s="1"/>
  <c r="W350" i="4"/>
  <c r="X350" i="4" s="1"/>
  <c r="V351" i="4" s="1"/>
  <c r="F404" i="4"/>
  <c r="H404" i="4"/>
  <c r="L410" i="4"/>
  <c r="J410" i="4"/>
  <c r="N406" i="4"/>
  <c r="P406" i="4"/>
  <c r="F381" i="5" l="1"/>
  <c r="G381" i="5" s="1"/>
  <c r="E382" i="5" s="1"/>
  <c r="F382" i="5" s="1"/>
  <c r="N404" i="5"/>
  <c r="O404" i="5" s="1"/>
  <c r="M405" i="5" s="1"/>
  <c r="H302" i="6"/>
  <c r="C303" i="6"/>
  <c r="G404" i="4"/>
  <c r="E405" i="4" s="1"/>
  <c r="F405" i="4" s="1"/>
  <c r="Y338" i="5"/>
  <c r="W338" i="5"/>
  <c r="J413" i="5"/>
  <c r="L413" i="5"/>
  <c r="W351" i="4"/>
  <c r="Y351" i="4"/>
  <c r="K410" i="4"/>
  <c r="I411" i="4" s="1"/>
  <c r="J411" i="4" s="1"/>
  <c r="O406" i="4"/>
  <c r="M407" i="4" s="1"/>
  <c r="H382" i="5" l="1"/>
  <c r="G382" i="5" s="1"/>
  <c r="E383" i="5" s="1"/>
  <c r="X351" i="4"/>
  <c r="V352" i="4" s="1"/>
  <c r="Y352" i="4" s="1"/>
  <c r="E303" i="6"/>
  <c r="D303" i="6" s="1"/>
  <c r="F303" i="6" s="1"/>
  <c r="G303" i="6" s="1"/>
  <c r="I303" i="6"/>
  <c r="L411" i="4"/>
  <c r="K411" i="4" s="1"/>
  <c r="I412" i="4" s="1"/>
  <c r="N405" i="5"/>
  <c r="P405" i="5"/>
  <c r="K413" i="5"/>
  <c r="I414" i="5" s="1"/>
  <c r="X338" i="5"/>
  <c r="V339" i="5" s="1"/>
  <c r="N407" i="4"/>
  <c r="P407" i="4"/>
  <c r="H405" i="4"/>
  <c r="G405" i="4" s="1"/>
  <c r="E406" i="4" s="1"/>
  <c r="W352" i="4" l="1"/>
  <c r="X352" i="4" s="1"/>
  <c r="V353" i="4" s="1"/>
  <c r="W353" i="4" s="1"/>
  <c r="O407" i="4"/>
  <c r="M408" i="4" s="1"/>
  <c r="N408" i="4" s="1"/>
  <c r="C304" i="6"/>
  <c r="H303" i="6"/>
  <c r="O405" i="5"/>
  <c r="M406" i="5" s="1"/>
  <c r="H383" i="5"/>
  <c r="F383" i="5"/>
  <c r="Y339" i="5"/>
  <c r="W339" i="5"/>
  <c r="J414" i="5"/>
  <c r="L414" i="5"/>
  <c r="F406" i="4"/>
  <c r="H406" i="4"/>
  <c r="J412" i="4"/>
  <c r="L412" i="4"/>
  <c r="Y353" i="4" l="1"/>
  <c r="X353" i="4" s="1"/>
  <c r="V354" i="4" s="1"/>
  <c r="Y354" i="4" s="1"/>
  <c r="P408" i="4"/>
  <c r="O408" i="4" s="1"/>
  <c r="M409" i="4" s="1"/>
  <c r="N409" i="4" s="1"/>
  <c r="I304" i="6"/>
  <c r="E304" i="6"/>
  <c r="D304" i="6" s="1"/>
  <c r="F304" i="6" s="1"/>
  <c r="G304" i="6" s="1"/>
  <c r="X339" i="5"/>
  <c r="V340" i="5" s="1"/>
  <c r="P406" i="5"/>
  <c r="N406" i="5"/>
  <c r="K414" i="5"/>
  <c r="I415" i="5" s="1"/>
  <c r="G383" i="5"/>
  <c r="E384" i="5" s="1"/>
  <c r="G406" i="4"/>
  <c r="E407" i="4" s="1"/>
  <c r="H407" i="4" s="1"/>
  <c r="K412" i="4"/>
  <c r="I413" i="4" s="1"/>
  <c r="O406" i="5" l="1"/>
  <c r="M407" i="5" s="1"/>
  <c r="N407" i="5" s="1"/>
  <c r="W354" i="4"/>
  <c r="X354" i="4" s="1"/>
  <c r="V355" i="4" s="1"/>
  <c r="Y355" i="4" s="1"/>
  <c r="H304" i="6"/>
  <c r="C305" i="6"/>
  <c r="F407" i="4"/>
  <c r="G407" i="4" s="1"/>
  <c r="E408" i="4" s="1"/>
  <c r="H384" i="5"/>
  <c r="F384" i="5"/>
  <c r="L415" i="5"/>
  <c r="L15" i="5" s="1"/>
  <c r="J415" i="5"/>
  <c r="Y340" i="5"/>
  <c r="W340" i="5"/>
  <c r="P409" i="4"/>
  <c r="L413" i="4"/>
  <c r="J413" i="4"/>
  <c r="P407" i="5" l="1"/>
  <c r="O407" i="5" s="1"/>
  <c r="M408" i="5" s="1"/>
  <c r="P408" i="5" s="1"/>
  <c r="O409" i="4"/>
  <c r="M410" i="4" s="1"/>
  <c r="E305" i="6"/>
  <c r="D305" i="6" s="1"/>
  <c r="F305" i="6" s="1"/>
  <c r="G305" i="6" s="1"/>
  <c r="I305" i="6"/>
  <c r="W355" i="4"/>
  <c r="X355" i="4" s="1"/>
  <c r="V356" i="4" s="1"/>
  <c r="W356" i="4" s="1"/>
  <c r="X340" i="5"/>
  <c r="V341" i="5" s="1"/>
  <c r="G384" i="5"/>
  <c r="E385" i="5" s="1"/>
  <c r="K415" i="5"/>
  <c r="H408" i="4"/>
  <c r="F408" i="4"/>
  <c r="K413" i="4"/>
  <c r="I414" i="4" s="1"/>
  <c r="N408" i="5" l="1"/>
  <c r="O408" i="5" s="1"/>
  <c r="M409" i="5" s="1"/>
  <c r="G408" i="4"/>
  <c r="E409" i="4" s="1"/>
  <c r="P410" i="4"/>
  <c r="N410" i="4"/>
  <c r="Y356" i="4"/>
  <c r="X356" i="4" s="1"/>
  <c r="V357" i="4" s="1"/>
  <c r="H305" i="6"/>
  <c r="C306" i="6"/>
  <c r="F385" i="5"/>
  <c r="H385" i="5"/>
  <c r="W341" i="5"/>
  <c r="Y341" i="5"/>
  <c r="J414" i="4"/>
  <c r="L414" i="4"/>
  <c r="O410" i="4" l="1"/>
  <c r="M411" i="4" s="1"/>
  <c r="P411" i="4" s="1"/>
  <c r="N409" i="5"/>
  <c r="P409" i="5"/>
  <c r="I306" i="6"/>
  <c r="E306" i="6"/>
  <c r="D306" i="6" s="1"/>
  <c r="F306" i="6" s="1"/>
  <c r="G306" i="6" s="1"/>
  <c r="G385" i="5"/>
  <c r="E386" i="5" s="1"/>
  <c r="F386" i="5" s="1"/>
  <c r="X341" i="5"/>
  <c r="V342" i="5" s="1"/>
  <c r="K414" i="4"/>
  <c r="I415" i="4" s="1"/>
  <c r="L415" i="4" s="1"/>
  <c r="L15" i="4" s="1"/>
  <c r="Y357" i="4"/>
  <c r="W357" i="4"/>
  <c r="H409" i="4"/>
  <c r="F409" i="4"/>
  <c r="N411" i="4" l="1"/>
  <c r="O411" i="4" s="1"/>
  <c r="M412" i="4" s="1"/>
  <c r="N412" i="4" s="1"/>
  <c r="O409" i="5"/>
  <c r="M410" i="5" s="1"/>
  <c r="J415" i="4"/>
  <c r="K415" i="4" s="1"/>
  <c r="H386" i="5"/>
  <c r="G386" i="5" s="1"/>
  <c r="E387" i="5" s="1"/>
  <c r="H387" i="5" s="1"/>
  <c r="C307" i="6"/>
  <c r="H306" i="6"/>
  <c r="Y342" i="5"/>
  <c r="W342" i="5"/>
  <c r="G409" i="4"/>
  <c r="E410" i="4" s="1"/>
  <c r="X357" i="4"/>
  <c r="V358" i="4" s="1"/>
  <c r="F387" i="5" l="1"/>
  <c r="G387" i="5" s="1"/>
  <c r="E388" i="5" s="1"/>
  <c r="H388" i="5" s="1"/>
  <c r="P410" i="5"/>
  <c r="N410" i="5"/>
  <c r="P412" i="4"/>
  <c r="O412" i="4" s="1"/>
  <c r="E307" i="6"/>
  <c r="D307" i="6" s="1"/>
  <c r="F307" i="6" s="1"/>
  <c r="G307" i="6" s="1"/>
  <c r="I307" i="6"/>
  <c r="X342" i="5"/>
  <c r="V343" i="5" s="1"/>
  <c r="F410" i="4"/>
  <c r="H410" i="4"/>
  <c r="Y358" i="4"/>
  <c r="W358" i="4"/>
  <c r="F388" i="5" l="1"/>
  <c r="G388" i="5" s="1"/>
  <c r="E389" i="5" s="1"/>
  <c r="F389" i="5" s="1"/>
  <c r="O410" i="5"/>
  <c r="M411" i="5" s="1"/>
  <c r="M413" i="4"/>
  <c r="P413" i="4" s="1"/>
  <c r="H307" i="6"/>
  <c r="C308" i="6"/>
  <c r="Y343" i="5"/>
  <c r="W343" i="5"/>
  <c r="G410" i="4"/>
  <c r="E411" i="4" s="1"/>
  <c r="X358" i="4"/>
  <c r="V359" i="4" s="1"/>
  <c r="N413" i="4" l="1"/>
  <c r="O413" i="4" s="1"/>
  <c r="M414" i="4" s="1"/>
  <c r="P414" i="4" s="1"/>
  <c r="H389" i="5"/>
  <c r="G389" i="5" s="1"/>
  <c r="E390" i="5" s="1"/>
  <c r="P411" i="5"/>
  <c r="N411" i="5"/>
  <c r="E308" i="6"/>
  <c r="D308" i="6" s="1"/>
  <c r="F308" i="6" s="1"/>
  <c r="G308" i="6" s="1"/>
  <c r="I308" i="6"/>
  <c r="X343" i="5"/>
  <c r="V344" i="5" s="1"/>
  <c r="Y359" i="4"/>
  <c r="W359" i="4"/>
  <c r="H411" i="4"/>
  <c r="F411" i="4"/>
  <c r="N414" i="4" l="1"/>
  <c r="O414" i="4" s="1"/>
  <c r="M415" i="4" s="1"/>
  <c r="N415" i="4" s="1"/>
  <c r="O411" i="5"/>
  <c r="M412" i="5" s="1"/>
  <c r="P412" i="5" s="1"/>
  <c r="C309" i="6"/>
  <c r="H308" i="6"/>
  <c r="H390" i="5"/>
  <c r="F390" i="5"/>
  <c r="W344" i="5"/>
  <c r="Y344" i="5"/>
  <c r="X359" i="4"/>
  <c r="V360" i="4" s="1"/>
  <c r="Y360" i="4" s="1"/>
  <c r="G411" i="4"/>
  <c r="E412" i="4" s="1"/>
  <c r="P415" i="4" l="1"/>
  <c r="P15" i="4" s="1"/>
  <c r="N412" i="5"/>
  <c r="O412" i="5" s="1"/>
  <c r="M413" i="5" s="1"/>
  <c r="X344" i="5"/>
  <c r="V345" i="5" s="1"/>
  <c r="G390" i="5"/>
  <c r="E391" i="5" s="1"/>
  <c r="H391" i="5" s="1"/>
  <c r="W360" i="4"/>
  <c r="X360" i="4" s="1"/>
  <c r="V361" i="4" s="1"/>
  <c r="I309" i="6"/>
  <c r="E309" i="6"/>
  <c r="D309" i="6" s="1"/>
  <c r="F309" i="6" s="1"/>
  <c r="G309" i="6" s="1"/>
  <c r="H412" i="4"/>
  <c r="F412" i="4"/>
  <c r="O415" i="4" l="1"/>
  <c r="F391" i="5"/>
  <c r="G391" i="5" s="1"/>
  <c r="E392" i="5" s="1"/>
  <c r="H392" i="5" s="1"/>
  <c r="N413" i="5"/>
  <c r="P413" i="5"/>
  <c r="C310" i="6"/>
  <c r="H309" i="6"/>
  <c r="Y345" i="5"/>
  <c r="W345" i="5"/>
  <c r="G412" i="4"/>
  <c r="E413" i="4" s="1"/>
  <c r="F413" i="4" s="1"/>
  <c r="W361" i="4"/>
  <c r="Y361" i="4"/>
  <c r="F392" i="5" l="1"/>
  <c r="G392" i="5" s="1"/>
  <c r="E393" i="5" s="1"/>
  <c r="F393" i="5" s="1"/>
  <c r="O413" i="5"/>
  <c r="M414" i="5" s="1"/>
  <c r="N414" i="5" s="1"/>
  <c r="I310" i="6"/>
  <c r="E310" i="6"/>
  <c r="D310" i="6" s="1"/>
  <c r="F310" i="6" s="1"/>
  <c r="G310" i="6" s="1"/>
  <c r="X345" i="5"/>
  <c r="V346" i="5" s="1"/>
  <c r="H413" i="4"/>
  <c r="G413" i="4" s="1"/>
  <c r="E414" i="4" s="1"/>
  <c r="X361" i="4"/>
  <c r="V362" i="4" s="1"/>
  <c r="P414" i="5" l="1"/>
  <c r="O414" i="5" s="1"/>
  <c r="M415" i="5" s="1"/>
  <c r="N415" i="5" s="1"/>
  <c r="H393" i="5"/>
  <c r="G393" i="5" s="1"/>
  <c r="E394" i="5" s="1"/>
  <c r="H310" i="6"/>
  <c r="C311" i="6"/>
  <c r="Y346" i="5"/>
  <c r="W346" i="5"/>
  <c r="Y362" i="4"/>
  <c r="W362" i="4"/>
  <c r="H414" i="4"/>
  <c r="F414" i="4"/>
  <c r="P415" i="5" l="1"/>
  <c r="P15" i="5" s="1"/>
  <c r="H394" i="5"/>
  <c r="F394" i="5"/>
  <c r="E311" i="6"/>
  <c r="D311" i="6" s="1"/>
  <c r="F311" i="6" s="1"/>
  <c r="G311" i="6" s="1"/>
  <c r="I311" i="6"/>
  <c r="X346" i="5"/>
  <c r="V347" i="5" s="1"/>
  <c r="G414" i="4"/>
  <c r="E415" i="4" s="1"/>
  <c r="X362" i="4"/>
  <c r="V363" i="4" s="1"/>
  <c r="O415" i="5" l="1"/>
  <c r="G394" i="5"/>
  <c r="E395" i="5" s="1"/>
  <c r="H395" i="5" s="1"/>
  <c r="C312" i="6"/>
  <c r="H311" i="6"/>
  <c r="W347" i="5"/>
  <c r="Y347" i="5"/>
  <c r="W363" i="4"/>
  <c r="Y363" i="4"/>
  <c r="H415" i="4"/>
  <c r="H15" i="4" s="1"/>
  <c r="F415" i="4"/>
  <c r="F395" i="5" l="1"/>
  <c r="G395" i="5" s="1"/>
  <c r="E396" i="5" s="1"/>
  <c r="G415" i="4"/>
  <c r="E312" i="6"/>
  <c r="D312" i="6" s="1"/>
  <c r="F312" i="6" s="1"/>
  <c r="G312" i="6" s="1"/>
  <c r="I312" i="6"/>
  <c r="X347" i="5"/>
  <c r="V348" i="5" s="1"/>
  <c r="X363" i="4"/>
  <c r="V364" i="4" s="1"/>
  <c r="F396" i="5" l="1"/>
  <c r="H396" i="5"/>
  <c r="C313" i="6"/>
  <c r="H312" i="6"/>
  <c r="W348" i="5"/>
  <c r="Y348" i="5"/>
  <c r="W364" i="4"/>
  <c r="Y364" i="4"/>
  <c r="G396" i="5" l="1"/>
  <c r="E397" i="5" s="1"/>
  <c r="F397" i="5" s="1"/>
  <c r="X364" i="4"/>
  <c r="V365" i="4" s="1"/>
  <c r="X348" i="5"/>
  <c r="V349" i="5" s="1"/>
  <c r="I313" i="6"/>
  <c r="E313" i="6"/>
  <c r="D313" i="6" s="1"/>
  <c r="F313" i="6" s="1"/>
  <c r="G313" i="6" s="1"/>
  <c r="H397" i="5" l="1"/>
  <c r="G397" i="5" s="1"/>
  <c r="E398" i="5" s="1"/>
  <c r="H313" i="6"/>
  <c r="C314" i="6"/>
  <c r="Y349" i="5"/>
  <c r="W349" i="5"/>
  <c r="Y365" i="4"/>
  <c r="W365" i="4"/>
  <c r="E314" i="6" l="1"/>
  <c r="D314" i="6" s="1"/>
  <c r="F314" i="6" s="1"/>
  <c r="G314" i="6" s="1"/>
  <c r="I314" i="6"/>
  <c r="X349" i="5"/>
  <c r="V350" i="5" s="1"/>
  <c r="Y350" i="5" s="1"/>
  <c r="F398" i="5"/>
  <c r="H398" i="5"/>
  <c r="X365" i="4"/>
  <c r="V366" i="4" s="1"/>
  <c r="W350" i="5" l="1"/>
  <c r="X350" i="5" s="1"/>
  <c r="V351" i="5" s="1"/>
  <c r="Y351" i="5" s="1"/>
  <c r="H314" i="6"/>
  <c r="C315" i="6"/>
  <c r="G398" i="5"/>
  <c r="E399" i="5" s="1"/>
  <c r="Y366" i="4"/>
  <c r="W366" i="4"/>
  <c r="I315" i="6" l="1"/>
  <c r="E315" i="6"/>
  <c r="D315" i="6" s="1"/>
  <c r="F315" i="6" s="1"/>
  <c r="G315" i="6" s="1"/>
  <c r="W351" i="5"/>
  <c r="X351" i="5" s="1"/>
  <c r="V352" i="5" s="1"/>
  <c r="H399" i="5"/>
  <c r="F399" i="5"/>
  <c r="X366" i="4"/>
  <c r="V367" i="4" s="1"/>
  <c r="Y367" i="4" s="1"/>
  <c r="C316" i="6" l="1"/>
  <c r="H315" i="6"/>
  <c r="G399" i="5"/>
  <c r="E400" i="5" s="1"/>
  <c r="H400" i="5" s="1"/>
  <c r="Y352" i="5"/>
  <c r="W352" i="5"/>
  <c r="W367" i="4"/>
  <c r="X367" i="4" s="1"/>
  <c r="V368" i="4" s="1"/>
  <c r="F400" i="5" l="1"/>
  <c r="G400" i="5" s="1"/>
  <c r="E401" i="5" s="1"/>
  <c r="F401" i="5" s="1"/>
  <c r="E316" i="6"/>
  <c r="D316" i="6" s="1"/>
  <c r="F316" i="6" s="1"/>
  <c r="G316" i="6" s="1"/>
  <c r="I316" i="6"/>
  <c r="X352" i="5"/>
  <c r="V353" i="5" s="1"/>
  <c r="Y368" i="4"/>
  <c r="W368" i="4"/>
  <c r="H401" i="5" l="1"/>
  <c r="G401" i="5" s="1"/>
  <c r="E402" i="5" s="1"/>
  <c r="H402" i="5" s="1"/>
  <c r="H316" i="6"/>
  <c r="C317" i="6"/>
  <c r="W353" i="5"/>
  <c r="Y353" i="5"/>
  <c r="X368" i="4"/>
  <c r="V369" i="4" s="1"/>
  <c r="Y369" i="4" s="1"/>
  <c r="F402" i="5" l="1"/>
  <c r="G402" i="5" s="1"/>
  <c r="E403" i="5" s="1"/>
  <c r="H403" i="5" s="1"/>
  <c r="E317" i="6"/>
  <c r="D317" i="6" s="1"/>
  <c r="F317" i="6" s="1"/>
  <c r="G317" i="6" s="1"/>
  <c r="I317" i="6"/>
  <c r="X353" i="5"/>
  <c r="V354" i="5" s="1"/>
  <c r="W369" i="4"/>
  <c r="X369" i="4" s="1"/>
  <c r="V370" i="4" s="1"/>
  <c r="F403" i="5" l="1"/>
  <c r="G403" i="5" s="1"/>
  <c r="E404" i="5" s="1"/>
  <c r="H404" i="5" s="1"/>
  <c r="C318" i="6"/>
  <c r="H317" i="6"/>
  <c r="Y354" i="5"/>
  <c r="W354" i="5"/>
  <c r="Y370" i="4"/>
  <c r="W370" i="4"/>
  <c r="F404" i="5" l="1"/>
  <c r="G404" i="5" s="1"/>
  <c r="E405" i="5" s="1"/>
  <c r="H405" i="5" s="1"/>
  <c r="I318" i="6"/>
  <c r="E318" i="6"/>
  <c r="D318" i="6" s="1"/>
  <c r="F318" i="6" s="1"/>
  <c r="G318" i="6" s="1"/>
  <c r="X354" i="5"/>
  <c r="V355" i="5" s="1"/>
  <c r="X370" i="4"/>
  <c r="V371" i="4" s="1"/>
  <c r="C319" i="6" l="1"/>
  <c r="H318" i="6"/>
  <c r="F405" i="5"/>
  <c r="G405" i="5" s="1"/>
  <c r="E406" i="5" s="1"/>
  <c r="H406" i="5" s="1"/>
  <c r="Y355" i="5"/>
  <c r="W355" i="5"/>
  <c r="Y371" i="4"/>
  <c r="W371" i="4"/>
  <c r="I319" i="6" l="1"/>
  <c r="E319" i="6"/>
  <c r="D319" i="6" s="1"/>
  <c r="F319" i="6" s="1"/>
  <c r="G319" i="6" s="1"/>
  <c r="F406" i="5"/>
  <c r="G406" i="5" s="1"/>
  <c r="E407" i="5" s="1"/>
  <c r="F407" i="5" s="1"/>
  <c r="X355" i="5"/>
  <c r="V356" i="5" s="1"/>
  <c r="X371" i="4"/>
  <c r="V372" i="4" s="1"/>
  <c r="H319" i="6" l="1"/>
  <c r="C320" i="6"/>
  <c r="H407" i="5"/>
  <c r="G407" i="5" s="1"/>
  <c r="E408" i="5" s="1"/>
  <c r="H408" i="5" s="1"/>
  <c r="W356" i="5"/>
  <c r="Y356" i="5"/>
  <c r="W372" i="4"/>
  <c r="Y372" i="4"/>
  <c r="X356" i="5" l="1"/>
  <c r="V357" i="5" s="1"/>
  <c r="E320" i="6"/>
  <c r="D320" i="6" s="1"/>
  <c r="F320" i="6" s="1"/>
  <c r="G320" i="6" s="1"/>
  <c r="I320" i="6"/>
  <c r="F408" i="5"/>
  <c r="G408" i="5" s="1"/>
  <c r="E409" i="5" s="1"/>
  <c r="X372" i="4"/>
  <c r="V373" i="4" s="1"/>
  <c r="H409" i="5" l="1"/>
  <c r="F409" i="5"/>
  <c r="C321" i="6"/>
  <c r="H320" i="6"/>
  <c r="Y357" i="5"/>
  <c r="W357" i="5"/>
  <c r="Y373" i="4"/>
  <c r="W373" i="4"/>
  <c r="G409" i="5" l="1"/>
  <c r="E410" i="5" s="1"/>
  <c r="H410" i="5" s="1"/>
  <c r="E321" i="6"/>
  <c r="D321" i="6" s="1"/>
  <c r="F321" i="6" s="1"/>
  <c r="G321" i="6" s="1"/>
  <c r="I321" i="6"/>
  <c r="X357" i="5"/>
  <c r="V358" i="5" s="1"/>
  <c r="X373" i="4"/>
  <c r="V374" i="4" s="1"/>
  <c r="Y374" i="4" s="1"/>
  <c r="F410" i="5" l="1"/>
  <c r="G410" i="5" s="1"/>
  <c r="E411" i="5" s="1"/>
  <c r="H411" i="5" s="1"/>
  <c r="C322" i="6"/>
  <c r="H321" i="6"/>
  <c r="W374" i="4"/>
  <c r="X374" i="4" s="1"/>
  <c r="V375" i="4" s="1"/>
  <c r="Y375" i="4" s="1"/>
  <c r="Y358" i="5"/>
  <c r="W358" i="5"/>
  <c r="I322" i="6" l="1"/>
  <c r="E322" i="6"/>
  <c r="D322" i="6" s="1"/>
  <c r="F322" i="6" s="1"/>
  <c r="G322" i="6" s="1"/>
  <c r="F411" i="5"/>
  <c r="G411" i="5" s="1"/>
  <c r="E412" i="5" s="1"/>
  <c r="H412" i="5" s="1"/>
  <c r="X358" i="5"/>
  <c r="V359" i="5" s="1"/>
  <c r="W375" i="4"/>
  <c r="X375" i="4" s="1"/>
  <c r="V376" i="4" s="1"/>
  <c r="Y376" i="4" s="1"/>
  <c r="H322" i="6" l="1"/>
  <c r="C323" i="6"/>
  <c r="F412" i="5"/>
  <c r="G412" i="5" s="1"/>
  <c r="E413" i="5" s="1"/>
  <c r="H413" i="5" s="1"/>
  <c r="W359" i="5"/>
  <c r="Y359" i="5"/>
  <c r="W376" i="4"/>
  <c r="X376" i="4" s="1"/>
  <c r="V377" i="4" s="1"/>
  <c r="E323" i="6" l="1"/>
  <c r="D323" i="6" s="1"/>
  <c r="F323" i="6" s="1"/>
  <c r="G323" i="6" s="1"/>
  <c r="I323" i="6"/>
  <c r="F413" i="5"/>
  <c r="G413" i="5" s="1"/>
  <c r="E414" i="5" s="1"/>
  <c r="X359" i="5"/>
  <c r="V360" i="5" s="1"/>
  <c r="W377" i="4"/>
  <c r="Y377" i="4"/>
  <c r="H323" i="6" l="1"/>
  <c r="C324" i="6"/>
  <c r="W360" i="5"/>
  <c r="Y360" i="5"/>
  <c r="H414" i="5"/>
  <c r="F414" i="5"/>
  <c r="X377" i="4"/>
  <c r="V378" i="4" s="1"/>
  <c r="G414" i="5" l="1"/>
  <c r="E415" i="5" s="1"/>
  <c r="H415" i="5" s="1"/>
  <c r="H15" i="5" s="1"/>
  <c r="I324" i="6"/>
  <c r="E324" i="6"/>
  <c r="D324" i="6" s="1"/>
  <c r="F324" i="6" s="1"/>
  <c r="G324" i="6" s="1"/>
  <c r="X360" i="5"/>
  <c r="V361" i="5" s="1"/>
  <c r="Y378" i="4"/>
  <c r="W378" i="4"/>
  <c r="F415" i="5" l="1"/>
  <c r="G415" i="5" s="1"/>
  <c r="C325" i="6"/>
  <c r="H324" i="6"/>
  <c r="Y361" i="5"/>
  <c r="W361" i="5"/>
  <c r="X378" i="4"/>
  <c r="V379" i="4" s="1"/>
  <c r="I325" i="6" l="1"/>
  <c r="E325" i="6"/>
  <c r="D325" i="6" s="1"/>
  <c r="F325" i="6" s="1"/>
  <c r="G325" i="6" s="1"/>
  <c r="X361" i="5"/>
  <c r="V362" i="5" s="1"/>
  <c r="Y362" i="5" s="1"/>
  <c r="Y379" i="4"/>
  <c r="W379" i="4"/>
  <c r="H325" i="6" l="1"/>
  <c r="C326" i="6"/>
  <c r="W362" i="5"/>
  <c r="X362" i="5" s="1"/>
  <c r="V363" i="5" s="1"/>
  <c r="X379" i="4"/>
  <c r="V380" i="4" s="1"/>
  <c r="I326" i="6" l="1"/>
  <c r="E326" i="6"/>
  <c r="D326" i="6" s="1"/>
  <c r="F326" i="6" s="1"/>
  <c r="G326" i="6" s="1"/>
  <c r="Y363" i="5"/>
  <c r="W363" i="5"/>
  <c r="Y380" i="4"/>
  <c r="W380" i="4"/>
  <c r="H326" i="6" l="1"/>
  <c r="C327" i="6"/>
  <c r="X363" i="5"/>
  <c r="V364" i="5" s="1"/>
  <c r="X380" i="4"/>
  <c r="V381" i="4" s="1"/>
  <c r="Y381" i="4" s="1"/>
  <c r="E327" i="6" l="1"/>
  <c r="D327" i="6" s="1"/>
  <c r="F327" i="6" s="1"/>
  <c r="G327" i="6" s="1"/>
  <c r="I327" i="6"/>
  <c r="W381" i="4"/>
  <c r="X381" i="4" s="1"/>
  <c r="V382" i="4" s="1"/>
  <c r="Y382" i="4" s="1"/>
  <c r="Y364" i="5"/>
  <c r="W364" i="5"/>
  <c r="C328" i="6" l="1"/>
  <c r="H327" i="6"/>
  <c r="X364" i="5"/>
  <c r="V365" i="5" s="1"/>
  <c r="Y365" i="5" s="1"/>
  <c r="W382" i="4"/>
  <c r="X382" i="4" s="1"/>
  <c r="V383" i="4" s="1"/>
  <c r="Y383" i="4" s="1"/>
  <c r="W365" i="5" l="1"/>
  <c r="X365" i="5" s="1"/>
  <c r="V366" i="5" s="1"/>
  <c r="I328" i="6"/>
  <c r="E328" i="6"/>
  <c r="D328" i="6" s="1"/>
  <c r="F328" i="6" s="1"/>
  <c r="G328" i="6" s="1"/>
  <c r="W383" i="4"/>
  <c r="X383" i="4" s="1"/>
  <c r="V384" i="4" s="1"/>
  <c r="C329" i="6" l="1"/>
  <c r="H328" i="6"/>
  <c r="Y366" i="5"/>
  <c r="W366" i="5"/>
  <c r="W384" i="4"/>
  <c r="Y384" i="4"/>
  <c r="X384" i="4" l="1"/>
  <c r="V385" i="4" s="1"/>
  <c r="E329" i="6"/>
  <c r="D329" i="6" s="1"/>
  <c r="F329" i="6" s="1"/>
  <c r="G329" i="6" s="1"/>
  <c r="I329" i="6"/>
  <c r="X366" i="5"/>
  <c r="V367" i="5" s="1"/>
  <c r="C330" i="6" l="1"/>
  <c r="H329" i="6"/>
  <c r="Y367" i="5"/>
  <c r="W367" i="5"/>
  <c r="W385" i="4"/>
  <c r="Y385" i="4"/>
  <c r="X367" i="5" l="1"/>
  <c r="V368" i="5" s="1"/>
  <c r="W368" i="5" s="1"/>
  <c r="X385" i="4"/>
  <c r="V386" i="4" s="1"/>
  <c r="Y386" i="4" s="1"/>
  <c r="I330" i="6"/>
  <c r="E330" i="6"/>
  <c r="D330" i="6" s="1"/>
  <c r="F330" i="6" s="1"/>
  <c r="G330" i="6" s="1"/>
  <c r="W386" i="4" l="1"/>
  <c r="X386" i="4" s="1"/>
  <c r="V387" i="4" s="1"/>
  <c r="W387" i="4" s="1"/>
  <c r="Y368" i="5"/>
  <c r="X368" i="5" s="1"/>
  <c r="V369" i="5" s="1"/>
  <c r="C331" i="6"/>
  <c r="H330" i="6"/>
  <c r="E331" i="6" l="1"/>
  <c r="D331" i="6" s="1"/>
  <c r="F331" i="6" s="1"/>
  <c r="G331" i="6" s="1"/>
  <c r="I331" i="6"/>
  <c r="Y387" i="4"/>
  <c r="X387" i="4" s="1"/>
  <c r="V388" i="4" s="1"/>
  <c r="Y369" i="5"/>
  <c r="W369" i="5"/>
  <c r="H331" i="6" l="1"/>
  <c r="C332" i="6"/>
  <c r="X369" i="5"/>
  <c r="V370" i="5" s="1"/>
  <c r="Y370" i="5" s="1"/>
  <c r="W388" i="4"/>
  <c r="Y388" i="4"/>
  <c r="X388" i="4" l="1"/>
  <c r="V389" i="4" s="1"/>
  <c r="Y389" i="4" s="1"/>
  <c r="E332" i="6"/>
  <c r="D332" i="6" s="1"/>
  <c r="F332" i="6" s="1"/>
  <c r="G332" i="6" s="1"/>
  <c r="I332" i="6"/>
  <c r="W370" i="5"/>
  <c r="X370" i="5" s="1"/>
  <c r="V371" i="5" s="1"/>
  <c r="W389" i="4" l="1"/>
  <c r="X389" i="4" s="1"/>
  <c r="V390" i="4" s="1"/>
  <c r="W371" i="5"/>
  <c r="Y371" i="5"/>
  <c r="C333" i="6"/>
  <c r="H332" i="6"/>
  <c r="X371" i="5" l="1"/>
  <c r="V372" i="5" s="1"/>
  <c r="Y372" i="5" s="1"/>
  <c r="E333" i="6"/>
  <c r="D333" i="6" s="1"/>
  <c r="F333" i="6" s="1"/>
  <c r="G333" i="6" s="1"/>
  <c r="I333" i="6"/>
  <c r="W390" i="4"/>
  <c r="Y390" i="4"/>
  <c r="W372" i="5" l="1"/>
  <c r="X372" i="5" s="1"/>
  <c r="V373" i="5" s="1"/>
  <c r="Y373" i="5" s="1"/>
  <c r="X390" i="4"/>
  <c r="V391" i="4" s="1"/>
  <c r="C334" i="6"/>
  <c r="H333" i="6"/>
  <c r="I334" i="6" l="1"/>
  <c r="E334" i="6"/>
  <c r="D334" i="6" s="1"/>
  <c r="F334" i="6" s="1"/>
  <c r="G334" i="6" s="1"/>
  <c r="W373" i="5"/>
  <c r="X373" i="5" s="1"/>
  <c r="V374" i="5" s="1"/>
  <c r="Y391" i="4"/>
  <c r="W391" i="4"/>
  <c r="C335" i="6" l="1"/>
  <c r="H334" i="6"/>
  <c r="Y374" i="5"/>
  <c r="W374" i="5"/>
  <c r="X391" i="4"/>
  <c r="V392" i="4" s="1"/>
  <c r="I335" i="6" l="1"/>
  <c r="E335" i="6"/>
  <c r="D335" i="6" s="1"/>
  <c r="F335" i="6" s="1"/>
  <c r="G335" i="6" s="1"/>
  <c r="X374" i="5"/>
  <c r="V375" i="5" s="1"/>
  <c r="Y392" i="4"/>
  <c r="W392" i="4"/>
  <c r="H335" i="6" l="1"/>
  <c r="C336" i="6"/>
  <c r="Y375" i="5"/>
  <c r="W375" i="5"/>
  <c r="X392" i="4"/>
  <c r="V393" i="4" s="1"/>
  <c r="E336" i="6" l="1"/>
  <c r="D336" i="6" s="1"/>
  <c r="F336" i="6" s="1"/>
  <c r="G336" i="6" s="1"/>
  <c r="I336" i="6"/>
  <c r="X375" i="5"/>
  <c r="V376" i="5" s="1"/>
  <c r="Y393" i="4"/>
  <c r="W393" i="4"/>
  <c r="C337" i="6" l="1"/>
  <c r="H336" i="6"/>
  <c r="Y376" i="5"/>
  <c r="W376" i="5"/>
  <c r="X393" i="4"/>
  <c r="V394" i="4" s="1"/>
  <c r="Y394" i="4" s="1"/>
  <c r="E337" i="6" l="1"/>
  <c r="D337" i="6" s="1"/>
  <c r="F337" i="6" s="1"/>
  <c r="G337" i="6" s="1"/>
  <c r="I337" i="6"/>
  <c r="X376" i="5"/>
  <c r="V377" i="5" s="1"/>
  <c r="W394" i="4"/>
  <c r="X394" i="4" s="1"/>
  <c r="V395" i="4" s="1"/>
  <c r="H337" i="6" l="1"/>
  <c r="C338" i="6"/>
  <c r="W377" i="5"/>
  <c r="Y377" i="5"/>
  <c r="Y395" i="4"/>
  <c r="W395" i="4"/>
  <c r="E338" i="6" l="1"/>
  <c r="D338" i="6" s="1"/>
  <c r="F338" i="6" s="1"/>
  <c r="G338" i="6" s="1"/>
  <c r="I338" i="6"/>
  <c r="X377" i="5"/>
  <c r="V378" i="5" s="1"/>
  <c r="X395" i="4"/>
  <c r="V396" i="4" s="1"/>
  <c r="W396" i="4" s="1"/>
  <c r="C339" i="6" l="1"/>
  <c r="H338" i="6"/>
  <c r="W378" i="5"/>
  <c r="Y378" i="5"/>
  <c r="Y396" i="4"/>
  <c r="X396" i="4" s="1"/>
  <c r="V397" i="4" s="1"/>
  <c r="X378" i="5" l="1"/>
  <c r="V379" i="5" s="1"/>
  <c r="I339" i="6"/>
  <c r="E339" i="6"/>
  <c r="D339" i="6" s="1"/>
  <c r="F339" i="6" s="1"/>
  <c r="G339" i="6" s="1"/>
  <c r="W397" i="4"/>
  <c r="Y397" i="4"/>
  <c r="C340" i="6" l="1"/>
  <c r="H339" i="6"/>
  <c r="Y379" i="5"/>
  <c r="W379" i="5"/>
  <c r="X397" i="4"/>
  <c r="V398" i="4" s="1"/>
  <c r="Y398" i="4" s="1"/>
  <c r="E340" i="6" l="1"/>
  <c r="D340" i="6" s="1"/>
  <c r="F340" i="6" s="1"/>
  <c r="G340" i="6" s="1"/>
  <c r="I340" i="6"/>
  <c r="X379" i="5"/>
  <c r="V380" i="5" s="1"/>
  <c r="Y380" i="5" s="1"/>
  <c r="W398" i="4"/>
  <c r="X398" i="4" s="1"/>
  <c r="V399" i="4" s="1"/>
  <c r="W380" i="5" l="1"/>
  <c r="X380" i="5" s="1"/>
  <c r="V381" i="5" s="1"/>
  <c r="C341" i="6"/>
  <c r="H340" i="6"/>
  <c r="Y399" i="4"/>
  <c r="W399" i="4"/>
  <c r="I341" i="6" l="1"/>
  <c r="E341" i="6"/>
  <c r="D341" i="6" s="1"/>
  <c r="F341" i="6" s="1"/>
  <c r="G341" i="6" s="1"/>
  <c r="Y381" i="5"/>
  <c r="W381" i="5"/>
  <c r="X399" i="4"/>
  <c r="V400" i="4" s="1"/>
  <c r="X381" i="5" l="1"/>
  <c r="V382" i="5" s="1"/>
  <c r="Y382" i="5" s="1"/>
  <c r="C342" i="6"/>
  <c r="H341" i="6"/>
  <c r="Y400" i="4"/>
  <c r="W400" i="4"/>
  <c r="W382" i="5" l="1"/>
  <c r="X382" i="5" s="1"/>
  <c r="V383" i="5" s="1"/>
  <c r="Y383" i="5" s="1"/>
  <c r="I342" i="6"/>
  <c r="E342" i="6"/>
  <c r="D342" i="6" s="1"/>
  <c r="F342" i="6" s="1"/>
  <c r="G342" i="6" s="1"/>
  <c r="X400" i="4"/>
  <c r="V401" i="4" s="1"/>
  <c r="W383" i="5" l="1"/>
  <c r="X383" i="5" s="1"/>
  <c r="V384" i="5" s="1"/>
  <c r="C343" i="6"/>
  <c r="H342" i="6"/>
  <c r="W401" i="4"/>
  <c r="Y401" i="4"/>
  <c r="X401" i="4" l="1"/>
  <c r="V402" i="4" s="1"/>
  <c r="I343" i="6"/>
  <c r="E343" i="6"/>
  <c r="D343" i="6" s="1"/>
  <c r="F343" i="6" s="1"/>
  <c r="G343" i="6" s="1"/>
  <c r="Y384" i="5"/>
  <c r="W384" i="5"/>
  <c r="H343" i="6" l="1"/>
  <c r="C344" i="6"/>
  <c r="X384" i="5"/>
  <c r="V385" i="5" s="1"/>
  <c r="Y385" i="5" s="1"/>
  <c r="W402" i="4"/>
  <c r="Y402" i="4"/>
  <c r="X402" i="4" l="1"/>
  <c r="V403" i="4" s="1"/>
  <c r="I344" i="6"/>
  <c r="E344" i="6"/>
  <c r="D344" i="6" s="1"/>
  <c r="F344" i="6" s="1"/>
  <c r="G344" i="6" s="1"/>
  <c r="W385" i="5"/>
  <c r="X385" i="5" s="1"/>
  <c r="V386" i="5" s="1"/>
  <c r="C345" i="6" l="1"/>
  <c r="H344" i="6"/>
  <c r="Y386" i="5"/>
  <c r="W386" i="5"/>
  <c r="W403" i="4"/>
  <c r="Y403" i="4"/>
  <c r="I345" i="6" l="1"/>
  <c r="E345" i="6"/>
  <c r="D345" i="6" s="1"/>
  <c r="F345" i="6" s="1"/>
  <c r="G345" i="6" s="1"/>
  <c r="X386" i="5"/>
  <c r="V387" i="5" s="1"/>
  <c r="X403" i="4"/>
  <c r="V404" i="4" s="1"/>
  <c r="C346" i="6" l="1"/>
  <c r="H345" i="6"/>
  <c r="Y387" i="5"/>
  <c r="W387" i="5"/>
  <c r="W404" i="4"/>
  <c r="Y404" i="4"/>
  <c r="X404" i="4" l="1"/>
  <c r="V405" i="4" s="1"/>
  <c r="Y405" i="4" s="1"/>
  <c r="I346" i="6"/>
  <c r="E346" i="6"/>
  <c r="D346" i="6" s="1"/>
  <c r="F346" i="6" s="1"/>
  <c r="G346" i="6" s="1"/>
  <c r="X387" i="5"/>
  <c r="V388" i="5" s="1"/>
  <c r="Y388" i="5" s="1"/>
  <c r="W405" i="4" l="1"/>
  <c r="X405" i="4" s="1"/>
  <c r="V406" i="4" s="1"/>
  <c r="Y406" i="4" s="1"/>
  <c r="W388" i="5"/>
  <c r="X388" i="5" s="1"/>
  <c r="V389" i="5" s="1"/>
  <c r="C347" i="6"/>
  <c r="H346" i="6"/>
  <c r="W406" i="4" l="1"/>
  <c r="X406" i="4" s="1"/>
  <c r="V407" i="4" s="1"/>
  <c r="E347" i="6"/>
  <c r="D347" i="6" s="1"/>
  <c r="F347" i="6" s="1"/>
  <c r="G347" i="6" s="1"/>
  <c r="I347" i="6"/>
  <c r="W389" i="5"/>
  <c r="Y389" i="5"/>
  <c r="C348" i="6" l="1"/>
  <c r="H347" i="6"/>
  <c r="X389" i="5"/>
  <c r="V390" i="5" s="1"/>
  <c r="Y407" i="4"/>
  <c r="W407" i="4"/>
  <c r="I348" i="6" l="1"/>
  <c r="E348" i="6"/>
  <c r="D348" i="6" s="1"/>
  <c r="F348" i="6" s="1"/>
  <c r="G348" i="6" s="1"/>
  <c r="W390" i="5"/>
  <c r="Y390" i="5"/>
  <c r="X407" i="4"/>
  <c r="V408" i="4" s="1"/>
  <c r="X390" i="5" l="1"/>
  <c r="V391" i="5" s="1"/>
  <c r="C349" i="6"/>
  <c r="H348" i="6"/>
  <c r="Y408" i="4"/>
  <c r="W408" i="4"/>
  <c r="E349" i="6" l="1"/>
  <c r="D349" i="6" s="1"/>
  <c r="F349" i="6" s="1"/>
  <c r="G349" i="6" s="1"/>
  <c r="I349" i="6"/>
  <c r="Y391" i="5"/>
  <c r="W391" i="5"/>
  <c r="X408" i="4"/>
  <c r="V409" i="4" s="1"/>
  <c r="Y409" i="4" s="1"/>
  <c r="H349" i="6" l="1"/>
  <c r="C350" i="6"/>
  <c r="X391" i="5"/>
  <c r="V392" i="5" s="1"/>
  <c r="Y392" i="5" s="1"/>
  <c r="W409" i="4"/>
  <c r="X409" i="4" s="1"/>
  <c r="V410" i="4" s="1"/>
  <c r="E350" i="6" l="1"/>
  <c r="D350" i="6" s="1"/>
  <c r="F350" i="6" s="1"/>
  <c r="G350" i="6" s="1"/>
  <c r="I350" i="6"/>
  <c r="W392" i="5"/>
  <c r="X392" i="5" s="1"/>
  <c r="V393" i="5" s="1"/>
  <c r="W410" i="4"/>
  <c r="Y410" i="4"/>
  <c r="X410" i="4" l="1"/>
  <c r="V411" i="4" s="1"/>
  <c r="Y411" i="4" s="1"/>
  <c r="H350" i="6"/>
  <c r="C351" i="6"/>
  <c r="Y393" i="5"/>
  <c r="W393" i="5"/>
  <c r="W411" i="4" l="1"/>
  <c r="X411" i="4" s="1"/>
  <c r="V412" i="4" s="1"/>
  <c r="W412" i="4" s="1"/>
  <c r="E351" i="6"/>
  <c r="D351" i="6" s="1"/>
  <c r="F351" i="6" s="1"/>
  <c r="G351" i="6" s="1"/>
  <c r="I351" i="6"/>
  <c r="X393" i="5"/>
  <c r="V394" i="5" s="1"/>
  <c r="Y394" i="5" s="1"/>
  <c r="W394" i="5" l="1"/>
  <c r="X394" i="5" s="1"/>
  <c r="V395" i="5" s="1"/>
  <c r="Y395" i="5" s="1"/>
  <c r="C352" i="6"/>
  <c r="H351" i="6"/>
  <c r="Y412" i="4"/>
  <c r="X412" i="4" s="1"/>
  <c r="V413" i="4" s="1"/>
  <c r="I352" i="6" l="1"/>
  <c r="E352" i="6"/>
  <c r="D352" i="6" s="1"/>
  <c r="F352" i="6" s="1"/>
  <c r="G352" i="6" s="1"/>
  <c r="W395" i="5"/>
  <c r="X395" i="5" s="1"/>
  <c r="V396" i="5" s="1"/>
  <c r="Y413" i="4"/>
  <c r="W413" i="4"/>
  <c r="H352" i="6" l="1"/>
  <c r="C353" i="6"/>
  <c r="Y396" i="5"/>
  <c r="W396" i="5"/>
  <c r="X413" i="4"/>
  <c r="V414" i="4" s="1"/>
  <c r="I353" i="6" l="1"/>
  <c r="E353" i="6"/>
  <c r="D353" i="6" s="1"/>
  <c r="F353" i="6" s="1"/>
  <c r="G353" i="6" s="1"/>
  <c r="X396" i="5"/>
  <c r="V397" i="5" s="1"/>
  <c r="Y397" i="5" s="1"/>
  <c r="W414" i="4"/>
  <c r="Y414" i="4"/>
  <c r="X414" i="4" l="1"/>
  <c r="V415" i="4" s="1"/>
  <c r="W397" i="5"/>
  <c r="X397" i="5" s="1"/>
  <c r="V398" i="5" s="1"/>
  <c r="H353" i="6"/>
  <c r="C354" i="6"/>
  <c r="W398" i="5" l="1"/>
  <c r="Y398" i="5"/>
  <c r="I354" i="6"/>
  <c r="E354" i="6"/>
  <c r="D354" i="6" s="1"/>
  <c r="F354" i="6" s="1"/>
  <c r="G354" i="6" s="1"/>
  <c r="Y415" i="4"/>
  <c r="Y16" i="4" s="1"/>
  <c r="Y15" i="4" s="1"/>
  <c r="U20" i="4" s="1"/>
  <c r="T20" i="4" s="1"/>
  <c r="R21" i="4" s="1"/>
  <c r="W415" i="4"/>
  <c r="X398" i="5" l="1"/>
  <c r="V399" i="5" s="1"/>
  <c r="Y399" i="5" s="1"/>
  <c r="C355" i="6"/>
  <c r="H354" i="6"/>
  <c r="X415" i="4"/>
  <c r="U21" i="4"/>
  <c r="S21" i="4"/>
  <c r="T21" i="4" l="1"/>
  <c r="R22" i="4" s="1"/>
  <c r="S22" i="4" s="1"/>
  <c r="W399" i="5"/>
  <c r="X399" i="5" s="1"/>
  <c r="V400" i="5" s="1"/>
  <c r="Y400" i="5" s="1"/>
  <c r="E355" i="6"/>
  <c r="D355" i="6" s="1"/>
  <c r="F355" i="6" s="1"/>
  <c r="G355" i="6" s="1"/>
  <c r="I355" i="6"/>
  <c r="U22" i="4" l="1"/>
  <c r="T22" i="4" s="1"/>
  <c r="R23" i="4" s="1"/>
  <c r="W400" i="5"/>
  <c r="X400" i="5" s="1"/>
  <c r="V401" i="5" s="1"/>
  <c r="C356" i="6"/>
  <c r="H355" i="6"/>
  <c r="I356" i="6" l="1"/>
  <c r="E356" i="6"/>
  <c r="D356" i="6" s="1"/>
  <c r="F356" i="6" s="1"/>
  <c r="G356" i="6" s="1"/>
  <c r="W401" i="5"/>
  <c r="Y401" i="5"/>
  <c r="U23" i="4"/>
  <c r="S23" i="4"/>
  <c r="T23" i="4" l="1"/>
  <c r="R24" i="4" s="1"/>
  <c r="U24" i="4" s="1"/>
  <c r="X401" i="5"/>
  <c r="V402" i="5" s="1"/>
  <c r="H356" i="6"/>
  <c r="C357" i="6"/>
  <c r="S24" i="4" l="1"/>
  <c r="T24" i="4" s="1"/>
  <c r="R25" i="4" s="1"/>
  <c r="S25" i="4" s="1"/>
  <c r="I357" i="6"/>
  <c r="E357" i="6"/>
  <c r="D357" i="6" s="1"/>
  <c r="F357" i="6" s="1"/>
  <c r="G357" i="6" s="1"/>
  <c r="W402" i="5"/>
  <c r="Y402" i="5"/>
  <c r="X402" i="5" l="1"/>
  <c r="V403" i="5" s="1"/>
  <c r="C358" i="6"/>
  <c r="H357" i="6"/>
  <c r="U25" i="4"/>
  <c r="T25" i="4" s="1"/>
  <c r="R26" i="4" s="1"/>
  <c r="U26" i="4" s="1"/>
  <c r="I358" i="6" l="1"/>
  <c r="E358" i="6"/>
  <c r="D358" i="6" s="1"/>
  <c r="F358" i="6" s="1"/>
  <c r="G358" i="6" s="1"/>
  <c r="Y403" i="5"/>
  <c r="W403" i="5"/>
  <c r="S26" i="4"/>
  <c r="T26" i="4" s="1"/>
  <c r="R27" i="4" s="1"/>
  <c r="U27" i="4" s="1"/>
  <c r="H358" i="6" l="1"/>
  <c r="C359" i="6"/>
  <c r="X403" i="5"/>
  <c r="V404" i="5" s="1"/>
  <c r="S27" i="4"/>
  <c r="T27" i="4" s="1"/>
  <c r="R28" i="4" s="1"/>
  <c r="I359" i="6" l="1"/>
  <c r="E359" i="6"/>
  <c r="D359" i="6" s="1"/>
  <c r="F359" i="6" s="1"/>
  <c r="G359" i="6" s="1"/>
  <c r="Y404" i="5"/>
  <c r="W404" i="5"/>
  <c r="U28" i="4"/>
  <c r="S28" i="4"/>
  <c r="C360" i="6" l="1"/>
  <c r="H359" i="6"/>
  <c r="T28" i="4"/>
  <c r="R29" i="4" s="1"/>
  <c r="U29" i="4" s="1"/>
  <c r="X404" i="5"/>
  <c r="V405" i="5" s="1"/>
  <c r="W405" i="5" s="1"/>
  <c r="S29" i="4" l="1"/>
  <c r="T29" i="4" s="1"/>
  <c r="R30" i="4" s="1"/>
  <c r="Y405" i="5"/>
  <c r="X405" i="5" s="1"/>
  <c r="V406" i="5" s="1"/>
  <c r="E360" i="6"/>
  <c r="D360" i="6" s="1"/>
  <c r="F360" i="6" s="1"/>
  <c r="G360" i="6" s="1"/>
  <c r="I360" i="6"/>
  <c r="S30" i="4" l="1"/>
  <c r="U30" i="4"/>
  <c r="C361" i="6"/>
  <c r="H360" i="6"/>
  <c r="Y406" i="5"/>
  <c r="W406" i="5"/>
  <c r="T30" i="4" l="1"/>
  <c r="R31" i="4" s="1"/>
  <c r="U31" i="4" s="1"/>
  <c r="I361" i="6"/>
  <c r="E361" i="6"/>
  <c r="D361" i="6" s="1"/>
  <c r="F361" i="6" s="1"/>
  <c r="G361" i="6" s="1"/>
  <c r="X406" i="5"/>
  <c r="V407" i="5" s="1"/>
  <c r="S31" i="4" l="1"/>
  <c r="T31" i="4" s="1"/>
  <c r="R32" i="4" s="1"/>
  <c r="S32" i="4" s="1"/>
  <c r="C362" i="6"/>
  <c r="H361" i="6"/>
  <c r="Y407" i="5"/>
  <c r="W407" i="5"/>
  <c r="U32" i="4" l="1"/>
  <c r="T32" i="4" s="1"/>
  <c r="R33" i="4" s="1"/>
  <c r="S33" i="4" s="1"/>
  <c r="I362" i="6"/>
  <c r="E362" i="6"/>
  <c r="D362" i="6" s="1"/>
  <c r="F362" i="6" s="1"/>
  <c r="G362" i="6" s="1"/>
  <c r="X407" i="5"/>
  <c r="V408" i="5" s="1"/>
  <c r="Y408" i="5" s="1"/>
  <c r="U33" i="4" l="1"/>
  <c r="T33" i="4" s="1"/>
  <c r="R34" i="4" s="1"/>
  <c r="U34" i="4" s="1"/>
  <c r="H362" i="6"/>
  <c r="C363" i="6"/>
  <c r="W408" i="5"/>
  <c r="X408" i="5" s="1"/>
  <c r="V409" i="5" s="1"/>
  <c r="Y409" i="5" s="1"/>
  <c r="S34" i="4" l="1"/>
  <c r="T34" i="4" s="1"/>
  <c r="R35" i="4" s="1"/>
  <c r="S35" i="4" s="1"/>
  <c r="I363" i="6"/>
  <c r="E363" i="6"/>
  <c r="D363" i="6" s="1"/>
  <c r="F363" i="6" s="1"/>
  <c r="G363" i="6" s="1"/>
  <c r="W409" i="5"/>
  <c r="X409" i="5" s="1"/>
  <c r="V410" i="5" s="1"/>
  <c r="Y410" i="5" s="1"/>
  <c r="U35" i="4" l="1"/>
  <c r="T35" i="4" s="1"/>
  <c r="R36" i="4" s="1"/>
  <c r="U36" i="4" s="1"/>
  <c r="W410" i="5"/>
  <c r="X410" i="5" s="1"/>
  <c r="V411" i="5" s="1"/>
  <c r="Y411" i="5" s="1"/>
  <c r="C364" i="6"/>
  <c r="H363" i="6"/>
  <c r="S36" i="4" l="1"/>
  <c r="T36" i="4" s="1"/>
  <c r="R37" i="4" s="1"/>
  <c r="S37" i="4" s="1"/>
  <c r="E364" i="6"/>
  <c r="D364" i="6" s="1"/>
  <c r="F364" i="6" s="1"/>
  <c r="G364" i="6" s="1"/>
  <c r="I364" i="6"/>
  <c r="W411" i="5"/>
  <c r="X411" i="5" s="1"/>
  <c r="V412" i="5" s="1"/>
  <c r="U37" i="4" l="1"/>
  <c r="T37" i="4" s="1"/>
  <c r="R38" i="4" s="1"/>
  <c r="S38" i="4" s="1"/>
  <c r="C365" i="6"/>
  <c r="H364" i="6"/>
  <c r="Y412" i="5"/>
  <c r="W412" i="5"/>
  <c r="U38" i="4" l="1"/>
  <c r="T38" i="4" s="1"/>
  <c r="R39" i="4" s="1"/>
  <c r="S39" i="4" s="1"/>
  <c r="I365" i="6"/>
  <c r="E365" i="6"/>
  <c r="D365" i="6" s="1"/>
  <c r="F365" i="6" s="1"/>
  <c r="G365" i="6" s="1"/>
  <c r="X412" i="5"/>
  <c r="V413" i="5" s="1"/>
  <c r="U39" i="4" l="1"/>
  <c r="T39" i="4" s="1"/>
  <c r="R40" i="4" s="1"/>
  <c r="U40" i="4" s="1"/>
  <c r="C366" i="6"/>
  <c r="H365" i="6"/>
  <c r="W413" i="5"/>
  <c r="Y413" i="5"/>
  <c r="S40" i="4" l="1"/>
  <c r="T40" i="4" s="1"/>
  <c r="R41" i="4" s="1"/>
  <c r="S41" i="4" s="1"/>
  <c r="E366" i="6"/>
  <c r="D366" i="6" s="1"/>
  <c r="F366" i="6" s="1"/>
  <c r="G366" i="6" s="1"/>
  <c r="I366" i="6"/>
  <c r="X413" i="5"/>
  <c r="V414" i="5" s="1"/>
  <c r="U41" i="4" l="1"/>
  <c r="T41" i="4" s="1"/>
  <c r="R42" i="4" s="1"/>
  <c r="U42" i="4" s="1"/>
  <c r="C367" i="6"/>
  <c r="H366" i="6"/>
  <c r="W414" i="5"/>
  <c r="Y414" i="5"/>
  <c r="S42" i="4" l="1"/>
  <c r="T42" i="4" s="1"/>
  <c r="R43" i="4" s="1"/>
  <c r="U43" i="4" s="1"/>
  <c r="I367" i="6"/>
  <c r="E367" i="6"/>
  <c r="D367" i="6" s="1"/>
  <c r="F367" i="6" s="1"/>
  <c r="G367" i="6" s="1"/>
  <c r="X414" i="5"/>
  <c r="V415" i="5" s="1"/>
  <c r="S43" i="4" l="1"/>
  <c r="T43" i="4" s="1"/>
  <c r="R44" i="4" s="1"/>
  <c r="C368" i="6"/>
  <c r="H367" i="6"/>
  <c r="Y415" i="5"/>
  <c r="Y16" i="5" s="1"/>
  <c r="Y15" i="5" s="1"/>
  <c r="U20" i="5" s="1"/>
  <c r="W415" i="5"/>
  <c r="U44" i="4" l="1"/>
  <c r="S44" i="4"/>
  <c r="E368" i="6"/>
  <c r="D368" i="6" s="1"/>
  <c r="F368" i="6" s="1"/>
  <c r="G368" i="6" s="1"/>
  <c r="I368" i="6"/>
  <c r="X415" i="5"/>
  <c r="T20" i="5"/>
  <c r="R21" i="5" s="1"/>
  <c r="T44" i="4" l="1"/>
  <c r="R45" i="4" s="1"/>
  <c r="S45" i="4" s="1"/>
  <c r="H368" i="6"/>
  <c r="C369" i="6"/>
  <c r="S21" i="5"/>
  <c r="U21" i="5"/>
  <c r="U45" i="4" l="1"/>
  <c r="T45" i="4" s="1"/>
  <c r="R46" i="4" s="1"/>
  <c r="S46" i="4" s="1"/>
  <c r="I369" i="6"/>
  <c r="E369" i="6"/>
  <c r="D369" i="6" s="1"/>
  <c r="F369" i="6" s="1"/>
  <c r="G369" i="6" s="1"/>
  <c r="T21" i="5"/>
  <c r="R22" i="5" s="1"/>
  <c r="U46" i="4" l="1"/>
  <c r="T46" i="4" s="1"/>
  <c r="R47" i="4" s="1"/>
  <c r="U47" i="4" s="1"/>
  <c r="H369" i="6"/>
  <c r="C370" i="6"/>
  <c r="U22" i="5"/>
  <c r="S22" i="5"/>
  <c r="T22" i="5" l="1"/>
  <c r="R23" i="5" s="1"/>
  <c r="S23" i="5" s="1"/>
  <c r="E370" i="6"/>
  <c r="D370" i="6" s="1"/>
  <c r="F370" i="6" s="1"/>
  <c r="G370" i="6" s="1"/>
  <c r="I370" i="6"/>
  <c r="S47" i="4"/>
  <c r="T47" i="4" s="1"/>
  <c r="R48" i="4" s="1"/>
  <c r="H370" i="6" l="1"/>
  <c r="C371" i="6"/>
  <c r="U23" i="5"/>
  <c r="T23" i="5" s="1"/>
  <c r="U48" i="4"/>
  <c r="S48" i="4"/>
  <c r="T48" i="4" l="1"/>
  <c r="R49" i="4" s="1"/>
  <c r="U49" i="4" s="1"/>
  <c r="E371" i="6"/>
  <c r="D371" i="6" s="1"/>
  <c r="F371" i="6" s="1"/>
  <c r="G371" i="6" s="1"/>
  <c r="I371" i="6"/>
  <c r="R24" i="5"/>
  <c r="S24" i="5" s="1"/>
  <c r="S49" i="4" l="1"/>
  <c r="T49" i="4" s="1"/>
  <c r="R50" i="4" s="1"/>
  <c r="S50" i="4" s="1"/>
  <c r="U24" i="5"/>
  <c r="T24" i="5" s="1"/>
  <c r="R25" i="5" s="1"/>
  <c r="U25" i="5" s="1"/>
  <c r="C372" i="6"/>
  <c r="H371" i="6"/>
  <c r="U50" i="4" l="1"/>
  <c r="T50" i="4" s="1"/>
  <c r="R51" i="4" s="1"/>
  <c r="U51" i="4" s="1"/>
  <c r="I372" i="6"/>
  <c r="E372" i="6"/>
  <c r="D372" i="6" s="1"/>
  <c r="F372" i="6" s="1"/>
  <c r="G372" i="6" s="1"/>
  <c r="S25" i="5"/>
  <c r="T25" i="5" s="1"/>
  <c r="R26" i="5" s="1"/>
  <c r="S51" i="4" l="1"/>
  <c r="T51" i="4" s="1"/>
  <c r="R52" i="4" s="1"/>
  <c r="C373" i="6"/>
  <c r="H372" i="6"/>
  <c r="U26" i="5"/>
  <c r="S26" i="5"/>
  <c r="E373" i="6" l="1"/>
  <c r="D373" i="6" s="1"/>
  <c r="F373" i="6" s="1"/>
  <c r="G373" i="6" s="1"/>
  <c r="I373" i="6"/>
  <c r="T26" i="5"/>
  <c r="R27" i="5" s="1"/>
  <c r="S27" i="5" s="1"/>
  <c r="U52" i="4"/>
  <c r="S52" i="4"/>
  <c r="T52" i="4" l="1"/>
  <c r="R53" i="4" s="1"/>
  <c r="U53" i="4" s="1"/>
  <c r="H373" i="6"/>
  <c r="C374" i="6"/>
  <c r="U27" i="5"/>
  <c r="T27" i="5" s="1"/>
  <c r="R28" i="5" s="1"/>
  <c r="S53" i="4" l="1"/>
  <c r="T53" i="4" s="1"/>
  <c r="R54" i="4" s="1"/>
  <c r="I374" i="6"/>
  <c r="E374" i="6"/>
  <c r="D374" i="6" s="1"/>
  <c r="F374" i="6" s="1"/>
  <c r="G374" i="6" s="1"/>
  <c r="U28" i="5"/>
  <c r="S28" i="5"/>
  <c r="C375" i="6" l="1"/>
  <c r="H374" i="6"/>
  <c r="T28" i="5"/>
  <c r="R29" i="5" s="1"/>
  <c r="U54" i="4"/>
  <c r="S54" i="4"/>
  <c r="T54" i="4" l="1"/>
  <c r="R55" i="4" s="1"/>
  <c r="U55" i="4" s="1"/>
  <c r="E375" i="6"/>
  <c r="D375" i="6" s="1"/>
  <c r="F375" i="6" s="1"/>
  <c r="G375" i="6" s="1"/>
  <c r="I375" i="6"/>
  <c r="U29" i="5"/>
  <c r="S29" i="5"/>
  <c r="S55" i="4" l="1"/>
  <c r="T55" i="4" s="1"/>
  <c r="R56" i="4" s="1"/>
  <c r="C376" i="6"/>
  <c r="H375" i="6"/>
  <c r="T29" i="5"/>
  <c r="R30" i="5" s="1"/>
  <c r="U30" i="5" s="1"/>
  <c r="I376" i="6" l="1"/>
  <c r="E376" i="6"/>
  <c r="D376" i="6" s="1"/>
  <c r="F376" i="6" s="1"/>
  <c r="G376" i="6" s="1"/>
  <c r="S30" i="5"/>
  <c r="T30" i="5" s="1"/>
  <c r="R31" i="5" s="1"/>
  <c r="U56" i="4"/>
  <c r="S56" i="4"/>
  <c r="T56" i="4" l="1"/>
  <c r="R57" i="4" s="1"/>
  <c r="S57" i="4" s="1"/>
  <c r="C377" i="6"/>
  <c r="H376" i="6"/>
  <c r="S31" i="5"/>
  <c r="U31" i="5"/>
  <c r="U57" i="4" l="1"/>
  <c r="T57" i="4" s="1"/>
  <c r="R58" i="4" s="1"/>
  <c r="I377" i="6"/>
  <c r="E377" i="6"/>
  <c r="D377" i="6" s="1"/>
  <c r="F377" i="6" s="1"/>
  <c r="G377" i="6" s="1"/>
  <c r="T31" i="5"/>
  <c r="R32" i="5" s="1"/>
  <c r="U58" i="4" l="1"/>
  <c r="S58" i="4"/>
  <c r="C378" i="6"/>
  <c r="H377" i="6"/>
  <c r="U32" i="5"/>
  <c r="S32" i="5"/>
  <c r="T58" i="4" l="1"/>
  <c r="R59" i="4" s="1"/>
  <c r="S59" i="4" s="1"/>
  <c r="T32" i="5"/>
  <c r="R33" i="5" s="1"/>
  <c r="S33" i="5" s="1"/>
  <c r="E378" i="6"/>
  <c r="D378" i="6" s="1"/>
  <c r="F378" i="6" s="1"/>
  <c r="G378" i="6" s="1"/>
  <c r="I378" i="6"/>
  <c r="U59" i="4" l="1"/>
  <c r="T59" i="4" s="1"/>
  <c r="R60" i="4" s="1"/>
  <c r="U60" i="4" s="1"/>
  <c r="U33" i="5"/>
  <c r="T33" i="5" s="1"/>
  <c r="R34" i="5" s="1"/>
  <c r="C379" i="6"/>
  <c r="H378" i="6"/>
  <c r="S60" i="4" l="1"/>
  <c r="T60" i="4" s="1"/>
  <c r="R61" i="4" s="1"/>
  <c r="S61" i="4" s="1"/>
  <c r="U34" i="5"/>
  <c r="S34" i="5"/>
  <c r="I379" i="6"/>
  <c r="E379" i="6"/>
  <c r="D379" i="6" s="1"/>
  <c r="F379" i="6" s="1"/>
  <c r="G379" i="6" s="1"/>
  <c r="T34" i="5" l="1"/>
  <c r="R35" i="5" s="1"/>
  <c r="U35" i="5" s="1"/>
  <c r="U61" i="4"/>
  <c r="T61" i="4" s="1"/>
  <c r="R62" i="4" s="1"/>
  <c r="U62" i="4" s="1"/>
  <c r="C380" i="6"/>
  <c r="H379" i="6"/>
  <c r="S35" i="5" l="1"/>
  <c r="T35" i="5" s="1"/>
  <c r="R36" i="5" s="1"/>
  <c r="S36" i="5" s="1"/>
  <c r="S62" i="4"/>
  <c r="T62" i="4" s="1"/>
  <c r="R63" i="4" s="1"/>
  <c r="U63" i="4" s="1"/>
  <c r="E380" i="6"/>
  <c r="D380" i="6" s="1"/>
  <c r="F380" i="6" s="1"/>
  <c r="G380" i="6" s="1"/>
  <c r="I380" i="6"/>
  <c r="U36" i="5" l="1"/>
  <c r="T36" i="5" s="1"/>
  <c r="R37" i="5" s="1"/>
  <c r="S63" i="4"/>
  <c r="T63" i="4" s="1"/>
  <c r="R64" i="4" s="1"/>
  <c r="C381" i="6"/>
  <c r="H380" i="6"/>
  <c r="U37" i="5" l="1"/>
  <c r="S37" i="5"/>
  <c r="S64" i="4"/>
  <c r="U64" i="4"/>
  <c r="E381" i="6"/>
  <c r="D381" i="6" s="1"/>
  <c r="F381" i="6" s="1"/>
  <c r="G381" i="6" s="1"/>
  <c r="I381" i="6"/>
  <c r="T37" i="5" l="1"/>
  <c r="R38" i="5" s="1"/>
  <c r="U38" i="5" s="1"/>
  <c r="T64" i="4"/>
  <c r="R65" i="4" s="1"/>
  <c r="U65" i="4" s="1"/>
  <c r="C382" i="6"/>
  <c r="H381" i="6"/>
  <c r="S38" i="5" l="1"/>
  <c r="T38" i="5" s="1"/>
  <c r="R39" i="5" s="1"/>
  <c r="S39" i="5" s="1"/>
  <c r="S65" i="4"/>
  <c r="T65" i="4" s="1"/>
  <c r="R66" i="4" s="1"/>
  <c r="U66" i="4" s="1"/>
  <c r="I382" i="6"/>
  <c r="E382" i="6"/>
  <c r="D382" i="6" s="1"/>
  <c r="F382" i="6" s="1"/>
  <c r="G382" i="6" s="1"/>
  <c r="U39" i="5" l="1"/>
  <c r="T39" i="5" s="1"/>
  <c r="R40" i="5" s="1"/>
  <c r="U40" i="5" s="1"/>
  <c r="S66" i="4"/>
  <c r="T66" i="4" s="1"/>
  <c r="R67" i="4" s="1"/>
  <c r="U67" i="4" s="1"/>
  <c r="C383" i="6"/>
  <c r="H382" i="6"/>
  <c r="S40" i="5" l="1"/>
  <c r="T40" i="5" s="1"/>
  <c r="R41" i="5" s="1"/>
  <c r="U41" i="5" s="1"/>
  <c r="S67" i="4"/>
  <c r="T67" i="4" s="1"/>
  <c r="R68" i="4" s="1"/>
  <c r="U68" i="4" s="1"/>
  <c r="I383" i="6"/>
  <c r="E383" i="6"/>
  <c r="D383" i="6" s="1"/>
  <c r="F383" i="6" s="1"/>
  <c r="G383" i="6" s="1"/>
  <c r="S41" i="5" l="1"/>
  <c r="T41" i="5" s="1"/>
  <c r="R42" i="5" s="1"/>
  <c r="S42" i="5" s="1"/>
  <c r="S68" i="4"/>
  <c r="T68" i="4" s="1"/>
  <c r="R69" i="4" s="1"/>
  <c r="U69" i="4" s="1"/>
  <c r="C384" i="6"/>
  <c r="H383" i="6"/>
  <c r="U42" i="5" l="1"/>
  <c r="T42" i="5" s="1"/>
  <c r="R43" i="5" s="1"/>
  <c r="U43" i="5" s="1"/>
  <c r="S69" i="4"/>
  <c r="T69" i="4" s="1"/>
  <c r="R70" i="4" s="1"/>
  <c r="U70" i="4" s="1"/>
  <c r="E384" i="6"/>
  <c r="D384" i="6" s="1"/>
  <c r="F384" i="6" s="1"/>
  <c r="G384" i="6" s="1"/>
  <c r="I384" i="6"/>
  <c r="S43" i="5" l="1"/>
  <c r="T43" i="5" s="1"/>
  <c r="R44" i="5" s="1"/>
  <c r="U44" i="5" s="1"/>
  <c r="S70" i="4"/>
  <c r="T70" i="4" s="1"/>
  <c r="R71" i="4" s="1"/>
  <c r="U71" i="4" s="1"/>
  <c r="C385" i="6"/>
  <c r="H384" i="6"/>
  <c r="S44" i="5" l="1"/>
  <c r="T44" i="5" s="1"/>
  <c r="R45" i="5" s="1"/>
  <c r="U45" i="5" s="1"/>
  <c r="S71" i="4"/>
  <c r="T71" i="4" s="1"/>
  <c r="R72" i="4" s="1"/>
  <c r="S72" i="4" s="1"/>
  <c r="I385" i="6"/>
  <c r="E385" i="6"/>
  <c r="D385" i="6" s="1"/>
  <c r="F385" i="6" s="1"/>
  <c r="G385" i="6" s="1"/>
  <c r="S45" i="5" l="1"/>
  <c r="T45" i="5" s="1"/>
  <c r="R46" i="5" s="1"/>
  <c r="S46" i="5" s="1"/>
  <c r="U72" i="4"/>
  <c r="T72" i="4" s="1"/>
  <c r="R73" i="4" s="1"/>
  <c r="S73" i="4" s="1"/>
  <c r="C386" i="6"/>
  <c r="H385" i="6"/>
  <c r="U46" i="5" l="1"/>
  <c r="T46" i="5" s="1"/>
  <c r="R47" i="5" s="1"/>
  <c r="S47" i="5" s="1"/>
  <c r="U73" i="4"/>
  <c r="T73" i="4" s="1"/>
  <c r="R74" i="4" s="1"/>
  <c r="I386" i="6"/>
  <c r="E386" i="6"/>
  <c r="D386" i="6" s="1"/>
  <c r="F386" i="6" s="1"/>
  <c r="G386" i="6" s="1"/>
  <c r="U47" i="5" l="1"/>
  <c r="T47" i="5" s="1"/>
  <c r="R48" i="5" s="1"/>
  <c r="C387" i="6"/>
  <c r="H386" i="6"/>
  <c r="S74" i="4"/>
  <c r="U74" i="4"/>
  <c r="E387" i="6" l="1"/>
  <c r="D387" i="6" s="1"/>
  <c r="F387" i="6" s="1"/>
  <c r="G387" i="6" s="1"/>
  <c r="I387" i="6"/>
  <c r="T74" i="4"/>
  <c r="R75" i="4" s="1"/>
  <c r="U48" i="5"/>
  <c r="S48" i="5"/>
  <c r="H387" i="6" l="1"/>
  <c r="C388" i="6"/>
  <c r="T48" i="5"/>
  <c r="R49" i="5" s="1"/>
  <c r="S75" i="4"/>
  <c r="U75" i="4"/>
  <c r="I388" i="6" l="1"/>
  <c r="E388" i="6"/>
  <c r="D388" i="6" s="1"/>
  <c r="F388" i="6" s="1"/>
  <c r="G388" i="6" s="1"/>
  <c r="T75" i="4"/>
  <c r="R76" i="4" s="1"/>
  <c r="U49" i="5"/>
  <c r="S49" i="5"/>
  <c r="C389" i="6" l="1"/>
  <c r="H388" i="6"/>
  <c r="U76" i="4"/>
  <c r="S76" i="4"/>
  <c r="T49" i="5"/>
  <c r="R50" i="5" s="1"/>
  <c r="U50" i="5" s="1"/>
  <c r="T76" i="4" l="1"/>
  <c r="R77" i="4" s="1"/>
  <c r="I389" i="6"/>
  <c r="E389" i="6"/>
  <c r="D389" i="6" s="1"/>
  <c r="F389" i="6" s="1"/>
  <c r="G389" i="6" s="1"/>
  <c r="S50" i="5"/>
  <c r="T50" i="5" s="1"/>
  <c r="R51" i="5" s="1"/>
  <c r="U77" i="4" l="1"/>
  <c r="S77" i="4"/>
  <c r="C390" i="6"/>
  <c r="H389" i="6"/>
  <c r="U51" i="5"/>
  <c r="S51" i="5"/>
  <c r="T51" i="5" l="1"/>
  <c r="R52" i="5" s="1"/>
  <c r="U52" i="5" s="1"/>
  <c r="T77" i="4"/>
  <c r="R78" i="4" s="1"/>
  <c r="U78" i="4" s="1"/>
  <c r="E390" i="6"/>
  <c r="D390" i="6" s="1"/>
  <c r="F390" i="6" s="1"/>
  <c r="G390" i="6" s="1"/>
  <c r="I390" i="6"/>
  <c r="S52" i="5" l="1"/>
  <c r="T52" i="5" s="1"/>
  <c r="R53" i="5" s="1"/>
  <c r="U53" i="5" s="1"/>
  <c r="S78" i="4"/>
  <c r="T78" i="4" s="1"/>
  <c r="R79" i="4" s="1"/>
  <c r="U79" i="4" s="1"/>
  <c r="C391" i="6"/>
  <c r="H390" i="6"/>
  <c r="S79" i="4" l="1"/>
  <c r="T79" i="4" s="1"/>
  <c r="R80" i="4" s="1"/>
  <c r="I391" i="6"/>
  <c r="E391" i="6"/>
  <c r="D391" i="6" s="1"/>
  <c r="F391" i="6" s="1"/>
  <c r="G391" i="6" s="1"/>
  <c r="S53" i="5"/>
  <c r="T53" i="5" s="1"/>
  <c r="R54" i="5" s="1"/>
  <c r="U54" i="5" s="1"/>
  <c r="S80" i="4" l="1"/>
  <c r="U80" i="4"/>
  <c r="C392" i="6"/>
  <c r="H391" i="6"/>
  <c r="S54" i="5"/>
  <c r="T54" i="5" s="1"/>
  <c r="R55" i="5" s="1"/>
  <c r="T80" i="4" l="1"/>
  <c r="R81" i="4" s="1"/>
  <c r="I392" i="6"/>
  <c r="E392" i="6"/>
  <c r="D392" i="6" s="1"/>
  <c r="F392" i="6" s="1"/>
  <c r="G392" i="6" s="1"/>
  <c r="U55" i="5"/>
  <c r="S55" i="5"/>
  <c r="S81" i="4" l="1"/>
  <c r="U81" i="4"/>
  <c r="C393" i="6"/>
  <c r="H392" i="6"/>
  <c r="T55" i="5"/>
  <c r="R56" i="5" s="1"/>
  <c r="T81" i="4" l="1"/>
  <c r="R82" i="4" s="1"/>
  <c r="S82" i="4" s="1"/>
  <c r="E393" i="6"/>
  <c r="D393" i="6" s="1"/>
  <c r="F393" i="6" s="1"/>
  <c r="G393" i="6" s="1"/>
  <c r="I393" i="6"/>
  <c r="S56" i="5"/>
  <c r="U56" i="5"/>
  <c r="U82" i="4" l="1"/>
  <c r="T82" i="4" s="1"/>
  <c r="R83" i="4" s="1"/>
  <c r="C394" i="6"/>
  <c r="H393" i="6"/>
  <c r="T56" i="5"/>
  <c r="R57" i="5" s="1"/>
  <c r="U57" i="5" s="1"/>
  <c r="U83" i="4" l="1"/>
  <c r="S83" i="4"/>
  <c r="I394" i="6"/>
  <c r="E394" i="6"/>
  <c r="D394" i="6" s="1"/>
  <c r="F394" i="6" s="1"/>
  <c r="G394" i="6" s="1"/>
  <c r="S57" i="5"/>
  <c r="T57" i="5" s="1"/>
  <c r="R58" i="5" s="1"/>
  <c r="T83" i="4" l="1"/>
  <c r="R84" i="4" s="1"/>
  <c r="U84" i="4" s="1"/>
  <c r="C395" i="6"/>
  <c r="H394" i="6"/>
  <c r="S58" i="5"/>
  <c r="U58" i="5"/>
  <c r="S84" i="4" l="1"/>
  <c r="T84" i="4" s="1"/>
  <c r="R85" i="4" s="1"/>
  <c r="U85" i="4" s="1"/>
  <c r="T58" i="5"/>
  <c r="R59" i="5" s="1"/>
  <c r="S59" i="5" s="1"/>
  <c r="I395" i="6"/>
  <c r="E395" i="6"/>
  <c r="D395" i="6" s="1"/>
  <c r="F395" i="6" s="1"/>
  <c r="G395" i="6" s="1"/>
  <c r="S85" i="4" l="1"/>
  <c r="T85" i="4" s="1"/>
  <c r="R86" i="4" s="1"/>
  <c r="U86" i="4" s="1"/>
  <c r="U59" i="5"/>
  <c r="T59" i="5" s="1"/>
  <c r="R60" i="5" s="1"/>
  <c r="C396" i="6"/>
  <c r="H395" i="6"/>
  <c r="S86" i="4" l="1"/>
  <c r="T86" i="4" s="1"/>
  <c r="R87" i="4" s="1"/>
  <c r="E396" i="6"/>
  <c r="D396" i="6" s="1"/>
  <c r="F396" i="6" s="1"/>
  <c r="G396" i="6" s="1"/>
  <c r="I396" i="6"/>
  <c r="U60" i="5"/>
  <c r="S60" i="5"/>
  <c r="U87" i="4" l="1"/>
  <c r="S87" i="4"/>
  <c r="T60" i="5"/>
  <c r="R61" i="5" s="1"/>
  <c r="C397" i="6"/>
  <c r="H396" i="6"/>
  <c r="T87" i="4" l="1"/>
  <c r="R88" i="4" s="1"/>
  <c r="S88" i="4" s="1"/>
  <c r="I397" i="6"/>
  <c r="E397" i="6"/>
  <c r="D397" i="6" s="1"/>
  <c r="F397" i="6" s="1"/>
  <c r="G397" i="6" s="1"/>
  <c r="U61" i="5"/>
  <c r="S61" i="5"/>
  <c r="U88" i="4" l="1"/>
  <c r="T88" i="4" s="1"/>
  <c r="R89" i="4" s="1"/>
  <c r="S89" i="4" s="1"/>
  <c r="C398" i="6"/>
  <c r="H397" i="6"/>
  <c r="T61" i="5"/>
  <c r="R62" i="5" s="1"/>
  <c r="U89" i="4" l="1"/>
  <c r="T89" i="4" s="1"/>
  <c r="R90" i="4" s="1"/>
  <c r="U90" i="4" s="1"/>
  <c r="I398" i="6"/>
  <c r="E398" i="6"/>
  <c r="D398" i="6" s="1"/>
  <c r="F398" i="6" s="1"/>
  <c r="G398" i="6" s="1"/>
  <c r="S62" i="5"/>
  <c r="U62" i="5"/>
  <c r="S90" i="4" l="1"/>
  <c r="T90" i="4" s="1"/>
  <c r="R91" i="4" s="1"/>
  <c r="U91" i="4" s="1"/>
  <c r="C399" i="6"/>
  <c r="H398" i="6"/>
  <c r="T62" i="5"/>
  <c r="R63" i="5" s="1"/>
  <c r="S91" i="4" l="1"/>
  <c r="T91" i="4" s="1"/>
  <c r="R92" i="4" s="1"/>
  <c r="U92" i="4" s="1"/>
  <c r="E399" i="6"/>
  <c r="D399" i="6" s="1"/>
  <c r="F399" i="6" s="1"/>
  <c r="G399" i="6" s="1"/>
  <c r="I399" i="6"/>
  <c r="S63" i="5"/>
  <c r="U63" i="5"/>
  <c r="S92" i="4" l="1"/>
  <c r="T92" i="4" s="1"/>
  <c r="R93" i="4" s="1"/>
  <c r="U93" i="4" s="1"/>
  <c r="C400" i="6"/>
  <c r="H399" i="6"/>
  <c r="T63" i="5"/>
  <c r="R64" i="5" s="1"/>
  <c r="S93" i="4" l="1"/>
  <c r="T93" i="4" s="1"/>
  <c r="R94" i="4" s="1"/>
  <c r="I400" i="6"/>
  <c r="E400" i="6"/>
  <c r="D400" i="6" s="1"/>
  <c r="F400" i="6" s="1"/>
  <c r="G400" i="6" s="1"/>
  <c r="U64" i="5"/>
  <c r="S64" i="5"/>
  <c r="S94" i="4" l="1"/>
  <c r="U94" i="4"/>
  <c r="C401" i="6"/>
  <c r="H400" i="6"/>
  <c r="T64" i="5"/>
  <c r="R65" i="5" s="1"/>
  <c r="T94" i="4" l="1"/>
  <c r="R95" i="4" s="1"/>
  <c r="U95" i="4" s="1"/>
  <c r="I401" i="6"/>
  <c r="E401" i="6"/>
  <c r="D401" i="6" s="1"/>
  <c r="F401" i="6" s="1"/>
  <c r="G401" i="6" s="1"/>
  <c r="U65" i="5"/>
  <c r="S65" i="5"/>
  <c r="S95" i="4" l="1"/>
  <c r="T95" i="4" s="1"/>
  <c r="R96" i="4" s="1"/>
  <c r="S96" i="4" s="1"/>
  <c r="C402" i="6"/>
  <c r="H401" i="6"/>
  <c r="T65" i="5"/>
  <c r="R66" i="5" s="1"/>
  <c r="U96" i="4" l="1"/>
  <c r="T96" i="4" s="1"/>
  <c r="R97" i="4" s="1"/>
  <c r="E402" i="6"/>
  <c r="D402" i="6" s="1"/>
  <c r="F402" i="6" s="1"/>
  <c r="G402" i="6" s="1"/>
  <c r="I402" i="6"/>
  <c r="U66" i="5"/>
  <c r="S66" i="5"/>
  <c r="T66" i="5" l="1"/>
  <c r="R67" i="5" s="1"/>
  <c r="U97" i="4"/>
  <c r="S97" i="4"/>
  <c r="C403" i="6"/>
  <c r="H402" i="6"/>
  <c r="T97" i="4" l="1"/>
  <c r="R98" i="4" s="1"/>
  <c r="I403" i="6"/>
  <c r="E403" i="6"/>
  <c r="D403" i="6" s="1"/>
  <c r="F403" i="6" s="1"/>
  <c r="G403" i="6" s="1"/>
  <c r="U67" i="5"/>
  <c r="S67" i="5"/>
  <c r="S98" i="4" l="1"/>
  <c r="U98" i="4"/>
  <c r="C404" i="6"/>
  <c r="H403" i="6"/>
  <c r="T67" i="5"/>
  <c r="R68" i="5" s="1"/>
  <c r="T98" i="4" l="1"/>
  <c r="R99" i="4" s="1"/>
  <c r="U99" i="4" s="1"/>
  <c r="E404" i="6"/>
  <c r="D404" i="6" s="1"/>
  <c r="F404" i="6" s="1"/>
  <c r="G404" i="6" s="1"/>
  <c r="I404" i="6"/>
  <c r="U68" i="5"/>
  <c r="S68" i="5"/>
  <c r="T68" i="5" l="1"/>
  <c r="R69" i="5" s="1"/>
  <c r="S99" i="4"/>
  <c r="T99" i="4" s="1"/>
  <c r="R100" i="4" s="1"/>
  <c r="U100" i="4" s="1"/>
  <c r="C405" i="6"/>
  <c r="H404" i="6"/>
  <c r="S100" i="4" l="1"/>
  <c r="T100" i="4" s="1"/>
  <c r="R101" i="4" s="1"/>
  <c r="U101" i="4" s="1"/>
  <c r="E405" i="6"/>
  <c r="D405" i="6" s="1"/>
  <c r="F405" i="6" s="1"/>
  <c r="G405" i="6" s="1"/>
  <c r="I405" i="6"/>
  <c r="S69" i="5"/>
  <c r="U69" i="5"/>
  <c r="S101" i="4" l="1"/>
  <c r="T101" i="4" s="1"/>
  <c r="R102" i="4" s="1"/>
  <c r="U102" i="4" s="1"/>
  <c r="C406" i="6"/>
  <c r="H405" i="6"/>
  <c r="T69" i="5"/>
  <c r="R70" i="5" s="1"/>
  <c r="S102" i="4" l="1"/>
  <c r="T102" i="4" s="1"/>
  <c r="R103" i="4" s="1"/>
  <c r="U103" i="4" s="1"/>
  <c r="I406" i="6"/>
  <c r="E406" i="6"/>
  <c r="D406" i="6" s="1"/>
  <c r="F406" i="6" s="1"/>
  <c r="G406" i="6" s="1"/>
  <c r="S70" i="5"/>
  <c r="U70" i="5"/>
  <c r="T70" i="5" l="1"/>
  <c r="R71" i="5" s="1"/>
  <c r="C407" i="6"/>
  <c r="H406" i="6"/>
  <c r="S103" i="4"/>
  <c r="T103" i="4" s="1"/>
  <c r="R104" i="4" s="1"/>
  <c r="S104" i="4" l="1"/>
  <c r="U104" i="4"/>
  <c r="I407" i="6"/>
  <c r="E407" i="6"/>
  <c r="D407" i="6" s="1"/>
  <c r="F407" i="6" s="1"/>
  <c r="G407" i="6" s="1"/>
  <c r="U71" i="5"/>
  <c r="S71" i="5"/>
  <c r="T104" i="4" l="1"/>
  <c r="R105" i="4" s="1"/>
  <c r="S105" i="4" s="1"/>
  <c r="C408" i="6"/>
  <c r="H407" i="6"/>
  <c r="T71" i="5"/>
  <c r="R72" i="5" s="1"/>
  <c r="U72" i="5" s="1"/>
  <c r="U105" i="4" l="1"/>
  <c r="T105" i="4" s="1"/>
  <c r="R106" i="4" s="1"/>
  <c r="U106" i="4" s="1"/>
  <c r="E408" i="6"/>
  <c r="D408" i="6" s="1"/>
  <c r="F408" i="6" s="1"/>
  <c r="G408" i="6" s="1"/>
  <c r="I408" i="6"/>
  <c r="S72" i="5"/>
  <c r="T72" i="5" s="1"/>
  <c r="R73" i="5" s="1"/>
  <c r="S106" i="4" l="1"/>
  <c r="T106" i="4" s="1"/>
  <c r="R107" i="4" s="1"/>
  <c r="C409" i="6"/>
  <c r="H408" i="6"/>
  <c r="U73" i="5"/>
  <c r="S73" i="5"/>
  <c r="T73" i="5" l="1"/>
  <c r="R74" i="5" s="1"/>
  <c r="I409" i="6"/>
  <c r="E409" i="6"/>
  <c r="D409" i="6" s="1"/>
  <c r="F409" i="6" s="1"/>
  <c r="G409" i="6" s="1"/>
  <c r="U107" i="4"/>
  <c r="S107" i="4"/>
  <c r="C410" i="6" l="1"/>
  <c r="H409" i="6"/>
  <c r="U74" i="5"/>
  <c r="S74" i="5"/>
  <c r="T107" i="4"/>
  <c r="R108" i="4" s="1"/>
  <c r="U108" i="4" s="1"/>
  <c r="S108" i="4" l="1"/>
  <c r="T108" i="4" s="1"/>
  <c r="R109" i="4" s="1"/>
  <c r="U109" i="4" s="1"/>
  <c r="I410" i="6"/>
  <c r="E410" i="6"/>
  <c r="D410" i="6" s="1"/>
  <c r="F410" i="6" s="1"/>
  <c r="G410" i="6" s="1"/>
  <c r="T74" i="5"/>
  <c r="R75" i="5" s="1"/>
  <c r="U75" i="5" s="1"/>
  <c r="S109" i="4" l="1"/>
  <c r="T109" i="4" s="1"/>
  <c r="R110" i="4" s="1"/>
  <c r="U110" i="4" s="1"/>
  <c r="S75" i="5"/>
  <c r="T75" i="5" s="1"/>
  <c r="R76" i="5" s="1"/>
  <c r="C411" i="6"/>
  <c r="H410" i="6"/>
  <c r="S110" i="4" l="1"/>
  <c r="T110" i="4" s="1"/>
  <c r="R111" i="4" s="1"/>
  <c r="E411" i="6"/>
  <c r="D411" i="6" s="1"/>
  <c r="F411" i="6" s="1"/>
  <c r="G411" i="6" s="1"/>
  <c r="I411" i="6"/>
  <c r="U76" i="5"/>
  <c r="S76" i="5"/>
  <c r="U111" i="4" l="1"/>
  <c r="S111" i="4"/>
  <c r="T76" i="5"/>
  <c r="R77" i="5" s="1"/>
  <c r="H411" i="6"/>
  <c r="C412" i="6"/>
  <c r="T111" i="4" l="1"/>
  <c r="R112" i="4" s="1"/>
  <c r="S112" i="4" s="1"/>
  <c r="I412" i="6"/>
  <c r="E412" i="6"/>
  <c r="D412" i="6" s="1"/>
  <c r="F412" i="6" s="1"/>
  <c r="G412" i="6" s="1"/>
  <c r="U77" i="5"/>
  <c r="S77" i="5"/>
  <c r="U112" i="4" l="1"/>
  <c r="T112" i="4" s="1"/>
  <c r="R113" i="4" s="1"/>
  <c r="T77" i="5"/>
  <c r="R78" i="5" s="1"/>
  <c r="S78" i="5" s="1"/>
  <c r="H412" i="6"/>
  <c r="C413" i="6"/>
  <c r="U113" i="4" l="1"/>
  <c r="S113" i="4"/>
  <c r="U78" i="5"/>
  <c r="T78" i="5" s="1"/>
  <c r="R79" i="5" s="1"/>
  <c r="U79" i="5" s="1"/>
  <c r="E413" i="6"/>
  <c r="D413" i="6" s="1"/>
  <c r="F413" i="6" s="1"/>
  <c r="G413" i="6" s="1"/>
  <c r="I413" i="6"/>
  <c r="T113" i="4" l="1"/>
  <c r="R114" i="4" s="1"/>
  <c r="U114" i="4" s="1"/>
  <c r="C414" i="6"/>
  <c r="H413" i="6"/>
  <c r="S79" i="5"/>
  <c r="T79" i="5" s="1"/>
  <c r="R80" i="5" s="1"/>
  <c r="U80" i="5" s="1"/>
  <c r="S114" i="4" l="1"/>
  <c r="T114" i="4" s="1"/>
  <c r="R115" i="4" s="1"/>
  <c r="U115" i="4" s="1"/>
  <c r="E414" i="6"/>
  <c r="D414" i="6" s="1"/>
  <c r="F414" i="6" s="1"/>
  <c r="G414" i="6" s="1"/>
  <c r="I414" i="6"/>
  <c r="S80" i="5"/>
  <c r="T80" i="5" s="1"/>
  <c r="R81" i="5" s="1"/>
  <c r="U81" i="5" s="1"/>
  <c r="S115" i="4" l="1"/>
  <c r="T115" i="4" s="1"/>
  <c r="R116" i="4" s="1"/>
  <c r="U116" i="4" s="1"/>
  <c r="C415" i="6"/>
  <c r="H414" i="6"/>
  <c r="S81" i="5"/>
  <c r="T81" i="5" s="1"/>
  <c r="R82" i="5" s="1"/>
  <c r="S116" i="4" l="1"/>
  <c r="T116" i="4" s="1"/>
  <c r="R117" i="4" s="1"/>
  <c r="I415" i="6"/>
  <c r="E415" i="6"/>
  <c r="D415" i="6" s="1"/>
  <c r="F415" i="6" s="1"/>
  <c r="G415" i="6" s="1"/>
  <c r="U82" i="5"/>
  <c r="S82" i="5"/>
  <c r="T82" i="5" l="1"/>
  <c r="R83" i="5" s="1"/>
  <c r="U83" i="5" s="1"/>
  <c r="C416" i="6"/>
  <c r="H415" i="6"/>
  <c r="S117" i="4"/>
  <c r="U117" i="4"/>
  <c r="S83" i="5" l="1"/>
  <c r="T83" i="5" s="1"/>
  <c r="R84" i="5" s="1"/>
  <c r="I416" i="6"/>
  <c r="E416" i="6"/>
  <c r="D416" i="6" s="1"/>
  <c r="F416" i="6" s="1"/>
  <c r="G416" i="6" s="1"/>
  <c r="T117" i="4"/>
  <c r="R118" i="4" s="1"/>
  <c r="C417" i="6" l="1"/>
  <c r="H416" i="6"/>
  <c r="U84" i="5"/>
  <c r="S84" i="5"/>
  <c r="S118" i="4"/>
  <c r="U118" i="4"/>
  <c r="T84" i="5" l="1"/>
  <c r="R85" i="5" s="1"/>
  <c r="E417" i="6"/>
  <c r="D417" i="6" s="1"/>
  <c r="F417" i="6" s="1"/>
  <c r="G417" i="6" s="1"/>
  <c r="I417" i="6"/>
  <c r="T118" i="4"/>
  <c r="R119" i="4" s="1"/>
  <c r="H417" i="6" l="1"/>
  <c r="C418" i="6"/>
  <c r="U85" i="5"/>
  <c r="S85" i="5"/>
  <c r="U119" i="4"/>
  <c r="S119" i="4"/>
  <c r="T85" i="5" l="1"/>
  <c r="R86" i="5" s="1"/>
  <c r="I418" i="6"/>
  <c r="E418" i="6"/>
  <c r="D418" i="6" s="1"/>
  <c r="F418" i="6" s="1"/>
  <c r="G418" i="6" s="1"/>
  <c r="T119" i="4"/>
  <c r="R120" i="4" s="1"/>
  <c r="U120" i="4" s="1"/>
  <c r="C419" i="6" l="1"/>
  <c r="H418" i="6"/>
  <c r="S86" i="5"/>
  <c r="U86" i="5"/>
  <c r="S120" i="4"/>
  <c r="T120" i="4" s="1"/>
  <c r="R121" i="4" s="1"/>
  <c r="U121" i="4" s="1"/>
  <c r="T86" i="5" l="1"/>
  <c r="R87" i="5" s="1"/>
  <c r="U87" i="5" s="1"/>
  <c r="I419" i="6"/>
  <c r="E419" i="6"/>
  <c r="D419" i="6" s="1"/>
  <c r="F419" i="6" s="1"/>
  <c r="G419" i="6" s="1"/>
  <c r="S121" i="4"/>
  <c r="T121" i="4" s="1"/>
  <c r="R122" i="4" s="1"/>
  <c r="U122" i="4" s="1"/>
  <c r="C420" i="6" l="1"/>
  <c r="H419" i="6"/>
  <c r="S87" i="5"/>
  <c r="T87" i="5" s="1"/>
  <c r="R88" i="5" s="1"/>
  <c r="S122" i="4"/>
  <c r="T122" i="4" s="1"/>
  <c r="R123" i="4" s="1"/>
  <c r="U123" i="4" s="1"/>
  <c r="E420" i="6" l="1"/>
  <c r="D420" i="6" s="1"/>
  <c r="F420" i="6" s="1"/>
  <c r="G420" i="6" s="1"/>
  <c r="I420" i="6"/>
  <c r="S88" i="5"/>
  <c r="U88" i="5"/>
  <c r="S123" i="4"/>
  <c r="T123" i="4" s="1"/>
  <c r="R124" i="4" s="1"/>
  <c r="C421" i="6" l="1"/>
  <c r="H420" i="6"/>
  <c r="T88" i="5"/>
  <c r="R89" i="5" s="1"/>
  <c r="U89" i="5" s="1"/>
  <c r="S124" i="4"/>
  <c r="U124" i="4"/>
  <c r="S89" i="5" l="1"/>
  <c r="T89" i="5" s="1"/>
  <c r="R90" i="5" s="1"/>
  <c r="S90" i="5" s="1"/>
  <c r="I421" i="6"/>
  <c r="E421" i="6"/>
  <c r="D421" i="6" s="1"/>
  <c r="F421" i="6" s="1"/>
  <c r="G421" i="6" s="1"/>
  <c r="T124" i="4"/>
  <c r="R125" i="4" s="1"/>
  <c r="U125" i="4" s="1"/>
  <c r="C422" i="6" l="1"/>
  <c r="H421" i="6"/>
  <c r="S125" i="4"/>
  <c r="T125" i="4" s="1"/>
  <c r="R126" i="4" s="1"/>
  <c r="U90" i="5"/>
  <c r="T90" i="5" s="1"/>
  <c r="I422" i="6" l="1"/>
  <c r="E422" i="6"/>
  <c r="D422" i="6" s="1"/>
  <c r="F422" i="6" s="1"/>
  <c r="G422" i="6" s="1"/>
  <c r="U126" i="4"/>
  <c r="S126" i="4"/>
  <c r="R91" i="5"/>
  <c r="U91" i="5" s="1"/>
  <c r="T126" i="4" l="1"/>
  <c r="R127" i="4" s="1"/>
  <c r="S127" i="4" s="1"/>
  <c r="C423" i="6"/>
  <c r="H422" i="6"/>
  <c r="S91" i="5"/>
  <c r="T91" i="5" s="1"/>
  <c r="R92" i="5" s="1"/>
  <c r="U92" i="5" s="1"/>
  <c r="U127" i="4" l="1"/>
  <c r="T127" i="4" s="1"/>
  <c r="R128" i="4" s="1"/>
  <c r="S128" i="4" s="1"/>
  <c r="E423" i="6"/>
  <c r="D423" i="6" s="1"/>
  <c r="F423" i="6" s="1"/>
  <c r="G423" i="6" s="1"/>
  <c r="I423" i="6"/>
  <c r="S92" i="5"/>
  <c r="T92" i="5" s="1"/>
  <c r="R93" i="5" s="1"/>
  <c r="U93" i="5" s="1"/>
  <c r="U128" i="4" l="1"/>
  <c r="T128" i="4" s="1"/>
  <c r="R129" i="4" s="1"/>
  <c r="S129" i="4" s="1"/>
  <c r="S93" i="5"/>
  <c r="T93" i="5" s="1"/>
  <c r="R94" i="5" s="1"/>
  <c r="C424" i="6"/>
  <c r="H423" i="6"/>
  <c r="U129" i="4" l="1"/>
  <c r="T129" i="4" s="1"/>
  <c r="R130" i="4" s="1"/>
  <c r="U130" i="4" s="1"/>
  <c r="I424" i="6"/>
  <c r="E424" i="6"/>
  <c r="D424" i="6" s="1"/>
  <c r="F424" i="6" s="1"/>
  <c r="G424" i="6" s="1"/>
  <c r="U94" i="5"/>
  <c r="S94" i="5"/>
  <c r="T94" i="5" l="1"/>
  <c r="R95" i="5" s="1"/>
  <c r="U95" i="5" s="1"/>
  <c r="S130" i="4"/>
  <c r="T130" i="4" s="1"/>
  <c r="R131" i="4" s="1"/>
  <c r="U131" i="4" s="1"/>
  <c r="C425" i="6"/>
  <c r="H424" i="6"/>
  <c r="S95" i="5" l="1"/>
  <c r="T95" i="5" s="1"/>
  <c r="R96" i="5" s="1"/>
  <c r="U96" i="5" s="1"/>
  <c r="I425" i="6"/>
  <c r="E425" i="6"/>
  <c r="D425" i="6" s="1"/>
  <c r="F425" i="6" s="1"/>
  <c r="G425" i="6" s="1"/>
  <c r="S131" i="4"/>
  <c r="T131" i="4" s="1"/>
  <c r="R132" i="4" s="1"/>
  <c r="S132" i="4" s="1"/>
  <c r="S96" i="5" l="1"/>
  <c r="T96" i="5" s="1"/>
  <c r="R97" i="5" s="1"/>
  <c r="C426" i="6"/>
  <c r="H425" i="6"/>
  <c r="U132" i="4"/>
  <c r="T132" i="4" s="1"/>
  <c r="R133" i="4" s="1"/>
  <c r="U97" i="5" l="1"/>
  <c r="S97" i="5"/>
  <c r="E426" i="6"/>
  <c r="D426" i="6" s="1"/>
  <c r="F426" i="6" s="1"/>
  <c r="G426" i="6" s="1"/>
  <c r="I426" i="6"/>
  <c r="U133" i="4"/>
  <c r="S133" i="4"/>
  <c r="T97" i="5" l="1"/>
  <c r="R98" i="5" s="1"/>
  <c r="U98" i="5" s="1"/>
  <c r="H426" i="6"/>
  <c r="C427" i="6"/>
  <c r="T133" i="4"/>
  <c r="R134" i="4" s="1"/>
  <c r="S98" i="5" l="1"/>
  <c r="T98" i="5" s="1"/>
  <c r="R99" i="5" s="1"/>
  <c r="S99" i="5" s="1"/>
  <c r="I427" i="6"/>
  <c r="E427" i="6"/>
  <c r="D427" i="6" s="1"/>
  <c r="F427" i="6" s="1"/>
  <c r="G427" i="6" s="1"/>
  <c r="U134" i="4"/>
  <c r="S134" i="4"/>
  <c r="U99" i="5" l="1"/>
  <c r="T99" i="5" s="1"/>
  <c r="R100" i="5" s="1"/>
  <c r="U100" i="5" s="1"/>
  <c r="H427" i="6"/>
  <c r="C428" i="6"/>
  <c r="T134" i="4"/>
  <c r="R135" i="4" s="1"/>
  <c r="I428" i="6" l="1"/>
  <c r="E428" i="6"/>
  <c r="D428" i="6" s="1"/>
  <c r="F428" i="6" s="1"/>
  <c r="G428" i="6" s="1"/>
  <c r="S100" i="5"/>
  <c r="T100" i="5" s="1"/>
  <c r="R101" i="5" s="1"/>
  <c r="U135" i="4"/>
  <c r="S135" i="4"/>
  <c r="C429" i="6" l="1"/>
  <c r="H428" i="6"/>
  <c r="U101" i="5"/>
  <c r="S101" i="5"/>
  <c r="T135" i="4"/>
  <c r="R136" i="4" s="1"/>
  <c r="T101" i="5" l="1"/>
  <c r="R102" i="5" s="1"/>
  <c r="S102" i="5" s="1"/>
  <c r="E429" i="6"/>
  <c r="D429" i="6" s="1"/>
  <c r="F429" i="6" s="1"/>
  <c r="G429" i="6" s="1"/>
  <c r="I429" i="6"/>
  <c r="S136" i="4"/>
  <c r="U136" i="4"/>
  <c r="U102" i="5" l="1"/>
  <c r="T102" i="5" s="1"/>
  <c r="R103" i="5" s="1"/>
  <c r="C430" i="6"/>
  <c r="H429" i="6"/>
  <c r="T136" i="4"/>
  <c r="R137" i="4" s="1"/>
  <c r="I430" i="6" l="1"/>
  <c r="E430" i="6"/>
  <c r="D430" i="6" s="1"/>
  <c r="F430" i="6" s="1"/>
  <c r="G430" i="6" s="1"/>
  <c r="U103" i="5"/>
  <c r="S103" i="5"/>
  <c r="U137" i="4"/>
  <c r="S137" i="4"/>
  <c r="T103" i="5" l="1"/>
  <c r="R104" i="5" s="1"/>
  <c r="U104" i="5" s="1"/>
  <c r="C431" i="6"/>
  <c r="H430" i="6"/>
  <c r="T137" i="4"/>
  <c r="R138" i="4" s="1"/>
  <c r="S104" i="5" l="1"/>
  <c r="T104" i="5" s="1"/>
  <c r="R105" i="5" s="1"/>
  <c r="U105" i="5" s="1"/>
  <c r="I431" i="6"/>
  <c r="E431" i="6"/>
  <c r="D431" i="6" s="1"/>
  <c r="F431" i="6" s="1"/>
  <c r="G431" i="6" s="1"/>
  <c r="S138" i="4"/>
  <c r="U138" i="4"/>
  <c r="S105" i="5" l="1"/>
  <c r="T105" i="5" s="1"/>
  <c r="R106" i="5" s="1"/>
  <c r="U106" i="5" s="1"/>
  <c r="C432" i="6"/>
  <c r="H431" i="6"/>
  <c r="T138" i="4"/>
  <c r="R139" i="4" s="1"/>
  <c r="U139" i="4" s="1"/>
  <c r="S139" i="4" l="1"/>
  <c r="T139" i="4" s="1"/>
  <c r="R140" i="4" s="1"/>
  <c r="E432" i="6"/>
  <c r="D432" i="6" s="1"/>
  <c r="F432" i="6" s="1"/>
  <c r="G432" i="6" s="1"/>
  <c r="I432" i="6"/>
  <c r="S106" i="5"/>
  <c r="T106" i="5" s="1"/>
  <c r="R107" i="5" s="1"/>
  <c r="C433" i="6" l="1"/>
  <c r="H432" i="6"/>
  <c r="U107" i="5"/>
  <c r="S107" i="5"/>
  <c r="U140" i="4"/>
  <c r="S140" i="4"/>
  <c r="I433" i="6" l="1"/>
  <c r="E433" i="6"/>
  <c r="D433" i="6" s="1"/>
  <c r="F433" i="6" s="1"/>
  <c r="G433" i="6" s="1"/>
  <c r="T107" i="5"/>
  <c r="R108" i="5" s="1"/>
  <c r="T140" i="4"/>
  <c r="R141" i="4" s="1"/>
  <c r="S141" i="4" s="1"/>
  <c r="C434" i="6" l="1"/>
  <c r="H433" i="6"/>
  <c r="S108" i="5"/>
  <c r="U108" i="5"/>
  <c r="U141" i="4"/>
  <c r="T141" i="4" s="1"/>
  <c r="I434" i="6" l="1"/>
  <c r="E434" i="6"/>
  <c r="D434" i="6" s="1"/>
  <c r="F434" i="6" s="1"/>
  <c r="G434" i="6" s="1"/>
  <c r="T108" i="5"/>
  <c r="R109" i="5" s="1"/>
  <c r="S109" i="5" s="1"/>
  <c r="R142" i="4"/>
  <c r="U142" i="4" s="1"/>
  <c r="U109" i="5" l="1"/>
  <c r="T109" i="5" s="1"/>
  <c r="R110" i="5" s="1"/>
  <c r="C435" i="6"/>
  <c r="H434" i="6"/>
  <c r="S142" i="4"/>
  <c r="T142" i="4" s="1"/>
  <c r="R143" i="4" s="1"/>
  <c r="U110" i="5" l="1"/>
  <c r="S110" i="5"/>
  <c r="E435" i="6"/>
  <c r="D435" i="6" s="1"/>
  <c r="F435" i="6" s="1"/>
  <c r="G435" i="6" s="1"/>
  <c r="I435" i="6"/>
  <c r="U143" i="4"/>
  <c r="S143" i="4"/>
  <c r="T143" i="4" l="1"/>
  <c r="R144" i="4" s="1"/>
  <c r="T110" i="5"/>
  <c r="R111" i="5" s="1"/>
  <c r="S111" i="5" s="1"/>
  <c r="H435" i="6"/>
  <c r="C436" i="6"/>
  <c r="U111" i="5" l="1"/>
  <c r="T111" i="5" s="1"/>
  <c r="R112" i="5" s="1"/>
  <c r="U112" i="5" s="1"/>
  <c r="I436" i="6"/>
  <c r="E436" i="6"/>
  <c r="D436" i="6" s="1"/>
  <c r="F436" i="6" s="1"/>
  <c r="G436" i="6" s="1"/>
  <c r="S144" i="4"/>
  <c r="U144" i="4"/>
  <c r="S112" i="5" l="1"/>
  <c r="T112" i="5" s="1"/>
  <c r="R113" i="5" s="1"/>
  <c r="U113" i="5" s="1"/>
  <c r="H436" i="6"/>
  <c r="C437" i="6"/>
  <c r="T144" i="4"/>
  <c r="R145" i="4" s="1"/>
  <c r="S113" i="5" l="1"/>
  <c r="T113" i="5" s="1"/>
  <c r="R114" i="5" s="1"/>
  <c r="I437" i="6"/>
  <c r="E437" i="6"/>
  <c r="D437" i="6" s="1"/>
  <c r="F437" i="6" s="1"/>
  <c r="G437" i="6" s="1"/>
  <c r="S145" i="4"/>
  <c r="U145" i="4"/>
  <c r="S114" i="5" l="1"/>
  <c r="U114" i="5"/>
  <c r="C438" i="6"/>
  <c r="H437" i="6"/>
  <c r="T145" i="4"/>
  <c r="R146" i="4" s="1"/>
  <c r="T114" i="5" l="1"/>
  <c r="R115" i="5" s="1"/>
  <c r="S115" i="5" s="1"/>
  <c r="E438" i="6"/>
  <c r="D438" i="6" s="1"/>
  <c r="F438" i="6" s="1"/>
  <c r="G438" i="6" s="1"/>
  <c r="I438" i="6"/>
  <c r="S146" i="4"/>
  <c r="U146" i="4"/>
  <c r="U115" i="5" l="1"/>
  <c r="T115" i="5" s="1"/>
  <c r="R116" i="5" s="1"/>
  <c r="H438" i="6"/>
  <c r="C439" i="6"/>
  <c r="T146" i="4"/>
  <c r="R147" i="4" s="1"/>
  <c r="U116" i="5" l="1"/>
  <c r="S116" i="5"/>
  <c r="I439" i="6"/>
  <c r="E439" i="6"/>
  <c r="D439" i="6" s="1"/>
  <c r="F439" i="6" s="1"/>
  <c r="G439" i="6" s="1"/>
  <c r="U147" i="4"/>
  <c r="S147" i="4"/>
  <c r="T116" i="5" l="1"/>
  <c r="R117" i="5" s="1"/>
  <c r="U117" i="5" s="1"/>
  <c r="H439" i="6"/>
  <c r="C440" i="6"/>
  <c r="T147" i="4"/>
  <c r="R148" i="4" s="1"/>
  <c r="U148" i="4" s="1"/>
  <c r="S117" i="5" l="1"/>
  <c r="T117" i="5" s="1"/>
  <c r="R118" i="5" s="1"/>
  <c r="U118" i="5" s="1"/>
  <c r="I440" i="6"/>
  <c r="E440" i="6"/>
  <c r="D440" i="6" s="1"/>
  <c r="F440" i="6" s="1"/>
  <c r="G440" i="6" s="1"/>
  <c r="S148" i="4"/>
  <c r="T148" i="4" s="1"/>
  <c r="R149" i="4" s="1"/>
  <c r="U149" i="4" s="1"/>
  <c r="S118" i="5" l="1"/>
  <c r="T118" i="5" s="1"/>
  <c r="R119" i="5" s="1"/>
  <c r="U119" i="5" s="1"/>
  <c r="S149" i="4"/>
  <c r="T149" i="4" s="1"/>
  <c r="R150" i="4" s="1"/>
  <c r="C441" i="6"/>
  <c r="H440" i="6"/>
  <c r="S119" i="5" l="1"/>
  <c r="T119" i="5" s="1"/>
  <c r="R120" i="5" s="1"/>
  <c r="U120" i="5" s="1"/>
  <c r="E441" i="6"/>
  <c r="D441" i="6" s="1"/>
  <c r="F441" i="6" s="1"/>
  <c r="G441" i="6" s="1"/>
  <c r="I441" i="6"/>
  <c r="U150" i="4"/>
  <c r="S150" i="4"/>
  <c r="S120" i="5" l="1"/>
  <c r="T120" i="5" s="1"/>
  <c r="R121" i="5" s="1"/>
  <c r="T150" i="4"/>
  <c r="R151" i="4" s="1"/>
  <c r="S151" i="4" s="1"/>
  <c r="C442" i="6"/>
  <c r="H441" i="6"/>
  <c r="U151" i="4" l="1"/>
  <c r="T151" i="4" s="1"/>
  <c r="R152" i="4" s="1"/>
  <c r="I442" i="6"/>
  <c r="E442" i="6"/>
  <c r="D442" i="6" s="1"/>
  <c r="F442" i="6" s="1"/>
  <c r="G442" i="6" s="1"/>
  <c r="U121" i="5"/>
  <c r="S121" i="5"/>
  <c r="T121" i="5" l="1"/>
  <c r="R122" i="5" s="1"/>
  <c r="H442" i="6"/>
  <c r="C443" i="6"/>
  <c r="U152" i="4"/>
  <c r="S152" i="4"/>
  <c r="I443" i="6" l="1"/>
  <c r="E443" i="6"/>
  <c r="D443" i="6" s="1"/>
  <c r="F443" i="6" s="1"/>
  <c r="G443" i="6" s="1"/>
  <c r="U122" i="5"/>
  <c r="S122" i="5"/>
  <c r="T152" i="4"/>
  <c r="R153" i="4" s="1"/>
  <c r="S153" i="4" s="1"/>
  <c r="U153" i="4" l="1"/>
  <c r="T153" i="4" s="1"/>
  <c r="R154" i="4" s="1"/>
  <c r="T122" i="5"/>
  <c r="R123" i="5" s="1"/>
  <c r="C444" i="6"/>
  <c r="H443" i="6"/>
  <c r="E444" i="6" l="1"/>
  <c r="D444" i="6" s="1"/>
  <c r="F444" i="6" s="1"/>
  <c r="G444" i="6" s="1"/>
  <c r="I444" i="6"/>
  <c r="S123" i="5"/>
  <c r="U123" i="5"/>
  <c r="U154" i="4"/>
  <c r="S154" i="4"/>
  <c r="C445" i="6" l="1"/>
  <c r="H444" i="6"/>
  <c r="T123" i="5"/>
  <c r="R124" i="5" s="1"/>
  <c r="T154" i="4"/>
  <c r="R155" i="4" s="1"/>
  <c r="S155" i="4" s="1"/>
  <c r="I445" i="6" l="1"/>
  <c r="E445" i="6"/>
  <c r="D445" i="6" s="1"/>
  <c r="F445" i="6" s="1"/>
  <c r="G445" i="6" s="1"/>
  <c r="U155" i="4"/>
  <c r="T155" i="4" s="1"/>
  <c r="R156" i="4" s="1"/>
  <c r="U124" i="5"/>
  <c r="S124" i="5"/>
  <c r="H445" i="6" l="1"/>
  <c r="C446" i="6"/>
  <c r="T124" i="5"/>
  <c r="R125" i="5" s="1"/>
  <c r="U125" i="5" s="1"/>
  <c r="S156" i="4"/>
  <c r="U156" i="4"/>
  <c r="I446" i="6" l="1"/>
  <c r="E446" i="6"/>
  <c r="D446" i="6" s="1"/>
  <c r="F446" i="6" s="1"/>
  <c r="G446" i="6" s="1"/>
  <c r="S125" i="5"/>
  <c r="T125" i="5" s="1"/>
  <c r="R126" i="5" s="1"/>
  <c r="U126" i="5" s="1"/>
  <c r="T156" i="4"/>
  <c r="R157" i="4" s="1"/>
  <c r="C447" i="6" l="1"/>
  <c r="H446" i="6"/>
  <c r="S126" i="5"/>
  <c r="T126" i="5" s="1"/>
  <c r="R127" i="5" s="1"/>
  <c r="S157" i="4"/>
  <c r="U157" i="4"/>
  <c r="E447" i="6" l="1"/>
  <c r="D447" i="6" s="1"/>
  <c r="F447" i="6" s="1"/>
  <c r="G447" i="6" s="1"/>
  <c r="I447" i="6"/>
  <c r="U127" i="5"/>
  <c r="S127" i="5"/>
  <c r="T157" i="4"/>
  <c r="R158" i="4" s="1"/>
  <c r="T127" i="5" l="1"/>
  <c r="R128" i="5" s="1"/>
  <c r="U128" i="5" s="1"/>
  <c r="C448" i="6"/>
  <c r="H447" i="6"/>
  <c r="S158" i="4"/>
  <c r="U158" i="4"/>
  <c r="S128" i="5" l="1"/>
  <c r="T128" i="5" s="1"/>
  <c r="R129" i="5" s="1"/>
  <c r="I448" i="6"/>
  <c r="E448" i="6"/>
  <c r="D448" i="6" s="1"/>
  <c r="F448" i="6" s="1"/>
  <c r="G448" i="6" s="1"/>
  <c r="T158" i="4"/>
  <c r="R159" i="4" s="1"/>
  <c r="H448" i="6" l="1"/>
  <c r="C449" i="6"/>
  <c r="U129" i="5"/>
  <c r="S129" i="5"/>
  <c r="U159" i="4"/>
  <c r="S159" i="4"/>
  <c r="T159" i="4" l="1"/>
  <c r="R160" i="4" s="1"/>
  <c r="U160" i="4" s="1"/>
  <c r="I449" i="6"/>
  <c r="E449" i="6"/>
  <c r="D449" i="6" s="1"/>
  <c r="F449" i="6" s="1"/>
  <c r="G449" i="6" s="1"/>
  <c r="T129" i="5"/>
  <c r="R130" i="5" s="1"/>
  <c r="U130" i="5" s="1"/>
  <c r="S160" i="4" l="1"/>
  <c r="T160" i="4" s="1"/>
  <c r="R161" i="4" s="1"/>
  <c r="U161" i="4" s="1"/>
  <c r="C450" i="6"/>
  <c r="H449" i="6"/>
  <c r="S130" i="5"/>
  <c r="T130" i="5" s="1"/>
  <c r="R131" i="5" s="1"/>
  <c r="U131" i="5" s="1"/>
  <c r="S161" i="4" l="1"/>
  <c r="T161" i="4" s="1"/>
  <c r="R162" i="4" s="1"/>
  <c r="U162" i="4" s="1"/>
  <c r="E450" i="6"/>
  <c r="D450" i="6" s="1"/>
  <c r="F450" i="6" s="1"/>
  <c r="G450" i="6" s="1"/>
  <c r="I450" i="6"/>
  <c r="S131" i="5"/>
  <c r="T131" i="5" s="1"/>
  <c r="R132" i="5" s="1"/>
  <c r="H450" i="6" l="1"/>
  <c r="C451" i="6"/>
  <c r="U132" i="5"/>
  <c r="S132" i="5"/>
  <c r="S162" i="4"/>
  <c r="T162" i="4" s="1"/>
  <c r="R163" i="4" s="1"/>
  <c r="T132" i="5" l="1"/>
  <c r="R133" i="5" s="1"/>
  <c r="S133" i="5" s="1"/>
  <c r="I451" i="6"/>
  <c r="E451" i="6"/>
  <c r="D451" i="6" s="1"/>
  <c r="F451" i="6" s="1"/>
  <c r="G451" i="6" s="1"/>
  <c r="S163" i="4"/>
  <c r="U163" i="4"/>
  <c r="U133" i="5" l="1"/>
  <c r="T133" i="5" s="1"/>
  <c r="H451" i="6"/>
  <c r="C452" i="6"/>
  <c r="T163" i="4"/>
  <c r="R164" i="4" s="1"/>
  <c r="U164" i="4" s="1"/>
  <c r="R134" i="5" l="1"/>
  <c r="S134" i="5" s="1"/>
  <c r="S164" i="4"/>
  <c r="T164" i="4" s="1"/>
  <c r="R165" i="4" s="1"/>
  <c r="U165" i="4" s="1"/>
  <c r="I452" i="6"/>
  <c r="E452" i="6"/>
  <c r="D452" i="6" s="1"/>
  <c r="F452" i="6" s="1"/>
  <c r="G452" i="6" s="1"/>
  <c r="U134" i="5" l="1"/>
  <c r="T134" i="5" s="1"/>
  <c r="R135" i="5" s="1"/>
  <c r="C453" i="6"/>
  <c r="H452" i="6"/>
  <c r="S165" i="4"/>
  <c r="T165" i="4" s="1"/>
  <c r="R166" i="4" s="1"/>
  <c r="U166" i="4" s="1"/>
  <c r="U135" i="5" l="1"/>
  <c r="S135" i="5"/>
  <c r="S166" i="4"/>
  <c r="T166" i="4" s="1"/>
  <c r="R167" i="4" s="1"/>
  <c r="U167" i="4" s="1"/>
  <c r="E453" i="6"/>
  <c r="D453" i="6" s="1"/>
  <c r="F453" i="6" s="1"/>
  <c r="G453" i="6" s="1"/>
  <c r="I453" i="6"/>
  <c r="T135" i="5" l="1"/>
  <c r="R136" i="5" s="1"/>
  <c r="S167" i="4"/>
  <c r="T167" i="4" s="1"/>
  <c r="R168" i="4" s="1"/>
  <c r="C454" i="6"/>
  <c r="H453" i="6"/>
  <c r="S136" i="5" l="1"/>
  <c r="U136" i="5"/>
  <c r="I454" i="6"/>
  <c r="E454" i="6"/>
  <c r="D454" i="6" s="1"/>
  <c r="F454" i="6" s="1"/>
  <c r="G454" i="6" s="1"/>
  <c r="S168" i="4"/>
  <c r="U168" i="4"/>
  <c r="T136" i="5" l="1"/>
  <c r="R137" i="5" s="1"/>
  <c r="H454" i="6"/>
  <c r="C455" i="6"/>
  <c r="T168" i="4"/>
  <c r="R169" i="4" s="1"/>
  <c r="S137" i="5" l="1"/>
  <c r="U137" i="5"/>
  <c r="I455" i="6"/>
  <c r="E455" i="6"/>
  <c r="D455" i="6" s="1"/>
  <c r="F455" i="6" s="1"/>
  <c r="G455" i="6" s="1"/>
  <c r="S169" i="4"/>
  <c r="U169" i="4"/>
  <c r="T137" i="5" l="1"/>
  <c r="R138" i="5" s="1"/>
  <c r="C456" i="6"/>
  <c r="H455" i="6"/>
  <c r="T169" i="4"/>
  <c r="R170" i="4" s="1"/>
  <c r="U138" i="5" l="1"/>
  <c r="S138" i="5"/>
  <c r="E456" i="6"/>
  <c r="D456" i="6" s="1"/>
  <c r="F456" i="6" s="1"/>
  <c r="G456" i="6" s="1"/>
  <c r="I456" i="6"/>
  <c r="S170" i="4"/>
  <c r="U170" i="4"/>
  <c r="T138" i="5" l="1"/>
  <c r="R139" i="5" s="1"/>
  <c r="H456" i="6"/>
  <c r="C457" i="6"/>
  <c r="T170" i="4"/>
  <c r="R171" i="4" s="1"/>
  <c r="S139" i="5" l="1"/>
  <c r="U139" i="5"/>
  <c r="I457" i="6"/>
  <c r="E457" i="6"/>
  <c r="D457" i="6" s="1"/>
  <c r="F457" i="6" s="1"/>
  <c r="G457" i="6" s="1"/>
  <c r="U171" i="4"/>
  <c r="S171" i="4"/>
  <c r="T139" i="5" l="1"/>
  <c r="R140" i="5" s="1"/>
  <c r="U140" i="5" s="1"/>
  <c r="H457" i="6"/>
  <c r="C458" i="6"/>
  <c r="T171" i="4"/>
  <c r="R172" i="4" s="1"/>
  <c r="U172" i="4" s="1"/>
  <c r="S140" i="5" l="1"/>
  <c r="T140" i="5" s="1"/>
  <c r="R141" i="5" s="1"/>
  <c r="S172" i="4"/>
  <c r="T172" i="4" s="1"/>
  <c r="R173" i="4" s="1"/>
  <c r="S173" i="4" s="1"/>
  <c r="I458" i="6"/>
  <c r="E458" i="6"/>
  <c r="D458" i="6" s="1"/>
  <c r="F458" i="6" s="1"/>
  <c r="G458" i="6" s="1"/>
  <c r="S141" i="5" l="1"/>
  <c r="U141" i="5"/>
  <c r="C459" i="6"/>
  <c r="H458" i="6"/>
  <c r="U173" i="4"/>
  <c r="T173" i="4" s="1"/>
  <c r="R174" i="4" s="1"/>
  <c r="T141" i="5" l="1"/>
  <c r="R142" i="5" s="1"/>
  <c r="S142" i="5" s="1"/>
  <c r="E459" i="6"/>
  <c r="D459" i="6" s="1"/>
  <c r="F459" i="6" s="1"/>
  <c r="G459" i="6" s="1"/>
  <c r="I459" i="6"/>
  <c r="U174" i="4"/>
  <c r="S174" i="4"/>
  <c r="U142" i="5" l="1"/>
  <c r="T142" i="5" s="1"/>
  <c r="R143" i="5" s="1"/>
  <c r="T174" i="4"/>
  <c r="R175" i="4" s="1"/>
  <c r="S175" i="4" s="1"/>
  <c r="C460" i="6"/>
  <c r="H459" i="6"/>
  <c r="S143" i="5" l="1"/>
  <c r="U143" i="5"/>
  <c r="U175" i="4"/>
  <c r="T175" i="4" s="1"/>
  <c r="R176" i="4" s="1"/>
  <c r="U176" i="4" s="1"/>
  <c r="I460" i="6"/>
  <c r="E460" i="6"/>
  <c r="D460" i="6" s="1"/>
  <c r="F460" i="6" s="1"/>
  <c r="G460" i="6" s="1"/>
  <c r="T143" i="5" l="1"/>
  <c r="R144" i="5" s="1"/>
  <c r="S144" i="5" s="1"/>
  <c r="S176" i="4"/>
  <c r="T176" i="4" s="1"/>
  <c r="R177" i="4" s="1"/>
  <c r="U177" i="4" s="1"/>
  <c r="H460" i="6"/>
  <c r="C461" i="6"/>
  <c r="U144" i="5" l="1"/>
  <c r="T144" i="5" s="1"/>
  <c r="R145" i="5" s="1"/>
  <c r="U145" i="5" s="1"/>
  <c r="S177" i="4"/>
  <c r="T177" i="4" s="1"/>
  <c r="R178" i="4" s="1"/>
  <c r="I461" i="6"/>
  <c r="E461" i="6"/>
  <c r="D461" i="6" s="1"/>
  <c r="F461" i="6" s="1"/>
  <c r="G461" i="6" s="1"/>
  <c r="S145" i="5" l="1"/>
  <c r="T145" i="5" s="1"/>
  <c r="R146" i="5" s="1"/>
  <c r="U146" i="5" s="1"/>
  <c r="U178" i="4"/>
  <c r="S178" i="4"/>
  <c r="C462" i="6"/>
  <c r="H461" i="6"/>
  <c r="S146" i="5" l="1"/>
  <c r="T146" i="5" s="1"/>
  <c r="R147" i="5" s="1"/>
  <c r="U147" i="5" s="1"/>
  <c r="T178" i="4"/>
  <c r="R179" i="4" s="1"/>
  <c r="E462" i="6"/>
  <c r="D462" i="6" s="1"/>
  <c r="F462" i="6" s="1"/>
  <c r="G462" i="6" s="1"/>
  <c r="I462" i="6"/>
  <c r="S147" i="5" l="1"/>
  <c r="T147" i="5" s="1"/>
  <c r="R148" i="5" s="1"/>
  <c r="U148" i="5" s="1"/>
  <c r="S179" i="4"/>
  <c r="U179" i="4"/>
  <c r="C463" i="6"/>
  <c r="H462" i="6"/>
  <c r="S148" i="5" l="1"/>
  <c r="T148" i="5" s="1"/>
  <c r="R149" i="5" s="1"/>
  <c r="S149" i="5" s="1"/>
  <c r="T179" i="4"/>
  <c r="R180" i="4" s="1"/>
  <c r="S180" i="4" s="1"/>
  <c r="I463" i="6"/>
  <c r="E463" i="6"/>
  <c r="D463" i="6" s="1"/>
  <c r="F463" i="6" s="1"/>
  <c r="G463" i="6" s="1"/>
  <c r="U149" i="5" l="1"/>
  <c r="T149" i="5" s="1"/>
  <c r="R150" i="5" s="1"/>
  <c r="U150" i="5" s="1"/>
  <c r="U180" i="4"/>
  <c r="T180" i="4" s="1"/>
  <c r="R181" i="4" s="1"/>
  <c r="H463" i="6"/>
  <c r="C464" i="6"/>
  <c r="S181" i="4" l="1"/>
  <c r="U181" i="4"/>
  <c r="I464" i="6"/>
  <c r="E464" i="6"/>
  <c r="D464" i="6" s="1"/>
  <c r="F464" i="6" s="1"/>
  <c r="G464" i="6" s="1"/>
  <c r="S150" i="5"/>
  <c r="T150" i="5" s="1"/>
  <c r="R151" i="5" s="1"/>
  <c r="T181" i="4" l="1"/>
  <c r="R182" i="4" s="1"/>
  <c r="S182" i="4" s="1"/>
  <c r="C465" i="6"/>
  <c r="H464" i="6"/>
  <c r="U151" i="5"/>
  <c r="S151" i="5"/>
  <c r="U182" i="4" l="1"/>
  <c r="T182" i="4" s="1"/>
  <c r="R183" i="4" s="1"/>
  <c r="U183" i="4" s="1"/>
  <c r="T151" i="5"/>
  <c r="R152" i="5" s="1"/>
  <c r="E465" i="6"/>
  <c r="D465" i="6" s="1"/>
  <c r="F465" i="6" s="1"/>
  <c r="G465" i="6" s="1"/>
  <c r="I465" i="6"/>
  <c r="S183" i="4" l="1"/>
  <c r="T183" i="4" s="1"/>
  <c r="R184" i="4" s="1"/>
  <c r="C466" i="6"/>
  <c r="H465" i="6"/>
  <c r="S152" i="5"/>
  <c r="U152" i="5"/>
  <c r="S184" i="4" l="1"/>
  <c r="U184" i="4"/>
  <c r="I466" i="6"/>
  <c r="E466" i="6"/>
  <c r="D466" i="6" s="1"/>
  <c r="F466" i="6" s="1"/>
  <c r="G466" i="6" s="1"/>
  <c r="T152" i="5"/>
  <c r="R153" i="5" s="1"/>
  <c r="T184" i="4" l="1"/>
  <c r="R185" i="4" s="1"/>
  <c r="S185" i="4" s="1"/>
  <c r="H466" i="6"/>
  <c r="C467" i="6"/>
  <c r="U153" i="5"/>
  <c r="S153" i="5"/>
  <c r="U185" i="4" l="1"/>
  <c r="T185" i="4" s="1"/>
  <c r="R186" i="4" s="1"/>
  <c r="U186" i="4" s="1"/>
  <c r="T153" i="5"/>
  <c r="R154" i="5" s="1"/>
  <c r="U154" i="5" s="1"/>
  <c r="I467" i="6"/>
  <c r="E467" i="6"/>
  <c r="D467" i="6" s="1"/>
  <c r="F467" i="6" s="1"/>
  <c r="G467" i="6" s="1"/>
  <c r="S186" i="4" l="1"/>
  <c r="T186" i="4" s="1"/>
  <c r="R187" i="4" s="1"/>
  <c r="U187" i="4" s="1"/>
  <c r="S154" i="5"/>
  <c r="T154" i="5" s="1"/>
  <c r="R155" i="5" s="1"/>
  <c r="C468" i="6"/>
  <c r="H467" i="6"/>
  <c r="S187" i="4" l="1"/>
  <c r="T187" i="4" s="1"/>
  <c r="R188" i="4" s="1"/>
  <c r="U188" i="4" s="1"/>
  <c r="U155" i="5"/>
  <c r="S155" i="5"/>
  <c r="E468" i="6"/>
  <c r="D468" i="6" s="1"/>
  <c r="F468" i="6" s="1"/>
  <c r="G468" i="6" s="1"/>
  <c r="I468" i="6"/>
  <c r="T155" i="5" l="1"/>
  <c r="R156" i="5" s="1"/>
  <c r="U156" i="5" s="1"/>
  <c r="S188" i="4"/>
  <c r="T188" i="4" s="1"/>
  <c r="R189" i="4" s="1"/>
  <c r="U189" i="4" s="1"/>
  <c r="H468" i="6"/>
  <c r="C469" i="6"/>
  <c r="S156" i="5" l="1"/>
  <c r="T156" i="5" s="1"/>
  <c r="R157" i="5" s="1"/>
  <c r="S189" i="4"/>
  <c r="T189" i="4" s="1"/>
  <c r="R190" i="4" s="1"/>
  <c r="U190" i="4" s="1"/>
  <c r="I469" i="6"/>
  <c r="E469" i="6"/>
  <c r="D469" i="6" s="1"/>
  <c r="F469" i="6" s="1"/>
  <c r="G469" i="6" s="1"/>
  <c r="S190" i="4" l="1"/>
  <c r="T190" i="4" s="1"/>
  <c r="R191" i="4" s="1"/>
  <c r="U191" i="4" s="1"/>
  <c r="H469" i="6"/>
  <c r="C470" i="6"/>
  <c r="S157" i="5"/>
  <c r="U157" i="5"/>
  <c r="S191" i="4" l="1"/>
  <c r="T191" i="4" s="1"/>
  <c r="R192" i="4" s="1"/>
  <c r="S192" i="4" s="1"/>
  <c r="I470" i="6"/>
  <c r="E470" i="6"/>
  <c r="D470" i="6" s="1"/>
  <c r="F470" i="6" s="1"/>
  <c r="G470" i="6" s="1"/>
  <c r="T157" i="5"/>
  <c r="R158" i="5" s="1"/>
  <c r="U192" i="4" l="1"/>
  <c r="T192" i="4" s="1"/>
  <c r="R193" i="4" s="1"/>
  <c r="C471" i="6"/>
  <c r="H470" i="6"/>
  <c r="U158" i="5"/>
  <c r="S158" i="5"/>
  <c r="E471" i="6" l="1"/>
  <c r="D471" i="6" s="1"/>
  <c r="F471" i="6" s="1"/>
  <c r="G471" i="6" s="1"/>
  <c r="I471" i="6"/>
  <c r="U193" i="4"/>
  <c r="S193" i="4"/>
  <c r="T158" i="5"/>
  <c r="R159" i="5" s="1"/>
  <c r="U159" i="5" s="1"/>
  <c r="T193" i="4" l="1"/>
  <c r="R194" i="4" s="1"/>
  <c r="S194" i="4" s="1"/>
  <c r="C472" i="6"/>
  <c r="H471" i="6"/>
  <c r="S159" i="5"/>
  <c r="T159" i="5" s="1"/>
  <c r="R160" i="5" s="1"/>
  <c r="U160" i="5" s="1"/>
  <c r="U194" i="4" l="1"/>
  <c r="T194" i="4" s="1"/>
  <c r="R195" i="4" s="1"/>
  <c r="I472" i="6"/>
  <c r="E472" i="6"/>
  <c r="D472" i="6" s="1"/>
  <c r="F472" i="6" s="1"/>
  <c r="G472" i="6" s="1"/>
  <c r="S160" i="5"/>
  <c r="T160" i="5" s="1"/>
  <c r="R161" i="5" s="1"/>
  <c r="U161" i="5" s="1"/>
  <c r="H472" i="6" l="1"/>
  <c r="C473" i="6"/>
  <c r="S161" i="5"/>
  <c r="T161" i="5" s="1"/>
  <c r="R162" i="5" s="1"/>
  <c r="U195" i="4"/>
  <c r="S195" i="4"/>
  <c r="T195" i="4" l="1"/>
  <c r="R196" i="4" s="1"/>
  <c r="U196" i="4" s="1"/>
  <c r="I473" i="6"/>
  <c r="E473" i="6"/>
  <c r="D473" i="6" s="1"/>
  <c r="F473" i="6" s="1"/>
  <c r="G473" i="6" s="1"/>
  <c r="S162" i="5"/>
  <c r="U162" i="5"/>
  <c r="S196" i="4" l="1"/>
  <c r="T196" i="4" s="1"/>
  <c r="R197" i="4" s="1"/>
  <c r="C474" i="6"/>
  <c r="H473" i="6"/>
  <c r="T162" i="5"/>
  <c r="R163" i="5" s="1"/>
  <c r="U197" i="4" l="1"/>
  <c r="S197" i="4"/>
  <c r="E474" i="6"/>
  <c r="D474" i="6" s="1"/>
  <c r="F474" i="6" s="1"/>
  <c r="G474" i="6" s="1"/>
  <c r="I474" i="6"/>
  <c r="U163" i="5"/>
  <c r="S163" i="5"/>
  <c r="T197" i="4" l="1"/>
  <c r="R198" i="4" s="1"/>
  <c r="U198" i="4" s="1"/>
  <c r="H474" i="6"/>
  <c r="C475" i="6"/>
  <c r="T163" i="5"/>
  <c r="R164" i="5" s="1"/>
  <c r="S164" i="5" s="1"/>
  <c r="S198" i="4" l="1"/>
  <c r="T198" i="4" s="1"/>
  <c r="R199" i="4" s="1"/>
  <c r="U199" i="4" s="1"/>
  <c r="I475" i="6"/>
  <c r="E475" i="6"/>
  <c r="D475" i="6" s="1"/>
  <c r="F475" i="6" s="1"/>
  <c r="G475" i="6" s="1"/>
  <c r="U164" i="5"/>
  <c r="T164" i="5" s="1"/>
  <c r="R165" i="5" s="1"/>
  <c r="S199" i="4" l="1"/>
  <c r="T199" i="4" s="1"/>
  <c r="R200" i="4" s="1"/>
  <c r="U200" i="4" s="1"/>
  <c r="H475" i="6"/>
  <c r="C476" i="6"/>
  <c r="U165" i="5"/>
  <c r="S165" i="5"/>
  <c r="I476" i="6" l="1"/>
  <c r="E476" i="6"/>
  <c r="D476" i="6" s="1"/>
  <c r="F476" i="6" s="1"/>
  <c r="G476" i="6" s="1"/>
  <c r="S200" i="4"/>
  <c r="T200" i="4" s="1"/>
  <c r="R201" i="4" s="1"/>
  <c r="T165" i="5"/>
  <c r="R166" i="5" s="1"/>
  <c r="S201" i="4" l="1"/>
  <c r="U201" i="4"/>
  <c r="C477" i="6"/>
  <c r="H476" i="6"/>
  <c r="U166" i="5"/>
  <c r="S166" i="5"/>
  <c r="T201" i="4" l="1"/>
  <c r="R202" i="4" s="1"/>
  <c r="S202" i="4" s="1"/>
  <c r="E477" i="6"/>
  <c r="D477" i="6" s="1"/>
  <c r="F477" i="6" s="1"/>
  <c r="G477" i="6" s="1"/>
  <c r="I477" i="6"/>
  <c r="T166" i="5"/>
  <c r="R167" i="5" s="1"/>
  <c r="U202" i="4" l="1"/>
  <c r="T202" i="4" s="1"/>
  <c r="R203" i="4" s="1"/>
  <c r="C478" i="6"/>
  <c r="H477" i="6"/>
  <c r="U167" i="5"/>
  <c r="S167" i="5"/>
  <c r="T167" i="5" l="1"/>
  <c r="R168" i="5" s="1"/>
  <c r="S168" i="5" s="1"/>
  <c r="S203" i="4"/>
  <c r="U203" i="4"/>
  <c r="I478" i="6"/>
  <c r="E478" i="6"/>
  <c r="D478" i="6" s="1"/>
  <c r="F478" i="6" s="1"/>
  <c r="G478" i="6" s="1"/>
  <c r="U168" i="5" l="1"/>
  <c r="T168" i="5" s="1"/>
  <c r="R169" i="5" s="1"/>
  <c r="S169" i="5" s="1"/>
  <c r="T203" i="4"/>
  <c r="R204" i="4" s="1"/>
  <c r="S204" i="4" s="1"/>
  <c r="H478" i="6"/>
  <c r="C479" i="6"/>
  <c r="U204" i="4" l="1"/>
  <c r="T204" i="4" s="1"/>
  <c r="R205" i="4" s="1"/>
  <c r="U205" i="4" s="1"/>
  <c r="U169" i="5"/>
  <c r="T169" i="5" s="1"/>
  <c r="R170" i="5" s="1"/>
  <c r="I479" i="6"/>
  <c r="E479" i="6"/>
  <c r="D479" i="6" s="1"/>
  <c r="F479" i="6" s="1"/>
  <c r="G479" i="6" s="1"/>
  <c r="S205" i="4" l="1"/>
  <c r="T205" i="4" s="1"/>
  <c r="R206" i="4" s="1"/>
  <c r="U206" i="4" s="1"/>
  <c r="C480" i="6"/>
  <c r="H479" i="6"/>
  <c r="U170" i="5"/>
  <c r="S170" i="5"/>
  <c r="S206" i="4" l="1"/>
  <c r="T206" i="4" s="1"/>
  <c r="R207" i="4" s="1"/>
  <c r="E480" i="6"/>
  <c r="D480" i="6" s="1"/>
  <c r="F480" i="6" s="1"/>
  <c r="G480" i="6" s="1"/>
  <c r="I480" i="6"/>
  <c r="T170" i="5"/>
  <c r="R171" i="5" s="1"/>
  <c r="U171" i="5" s="1"/>
  <c r="C481" i="6" l="1"/>
  <c r="H480" i="6"/>
  <c r="S171" i="5"/>
  <c r="T171" i="5" s="1"/>
  <c r="R172" i="5" s="1"/>
  <c r="U207" i="4"/>
  <c r="S207" i="4"/>
  <c r="T207" i="4" l="1"/>
  <c r="R208" i="4" s="1"/>
  <c r="I481" i="6"/>
  <c r="E481" i="6"/>
  <c r="D481" i="6" s="1"/>
  <c r="F481" i="6" s="1"/>
  <c r="G481" i="6" s="1"/>
  <c r="S172" i="5"/>
  <c r="U172" i="5"/>
  <c r="H481" i="6" l="1"/>
  <c r="C482" i="6"/>
  <c r="T172" i="5"/>
  <c r="R173" i="5" s="1"/>
  <c r="U208" i="4"/>
  <c r="S208" i="4"/>
  <c r="I482" i="6" l="1"/>
  <c r="E482" i="6"/>
  <c r="D482" i="6" s="1"/>
  <c r="F482" i="6" s="1"/>
  <c r="G482" i="6" s="1"/>
  <c r="U173" i="5"/>
  <c r="S173" i="5"/>
  <c r="T208" i="4"/>
  <c r="R209" i="4" s="1"/>
  <c r="T173" i="5" l="1"/>
  <c r="R174" i="5" s="1"/>
  <c r="U174" i="5" s="1"/>
  <c r="C483" i="6"/>
  <c r="H482" i="6"/>
  <c r="S209" i="4"/>
  <c r="U209" i="4"/>
  <c r="S174" i="5" l="1"/>
  <c r="T174" i="5" s="1"/>
  <c r="R175" i="5" s="1"/>
  <c r="S175" i="5" s="1"/>
  <c r="E483" i="6"/>
  <c r="D483" i="6" s="1"/>
  <c r="F483" i="6" s="1"/>
  <c r="G483" i="6" s="1"/>
  <c r="I483" i="6"/>
  <c r="T209" i="4"/>
  <c r="R210" i="4" s="1"/>
  <c r="U210" i="4" s="1"/>
  <c r="C484" i="6" l="1"/>
  <c r="H483" i="6"/>
  <c r="U175" i="5"/>
  <c r="T175" i="5" s="1"/>
  <c r="R176" i="5" s="1"/>
  <c r="S210" i="4"/>
  <c r="T210" i="4" s="1"/>
  <c r="R211" i="4" s="1"/>
  <c r="U211" i="4" s="1"/>
  <c r="I484" i="6" l="1"/>
  <c r="E484" i="6"/>
  <c r="D484" i="6" s="1"/>
  <c r="F484" i="6" s="1"/>
  <c r="G484" i="6" s="1"/>
  <c r="S176" i="5"/>
  <c r="U176" i="5"/>
  <c r="S211" i="4"/>
  <c r="T211" i="4" s="1"/>
  <c r="R212" i="4" s="1"/>
  <c r="T176" i="5" l="1"/>
  <c r="R177" i="5" s="1"/>
  <c r="U177" i="5" s="1"/>
  <c r="H484" i="6"/>
  <c r="C485" i="6"/>
  <c r="S212" i="4"/>
  <c r="U212" i="4"/>
  <c r="S177" i="5" l="1"/>
  <c r="T177" i="5" s="1"/>
  <c r="R178" i="5" s="1"/>
  <c r="U178" i="5" s="1"/>
  <c r="I485" i="6"/>
  <c r="E485" i="6"/>
  <c r="D485" i="6" s="1"/>
  <c r="F485" i="6" s="1"/>
  <c r="G485" i="6" s="1"/>
  <c r="T212" i="4"/>
  <c r="R213" i="4" s="1"/>
  <c r="C486" i="6" l="1"/>
  <c r="H485" i="6"/>
  <c r="S178" i="5"/>
  <c r="T178" i="5" s="1"/>
  <c r="R179" i="5" s="1"/>
  <c r="U213" i="4"/>
  <c r="S213" i="4"/>
  <c r="T213" i="4" l="1"/>
  <c r="R214" i="4" s="1"/>
  <c r="U214" i="4" s="1"/>
  <c r="E486" i="6"/>
  <c r="D486" i="6" s="1"/>
  <c r="F486" i="6" s="1"/>
  <c r="G486" i="6" s="1"/>
  <c r="I486" i="6"/>
  <c r="S179" i="5"/>
  <c r="U179" i="5"/>
  <c r="S214" i="4" l="1"/>
  <c r="T214" i="4" s="1"/>
  <c r="R215" i="4" s="1"/>
  <c r="U215" i="4" s="1"/>
  <c r="T179" i="5"/>
  <c r="R180" i="5" s="1"/>
  <c r="U180" i="5" s="1"/>
  <c r="H486" i="6"/>
  <c r="C487" i="6"/>
  <c r="S180" i="5" l="1"/>
  <c r="T180" i="5" s="1"/>
  <c r="R181" i="5" s="1"/>
  <c r="S215" i="4"/>
  <c r="T215" i="4" s="1"/>
  <c r="R216" i="4" s="1"/>
  <c r="I487" i="6"/>
  <c r="E487" i="6"/>
  <c r="D487" i="6" s="1"/>
  <c r="F487" i="6" s="1"/>
  <c r="G487" i="6" s="1"/>
  <c r="S216" i="4" l="1"/>
  <c r="U216" i="4"/>
  <c r="U181" i="5"/>
  <c r="S181" i="5"/>
  <c r="H487" i="6"/>
  <c r="C488" i="6"/>
  <c r="T181" i="5" l="1"/>
  <c r="R182" i="5" s="1"/>
  <c r="S182" i="5" s="1"/>
  <c r="T216" i="4"/>
  <c r="R217" i="4" s="1"/>
  <c r="U217" i="4" s="1"/>
  <c r="I488" i="6"/>
  <c r="E488" i="6"/>
  <c r="D488" i="6" s="1"/>
  <c r="F488" i="6" s="1"/>
  <c r="G488" i="6" s="1"/>
  <c r="U182" i="5" l="1"/>
  <c r="T182" i="5" s="1"/>
  <c r="R183" i="5" s="1"/>
  <c r="S183" i="5" s="1"/>
  <c r="S217" i="4"/>
  <c r="T217" i="4" s="1"/>
  <c r="R218" i="4" s="1"/>
  <c r="U218" i="4" s="1"/>
  <c r="C489" i="6"/>
  <c r="H488" i="6"/>
  <c r="U183" i="5" l="1"/>
  <c r="T183" i="5" s="1"/>
  <c r="R184" i="5" s="1"/>
  <c r="U184" i="5" s="1"/>
  <c r="S218" i="4"/>
  <c r="T218" i="4" s="1"/>
  <c r="R219" i="4" s="1"/>
  <c r="E489" i="6"/>
  <c r="D489" i="6" s="1"/>
  <c r="F489" i="6" s="1"/>
  <c r="G489" i="6" s="1"/>
  <c r="I489" i="6"/>
  <c r="S184" i="5" l="1"/>
  <c r="T184" i="5" s="1"/>
  <c r="R185" i="5" s="1"/>
  <c r="U219" i="4"/>
  <c r="S219" i="4"/>
  <c r="C490" i="6"/>
  <c r="H489" i="6"/>
  <c r="S185" i="5" l="1"/>
  <c r="U185" i="5"/>
  <c r="T219" i="4"/>
  <c r="R220" i="4" s="1"/>
  <c r="U220" i="4" s="1"/>
  <c r="I490" i="6"/>
  <c r="E490" i="6"/>
  <c r="D490" i="6" s="1"/>
  <c r="F490" i="6" s="1"/>
  <c r="G490" i="6" s="1"/>
  <c r="T185" i="5" l="1"/>
  <c r="R186" i="5" s="1"/>
  <c r="S186" i="5" s="1"/>
  <c r="S220" i="4"/>
  <c r="T220" i="4" s="1"/>
  <c r="R221" i="4" s="1"/>
  <c r="U221" i="4" s="1"/>
  <c r="H490" i="6"/>
  <c r="C491" i="6"/>
  <c r="U186" i="5" l="1"/>
  <c r="T186" i="5" s="1"/>
  <c r="R187" i="5" s="1"/>
  <c r="U187" i="5" s="1"/>
  <c r="S221" i="4"/>
  <c r="T221" i="4" s="1"/>
  <c r="R222" i="4" s="1"/>
  <c r="U222" i="4" s="1"/>
  <c r="I491" i="6"/>
  <c r="E491" i="6"/>
  <c r="D491" i="6" s="1"/>
  <c r="F491" i="6" s="1"/>
  <c r="G491" i="6" s="1"/>
  <c r="S187" i="5" l="1"/>
  <c r="T187" i="5" s="1"/>
  <c r="R188" i="5" s="1"/>
  <c r="S188" i="5" s="1"/>
  <c r="C492" i="6"/>
  <c r="H491" i="6"/>
  <c r="S222" i="4"/>
  <c r="T222" i="4" s="1"/>
  <c r="R223" i="4" s="1"/>
  <c r="U188" i="5" l="1"/>
  <c r="T188" i="5" s="1"/>
  <c r="R189" i="5" s="1"/>
  <c r="E492" i="6"/>
  <c r="D492" i="6" s="1"/>
  <c r="F492" i="6" s="1"/>
  <c r="G492" i="6" s="1"/>
  <c r="I492" i="6"/>
  <c r="S223" i="4"/>
  <c r="U223" i="4"/>
  <c r="C493" i="6" l="1"/>
  <c r="H492" i="6"/>
  <c r="U189" i="5"/>
  <c r="S189" i="5"/>
  <c r="T223" i="4"/>
  <c r="R224" i="4" s="1"/>
  <c r="U224" i="4" s="1"/>
  <c r="T189" i="5" l="1"/>
  <c r="R190" i="5" s="1"/>
  <c r="I493" i="6"/>
  <c r="E493" i="6"/>
  <c r="D493" i="6" s="1"/>
  <c r="F493" i="6" s="1"/>
  <c r="G493" i="6" s="1"/>
  <c r="H493" i="6" s="1"/>
  <c r="E9" i="6" a="1"/>
  <c r="E9" i="6" s="1"/>
  <c r="S224" i="4"/>
  <c r="T224" i="4" s="1"/>
  <c r="R225" i="4" s="1"/>
  <c r="U190" i="5" l="1"/>
  <c r="S190" i="5"/>
  <c r="S225" i="4"/>
  <c r="U225" i="4"/>
  <c r="T225" i="4" l="1"/>
  <c r="R226" i="4" s="1"/>
  <c r="U226" i="4" s="1"/>
  <c r="T190" i="5"/>
  <c r="R191" i="5" s="1"/>
  <c r="S191" i="5" s="1"/>
  <c r="S226" i="4" l="1"/>
  <c r="T226" i="4" s="1"/>
  <c r="R227" i="4" s="1"/>
  <c r="U227" i="4" s="1"/>
  <c r="U191" i="5"/>
  <c r="T191" i="5" s="1"/>
  <c r="R192" i="5" s="1"/>
  <c r="S227" i="4" l="1"/>
  <c r="T227" i="4" s="1"/>
  <c r="R228" i="4" s="1"/>
  <c r="S228" i="4" s="1"/>
  <c r="U192" i="5"/>
  <c r="S192" i="5"/>
  <c r="U228" i="4" l="1"/>
  <c r="T228" i="4" s="1"/>
  <c r="R229" i="4" s="1"/>
  <c r="T192" i="5"/>
  <c r="R193" i="5" s="1"/>
  <c r="U193" i="5" l="1"/>
  <c r="S193" i="5"/>
  <c r="U229" i="4"/>
  <c r="S229" i="4"/>
  <c r="T193" i="5" l="1"/>
  <c r="R194" i="5" s="1"/>
  <c r="U194" i="5" s="1"/>
  <c r="T229" i="4"/>
  <c r="R230" i="4" s="1"/>
  <c r="S230" i="4" s="1"/>
  <c r="S194" i="5" l="1"/>
  <c r="T194" i="5" s="1"/>
  <c r="R195" i="5" s="1"/>
  <c r="U195" i="5" s="1"/>
  <c r="U230" i="4"/>
  <c r="T230" i="4" s="1"/>
  <c r="R231" i="4" s="1"/>
  <c r="U231" i="4" s="1"/>
  <c r="S195" i="5" l="1"/>
  <c r="T195" i="5" s="1"/>
  <c r="R196" i="5" s="1"/>
  <c r="U196" i="5" s="1"/>
  <c r="S231" i="4"/>
  <c r="T231" i="4" s="1"/>
  <c r="R232" i="4" s="1"/>
  <c r="S232" i="4" s="1"/>
  <c r="S196" i="5" l="1"/>
  <c r="T196" i="5" s="1"/>
  <c r="R197" i="5" s="1"/>
  <c r="U232" i="4"/>
  <c r="T232" i="4" s="1"/>
  <c r="R233" i="4" s="1"/>
  <c r="S197" i="5" l="1"/>
  <c r="U197" i="5"/>
  <c r="S233" i="4"/>
  <c r="U233" i="4"/>
  <c r="T233" i="4" l="1"/>
  <c r="R234" i="4" s="1"/>
  <c r="U234" i="4" s="1"/>
  <c r="T197" i="5"/>
  <c r="R198" i="5" s="1"/>
  <c r="S234" i="4" l="1"/>
  <c r="T234" i="4" s="1"/>
  <c r="R235" i="4" s="1"/>
  <c r="S235" i="4" s="1"/>
  <c r="U198" i="5"/>
  <c r="S198" i="5"/>
  <c r="U235" i="4" l="1"/>
  <c r="T235" i="4" s="1"/>
  <c r="R236" i="4" s="1"/>
  <c r="T198" i="5"/>
  <c r="R199" i="5" s="1"/>
  <c r="S199" i="5" s="1"/>
  <c r="U199" i="5" l="1"/>
  <c r="T199" i="5" s="1"/>
  <c r="R200" i="5" s="1"/>
  <c r="U236" i="4"/>
  <c r="S236" i="4"/>
  <c r="T236" i="4" l="1"/>
  <c r="R237" i="4" s="1"/>
  <c r="U237" i="4" s="1"/>
  <c r="S200" i="5"/>
  <c r="U200" i="5"/>
  <c r="S237" i="4" l="1"/>
  <c r="T237" i="4" s="1"/>
  <c r="R238" i="4" s="1"/>
  <c r="S238" i="4" s="1"/>
  <c r="T200" i="5"/>
  <c r="R201" i="5" s="1"/>
  <c r="U201" i="5" s="1"/>
  <c r="U238" i="4" l="1"/>
  <c r="T238" i="4" s="1"/>
  <c r="R239" i="4" s="1"/>
  <c r="S201" i="5"/>
  <c r="T201" i="5" s="1"/>
  <c r="R202" i="5" s="1"/>
  <c r="U202" i="5" s="1"/>
  <c r="S202" i="5" l="1"/>
  <c r="T202" i="5" s="1"/>
  <c r="R203" i="5" s="1"/>
  <c r="U239" i="4"/>
  <c r="S239" i="4"/>
  <c r="T239" i="4" l="1"/>
  <c r="R240" i="4" s="1"/>
  <c r="S203" i="5"/>
  <c r="U203" i="5"/>
  <c r="T203" i="5" l="1"/>
  <c r="R204" i="5" s="1"/>
  <c r="S240" i="4"/>
  <c r="U240" i="4"/>
  <c r="T240" i="4" l="1"/>
  <c r="R241" i="4" s="1"/>
  <c r="U241" i="4" s="1"/>
  <c r="U204" i="5"/>
  <c r="S204" i="5"/>
  <c r="T204" i="5" l="1"/>
  <c r="R205" i="5" s="1"/>
  <c r="S241" i="4"/>
  <c r="T241" i="4" s="1"/>
  <c r="R242" i="4" s="1"/>
  <c r="S205" i="5" l="1"/>
  <c r="U205" i="5"/>
  <c r="U242" i="4"/>
  <c r="S242" i="4"/>
  <c r="T205" i="5" l="1"/>
  <c r="R206" i="5" s="1"/>
  <c r="S206" i="5" s="1"/>
  <c r="T242" i="4"/>
  <c r="R243" i="4" s="1"/>
  <c r="U243" i="4" s="1"/>
  <c r="U206" i="5" l="1"/>
  <c r="T206" i="5" s="1"/>
  <c r="R207" i="5" s="1"/>
  <c r="S243" i="4"/>
  <c r="T243" i="4" s="1"/>
  <c r="R244" i="4" s="1"/>
  <c r="U244" i="4" s="1"/>
  <c r="S244" i="4" l="1"/>
  <c r="T244" i="4" s="1"/>
  <c r="R245" i="4" s="1"/>
  <c r="S245" i="4" s="1"/>
  <c r="U207" i="5"/>
  <c r="S207" i="5"/>
  <c r="T207" i="5" l="1"/>
  <c r="R208" i="5" s="1"/>
  <c r="S208" i="5" s="1"/>
  <c r="U245" i="4"/>
  <c r="T245" i="4" s="1"/>
  <c r="R246" i="4" s="1"/>
  <c r="U208" i="5" l="1"/>
  <c r="T208" i="5" s="1"/>
  <c r="R209" i="5" s="1"/>
  <c r="U246" i="4"/>
  <c r="S246" i="4"/>
  <c r="T246" i="4" l="1"/>
  <c r="R247" i="4" s="1"/>
  <c r="U247" i="4" s="1"/>
  <c r="U209" i="5"/>
  <c r="S209" i="5"/>
  <c r="S247" i="4" l="1"/>
  <c r="T247" i="4" s="1"/>
  <c r="R248" i="4" s="1"/>
  <c r="T209" i="5"/>
  <c r="R210" i="5" s="1"/>
  <c r="U210" i="5" s="1"/>
  <c r="S210" i="5" l="1"/>
  <c r="T210" i="5" s="1"/>
  <c r="R211" i="5" s="1"/>
  <c r="U248" i="4"/>
  <c r="S248" i="4"/>
  <c r="U211" i="5" l="1"/>
  <c r="S211" i="5"/>
  <c r="T248" i="4"/>
  <c r="R249" i="4" s="1"/>
  <c r="S249" i="4" s="1"/>
  <c r="T211" i="5" l="1"/>
  <c r="R212" i="5" s="1"/>
  <c r="U212" i="5" s="1"/>
  <c r="U249" i="4"/>
  <c r="T249" i="4" s="1"/>
  <c r="R250" i="4" s="1"/>
  <c r="S212" i="5" l="1"/>
  <c r="T212" i="5" s="1"/>
  <c r="R213" i="5" s="1"/>
  <c r="S250" i="4"/>
  <c r="U250" i="4"/>
  <c r="S213" i="5" l="1"/>
  <c r="U213" i="5"/>
  <c r="T250" i="4"/>
  <c r="R251" i="4" s="1"/>
  <c r="T213" i="5" l="1"/>
  <c r="R214" i="5" s="1"/>
  <c r="S214" i="5" s="1"/>
  <c r="S251" i="4"/>
  <c r="U251" i="4"/>
  <c r="U214" i="5" l="1"/>
  <c r="T214" i="5" s="1"/>
  <c r="R215" i="5" s="1"/>
  <c r="T251" i="4"/>
  <c r="R252" i="4" s="1"/>
  <c r="S215" i="5" l="1"/>
  <c r="U215" i="5"/>
  <c r="S252" i="4"/>
  <c r="U252" i="4"/>
  <c r="T215" i="5" l="1"/>
  <c r="R216" i="5" s="1"/>
  <c r="U216" i="5" s="1"/>
  <c r="T252" i="4"/>
  <c r="R253" i="4" s="1"/>
  <c r="U253" i="4" s="1"/>
  <c r="S216" i="5" l="1"/>
  <c r="T216" i="5" s="1"/>
  <c r="R217" i="5" s="1"/>
  <c r="U217" i="5" s="1"/>
  <c r="S253" i="4"/>
  <c r="T253" i="4" s="1"/>
  <c r="R254" i="4" s="1"/>
  <c r="S217" i="5" l="1"/>
  <c r="T217" i="5" s="1"/>
  <c r="R218" i="5" s="1"/>
  <c r="U218" i="5" s="1"/>
  <c r="U254" i="4"/>
  <c r="S254" i="4"/>
  <c r="T254" i="4" l="1"/>
  <c r="R255" i="4" s="1"/>
  <c r="U255" i="4" s="1"/>
  <c r="S218" i="5"/>
  <c r="T218" i="5" s="1"/>
  <c r="R219" i="5" s="1"/>
  <c r="S255" i="4" l="1"/>
  <c r="T255" i="4" s="1"/>
  <c r="R256" i="4" s="1"/>
  <c r="S219" i="5"/>
  <c r="U219" i="5"/>
  <c r="T219" i="5" l="1"/>
  <c r="R220" i="5" s="1"/>
  <c r="S220" i="5" s="1"/>
  <c r="U256" i="4"/>
  <c r="S256" i="4"/>
  <c r="U220" i="5" l="1"/>
  <c r="T220" i="5" s="1"/>
  <c r="R221" i="5" s="1"/>
  <c r="U221" i="5" s="1"/>
  <c r="T256" i="4"/>
  <c r="R257" i="4" s="1"/>
  <c r="U257" i="4" s="1"/>
  <c r="S221" i="5" l="1"/>
  <c r="T221" i="5" s="1"/>
  <c r="R222" i="5" s="1"/>
  <c r="U222" i="5" s="1"/>
  <c r="S257" i="4"/>
  <c r="T257" i="4" s="1"/>
  <c r="R258" i="4" s="1"/>
  <c r="U258" i="4" s="1"/>
  <c r="S222" i="5" l="1"/>
  <c r="T222" i="5" s="1"/>
  <c r="R223" i="5" s="1"/>
  <c r="U223" i="5" s="1"/>
  <c r="S258" i="4"/>
  <c r="T258" i="4" s="1"/>
  <c r="R259" i="4" s="1"/>
  <c r="U259" i="4" s="1"/>
  <c r="S223" i="5" l="1"/>
  <c r="T223" i="5" s="1"/>
  <c r="R224" i="5" s="1"/>
  <c r="S224" i="5" s="1"/>
  <c r="S259" i="4"/>
  <c r="T259" i="4" s="1"/>
  <c r="R260" i="4" s="1"/>
  <c r="U224" i="5" l="1"/>
  <c r="T224" i="5" s="1"/>
  <c r="R225" i="5" s="1"/>
  <c r="U225" i="5" s="1"/>
  <c r="U260" i="4"/>
  <c r="S260" i="4"/>
  <c r="S225" i="5" l="1"/>
  <c r="T225" i="5" s="1"/>
  <c r="R226" i="5" s="1"/>
  <c r="S226" i="5" s="1"/>
  <c r="T260" i="4"/>
  <c r="R261" i="4" s="1"/>
  <c r="S261" i="4" s="1"/>
  <c r="U226" i="5" l="1"/>
  <c r="T226" i="5" s="1"/>
  <c r="R227" i="5" s="1"/>
  <c r="U227" i="5" s="1"/>
  <c r="U261" i="4"/>
  <c r="T261" i="4" s="1"/>
  <c r="R262" i="4" s="1"/>
  <c r="U262" i="4" s="1"/>
  <c r="S262" i="4" l="1"/>
  <c r="T262" i="4" s="1"/>
  <c r="R263" i="4" s="1"/>
  <c r="S227" i="5"/>
  <c r="T227" i="5" s="1"/>
  <c r="R228" i="5" s="1"/>
  <c r="U228" i="5" l="1"/>
  <c r="S228" i="5"/>
  <c r="S263" i="4"/>
  <c r="U263" i="4"/>
  <c r="T263" i="4" l="1"/>
  <c r="R264" i="4" s="1"/>
  <c r="S264" i="4" s="1"/>
  <c r="T228" i="5"/>
  <c r="R229" i="5" s="1"/>
  <c r="S229" i="5" s="1"/>
  <c r="U229" i="5" l="1"/>
  <c r="T229" i="5" s="1"/>
  <c r="R230" i="5" s="1"/>
  <c r="U264" i="4"/>
  <c r="T264" i="4" s="1"/>
  <c r="R265" i="4" s="1"/>
  <c r="S265" i="4" l="1"/>
  <c r="U265" i="4"/>
  <c r="S230" i="5"/>
  <c r="U230" i="5"/>
  <c r="T230" i="5" l="1"/>
  <c r="R231" i="5" s="1"/>
  <c r="T265" i="4"/>
  <c r="R266" i="4" s="1"/>
  <c r="S266" i="4" s="1"/>
  <c r="U266" i="4" l="1"/>
  <c r="T266" i="4" s="1"/>
  <c r="R267" i="4" s="1"/>
  <c r="S231" i="5"/>
  <c r="U231" i="5"/>
  <c r="U267" i="4" l="1"/>
  <c r="S267" i="4"/>
  <c r="T231" i="5"/>
  <c r="R232" i="5" s="1"/>
  <c r="T267" i="4" l="1"/>
  <c r="R268" i="4" s="1"/>
  <c r="S232" i="5"/>
  <c r="U232" i="5"/>
  <c r="S268" i="4" l="1"/>
  <c r="U268" i="4"/>
  <c r="T232" i="5"/>
  <c r="R233" i="5" s="1"/>
  <c r="T268" i="4" l="1"/>
  <c r="R269" i="4" s="1"/>
  <c r="S269" i="4" s="1"/>
  <c r="S233" i="5"/>
  <c r="U233" i="5"/>
  <c r="U269" i="4" l="1"/>
  <c r="T269" i="4" s="1"/>
  <c r="R270" i="4" s="1"/>
  <c r="T233" i="5"/>
  <c r="R234" i="5" s="1"/>
  <c r="U270" i="4" l="1"/>
  <c r="S270" i="4"/>
  <c r="U234" i="5"/>
  <c r="S234" i="5"/>
  <c r="T270" i="4" l="1"/>
  <c r="R271" i="4" s="1"/>
  <c r="U271" i="4" s="1"/>
  <c r="T234" i="5"/>
  <c r="R235" i="5" s="1"/>
  <c r="S271" i="4" l="1"/>
  <c r="T271" i="4" s="1"/>
  <c r="R272" i="4" s="1"/>
  <c r="U235" i="5"/>
  <c r="S235" i="5"/>
  <c r="T235" i="5" l="1"/>
  <c r="R236" i="5" s="1"/>
  <c r="S236" i="5" s="1"/>
  <c r="U272" i="4"/>
  <c r="S272" i="4"/>
  <c r="U236" i="5"/>
  <c r="T272" i="4" l="1"/>
  <c r="R273" i="4" s="1"/>
  <c r="U273" i="4" s="1"/>
  <c r="T236" i="5"/>
  <c r="R237" i="5" s="1"/>
  <c r="U237" i="5" s="1"/>
  <c r="S273" i="4" l="1"/>
  <c r="T273" i="4" s="1"/>
  <c r="R274" i="4" s="1"/>
  <c r="U274" i="4" s="1"/>
  <c r="S237" i="5"/>
  <c r="T237" i="5" s="1"/>
  <c r="R238" i="5" s="1"/>
  <c r="U238" i="5" s="1"/>
  <c r="S274" i="4" l="1"/>
  <c r="T274" i="4" s="1"/>
  <c r="R275" i="4" s="1"/>
  <c r="S275" i="4" s="1"/>
  <c r="S238" i="5"/>
  <c r="T238" i="5" s="1"/>
  <c r="R239" i="5" s="1"/>
  <c r="U275" i="4" l="1"/>
  <c r="T275" i="4" s="1"/>
  <c r="R276" i="4" s="1"/>
  <c r="U276" i="4" s="1"/>
  <c r="S239" i="5"/>
  <c r="U239" i="5"/>
  <c r="S276" i="4" l="1"/>
  <c r="T276" i="4" s="1"/>
  <c r="R277" i="4" s="1"/>
  <c r="T239" i="5"/>
  <c r="R240" i="5" s="1"/>
  <c r="U277" i="4" l="1"/>
  <c r="S277" i="4"/>
  <c r="U240" i="5"/>
  <c r="S240" i="5"/>
  <c r="T240" i="5" l="1"/>
  <c r="R241" i="5" s="1"/>
  <c r="U241" i="5" s="1"/>
  <c r="T277" i="4"/>
  <c r="R278" i="4" s="1"/>
  <c r="S278" i="4" s="1"/>
  <c r="S241" i="5" l="1"/>
  <c r="T241" i="5" s="1"/>
  <c r="R242" i="5" s="1"/>
  <c r="U242" i="5" s="1"/>
  <c r="U278" i="4"/>
  <c r="T278" i="4" s="1"/>
  <c r="R279" i="4" s="1"/>
  <c r="S242" i="5" l="1"/>
  <c r="T242" i="5" s="1"/>
  <c r="R243" i="5" s="1"/>
  <c r="U279" i="4"/>
  <c r="S279" i="4"/>
  <c r="T279" i="4" l="1"/>
  <c r="R280" i="4" s="1"/>
  <c r="S243" i="5"/>
  <c r="U243" i="5"/>
  <c r="T243" i="5" l="1"/>
  <c r="R244" i="5" s="1"/>
  <c r="U244" i="5" s="1"/>
  <c r="S280" i="4"/>
  <c r="U280" i="4"/>
  <c r="S244" i="5" l="1"/>
  <c r="T244" i="5" s="1"/>
  <c r="R245" i="5" s="1"/>
  <c r="S245" i="5" s="1"/>
  <c r="T280" i="4"/>
  <c r="R281" i="4" s="1"/>
  <c r="U281" i="4" s="1"/>
  <c r="S281" i="4" l="1"/>
  <c r="T281" i="4" s="1"/>
  <c r="R282" i="4" s="1"/>
  <c r="S282" i="4" s="1"/>
  <c r="U245" i="5"/>
  <c r="T245" i="5" s="1"/>
  <c r="R246" i="5" s="1"/>
  <c r="U246" i="5" s="1"/>
  <c r="U282" i="4" l="1"/>
  <c r="T282" i="4" s="1"/>
  <c r="R283" i="4" s="1"/>
  <c r="U283" i="4" s="1"/>
  <c r="S246" i="5"/>
  <c r="T246" i="5" s="1"/>
  <c r="R247" i="5" s="1"/>
  <c r="S247" i="5" s="1"/>
  <c r="S283" i="4" l="1"/>
  <c r="T283" i="4" s="1"/>
  <c r="R284" i="4" s="1"/>
  <c r="U284" i="4" s="1"/>
  <c r="U247" i="5"/>
  <c r="T247" i="5" s="1"/>
  <c r="R248" i="5" s="1"/>
  <c r="S248" i="5" s="1"/>
  <c r="U248" i="5" l="1"/>
  <c r="T248" i="5" s="1"/>
  <c r="R249" i="5" s="1"/>
  <c r="S249" i="5" s="1"/>
  <c r="S284" i="4"/>
  <c r="T284" i="4" s="1"/>
  <c r="R285" i="4" s="1"/>
  <c r="U249" i="5" l="1"/>
  <c r="T249" i="5" s="1"/>
  <c r="R250" i="5" s="1"/>
  <c r="U285" i="4"/>
  <c r="S285" i="4"/>
  <c r="T285" i="4" l="1"/>
  <c r="R286" i="4" s="1"/>
  <c r="S286" i="4" s="1"/>
  <c r="S250" i="5"/>
  <c r="U250" i="5"/>
  <c r="U286" i="4" l="1"/>
  <c r="T286" i="4" s="1"/>
  <c r="R287" i="4" s="1"/>
  <c r="T250" i="5"/>
  <c r="R251" i="5" s="1"/>
  <c r="U251" i="5" s="1"/>
  <c r="S251" i="5" l="1"/>
  <c r="T251" i="5" s="1"/>
  <c r="R252" i="5" s="1"/>
  <c r="U252" i="5" s="1"/>
  <c r="S287" i="4"/>
  <c r="U287" i="4"/>
  <c r="S252" i="5" l="1"/>
  <c r="T252" i="5" s="1"/>
  <c r="R253" i="5" s="1"/>
  <c r="S253" i="5" s="1"/>
  <c r="T287" i="4"/>
  <c r="R288" i="4" s="1"/>
  <c r="U288" i="4" s="1"/>
  <c r="S288" i="4" l="1"/>
  <c r="T288" i="4" s="1"/>
  <c r="R289" i="4" s="1"/>
  <c r="U253" i="5"/>
  <c r="T253" i="5" s="1"/>
  <c r="R254" i="5" s="1"/>
  <c r="U254" i="5" l="1"/>
  <c r="S254" i="5"/>
  <c r="U289" i="4"/>
  <c r="S289" i="4"/>
  <c r="T254" i="5" l="1"/>
  <c r="R255" i="5" s="1"/>
  <c r="S255" i="5" s="1"/>
  <c r="T289" i="4"/>
  <c r="R290" i="4" s="1"/>
  <c r="U290" i="4" s="1"/>
  <c r="U255" i="5" l="1"/>
  <c r="T255" i="5" s="1"/>
  <c r="S290" i="4"/>
  <c r="T290" i="4" s="1"/>
  <c r="R291" i="4" s="1"/>
  <c r="R256" i="5" l="1"/>
  <c r="U256" i="5" s="1"/>
  <c r="S291" i="4"/>
  <c r="U291" i="4"/>
  <c r="S256" i="5" l="1"/>
  <c r="T256" i="5" s="1"/>
  <c r="R257" i="5" s="1"/>
  <c r="S257" i="5" s="1"/>
  <c r="T291" i="4"/>
  <c r="R292" i="4" s="1"/>
  <c r="U292" i="4" s="1"/>
  <c r="U257" i="5" l="1"/>
  <c r="T257" i="5" s="1"/>
  <c r="R258" i="5" s="1"/>
  <c r="S258" i="5" s="1"/>
  <c r="S292" i="4"/>
  <c r="T292" i="4" s="1"/>
  <c r="R293" i="4" s="1"/>
  <c r="U258" i="5" l="1"/>
  <c r="T258" i="5" s="1"/>
  <c r="R259" i="5" s="1"/>
  <c r="U259" i="5" s="1"/>
  <c r="S293" i="4"/>
  <c r="U293" i="4"/>
  <c r="T293" i="4" l="1"/>
  <c r="R294" i="4" s="1"/>
  <c r="S294" i="4" s="1"/>
  <c r="S259" i="5"/>
  <c r="T259" i="5" s="1"/>
  <c r="R260" i="5" s="1"/>
  <c r="S260" i="5" s="1"/>
  <c r="U294" i="4" l="1"/>
  <c r="T294" i="4" s="1"/>
  <c r="R295" i="4" s="1"/>
  <c r="S295" i="4" s="1"/>
  <c r="U260" i="5"/>
  <c r="T260" i="5" s="1"/>
  <c r="R261" i="5" s="1"/>
  <c r="U295" i="4" l="1"/>
  <c r="T295" i="4" s="1"/>
  <c r="R296" i="4" s="1"/>
  <c r="U261" i="5"/>
  <c r="S261" i="5"/>
  <c r="T261" i="5" l="1"/>
  <c r="R262" i="5" s="1"/>
  <c r="S262" i="5" s="1"/>
  <c r="U296" i="4"/>
  <c r="S296" i="4"/>
  <c r="U262" i="5" l="1"/>
  <c r="T262" i="5" s="1"/>
  <c r="T296" i="4"/>
  <c r="R297" i="4" s="1"/>
  <c r="U297" i="4" s="1"/>
  <c r="R263" i="5" l="1"/>
  <c r="U263" i="5" s="1"/>
  <c r="S297" i="4"/>
  <c r="T297" i="4" s="1"/>
  <c r="R298" i="4" s="1"/>
  <c r="S263" i="5" l="1"/>
  <c r="T263" i="5" s="1"/>
  <c r="R264" i="5" s="1"/>
  <c r="S264" i="5" s="1"/>
  <c r="S298" i="4"/>
  <c r="U298" i="4"/>
  <c r="U264" i="5" l="1"/>
  <c r="T264" i="5" s="1"/>
  <c r="R265" i="5" s="1"/>
  <c r="T298" i="4"/>
  <c r="R299" i="4" s="1"/>
  <c r="U265" i="5" l="1"/>
  <c r="S265" i="5"/>
  <c r="U299" i="4"/>
  <c r="S299" i="4"/>
  <c r="T265" i="5" l="1"/>
  <c r="R266" i="5" s="1"/>
  <c r="S266" i="5" s="1"/>
  <c r="T299" i="4"/>
  <c r="R300" i="4" s="1"/>
  <c r="S300" i="4" s="1"/>
  <c r="U266" i="5" l="1"/>
  <c r="T266" i="5" s="1"/>
  <c r="R267" i="5" s="1"/>
  <c r="U267" i="5" s="1"/>
  <c r="U300" i="4"/>
  <c r="T300" i="4" s="1"/>
  <c r="R301" i="4" s="1"/>
  <c r="S267" i="5" l="1"/>
  <c r="T267" i="5" s="1"/>
  <c r="R268" i="5" s="1"/>
  <c r="U268" i="5" s="1"/>
  <c r="S301" i="4"/>
  <c r="U301" i="4"/>
  <c r="S268" i="5" l="1"/>
  <c r="T268" i="5" s="1"/>
  <c r="R269" i="5" s="1"/>
  <c r="S269" i="5" s="1"/>
  <c r="T301" i="4"/>
  <c r="R302" i="4" s="1"/>
  <c r="U269" i="5" l="1"/>
  <c r="T269" i="5" s="1"/>
  <c r="R270" i="5" s="1"/>
  <c r="S270" i="5" s="1"/>
  <c r="S302" i="4"/>
  <c r="U302" i="4"/>
  <c r="U270" i="5" l="1"/>
  <c r="T270" i="5" s="1"/>
  <c r="R271" i="5" s="1"/>
  <c r="S271" i="5" s="1"/>
  <c r="T302" i="4"/>
  <c r="R303" i="4" s="1"/>
  <c r="S303" i="4" s="1"/>
  <c r="U271" i="5" l="1"/>
  <c r="T271" i="5" s="1"/>
  <c r="R272" i="5" s="1"/>
  <c r="U272" i="5" s="1"/>
  <c r="U303" i="4"/>
  <c r="T303" i="4" s="1"/>
  <c r="R304" i="4" s="1"/>
  <c r="S304" i="4" s="1"/>
  <c r="S272" i="5" l="1"/>
  <c r="T272" i="5" s="1"/>
  <c r="R273" i="5" s="1"/>
  <c r="U273" i="5" s="1"/>
  <c r="U304" i="4"/>
  <c r="T304" i="4" s="1"/>
  <c r="R305" i="4" s="1"/>
  <c r="S273" i="5" l="1"/>
  <c r="T273" i="5" s="1"/>
  <c r="R274" i="5" s="1"/>
  <c r="U305" i="4"/>
  <c r="S305" i="4"/>
  <c r="T305" i="4" l="1"/>
  <c r="R306" i="4" s="1"/>
  <c r="U306" i="4" s="1"/>
  <c r="S274" i="5"/>
  <c r="U274" i="5"/>
  <c r="S306" i="4" l="1"/>
  <c r="T306" i="4" s="1"/>
  <c r="R307" i="4" s="1"/>
  <c r="U307" i="4" s="1"/>
  <c r="T274" i="5"/>
  <c r="R275" i="5" s="1"/>
  <c r="S307" i="4" l="1"/>
  <c r="T307" i="4" s="1"/>
  <c r="R308" i="4" s="1"/>
  <c r="U308" i="4" s="1"/>
  <c r="S275" i="5"/>
  <c r="U275" i="5"/>
  <c r="S308" i="4" l="1"/>
  <c r="T308" i="4" s="1"/>
  <c r="R309" i="4" s="1"/>
  <c r="T275" i="5"/>
  <c r="R276" i="5" s="1"/>
  <c r="S276" i="5" s="1"/>
  <c r="U276" i="5" l="1"/>
  <c r="T276" i="5" s="1"/>
  <c r="R277" i="5" s="1"/>
  <c r="U277" i="5" s="1"/>
  <c r="S309" i="4"/>
  <c r="U309" i="4"/>
  <c r="T309" i="4" l="1"/>
  <c r="R310" i="4" s="1"/>
  <c r="U310" i="4" s="1"/>
  <c r="S277" i="5"/>
  <c r="T277" i="5" s="1"/>
  <c r="R278" i="5" s="1"/>
  <c r="S278" i="5" s="1"/>
  <c r="S310" i="4" l="1"/>
  <c r="T310" i="4" s="1"/>
  <c r="R311" i="4" s="1"/>
  <c r="U311" i="4" s="1"/>
  <c r="U278" i="5"/>
  <c r="T278" i="5" s="1"/>
  <c r="R279" i="5" s="1"/>
  <c r="U279" i="5" s="1"/>
  <c r="S311" i="4" l="1"/>
  <c r="T311" i="4" s="1"/>
  <c r="R312" i="4" s="1"/>
  <c r="S279" i="5"/>
  <c r="T279" i="5" s="1"/>
  <c r="R280" i="5" s="1"/>
  <c r="U312" i="4" l="1"/>
  <c r="S312" i="4"/>
  <c r="U280" i="5"/>
  <c r="S280" i="5"/>
  <c r="T312" i="4" l="1"/>
  <c r="R313" i="4" s="1"/>
  <c r="U313" i="4" s="1"/>
  <c r="T280" i="5"/>
  <c r="R281" i="5" s="1"/>
  <c r="U281" i="5" s="1"/>
  <c r="S313" i="4" l="1"/>
  <c r="T313" i="4" s="1"/>
  <c r="R314" i="4" s="1"/>
  <c r="U314" i="4" s="1"/>
  <c r="S281" i="5"/>
  <c r="T281" i="5" s="1"/>
  <c r="R282" i="5" s="1"/>
  <c r="U282" i="5" s="1"/>
  <c r="S314" i="4" l="1"/>
  <c r="T314" i="4" s="1"/>
  <c r="R315" i="4" s="1"/>
  <c r="U315" i="4" s="1"/>
  <c r="S282" i="5"/>
  <c r="T282" i="5" s="1"/>
  <c r="R283" i="5" s="1"/>
  <c r="S283" i="5" s="1"/>
  <c r="S315" i="4" l="1"/>
  <c r="T315" i="4" s="1"/>
  <c r="R316" i="4" s="1"/>
  <c r="U316" i="4" s="1"/>
  <c r="U283" i="5"/>
  <c r="T283" i="5" s="1"/>
  <c r="R284" i="5" s="1"/>
  <c r="S284" i="5" s="1"/>
  <c r="S316" i="4" l="1"/>
  <c r="T316" i="4" s="1"/>
  <c r="R317" i="4" s="1"/>
  <c r="U317" i="4" s="1"/>
  <c r="U284" i="5"/>
  <c r="T284" i="5" s="1"/>
  <c r="R285" i="5" s="1"/>
  <c r="U285" i="5" s="1"/>
  <c r="S317" i="4" l="1"/>
  <c r="T317" i="4" s="1"/>
  <c r="R318" i="4" s="1"/>
  <c r="S285" i="5"/>
  <c r="T285" i="5" s="1"/>
  <c r="R286" i="5" s="1"/>
  <c r="U286" i="5" s="1"/>
  <c r="U318" i="4" l="1"/>
  <c r="S318" i="4"/>
  <c r="S286" i="5"/>
  <c r="T286" i="5" s="1"/>
  <c r="R287" i="5" s="1"/>
  <c r="T318" i="4" l="1"/>
  <c r="R319" i="4" s="1"/>
  <c r="U287" i="5"/>
  <c r="S287" i="5"/>
  <c r="T287" i="5" l="1"/>
  <c r="R288" i="5" s="1"/>
  <c r="U288" i="5" s="1"/>
  <c r="S319" i="4"/>
  <c r="U319" i="4"/>
  <c r="S288" i="5" l="1"/>
  <c r="T288" i="5" s="1"/>
  <c r="R289" i="5" s="1"/>
  <c r="T319" i="4"/>
  <c r="R320" i="4" s="1"/>
  <c r="S320" i="4" s="1"/>
  <c r="U320" i="4" l="1"/>
  <c r="T320" i="4" s="1"/>
  <c r="R321" i="4" s="1"/>
  <c r="S321" i="4" s="1"/>
  <c r="U289" i="5"/>
  <c r="S289" i="5"/>
  <c r="U321" i="4" l="1"/>
  <c r="T321" i="4" s="1"/>
  <c r="R322" i="4" s="1"/>
  <c r="S322" i="4" s="1"/>
  <c r="T289" i="5"/>
  <c r="R290" i="5" s="1"/>
  <c r="S290" i="5" s="1"/>
  <c r="U322" i="4" l="1"/>
  <c r="T322" i="4" s="1"/>
  <c r="R323" i="4" s="1"/>
  <c r="U323" i="4" s="1"/>
  <c r="U290" i="5"/>
  <c r="T290" i="5" s="1"/>
  <c r="R291" i="5" s="1"/>
  <c r="S323" i="4" l="1"/>
  <c r="T323" i="4" s="1"/>
  <c r="R324" i="4" s="1"/>
  <c r="S324" i="4" s="1"/>
  <c r="S291" i="5"/>
  <c r="U291" i="5"/>
  <c r="U324" i="4" l="1"/>
  <c r="T324" i="4" s="1"/>
  <c r="R325" i="4" s="1"/>
  <c r="U325" i="4" s="1"/>
  <c r="T291" i="5"/>
  <c r="R292" i="5" s="1"/>
  <c r="U292" i="5" s="1"/>
  <c r="S325" i="4" l="1"/>
  <c r="T325" i="4" s="1"/>
  <c r="R326" i="4" s="1"/>
  <c r="S326" i="4" s="1"/>
  <c r="S292" i="5"/>
  <c r="T292" i="5" s="1"/>
  <c r="R293" i="5" s="1"/>
  <c r="S293" i="5" s="1"/>
  <c r="U326" i="4" l="1"/>
  <c r="T326" i="4" s="1"/>
  <c r="R327" i="4" s="1"/>
  <c r="U293" i="5"/>
  <c r="T293" i="5" s="1"/>
  <c r="R294" i="5" s="1"/>
  <c r="S294" i="5" s="1"/>
  <c r="S327" i="4" l="1"/>
  <c r="U327" i="4"/>
  <c r="U294" i="5"/>
  <c r="T294" i="5" s="1"/>
  <c r="R295" i="5" s="1"/>
  <c r="S295" i="5" s="1"/>
  <c r="T327" i="4" l="1"/>
  <c r="R328" i="4" s="1"/>
  <c r="U295" i="5"/>
  <c r="T295" i="5" s="1"/>
  <c r="R296" i="5" s="1"/>
  <c r="S296" i="5" s="1"/>
  <c r="S328" i="4" l="1"/>
  <c r="U328" i="4"/>
  <c r="U296" i="5"/>
  <c r="T296" i="5" s="1"/>
  <c r="T328" i="4" l="1"/>
  <c r="R329" i="4" s="1"/>
  <c r="U329" i="4" s="1"/>
  <c r="R297" i="5"/>
  <c r="S329" i="4" l="1"/>
  <c r="T329" i="4" s="1"/>
  <c r="R330" i="4" s="1"/>
  <c r="S297" i="5"/>
  <c r="U297" i="5"/>
  <c r="U330" i="4" l="1"/>
  <c r="S330" i="4"/>
  <c r="T297" i="5"/>
  <c r="R298" i="5" s="1"/>
  <c r="T330" i="4" l="1"/>
  <c r="R331" i="4" s="1"/>
  <c r="S331" i="4" s="1"/>
  <c r="S298" i="5"/>
  <c r="U298" i="5"/>
  <c r="U331" i="4" l="1"/>
  <c r="T331" i="4" s="1"/>
  <c r="R332" i="4" s="1"/>
  <c r="S332" i="4" s="1"/>
  <c r="T298" i="5"/>
  <c r="R299" i="5" s="1"/>
  <c r="U299" i="5" s="1"/>
  <c r="S299" i="5" l="1"/>
  <c r="T299" i="5" s="1"/>
  <c r="R300" i="5" s="1"/>
  <c r="S300" i="5" s="1"/>
  <c r="U332" i="4"/>
  <c r="T332" i="4" s="1"/>
  <c r="R333" i="4" s="1"/>
  <c r="S333" i="4" s="1"/>
  <c r="U333" i="4" l="1"/>
  <c r="T333" i="4" s="1"/>
  <c r="R334" i="4" s="1"/>
  <c r="S334" i="4" s="1"/>
  <c r="U300" i="5"/>
  <c r="T300" i="5" s="1"/>
  <c r="R301" i="5" s="1"/>
  <c r="S301" i="5" s="1"/>
  <c r="U334" i="4" l="1"/>
  <c r="T334" i="4" s="1"/>
  <c r="R335" i="4" s="1"/>
  <c r="S335" i="4" s="1"/>
  <c r="U301" i="5"/>
  <c r="T301" i="5" s="1"/>
  <c r="R302" i="5" s="1"/>
  <c r="U302" i="5" s="1"/>
  <c r="U335" i="4" l="1"/>
  <c r="T335" i="4" s="1"/>
  <c r="R336" i="4" s="1"/>
  <c r="S336" i="4" s="1"/>
  <c r="S302" i="5"/>
  <c r="T302" i="5" s="1"/>
  <c r="R303" i="5" s="1"/>
  <c r="U336" i="4" l="1"/>
  <c r="T336" i="4" s="1"/>
  <c r="R337" i="4" s="1"/>
  <c r="S303" i="5"/>
  <c r="U303" i="5"/>
  <c r="S337" i="4" l="1"/>
  <c r="U337" i="4"/>
  <c r="T303" i="5"/>
  <c r="R304" i="5" s="1"/>
  <c r="T337" i="4" l="1"/>
  <c r="R338" i="4" s="1"/>
  <c r="S338" i="4" s="1"/>
  <c r="S304" i="5"/>
  <c r="U304" i="5"/>
  <c r="U338" i="4" l="1"/>
  <c r="T338" i="4" s="1"/>
  <c r="R339" i="4" s="1"/>
  <c r="S339" i="4" s="1"/>
  <c r="T304" i="5"/>
  <c r="R305" i="5" s="1"/>
  <c r="U305" i="5" s="1"/>
  <c r="U339" i="4" l="1"/>
  <c r="T339" i="4" s="1"/>
  <c r="R340" i="4" s="1"/>
  <c r="S305" i="5"/>
  <c r="T305" i="5" s="1"/>
  <c r="R306" i="5" s="1"/>
  <c r="S306" i="5" s="1"/>
  <c r="U306" i="5" l="1"/>
  <c r="T306" i="5" s="1"/>
  <c r="R307" i="5" s="1"/>
  <c r="S307" i="5" s="1"/>
  <c r="S340" i="4"/>
  <c r="U340" i="4"/>
  <c r="U307" i="5" l="1"/>
  <c r="T307" i="5" s="1"/>
  <c r="R308" i="5" s="1"/>
  <c r="S308" i="5" s="1"/>
  <c r="T340" i="4"/>
  <c r="R341" i="4" s="1"/>
  <c r="U308" i="5" l="1"/>
  <c r="T308" i="5" s="1"/>
  <c r="R309" i="5" s="1"/>
  <c r="U309" i="5" s="1"/>
  <c r="S341" i="4"/>
  <c r="U341" i="4"/>
  <c r="S309" i="5" l="1"/>
  <c r="T309" i="5" s="1"/>
  <c r="R310" i="5" s="1"/>
  <c r="U310" i="5" s="1"/>
  <c r="T341" i="4"/>
  <c r="R342" i="4" s="1"/>
  <c r="U342" i="4" s="1"/>
  <c r="S310" i="5" l="1"/>
  <c r="T310" i="5" s="1"/>
  <c r="R311" i="5" s="1"/>
  <c r="U311" i="5" s="1"/>
  <c r="S342" i="4"/>
  <c r="T342" i="4" s="1"/>
  <c r="R343" i="4" s="1"/>
  <c r="S343" i="4" s="1"/>
  <c r="S311" i="5" l="1"/>
  <c r="T311" i="5" s="1"/>
  <c r="R312" i="5" s="1"/>
  <c r="S312" i="5" s="1"/>
  <c r="U343" i="4"/>
  <c r="T343" i="4" s="1"/>
  <c r="R344" i="4" s="1"/>
  <c r="U312" i="5" l="1"/>
  <c r="T312" i="5" s="1"/>
  <c r="R313" i="5" s="1"/>
  <c r="S313" i="5" s="1"/>
  <c r="U344" i="4"/>
  <c r="S344" i="4"/>
  <c r="T344" i="4" l="1"/>
  <c r="R345" i="4" s="1"/>
  <c r="U313" i="5"/>
  <c r="T313" i="5" s="1"/>
  <c r="R314" i="5" s="1"/>
  <c r="U345" i="4" l="1"/>
  <c r="S345" i="4"/>
  <c r="U314" i="5"/>
  <c r="S314" i="5"/>
  <c r="T345" i="4" l="1"/>
  <c r="R346" i="4" s="1"/>
  <c r="U346" i="4" s="1"/>
  <c r="T314" i="5"/>
  <c r="R315" i="5" s="1"/>
  <c r="S315" i="5" s="1"/>
  <c r="S346" i="4" l="1"/>
  <c r="T346" i="4" s="1"/>
  <c r="R347" i="4" s="1"/>
  <c r="U315" i="5"/>
  <c r="T315" i="5" s="1"/>
  <c r="R316" i="5" s="1"/>
  <c r="U347" i="4" l="1"/>
  <c r="S347" i="4"/>
  <c r="U316" i="5"/>
  <c r="S316" i="5"/>
  <c r="T347" i="4" l="1"/>
  <c r="R348" i="4" s="1"/>
  <c r="U348" i="4" s="1"/>
  <c r="T316" i="5"/>
  <c r="R317" i="5" s="1"/>
  <c r="U317" i="5" s="1"/>
  <c r="S348" i="4" l="1"/>
  <c r="T348" i="4" s="1"/>
  <c r="R349" i="4" s="1"/>
  <c r="U349" i="4" s="1"/>
  <c r="S317" i="5"/>
  <c r="T317" i="5" s="1"/>
  <c r="R318" i="5" s="1"/>
  <c r="S349" i="4" l="1"/>
  <c r="T349" i="4" s="1"/>
  <c r="R350" i="4" s="1"/>
  <c r="U350" i="4" s="1"/>
  <c r="U318" i="5"/>
  <c r="S318" i="5"/>
  <c r="S350" i="4" l="1"/>
  <c r="T350" i="4" s="1"/>
  <c r="R351" i="4" s="1"/>
  <c r="U351" i="4" s="1"/>
  <c r="T318" i="5"/>
  <c r="R319" i="5" s="1"/>
  <c r="S319" i="5" s="1"/>
  <c r="S351" i="4" l="1"/>
  <c r="T351" i="4" s="1"/>
  <c r="R352" i="4" s="1"/>
  <c r="S352" i="4" s="1"/>
  <c r="U319" i="5"/>
  <c r="T319" i="5" s="1"/>
  <c r="R320" i="5" s="1"/>
  <c r="U352" i="4" l="1"/>
  <c r="T352" i="4" s="1"/>
  <c r="R353" i="4" s="1"/>
  <c r="S353" i="4" s="1"/>
  <c r="S320" i="5"/>
  <c r="U320" i="5"/>
  <c r="U353" i="4" l="1"/>
  <c r="T353" i="4" s="1"/>
  <c r="R354" i="4" s="1"/>
  <c r="T320" i="5"/>
  <c r="R321" i="5" s="1"/>
  <c r="S354" i="4" l="1"/>
  <c r="U354" i="4"/>
  <c r="U321" i="5"/>
  <c r="S321" i="5"/>
  <c r="T354" i="4" l="1"/>
  <c r="R355" i="4" s="1"/>
  <c r="T321" i="5"/>
  <c r="R322" i="5" s="1"/>
  <c r="U322" i="5" s="1"/>
  <c r="S355" i="4" l="1"/>
  <c r="U355" i="4"/>
  <c r="S322" i="5"/>
  <c r="T322" i="5" s="1"/>
  <c r="R323" i="5" s="1"/>
  <c r="T355" i="4" l="1"/>
  <c r="R356" i="4" s="1"/>
  <c r="S356" i="4" s="1"/>
  <c r="U323" i="5"/>
  <c r="S323" i="5"/>
  <c r="U356" i="4" l="1"/>
  <c r="T356" i="4" s="1"/>
  <c r="R357" i="4" s="1"/>
  <c r="T323" i="5"/>
  <c r="R324" i="5" s="1"/>
  <c r="S324" i="5" s="1"/>
  <c r="U324" i="5" l="1"/>
  <c r="T324" i="5" s="1"/>
  <c r="U357" i="4"/>
  <c r="S357" i="4"/>
  <c r="R325" i="5" l="1"/>
  <c r="U325" i="5" s="1"/>
  <c r="T357" i="4"/>
  <c r="R358" i="4" s="1"/>
  <c r="S325" i="5" l="1"/>
  <c r="T325" i="5" s="1"/>
  <c r="R326" i="5" s="1"/>
  <c r="U326" i="5" s="1"/>
  <c r="U358" i="4"/>
  <c r="S358" i="4"/>
  <c r="S326" i="5" l="1"/>
  <c r="T326" i="5" s="1"/>
  <c r="R327" i="5" s="1"/>
  <c r="S327" i="5" s="1"/>
  <c r="T358" i="4"/>
  <c r="R359" i="4" s="1"/>
  <c r="U359" i="4" s="1"/>
  <c r="S359" i="4" l="1"/>
  <c r="T359" i="4" s="1"/>
  <c r="R360" i="4" s="1"/>
  <c r="U327" i="5"/>
  <c r="T327" i="5" s="1"/>
  <c r="R328" i="5" s="1"/>
  <c r="S360" i="4" l="1"/>
  <c r="U360" i="4"/>
  <c r="U328" i="5"/>
  <c r="S328" i="5"/>
  <c r="T360" i="4" l="1"/>
  <c r="R361" i="4" s="1"/>
  <c r="U361" i="4" s="1"/>
  <c r="T328" i="5"/>
  <c r="R329" i="5" s="1"/>
  <c r="U329" i="5" s="1"/>
  <c r="S361" i="4" l="1"/>
  <c r="T361" i="4" s="1"/>
  <c r="R362" i="4" s="1"/>
  <c r="S329" i="5"/>
  <c r="T329" i="5" s="1"/>
  <c r="R330" i="5" s="1"/>
  <c r="U362" i="4" l="1"/>
  <c r="S362" i="4"/>
  <c r="U330" i="5"/>
  <c r="S330" i="5"/>
  <c r="T362" i="4" l="1"/>
  <c r="R363" i="4" s="1"/>
  <c r="S363" i="4" s="1"/>
  <c r="T330" i="5"/>
  <c r="R331" i="5" s="1"/>
  <c r="S331" i="5" s="1"/>
  <c r="U363" i="4" l="1"/>
  <c r="T363" i="4" s="1"/>
  <c r="R364" i="4" s="1"/>
  <c r="U331" i="5"/>
  <c r="T331" i="5" s="1"/>
  <c r="R332" i="5" s="1"/>
  <c r="S364" i="4" l="1"/>
  <c r="U364" i="4"/>
  <c r="S332" i="5"/>
  <c r="U332" i="5"/>
  <c r="T364" i="4" l="1"/>
  <c r="R365" i="4" s="1"/>
  <c r="T332" i="5"/>
  <c r="R333" i="5" s="1"/>
  <c r="S365" i="4" l="1"/>
  <c r="U365" i="4"/>
  <c r="U333" i="5"/>
  <c r="S333" i="5"/>
  <c r="T365" i="4" l="1"/>
  <c r="R366" i="4" s="1"/>
  <c r="U366" i="4" s="1"/>
  <c r="T333" i="5"/>
  <c r="R334" i="5" s="1"/>
  <c r="U334" i="5" s="1"/>
  <c r="S366" i="4" l="1"/>
  <c r="T366" i="4" s="1"/>
  <c r="R367" i="4" s="1"/>
  <c r="S334" i="5"/>
  <c r="T334" i="5" s="1"/>
  <c r="R335" i="5" s="1"/>
  <c r="U335" i="5" s="1"/>
  <c r="S367" i="4" l="1"/>
  <c r="U367" i="4"/>
  <c r="S335" i="5"/>
  <c r="T335" i="5" s="1"/>
  <c r="R336" i="5" s="1"/>
  <c r="T367" i="4" l="1"/>
  <c r="R368" i="4" s="1"/>
  <c r="U368" i="4" s="1"/>
  <c r="S336" i="5"/>
  <c r="U336" i="5"/>
  <c r="S368" i="4" l="1"/>
  <c r="T368" i="4" s="1"/>
  <c r="R369" i="4" s="1"/>
  <c r="U369" i="4" s="1"/>
  <c r="T336" i="5"/>
  <c r="R337" i="5" s="1"/>
  <c r="S369" i="4" l="1"/>
  <c r="T369" i="4" s="1"/>
  <c r="R370" i="4" s="1"/>
  <c r="S370" i="4" s="1"/>
  <c r="S337" i="5"/>
  <c r="U337" i="5"/>
  <c r="U370" i="4" l="1"/>
  <c r="T370" i="4" s="1"/>
  <c r="R371" i="4" s="1"/>
  <c r="U371" i="4" s="1"/>
  <c r="T337" i="5"/>
  <c r="R338" i="5" s="1"/>
  <c r="S371" i="4" l="1"/>
  <c r="T371" i="4" s="1"/>
  <c r="R372" i="4" s="1"/>
  <c r="S372" i="4" s="1"/>
  <c r="U338" i="5"/>
  <c r="S338" i="5"/>
  <c r="U372" i="4" l="1"/>
  <c r="T372" i="4" s="1"/>
  <c r="R373" i="4" s="1"/>
  <c r="T338" i="5"/>
  <c r="R339" i="5" s="1"/>
  <c r="S373" i="4" l="1"/>
  <c r="U373" i="4"/>
  <c r="U339" i="5"/>
  <c r="S339" i="5"/>
  <c r="T373" i="4" l="1"/>
  <c r="R374" i="4" s="1"/>
  <c r="U374" i="4" s="1"/>
  <c r="T339" i="5"/>
  <c r="R340" i="5" s="1"/>
  <c r="S340" i="5" s="1"/>
  <c r="S374" i="4" l="1"/>
  <c r="T374" i="4" s="1"/>
  <c r="R375" i="4" s="1"/>
  <c r="U375" i="4" s="1"/>
  <c r="U340" i="5"/>
  <c r="T340" i="5" s="1"/>
  <c r="R341" i="5" s="1"/>
  <c r="S375" i="4" l="1"/>
  <c r="T375" i="4" s="1"/>
  <c r="R376" i="4" s="1"/>
  <c r="U376" i="4" s="1"/>
  <c r="U341" i="5"/>
  <c r="S341" i="5"/>
  <c r="S376" i="4" l="1"/>
  <c r="T376" i="4" s="1"/>
  <c r="R377" i="4" s="1"/>
  <c r="S377" i="4" s="1"/>
  <c r="T341" i="5"/>
  <c r="R342" i="5" s="1"/>
  <c r="U377" i="4" l="1"/>
  <c r="T377" i="4" s="1"/>
  <c r="R378" i="4" s="1"/>
  <c r="U378" i="4" s="1"/>
  <c r="U342" i="5"/>
  <c r="S342" i="5"/>
  <c r="S378" i="4" l="1"/>
  <c r="T378" i="4" s="1"/>
  <c r="R379" i="4" s="1"/>
  <c r="T342" i="5"/>
  <c r="R343" i="5" s="1"/>
  <c r="S343" i="5" s="1"/>
  <c r="S379" i="4" l="1"/>
  <c r="U379" i="4"/>
  <c r="U343" i="5"/>
  <c r="T343" i="5" s="1"/>
  <c r="R344" i="5" s="1"/>
  <c r="T379" i="4" l="1"/>
  <c r="R380" i="4" s="1"/>
  <c r="U380" i="4" s="1"/>
  <c r="S344" i="5"/>
  <c r="U344" i="5"/>
  <c r="S380" i="4" l="1"/>
  <c r="T380" i="4" s="1"/>
  <c r="R381" i="4" s="1"/>
  <c r="S381" i="4" s="1"/>
  <c r="T344" i="5"/>
  <c r="R345" i="5" s="1"/>
  <c r="U381" i="4" l="1"/>
  <c r="T381" i="4" s="1"/>
  <c r="R382" i="4" s="1"/>
  <c r="S382" i="4" s="1"/>
  <c r="U345" i="5"/>
  <c r="S345" i="5"/>
  <c r="U382" i="4" l="1"/>
  <c r="T382" i="4" s="1"/>
  <c r="R383" i="4" s="1"/>
  <c r="S383" i="4" s="1"/>
  <c r="T345" i="5"/>
  <c r="R346" i="5" s="1"/>
  <c r="U346" i="5" s="1"/>
  <c r="U383" i="4" l="1"/>
  <c r="T383" i="4" s="1"/>
  <c r="R384" i="4" s="1"/>
  <c r="S346" i="5"/>
  <c r="T346" i="5" s="1"/>
  <c r="R347" i="5" s="1"/>
  <c r="S384" i="4" l="1"/>
  <c r="U384" i="4"/>
  <c r="U347" i="5"/>
  <c r="S347" i="5"/>
  <c r="T384" i="4" l="1"/>
  <c r="R385" i="4" s="1"/>
  <c r="U385" i="4" s="1"/>
  <c r="T347" i="5"/>
  <c r="R348" i="5" s="1"/>
  <c r="U348" i="5" s="1"/>
  <c r="S385" i="4" l="1"/>
  <c r="T385" i="4" s="1"/>
  <c r="R386" i="4" s="1"/>
  <c r="S386" i="4" s="1"/>
  <c r="S348" i="5"/>
  <c r="T348" i="5" s="1"/>
  <c r="R349" i="5" s="1"/>
  <c r="S349" i="5" s="1"/>
  <c r="U386" i="4" l="1"/>
  <c r="T386" i="4" s="1"/>
  <c r="R387" i="4" s="1"/>
  <c r="U387" i="4" s="1"/>
  <c r="U349" i="5"/>
  <c r="T349" i="5" s="1"/>
  <c r="R350" i="5" s="1"/>
  <c r="S387" i="4" l="1"/>
  <c r="T387" i="4" s="1"/>
  <c r="R388" i="4" s="1"/>
  <c r="U388" i="4" s="1"/>
  <c r="U350" i="5"/>
  <c r="S350" i="5"/>
  <c r="S388" i="4" l="1"/>
  <c r="T388" i="4" s="1"/>
  <c r="R389" i="4" s="1"/>
  <c r="U389" i="4" s="1"/>
  <c r="T350" i="5"/>
  <c r="R351" i="5" s="1"/>
  <c r="S389" i="4" l="1"/>
  <c r="T389" i="4" s="1"/>
  <c r="R390" i="4" s="1"/>
  <c r="U390" i="4" s="1"/>
  <c r="U351" i="5"/>
  <c r="S351" i="5"/>
  <c r="S390" i="4" l="1"/>
  <c r="T390" i="4" s="1"/>
  <c r="R391" i="4" s="1"/>
  <c r="U391" i="4" s="1"/>
  <c r="T351" i="5"/>
  <c r="R352" i="5" s="1"/>
  <c r="S352" i="5" s="1"/>
  <c r="S391" i="4" l="1"/>
  <c r="T391" i="4" s="1"/>
  <c r="R392" i="4" s="1"/>
  <c r="S392" i="4" s="1"/>
  <c r="U352" i="5"/>
  <c r="T352" i="5" s="1"/>
  <c r="R353" i="5" s="1"/>
  <c r="U353" i="5" s="1"/>
  <c r="U392" i="4" l="1"/>
  <c r="T392" i="4" s="1"/>
  <c r="R393" i="4" s="1"/>
  <c r="S393" i="4" s="1"/>
  <c r="S353" i="5"/>
  <c r="T353" i="5" s="1"/>
  <c r="R354" i="5" s="1"/>
  <c r="U393" i="4" l="1"/>
  <c r="T393" i="4" s="1"/>
  <c r="R394" i="4" s="1"/>
  <c r="U394" i="4" s="1"/>
  <c r="U354" i="5"/>
  <c r="S354" i="5"/>
  <c r="T354" i="5" l="1"/>
  <c r="R355" i="5" s="1"/>
  <c r="S394" i="4"/>
  <c r="T394" i="4" s="1"/>
  <c r="R395" i="4" s="1"/>
  <c r="S395" i="4" s="1"/>
  <c r="U395" i="4" l="1"/>
  <c r="T395" i="4" s="1"/>
  <c r="R396" i="4" s="1"/>
  <c r="S355" i="5"/>
  <c r="U355" i="5"/>
  <c r="U396" i="4" l="1"/>
  <c r="S396" i="4"/>
  <c r="T355" i="5"/>
  <c r="R356" i="5" s="1"/>
  <c r="T396" i="4" l="1"/>
  <c r="R397" i="4" s="1"/>
  <c r="S397" i="4" s="1"/>
  <c r="S356" i="5"/>
  <c r="U356" i="5"/>
  <c r="T356" i="5" l="1"/>
  <c r="R357" i="5" s="1"/>
  <c r="U397" i="4"/>
  <c r="T397" i="4" s="1"/>
  <c r="R398" i="4" s="1"/>
  <c r="S398" i="4" s="1"/>
  <c r="U398" i="4" l="1"/>
  <c r="T398" i="4" s="1"/>
  <c r="R399" i="4" s="1"/>
  <c r="U399" i="4" s="1"/>
  <c r="U357" i="5"/>
  <c r="S357" i="5"/>
  <c r="S399" i="4" l="1"/>
  <c r="T399" i="4" s="1"/>
  <c r="R400" i="4" s="1"/>
  <c r="T357" i="5"/>
  <c r="R358" i="5" s="1"/>
  <c r="U358" i="5" s="1"/>
  <c r="S400" i="4" l="1"/>
  <c r="U400" i="4"/>
  <c r="S358" i="5"/>
  <c r="T358" i="5" s="1"/>
  <c r="R359" i="5" s="1"/>
  <c r="T400" i="4" l="1"/>
  <c r="R401" i="4" s="1"/>
  <c r="S401" i="4" s="1"/>
  <c r="U359" i="5"/>
  <c r="S359" i="5"/>
  <c r="T359" i="5" l="1"/>
  <c r="R360" i="5" s="1"/>
  <c r="U401" i="4"/>
  <c r="T401" i="4" s="1"/>
  <c r="R402" i="4" s="1"/>
  <c r="U402" i="4" s="1"/>
  <c r="S402" i="4" l="1"/>
  <c r="T402" i="4" s="1"/>
  <c r="R403" i="4" s="1"/>
  <c r="U403" i="4" s="1"/>
  <c r="U360" i="5"/>
  <c r="S360" i="5"/>
  <c r="S403" i="4" l="1"/>
  <c r="T403" i="4" s="1"/>
  <c r="R404" i="4" s="1"/>
  <c r="S404" i="4" s="1"/>
  <c r="T360" i="5"/>
  <c r="R361" i="5" s="1"/>
  <c r="U404" i="4" l="1"/>
  <c r="T404" i="4" s="1"/>
  <c r="S361" i="5"/>
  <c r="U361" i="5"/>
  <c r="R405" i="4" l="1"/>
  <c r="U405" i="4" s="1"/>
  <c r="T361" i="5"/>
  <c r="R362" i="5" s="1"/>
  <c r="S362" i="5" s="1"/>
  <c r="S405" i="4" l="1"/>
  <c r="T405" i="4" s="1"/>
  <c r="R406" i="4" s="1"/>
  <c r="U362" i="5"/>
  <c r="T362" i="5" s="1"/>
  <c r="R363" i="5" s="1"/>
  <c r="U406" i="4" l="1"/>
  <c r="S406" i="4"/>
  <c r="U363" i="5"/>
  <c r="S363" i="5"/>
  <c r="T406" i="4" l="1"/>
  <c r="R407" i="4" s="1"/>
  <c r="U407" i="4" s="1"/>
  <c r="T363" i="5"/>
  <c r="R364" i="5" s="1"/>
  <c r="U364" i="5" s="1"/>
  <c r="S407" i="4" l="1"/>
  <c r="T407" i="4" s="1"/>
  <c r="R408" i="4" s="1"/>
  <c r="S364" i="5"/>
  <c r="T364" i="5" s="1"/>
  <c r="R365" i="5" s="1"/>
  <c r="S408" i="4" l="1"/>
  <c r="U408" i="4"/>
  <c r="U365" i="5"/>
  <c r="S365" i="5"/>
  <c r="T365" i="5" l="1"/>
  <c r="R366" i="5" s="1"/>
  <c r="U366" i="5" s="1"/>
  <c r="T408" i="4"/>
  <c r="R409" i="4" s="1"/>
  <c r="U409" i="4" s="1"/>
  <c r="S366" i="5" l="1"/>
  <c r="T366" i="5" s="1"/>
  <c r="R367" i="5" s="1"/>
  <c r="S367" i="5" s="1"/>
  <c r="S409" i="4"/>
  <c r="T409" i="4" s="1"/>
  <c r="R410" i="4" s="1"/>
  <c r="S410" i="4" l="1"/>
  <c r="U410" i="4"/>
  <c r="U367" i="5"/>
  <c r="T367" i="5" s="1"/>
  <c r="R368" i="5" s="1"/>
  <c r="S368" i="5" s="1"/>
  <c r="T410" i="4" l="1"/>
  <c r="R411" i="4" s="1"/>
  <c r="U411" i="4" s="1"/>
  <c r="U368" i="5"/>
  <c r="T368" i="5" s="1"/>
  <c r="R369" i="5" s="1"/>
  <c r="S411" i="4" l="1"/>
  <c r="T411" i="4" s="1"/>
  <c r="R412" i="4" s="1"/>
  <c r="U412" i="4" s="1"/>
  <c r="U369" i="5"/>
  <c r="S369" i="5"/>
  <c r="S412" i="4" l="1"/>
  <c r="T412" i="4" s="1"/>
  <c r="R413" i="4" s="1"/>
  <c r="S413" i="4" s="1"/>
  <c r="T369" i="5"/>
  <c r="R370" i="5" s="1"/>
  <c r="U413" i="4" l="1"/>
  <c r="T413" i="4" s="1"/>
  <c r="R414" i="4" s="1"/>
  <c r="U414" i="4" s="1"/>
  <c r="U370" i="5"/>
  <c r="S370" i="5"/>
  <c r="S414" i="4" l="1"/>
  <c r="T414" i="4" s="1"/>
  <c r="R415" i="4" s="1"/>
  <c r="U415" i="4" s="1"/>
  <c r="T370" i="5"/>
  <c r="R371" i="5" s="1"/>
  <c r="U371" i="5" s="1"/>
  <c r="U16" i="4"/>
  <c r="S415" i="4" l="1"/>
  <c r="T415" i="4" s="1"/>
  <c r="S371" i="5"/>
  <c r="T371" i="5" s="1"/>
  <c r="R372" i="5" s="1"/>
  <c r="U372" i="5" l="1"/>
  <c r="S372" i="5"/>
  <c r="T372" i="5" l="1"/>
  <c r="R373" i="5" s="1"/>
  <c r="U373" i="5" s="1"/>
  <c r="S373" i="5" l="1"/>
  <c r="T373" i="5" s="1"/>
  <c r="R374" i="5" s="1"/>
  <c r="S374" i="5" l="1"/>
  <c r="U374" i="5"/>
  <c r="T374" i="5" l="1"/>
  <c r="R375" i="5" s="1"/>
  <c r="U375" i="5" s="1"/>
  <c r="S375" i="5" l="1"/>
  <c r="T375" i="5" s="1"/>
  <c r="R376" i="5" s="1"/>
  <c r="U376" i="5" l="1"/>
  <c r="S376" i="5"/>
  <c r="T376" i="5" l="1"/>
  <c r="R377" i="5" s="1"/>
  <c r="U377" i="5" l="1"/>
  <c r="S377" i="5"/>
  <c r="T377" i="5" l="1"/>
  <c r="R378" i="5" s="1"/>
  <c r="S378" i="5" l="1"/>
  <c r="U378" i="5"/>
  <c r="T378" i="5" l="1"/>
  <c r="R379" i="5" s="1"/>
  <c r="S379" i="5" l="1"/>
  <c r="U379" i="5"/>
  <c r="T379" i="5" l="1"/>
  <c r="R380" i="5" s="1"/>
  <c r="U380" i="5" l="1"/>
  <c r="S380" i="5"/>
  <c r="T380" i="5" l="1"/>
  <c r="R381" i="5" s="1"/>
  <c r="S381" i="5" l="1"/>
  <c r="U381" i="5"/>
  <c r="T381" i="5" l="1"/>
  <c r="R382" i="5" s="1"/>
  <c r="U382" i="5" l="1"/>
  <c r="S382" i="5"/>
  <c r="T382" i="5" l="1"/>
  <c r="R383" i="5" s="1"/>
  <c r="U383" i="5" s="1"/>
  <c r="S383" i="5" l="1"/>
  <c r="T383" i="5" s="1"/>
  <c r="R384" i="5" s="1"/>
  <c r="U384" i="5" l="1"/>
  <c r="S384" i="5"/>
  <c r="T384" i="5" l="1"/>
  <c r="R385" i="5" s="1"/>
  <c r="U385" i="5" s="1"/>
  <c r="S385" i="5" l="1"/>
  <c r="T385" i="5" s="1"/>
  <c r="R386" i="5" s="1"/>
  <c r="U386" i="5" s="1"/>
  <c r="S386" i="5" l="1"/>
  <c r="T386" i="5" s="1"/>
  <c r="R387" i="5" s="1"/>
  <c r="U387" i="5" l="1"/>
  <c r="S387" i="5"/>
  <c r="B342" i="3"/>
  <c r="B315" i="3"/>
  <c r="B288" i="3"/>
  <c r="B261" i="3"/>
  <c r="B234" i="3"/>
  <c r="B207" i="3"/>
  <c r="B187" i="3"/>
  <c r="B180" i="3"/>
  <c r="B177" i="3"/>
  <c r="B175" i="3"/>
  <c r="B171" i="3"/>
  <c r="B168" i="3"/>
  <c r="B166" i="3"/>
  <c r="B163" i="3"/>
  <c r="B160" i="3"/>
  <c r="B153" i="3"/>
  <c r="B151" i="3"/>
  <c r="B150" i="3"/>
  <c r="B144" i="3"/>
  <c r="B142" i="3"/>
  <c r="B141" i="3"/>
  <c r="B139" i="3"/>
  <c r="B130" i="3"/>
  <c r="B126" i="3"/>
  <c r="B125" i="3"/>
  <c r="B123" i="3"/>
  <c r="B118" i="3"/>
  <c r="B116" i="3"/>
  <c r="B115" i="3"/>
  <c r="B113" i="3"/>
  <c r="B95" i="3"/>
  <c r="B68" i="3"/>
  <c r="B55" i="3"/>
  <c r="B52" i="3"/>
  <c r="B50" i="3"/>
  <c r="B39" i="3"/>
  <c r="B36" i="3"/>
  <c r="B28" i="3"/>
  <c r="C14" i="3"/>
  <c r="D13" i="3" s="1"/>
  <c r="B136" i="3"/>
  <c r="B46" i="3"/>
  <c r="B14" i="3"/>
  <c r="G1" i="3"/>
  <c r="T387" i="5" l="1"/>
  <c r="R388" i="5" s="1"/>
  <c r="U388" i="5" s="1"/>
  <c r="B35" i="3"/>
  <c r="B26" i="3"/>
  <c r="B33" i="3"/>
  <c r="B31" i="3"/>
  <c r="B29" i="3"/>
  <c r="B184" i="3"/>
  <c r="B366" i="3"/>
  <c r="E4" i="3"/>
  <c r="B18" i="3"/>
  <c r="B21" i="3"/>
  <c r="B34" i="3"/>
  <c r="B37" i="3"/>
  <c r="B45" i="3"/>
  <c r="B48" i="3"/>
  <c r="B120" i="3"/>
  <c r="B32" i="3"/>
  <c r="B59" i="3"/>
  <c r="B492" i="3"/>
  <c r="B489" i="3"/>
  <c r="B486" i="3"/>
  <c r="B483" i="3"/>
  <c r="B480" i="3"/>
  <c r="B477" i="3"/>
  <c r="B474" i="3"/>
  <c r="B471" i="3"/>
  <c r="B468" i="3"/>
  <c r="B465" i="3"/>
  <c r="B462" i="3"/>
  <c r="B459" i="3"/>
  <c r="B456" i="3"/>
  <c r="B453" i="3"/>
  <c r="B450" i="3"/>
  <c r="B447" i="3"/>
  <c r="B444" i="3"/>
  <c r="B441" i="3"/>
  <c r="B438" i="3"/>
  <c r="B435" i="3"/>
  <c r="B432" i="3"/>
  <c r="B429" i="3"/>
  <c r="B426" i="3"/>
  <c r="B423" i="3"/>
  <c r="B420" i="3"/>
  <c r="B417" i="3"/>
  <c r="B414" i="3"/>
  <c r="B411" i="3"/>
  <c r="B408" i="3"/>
  <c r="B405" i="3"/>
  <c r="B402" i="3"/>
  <c r="B399" i="3"/>
  <c r="B396" i="3"/>
  <c r="B393" i="3"/>
  <c r="B390" i="3"/>
  <c r="B387" i="3"/>
  <c r="B384" i="3"/>
  <c r="B381" i="3"/>
  <c r="B378" i="3"/>
  <c r="B375" i="3"/>
  <c r="B372" i="3"/>
  <c r="B369" i="3"/>
  <c r="B493" i="3"/>
  <c r="B490" i="3"/>
  <c r="B487" i="3"/>
  <c r="B484" i="3"/>
  <c r="B481" i="3"/>
  <c r="B478" i="3"/>
  <c r="B475" i="3"/>
  <c r="B472" i="3"/>
  <c r="B469" i="3"/>
  <c r="B466" i="3"/>
  <c r="B463" i="3"/>
  <c r="B460" i="3"/>
  <c r="B457" i="3"/>
  <c r="B454" i="3"/>
  <c r="B451" i="3"/>
  <c r="B448" i="3"/>
  <c r="B445" i="3"/>
  <c r="B442" i="3"/>
  <c r="B439" i="3"/>
  <c r="B436" i="3"/>
  <c r="B433" i="3"/>
  <c r="B430" i="3"/>
  <c r="B427" i="3"/>
  <c r="B424" i="3"/>
  <c r="B421" i="3"/>
  <c r="B418" i="3"/>
  <c r="B415" i="3"/>
  <c r="B412" i="3"/>
  <c r="B409" i="3"/>
  <c r="B406" i="3"/>
  <c r="B403" i="3"/>
  <c r="B400" i="3"/>
  <c r="B397" i="3"/>
  <c r="B394" i="3"/>
  <c r="B391" i="3"/>
  <c r="B388" i="3"/>
  <c r="B385" i="3"/>
  <c r="B382" i="3"/>
  <c r="B379" i="3"/>
  <c r="B376" i="3"/>
  <c r="B373" i="3"/>
  <c r="B370" i="3"/>
  <c r="B367" i="3"/>
  <c r="B491" i="3"/>
  <c r="B488" i="3"/>
  <c r="B485" i="3"/>
  <c r="B482" i="3"/>
  <c r="B479" i="3"/>
  <c r="B476" i="3"/>
  <c r="B473" i="3"/>
  <c r="B470" i="3"/>
  <c r="B467" i="3"/>
  <c r="B464" i="3"/>
  <c r="B461" i="3"/>
  <c r="B458" i="3"/>
  <c r="B455" i="3"/>
  <c r="B452" i="3"/>
  <c r="B449" i="3"/>
  <c r="B446" i="3"/>
  <c r="B443" i="3"/>
  <c r="B440" i="3"/>
  <c r="B437" i="3"/>
  <c r="B434" i="3"/>
  <c r="B431" i="3"/>
  <c r="B428" i="3"/>
  <c r="B425" i="3"/>
  <c r="B422" i="3"/>
  <c r="B419" i="3"/>
  <c r="B416" i="3"/>
  <c r="B413" i="3"/>
  <c r="B410" i="3"/>
  <c r="B407" i="3"/>
  <c r="B404" i="3"/>
  <c r="B401" i="3"/>
  <c r="B398" i="3"/>
  <c r="B395" i="3"/>
  <c r="B392" i="3"/>
  <c r="B389" i="3"/>
  <c r="B386" i="3"/>
  <c r="B383" i="3"/>
  <c r="B380" i="3"/>
  <c r="B377" i="3"/>
  <c r="B374" i="3"/>
  <c r="B371" i="3"/>
  <c r="B368" i="3"/>
  <c r="B364" i="3"/>
  <c r="B361" i="3"/>
  <c r="B358" i="3"/>
  <c r="B355" i="3"/>
  <c r="B352" i="3"/>
  <c r="B349" i="3"/>
  <c r="B346" i="3"/>
  <c r="B343" i="3"/>
  <c r="B340" i="3"/>
  <c r="B337" i="3"/>
  <c r="B334" i="3"/>
  <c r="B331" i="3"/>
  <c r="B328" i="3"/>
  <c r="B325" i="3"/>
  <c r="B322" i="3"/>
  <c r="B319" i="3"/>
  <c r="B316" i="3"/>
  <c r="B313" i="3"/>
  <c r="B310" i="3"/>
  <c r="B307" i="3"/>
  <c r="B304" i="3"/>
  <c r="B301" i="3"/>
  <c r="B298" i="3"/>
  <c r="B295" i="3"/>
  <c r="B292" i="3"/>
  <c r="B289" i="3"/>
  <c r="B286" i="3"/>
  <c r="B283" i="3"/>
  <c r="B280" i="3"/>
  <c r="B277" i="3"/>
  <c r="B274" i="3"/>
  <c r="B271" i="3"/>
  <c r="B268" i="3"/>
  <c r="B265" i="3"/>
  <c r="B262" i="3"/>
  <c r="B259" i="3"/>
  <c r="B256" i="3"/>
  <c r="B253" i="3"/>
  <c r="B250" i="3"/>
  <c r="B247" i="3"/>
  <c r="B244" i="3"/>
  <c r="B241" i="3"/>
  <c r="B238" i="3"/>
  <c r="B235" i="3"/>
  <c r="B232" i="3"/>
  <c r="B229" i="3"/>
  <c r="B226" i="3"/>
  <c r="B223" i="3"/>
  <c r="B220" i="3"/>
  <c r="B217" i="3"/>
  <c r="B214" i="3"/>
  <c r="B211" i="3"/>
  <c r="B208" i="3"/>
  <c r="B205" i="3"/>
  <c r="B202" i="3"/>
  <c r="B199" i="3"/>
  <c r="B196" i="3"/>
  <c r="B193" i="3"/>
  <c r="B190" i="3"/>
  <c r="B365" i="3"/>
  <c r="B362" i="3"/>
  <c r="B359" i="3"/>
  <c r="B356" i="3"/>
  <c r="B353" i="3"/>
  <c r="B350" i="3"/>
  <c r="B347" i="3"/>
  <c r="B344" i="3"/>
  <c r="B341" i="3"/>
  <c r="B338" i="3"/>
  <c r="B335" i="3"/>
  <c r="B332" i="3"/>
  <c r="B329" i="3"/>
  <c r="B326" i="3"/>
  <c r="B323" i="3"/>
  <c r="B320" i="3"/>
  <c r="B317" i="3"/>
  <c r="B314" i="3"/>
  <c r="B311" i="3"/>
  <c r="B308" i="3"/>
  <c r="B305" i="3"/>
  <c r="B302" i="3"/>
  <c r="B299" i="3"/>
  <c r="B296" i="3"/>
  <c r="B293" i="3"/>
  <c r="B290" i="3"/>
  <c r="B287" i="3"/>
  <c r="B284" i="3"/>
  <c r="B281" i="3"/>
  <c r="B278" i="3"/>
  <c r="B275" i="3"/>
  <c r="B272" i="3"/>
  <c r="B269" i="3"/>
  <c r="B266" i="3"/>
  <c r="B263" i="3"/>
  <c r="B260" i="3"/>
  <c r="B257" i="3"/>
  <c r="B254" i="3"/>
  <c r="B251" i="3"/>
  <c r="B248" i="3"/>
  <c r="B245" i="3"/>
  <c r="B242" i="3"/>
  <c r="B239" i="3"/>
  <c r="B236" i="3"/>
  <c r="B233" i="3"/>
  <c r="B230" i="3"/>
  <c r="B227" i="3"/>
  <c r="B224" i="3"/>
  <c r="B221" i="3"/>
  <c r="B218" i="3"/>
  <c r="B215" i="3"/>
  <c r="B212" i="3"/>
  <c r="B209" i="3"/>
  <c r="B206" i="3"/>
  <c r="B203" i="3"/>
  <c r="B200" i="3"/>
  <c r="B197" i="3"/>
  <c r="B194" i="3"/>
  <c r="B191" i="3"/>
  <c r="B188" i="3"/>
  <c r="B185" i="3"/>
  <c r="B182" i="3"/>
  <c r="B179" i="3"/>
  <c r="B176" i="3"/>
  <c r="B173" i="3"/>
  <c r="B170" i="3"/>
  <c r="B167" i="3"/>
  <c r="B164" i="3"/>
  <c r="B161" i="3"/>
  <c r="B158" i="3"/>
  <c r="B155" i="3"/>
  <c r="B152" i="3"/>
  <c r="B149" i="3"/>
  <c r="B146" i="3"/>
  <c r="B143" i="3"/>
  <c r="B140" i="3"/>
  <c r="B137" i="3"/>
  <c r="B134" i="3"/>
  <c r="B131" i="3"/>
  <c r="B128" i="3"/>
  <c r="B330" i="3"/>
  <c r="B321" i="3"/>
  <c r="B312" i="3"/>
  <c r="B303" i="3"/>
  <c r="B294" i="3"/>
  <c r="B285" i="3"/>
  <c r="B276" i="3"/>
  <c r="B267" i="3"/>
  <c r="B258" i="3"/>
  <c r="B249" i="3"/>
  <c r="B240" i="3"/>
  <c r="B231" i="3"/>
  <c r="B222" i="3"/>
  <c r="B213" i="3"/>
  <c r="B204" i="3"/>
  <c r="B195" i="3"/>
  <c r="B111" i="3"/>
  <c r="B108" i="3"/>
  <c r="B105" i="3"/>
  <c r="B102" i="3"/>
  <c r="B99" i="3"/>
  <c r="B96" i="3"/>
  <c r="B93" i="3"/>
  <c r="B90" i="3"/>
  <c r="B87" i="3"/>
  <c r="B84" i="3"/>
  <c r="B81" i="3"/>
  <c r="B78" i="3"/>
  <c r="B75" i="3"/>
  <c r="B72" i="3"/>
  <c r="B69" i="3"/>
  <c r="B66" i="3"/>
  <c r="B63" i="3"/>
  <c r="B60" i="3"/>
  <c r="B357" i="3"/>
  <c r="B339" i="3"/>
  <c r="B183" i="3"/>
  <c r="B174" i="3"/>
  <c r="B165" i="3"/>
  <c r="B156" i="3"/>
  <c r="B147" i="3"/>
  <c r="B138" i="3"/>
  <c r="B129" i="3"/>
  <c r="B124" i="3"/>
  <c r="B119" i="3"/>
  <c r="B114" i="3"/>
  <c r="B336" i="3"/>
  <c r="B327" i="3"/>
  <c r="B318" i="3"/>
  <c r="B309" i="3"/>
  <c r="B300" i="3"/>
  <c r="B291" i="3"/>
  <c r="B282" i="3"/>
  <c r="B273" i="3"/>
  <c r="B264" i="3"/>
  <c r="B255" i="3"/>
  <c r="B246" i="3"/>
  <c r="B237" i="3"/>
  <c r="B228" i="3"/>
  <c r="B219" i="3"/>
  <c r="B210" i="3"/>
  <c r="B201" i="3"/>
  <c r="B192" i="3"/>
  <c r="B117" i="3"/>
  <c r="B109" i="3"/>
  <c r="B106" i="3"/>
  <c r="B103" i="3"/>
  <c r="B100" i="3"/>
  <c r="B97" i="3"/>
  <c r="B94" i="3"/>
  <c r="B91" i="3"/>
  <c r="B88" i="3"/>
  <c r="B85" i="3"/>
  <c r="B82" i="3"/>
  <c r="B79" i="3"/>
  <c r="B76" i="3"/>
  <c r="B73" i="3"/>
  <c r="B70" i="3"/>
  <c r="B67" i="3"/>
  <c r="B64" i="3"/>
  <c r="B61" i="3"/>
  <c r="B324" i="3"/>
  <c r="B297" i="3"/>
  <c r="B270" i="3"/>
  <c r="B243" i="3"/>
  <c r="B216" i="3"/>
  <c r="B181" i="3"/>
  <c r="B154" i="3"/>
  <c r="B127" i="3"/>
  <c r="B122" i="3"/>
  <c r="B110" i="3"/>
  <c r="B101" i="3"/>
  <c r="B92" i="3"/>
  <c r="B83" i="3"/>
  <c r="B74" i="3"/>
  <c r="B65" i="3"/>
  <c r="B53" i="3"/>
  <c r="B345" i="3"/>
  <c r="B189" i="3"/>
  <c r="B186" i="3"/>
  <c r="B162" i="3"/>
  <c r="B159" i="3"/>
  <c r="B135" i="3"/>
  <c r="B132" i="3"/>
  <c r="B112" i="3"/>
  <c r="B348" i="3"/>
  <c r="B58" i="3"/>
  <c r="B51" i="3"/>
  <c r="B360" i="3"/>
  <c r="B333" i="3"/>
  <c r="B306" i="3"/>
  <c r="B279" i="3"/>
  <c r="B252" i="3"/>
  <c r="B225" i="3"/>
  <c r="B198" i="3"/>
  <c r="B172" i="3"/>
  <c r="B145" i="3"/>
  <c r="B107" i="3"/>
  <c r="B98" i="3"/>
  <c r="B89" i="3"/>
  <c r="B80" i="3"/>
  <c r="B71" i="3"/>
  <c r="B62" i="3"/>
  <c r="B56" i="3"/>
  <c r="B363" i="3"/>
  <c r="B351" i="3"/>
  <c r="B86" i="3"/>
  <c r="B148" i="3"/>
  <c r="B121" i="3"/>
  <c r="B133" i="3"/>
  <c r="B157" i="3"/>
  <c r="B169" i="3"/>
  <c r="B16" i="3"/>
  <c r="B19" i="3"/>
  <c r="B27" i="3"/>
  <c r="B30" i="3"/>
  <c r="B43" i="3"/>
  <c r="B54" i="3"/>
  <c r="B57" i="3"/>
  <c r="B354" i="3"/>
  <c r="B23" i="3"/>
  <c r="B44" i="3"/>
  <c r="B42" i="3"/>
  <c r="B49" i="3"/>
  <c r="B40" i="3"/>
  <c r="B47" i="3"/>
  <c r="B38" i="3"/>
  <c r="E5" i="3"/>
  <c r="B41" i="3"/>
  <c r="B77" i="3"/>
  <c r="B104" i="3"/>
  <c r="B178" i="3"/>
  <c r="I14" i="3"/>
  <c r="B17" i="3"/>
  <c r="B22" i="3"/>
  <c r="B15" i="3"/>
  <c r="B24" i="3"/>
  <c r="B20" i="3"/>
  <c r="E14" i="3"/>
  <c r="D6" i="3"/>
  <c r="E6" i="3" s="1"/>
  <c r="B25" i="3"/>
  <c r="E3" i="3"/>
  <c r="S388" i="5" l="1"/>
  <c r="T388" i="5" s="1"/>
  <c r="R389" i="5" s="1"/>
  <c r="S389" i="5" s="1"/>
  <c r="E7" i="3"/>
  <c r="C9" i="3" s="1"/>
  <c r="C10" i="3" l="1"/>
  <c r="U389" i="5"/>
  <c r="T389" i="5" s="1"/>
  <c r="R390" i="5" s="1"/>
  <c r="S390" i="5" s="1"/>
  <c r="C29" i="1" l="1"/>
  <c r="C28" i="1"/>
  <c r="C31" i="1"/>
  <c r="C30" i="1"/>
  <c r="E68" i="19"/>
  <c r="E68" i="17"/>
  <c r="U390" i="5"/>
  <c r="T390" i="5" s="1"/>
  <c r="R391" i="5" s="1"/>
  <c r="U391" i="5" s="1"/>
  <c r="D14" i="3"/>
  <c r="F14" i="3" s="1"/>
  <c r="G14" i="3" s="1"/>
  <c r="H10" i="16" l="1"/>
  <c r="G7" i="16"/>
  <c r="G7" i="14"/>
  <c r="G6" i="16"/>
  <c r="G6" i="14"/>
  <c r="G4" i="14"/>
  <c r="E20" i="14" s="1"/>
  <c r="H20" i="14" s="1"/>
  <c r="G4" i="16"/>
  <c r="E20" i="16" s="1"/>
  <c r="H20" i="16" s="1"/>
  <c r="G5" i="16"/>
  <c r="G5" i="14"/>
  <c r="H10" i="14"/>
  <c r="H68" i="17"/>
  <c r="F68" i="17"/>
  <c r="F68" i="19"/>
  <c r="H68" i="19"/>
  <c r="S391" i="5"/>
  <c r="T391" i="5" s="1"/>
  <c r="R392" i="5" s="1"/>
  <c r="U392" i="5" s="1"/>
  <c r="H14" i="3"/>
  <c r="C15" i="3"/>
  <c r="F20" i="16" l="1"/>
  <c r="F20" i="14"/>
  <c r="D21" i="14"/>
  <c r="O20" i="14"/>
  <c r="D69" i="19"/>
  <c r="O68" i="19"/>
  <c r="D21" i="16"/>
  <c r="O20" i="16"/>
  <c r="D69" i="17"/>
  <c r="O68" i="17"/>
  <c r="I15" i="3"/>
  <c r="E15" i="3"/>
  <c r="D15" i="3" s="1"/>
  <c r="F15" i="3" s="1"/>
  <c r="G15" i="3" s="1"/>
  <c r="S392" i="5"/>
  <c r="T392" i="5" s="1"/>
  <c r="R393" i="5" s="1"/>
  <c r="U393" i="5" s="1"/>
  <c r="C21" i="14" l="1"/>
  <c r="C21" i="16"/>
  <c r="C69" i="17"/>
  <c r="C69" i="19"/>
  <c r="H15" i="3"/>
  <c r="C16" i="3"/>
  <c r="S393" i="5"/>
  <c r="T393" i="5" s="1"/>
  <c r="R394" i="5" s="1"/>
  <c r="U394" i="5" s="1"/>
  <c r="G21" i="14" l="1"/>
  <c r="E21" i="14" s="1"/>
  <c r="G69" i="17"/>
  <c r="E69" i="17" s="1"/>
  <c r="G21" i="16"/>
  <c r="E21" i="16" s="1"/>
  <c r="G69" i="19"/>
  <c r="E69" i="19" s="1"/>
  <c r="I16" i="3"/>
  <c r="E16" i="3"/>
  <c r="D16" i="3" s="1"/>
  <c r="F16" i="3" s="1"/>
  <c r="G16" i="3" s="1"/>
  <c r="S394" i="5"/>
  <c r="T394" i="5" s="1"/>
  <c r="R395" i="5" s="1"/>
  <c r="F21" i="14" l="1"/>
  <c r="H21" i="14"/>
  <c r="F21" i="16"/>
  <c r="H21" i="16"/>
  <c r="F69" i="19"/>
  <c r="H69" i="19"/>
  <c r="F69" i="17"/>
  <c r="H69" i="17"/>
  <c r="H16" i="3"/>
  <c r="C17" i="3"/>
  <c r="U395" i="5"/>
  <c r="S395" i="5"/>
  <c r="O21" i="14" l="1"/>
  <c r="D22" i="14"/>
  <c r="O21" i="16"/>
  <c r="D22" i="16"/>
  <c r="D70" i="17"/>
  <c r="O69" i="17"/>
  <c r="O69" i="19"/>
  <c r="D70" i="19"/>
  <c r="T395" i="5"/>
  <c r="R396" i="5" s="1"/>
  <c r="U396" i="5" s="1"/>
  <c r="I17" i="3"/>
  <c r="E17" i="3"/>
  <c r="D17" i="3" s="1"/>
  <c r="F17" i="3" s="1"/>
  <c r="G17" i="3" s="1"/>
  <c r="C22" i="14" l="1"/>
  <c r="C70" i="19"/>
  <c r="C70" i="17"/>
  <c r="C22" i="16"/>
  <c r="C18" i="3"/>
  <c r="H17" i="3"/>
  <c r="S396" i="5"/>
  <c r="T396" i="5" s="1"/>
  <c r="R397" i="5" s="1"/>
  <c r="S397" i="5" s="1"/>
  <c r="G22" i="14" l="1"/>
  <c r="E22" i="14" s="1"/>
  <c r="G70" i="17"/>
  <c r="E70" i="17" s="1"/>
  <c r="G70" i="19"/>
  <c r="E70" i="19" s="1"/>
  <c r="G22" i="16"/>
  <c r="E22" i="16" s="1"/>
  <c r="E18" i="3"/>
  <c r="D18" i="3" s="1"/>
  <c r="F18" i="3" s="1"/>
  <c r="G18" i="3" s="1"/>
  <c r="I18" i="3"/>
  <c r="U397" i="5"/>
  <c r="T397" i="5" s="1"/>
  <c r="R398" i="5" s="1"/>
  <c r="F22" i="14" l="1"/>
  <c r="H22" i="14"/>
  <c r="H70" i="19"/>
  <c r="F70" i="19"/>
  <c r="F22" i="16"/>
  <c r="H22" i="16"/>
  <c r="H70" i="17"/>
  <c r="F70" i="17"/>
  <c r="H18" i="3"/>
  <c r="C19" i="3"/>
  <c r="S398" i="5"/>
  <c r="U398" i="5"/>
  <c r="D23" i="14" l="1"/>
  <c r="O22" i="14"/>
  <c r="O70" i="17"/>
  <c r="D71" i="17"/>
  <c r="D23" i="16"/>
  <c r="O22" i="16"/>
  <c r="O70" i="19"/>
  <c r="D71" i="19"/>
  <c r="I19" i="3"/>
  <c r="E19" i="3"/>
  <c r="D19" i="3" s="1"/>
  <c r="F19" i="3" s="1"/>
  <c r="G19" i="3" s="1"/>
  <c r="T398" i="5"/>
  <c r="R399" i="5" s="1"/>
  <c r="U399" i="5" s="1"/>
  <c r="C23" i="14" l="1"/>
  <c r="C71" i="19"/>
  <c r="C23" i="16"/>
  <c r="C71" i="17"/>
  <c r="S399" i="5"/>
  <c r="T399" i="5" s="1"/>
  <c r="R400" i="5" s="1"/>
  <c r="S400" i="5" s="1"/>
  <c r="C20" i="3"/>
  <c r="H19" i="3"/>
  <c r="G23" i="14" l="1"/>
  <c r="E23" i="14" s="1"/>
  <c r="G23" i="16"/>
  <c r="E23" i="16" s="1"/>
  <c r="G71" i="17"/>
  <c r="E71" i="17" s="1"/>
  <c r="G71" i="19"/>
  <c r="E71" i="19" s="1"/>
  <c r="I20" i="3"/>
  <c r="E20" i="3"/>
  <c r="D20" i="3" s="1"/>
  <c r="F20" i="3" s="1"/>
  <c r="G20" i="3" s="1"/>
  <c r="U400" i="5"/>
  <c r="T400" i="5" s="1"/>
  <c r="R401" i="5" s="1"/>
  <c r="F23" i="14" l="1"/>
  <c r="H23" i="14"/>
  <c r="H71" i="17"/>
  <c r="F71" i="17"/>
  <c r="H71" i="19"/>
  <c r="F71" i="19"/>
  <c r="F23" i="16"/>
  <c r="H23" i="16"/>
  <c r="H20" i="3"/>
  <c r="C21" i="3"/>
  <c r="U401" i="5"/>
  <c r="S401" i="5"/>
  <c r="D24" i="14" l="1"/>
  <c r="O23" i="14"/>
  <c r="D24" i="16"/>
  <c r="O23" i="16"/>
  <c r="D72" i="19"/>
  <c r="O71" i="19"/>
  <c r="O71" i="17"/>
  <c r="D72" i="17"/>
  <c r="T401" i="5"/>
  <c r="R402" i="5" s="1"/>
  <c r="U402" i="5" s="1"/>
  <c r="I21" i="3"/>
  <c r="E21" i="3"/>
  <c r="D21" i="3" s="1"/>
  <c r="F21" i="3" s="1"/>
  <c r="G21" i="3" s="1"/>
  <c r="C24" i="14" l="1"/>
  <c r="C72" i="17"/>
  <c r="C72" i="19"/>
  <c r="C24" i="16"/>
  <c r="S402" i="5"/>
  <c r="T402" i="5" s="1"/>
  <c r="R403" i="5" s="1"/>
  <c r="U403" i="5" s="1"/>
  <c r="H21" i="3"/>
  <c r="C22" i="3"/>
  <c r="G24" i="14" l="1"/>
  <c r="E24" i="14" s="1"/>
  <c r="G72" i="19"/>
  <c r="E72" i="19" s="1"/>
  <c r="G24" i="16"/>
  <c r="E24" i="16" s="1"/>
  <c r="G72" i="17"/>
  <c r="E72" i="17" s="1"/>
  <c r="E22" i="3"/>
  <c r="D22" i="3" s="1"/>
  <c r="F22" i="3" s="1"/>
  <c r="G22" i="3" s="1"/>
  <c r="I22" i="3"/>
  <c r="S403" i="5"/>
  <c r="T403" i="5" s="1"/>
  <c r="R404" i="5" s="1"/>
  <c r="F24" i="14" l="1"/>
  <c r="H24" i="14"/>
  <c r="F24" i="16"/>
  <c r="H24" i="16"/>
  <c r="F72" i="17"/>
  <c r="H72" i="17"/>
  <c r="F72" i="19"/>
  <c r="H72" i="19"/>
  <c r="C23" i="3"/>
  <c r="H22" i="3"/>
  <c r="U404" i="5"/>
  <c r="S404" i="5"/>
  <c r="O24" i="14" l="1"/>
  <c r="D25" i="14"/>
  <c r="D73" i="19"/>
  <c r="O72" i="19"/>
  <c r="D73" i="17"/>
  <c r="O72" i="17"/>
  <c r="O24" i="16"/>
  <c r="D25" i="16"/>
  <c r="E23" i="3"/>
  <c r="D23" i="3" s="1"/>
  <c r="F23" i="3" s="1"/>
  <c r="G23" i="3" s="1"/>
  <c r="I23" i="3"/>
  <c r="T404" i="5"/>
  <c r="R405" i="5" s="1"/>
  <c r="C25" i="14" l="1"/>
  <c r="C25" i="16"/>
  <c r="C73" i="17"/>
  <c r="C73" i="19"/>
  <c r="H23" i="3"/>
  <c r="C24" i="3"/>
  <c r="U405" i="5"/>
  <c r="S405" i="5"/>
  <c r="G25" i="14" l="1"/>
  <c r="E25" i="14" s="1"/>
  <c r="G73" i="17"/>
  <c r="E73" i="17" s="1"/>
  <c r="G73" i="19"/>
  <c r="E73" i="19" s="1"/>
  <c r="G25" i="16"/>
  <c r="E25" i="16" s="1"/>
  <c r="E24" i="3"/>
  <c r="D24" i="3" s="1"/>
  <c r="F24" i="3" s="1"/>
  <c r="G24" i="3" s="1"/>
  <c r="I24" i="3"/>
  <c r="T405" i="5"/>
  <c r="R406" i="5" s="1"/>
  <c r="U406" i="5" s="1"/>
  <c r="F25" i="14" l="1"/>
  <c r="H25" i="14"/>
  <c r="F73" i="19"/>
  <c r="H73" i="19"/>
  <c r="F25" i="16"/>
  <c r="H25" i="16"/>
  <c r="H73" i="17"/>
  <c r="F73" i="17"/>
  <c r="S406" i="5"/>
  <c r="T406" i="5" s="1"/>
  <c r="R407" i="5" s="1"/>
  <c r="C25" i="3"/>
  <c r="H24" i="3"/>
  <c r="D26" i="14" l="1"/>
  <c r="O25" i="14"/>
  <c r="D74" i="19"/>
  <c r="O73" i="19"/>
  <c r="D26" i="16"/>
  <c r="C26" i="16" s="1"/>
  <c r="G26" i="16" s="1"/>
  <c r="E26" i="16" s="1"/>
  <c r="O25" i="16"/>
  <c r="O73" i="17"/>
  <c r="D74" i="17"/>
  <c r="C74" i="17" s="1"/>
  <c r="G74" i="17" s="1"/>
  <c r="E74" i="17" s="1"/>
  <c r="I25" i="3"/>
  <c r="E25" i="3"/>
  <c r="D25" i="3" s="1"/>
  <c r="F25" i="3" s="1"/>
  <c r="G25" i="3" s="1"/>
  <c r="U407" i="5"/>
  <c r="S407" i="5"/>
  <c r="C26" i="14" l="1"/>
  <c r="G26" i="14" s="1"/>
  <c r="F26" i="16"/>
  <c r="F74" i="17"/>
  <c r="H74" i="17"/>
  <c r="H26" i="16"/>
  <c r="C74" i="19"/>
  <c r="G74" i="19" s="1"/>
  <c r="T407" i="5"/>
  <c r="R408" i="5" s="1"/>
  <c r="C26" i="3"/>
  <c r="H25" i="3"/>
  <c r="E74" i="19" l="1"/>
  <c r="F74" i="19" s="1"/>
  <c r="E26" i="14"/>
  <c r="F26" i="14" s="1"/>
  <c r="D27" i="16"/>
  <c r="O26" i="16"/>
  <c r="O74" i="17"/>
  <c r="D75" i="17"/>
  <c r="I26" i="3"/>
  <c r="E26" i="3"/>
  <c r="D26" i="3" s="1"/>
  <c r="F26" i="3" s="1"/>
  <c r="G26" i="3" s="1"/>
  <c r="U408" i="5"/>
  <c r="S408" i="5"/>
  <c r="H74" i="19" l="1"/>
  <c r="D75" i="19" s="1"/>
  <c r="H26" i="14"/>
  <c r="C75" i="17"/>
  <c r="G75" i="17" s="1"/>
  <c r="C27" i="16"/>
  <c r="G27" i="16" s="1"/>
  <c r="C75" i="19"/>
  <c r="G75" i="19" s="1"/>
  <c r="E75" i="19" s="1"/>
  <c r="H26" i="3"/>
  <c r="C27" i="3"/>
  <c r="T408" i="5"/>
  <c r="R409" i="5" s="1"/>
  <c r="O74" i="19" l="1"/>
  <c r="E75" i="17"/>
  <c r="F75" i="17" s="1"/>
  <c r="O26" i="14"/>
  <c r="D27" i="14"/>
  <c r="C27" i="14" s="1"/>
  <c r="G27" i="14" s="1"/>
  <c r="E27" i="16"/>
  <c r="F27" i="16" s="1"/>
  <c r="E27" i="14"/>
  <c r="F75" i="19"/>
  <c r="H75" i="17"/>
  <c r="O75" i="17" s="1"/>
  <c r="H75" i="19"/>
  <c r="D76" i="19" s="1"/>
  <c r="C76" i="19" s="1"/>
  <c r="G76" i="19" s="1"/>
  <c r="I27" i="3"/>
  <c r="E27" i="3"/>
  <c r="D27" i="3" s="1"/>
  <c r="F27" i="3" s="1"/>
  <c r="G27" i="3" s="1"/>
  <c r="U409" i="5"/>
  <c r="S409" i="5"/>
  <c r="F27" i="14" l="1"/>
  <c r="H27" i="14"/>
  <c r="O27" i="14" s="1"/>
  <c r="H27" i="16"/>
  <c r="D28" i="16" s="1"/>
  <c r="C28" i="16" s="1"/>
  <c r="G28" i="16" s="1"/>
  <c r="D76" i="17"/>
  <c r="C76" i="17" s="1"/>
  <c r="G76" i="17" s="1"/>
  <c r="E76" i="17" s="1"/>
  <c r="E76" i="19"/>
  <c r="F76" i="19" s="1"/>
  <c r="O75" i="19"/>
  <c r="H27" i="3"/>
  <c r="C28" i="3"/>
  <c r="T409" i="5"/>
  <c r="R410" i="5" s="1"/>
  <c r="S410" i="5" s="1"/>
  <c r="O27" i="16" l="1"/>
  <c r="E28" i="16"/>
  <c r="H28" i="16" s="1"/>
  <c r="D29" i="16" s="1"/>
  <c r="C29" i="16" s="1"/>
  <c r="G29" i="16" s="1"/>
  <c r="E29" i="16" s="1"/>
  <c r="D28" i="14"/>
  <c r="C28" i="14" s="1"/>
  <c r="G28" i="14" s="1"/>
  <c r="E28" i="14" s="1"/>
  <c r="H76" i="17"/>
  <c r="O76" i="17" s="1"/>
  <c r="H76" i="19"/>
  <c r="O76" i="19" s="1"/>
  <c r="F76" i="17"/>
  <c r="E28" i="3"/>
  <c r="D28" i="3" s="1"/>
  <c r="F28" i="3" s="1"/>
  <c r="G28" i="3" s="1"/>
  <c r="I28" i="3"/>
  <c r="U410" i="5"/>
  <c r="T410" i="5" s="1"/>
  <c r="R411" i="5" s="1"/>
  <c r="F28" i="16" l="1"/>
  <c r="O28" i="16"/>
  <c r="F28" i="14"/>
  <c r="H28" i="14"/>
  <c r="D29" i="14" s="1"/>
  <c r="C29" i="14" s="1"/>
  <c r="G29" i="14" s="1"/>
  <c r="D77" i="17"/>
  <c r="C77" i="17" s="1"/>
  <c r="G77" i="17" s="1"/>
  <c r="D77" i="19"/>
  <c r="C77" i="19" s="1"/>
  <c r="G77" i="19" s="1"/>
  <c r="E77" i="19" s="1"/>
  <c r="H29" i="16"/>
  <c r="D30" i="16" s="1"/>
  <c r="F29" i="16"/>
  <c r="C29" i="3"/>
  <c r="H28" i="3"/>
  <c r="U411" i="5"/>
  <c r="S411" i="5"/>
  <c r="E77" i="17" l="1"/>
  <c r="F77" i="17" s="1"/>
  <c r="O28" i="14"/>
  <c r="E29" i="14"/>
  <c r="F29" i="14" s="1"/>
  <c r="F77" i="19"/>
  <c r="O29" i="16"/>
  <c r="H77" i="19"/>
  <c r="D78" i="19" s="1"/>
  <c r="C30" i="16"/>
  <c r="G30" i="16" s="1"/>
  <c r="E30" i="16" s="1"/>
  <c r="I29" i="3"/>
  <c r="E29" i="3"/>
  <c r="D29" i="3" s="1"/>
  <c r="F29" i="3" s="1"/>
  <c r="G29" i="3" s="1"/>
  <c r="T411" i="5"/>
  <c r="R412" i="5" s="1"/>
  <c r="S412" i="5" s="1"/>
  <c r="O77" i="19" l="1"/>
  <c r="H77" i="17"/>
  <c r="O77" i="17" s="1"/>
  <c r="H29" i="14"/>
  <c r="O29" i="14" s="1"/>
  <c r="F30" i="16"/>
  <c r="H30" i="16"/>
  <c r="D31" i="16" s="1"/>
  <c r="C78" i="19"/>
  <c r="G78" i="19" s="1"/>
  <c r="H29" i="3"/>
  <c r="C30" i="3"/>
  <c r="U412" i="5"/>
  <c r="T412" i="5" s="1"/>
  <c r="R413" i="5" s="1"/>
  <c r="D78" i="17" l="1"/>
  <c r="C78" i="17" s="1"/>
  <c r="G78" i="17" s="1"/>
  <c r="E78" i="17" s="1"/>
  <c r="F78" i="17" s="1"/>
  <c r="D30" i="14"/>
  <c r="C30" i="14" s="1"/>
  <c r="G30" i="14" s="1"/>
  <c r="E30" i="14" s="1"/>
  <c r="F30" i="14" s="1"/>
  <c r="E78" i="19"/>
  <c r="F78" i="19" s="1"/>
  <c r="O30" i="16"/>
  <c r="C31" i="16"/>
  <c r="G31" i="16" s="1"/>
  <c r="E31" i="16" s="1"/>
  <c r="E30" i="3"/>
  <c r="D30" i="3" s="1"/>
  <c r="F30" i="3" s="1"/>
  <c r="G30" i="3" s="1"/>
  <c r="I30" i="3"/>
  <c r="S413" i="5"/>
  <c r="U413" i="5"/>
  <c r="H78" i="19" l="1"/>
  <c r="D79" i="19" s="1"/>
  <c r="H78" i="17"/>
  <c r="O78" i="17" s="1"/>
  <c r="H30" i="14"/>
  <c r="O30" i="14" s="1"/>
  <c r="D79" i="17"/>
  <c r="O78" i="19"/>
  <c r="F31" i="16"/>
  <c r="H31" i="16"/>
  <c r="I31" i="16" s="1"/>
  <c r="T413" i="5"/>
  <c r="R414" i="5" s="1"/>
  <c r="U414" i="5" s="1"/>
  <c r="C31" i="3"/>
  <c r="H30" i="3"/>
  <c r="C79" i="19" l="1"/>
  <c r="E14" i="19"/>
  <c r="D31" i="14"/>
  <c r="C31" i="14" s="1"/>
  <c r="G31" i="14" s="1"/>
  <c r="E31" i="14" s="1"/>
  <c r="F31" i="14" s="1"/>
  <c r="D32" i="16"/>
  <c r="C32" i="16" s="1"/>
  <c r="G32" i="16" s="1"/>
  <c r="C79" i="17"/>
  <c r="E14" i="17"/>
  <c r="O31" i="16"/>
  <c r="E32" i="16"/>
  <c r="G79" i="19"/>
  <c r="E79" i="19" s="1"/>
  <c r="E17" i="19"/>
  <c r="S414" i="5"/>
  <c r="T414" i="5" s="1"/>
  <c r="R415" i="5" s="1"/>
  <c r="U415" i="5" s="1"/>
  <c r="U16" i="5" s="1"/>
  <c r="E31" i="3"/>
  <c r="D31" i="3" s="1"/>
  <c r="F31" i="3" s="1"/>
  <c r="G31" i="3" s="1"/>
  <c r="I31" i="3"/>
  <c r="H31" i="14" l="1"/>
  <c r="O31" i="14" s="1"/>
  <c r="H32" i="16"/>
  <c r="D33" i="16" s="1"/>
  <c r="C33" i="16" s="1"/>
  <c r="G33" i="16" s="1"/>
  <c r="E33" i="16" s="1"/>
  <c r="G79" i="17"/>
  <c r="E79" i="17" s="1"/>
  <c r="E17" i="17"/>
  <c r="D32" i="14"/>
  <c r="C32" i="14" s="1"/>
  <c r="G32" i="14" s="1"/>
  <c r="E32" i="14" s="1"/>
  <c r="F32" i="16"/>
  <c r="E13" i="19"/>
  <c r="E15" i="19" s="1"/>
  <c r="F79" i="19"/>
  <c r="H79" i="19"/>
  <c r="S415" i="5"/>
  <c r="T415" i="5" s="1"/>
  <c r="H31" i="3"/>
  <c r="C32" i="3"/>
  <c r="I31" i="14" l="1"/>
  <c r="O32" i="16"/>
  <c r="F32" i="14"/>
  <c r="E13" i="17"/>
  <c r="E15" i="17" s="1"/>
  <c r="H79" i="17"/>
  <c r="F79" i="17"/>
  <c r="H32" i="14"/>
  <c r="O32" i="14" s="1"/>
  <c r="F33" i="16"/>
  <c r="H33" i="16"/>
  <c r="O33" i="16" s="1"/>
  <c r="I79" i="19"/>
  <c r="D80" i="19"/>
  <c r="O79" i="19"/>
  <c r="E32" i="3"/>
  <c r="D32" i="3" s="1"/>
  <c r="F32" i="3" s="1"/>
  <c r="G32" i="3" s="1"/>
  <c r="I32" i="3"/>
  <c r="D80" i="17" l="1"/>
  <c r="O79" i="17"/>
  <c r="I79" i="17"/>
  <c r="D34" i="16"/>
  <c r="C34" i="16" s="1"/>
  <c r="G34" i="16" s="1"/>
  <c r="E34" i="16" s="1"/>
  <c r="D33" i="14"/>
  <c r="C33" i="14" s="1"/>
  <c r="G33" i="14" s="1"/>
  <c r="E33" i="14" s="1"/>
  <c r="C80" i="19"/>
  <c r="G80" i="19" s="1"/>
  <c r="H32" i="3"/>
  <c r="C33" i="3"/>
  <c r="E80" i="19" l="1"/>
  <c r="F80" i="19" s="1"/>
  <c r="H34" i="16"/>
  <c r="D35" i="16" s="1"/>
  <c r="C35" i="16" s="1"/>
  <c r="G35" i="16" s="1"/>
  <c r="E35" i="16" s="1"/>
  <c r="F33" i="14"/>
  <c r="C80" i="17"/>
  <c r="G80" i="17" s="1"/>
  <c r="F34" i="16"/>
  <c r="H33" i="14"/>
  <c r="O33" i="14" s="1"/>
  <c r="H80" i="19"/>
  <c r="I33" i="3"/>
  <c r="E33" i="3"/>
  <c r="D33" i="3" s="1"/>
  <c r="F33" i="3" s="1"/>
  <c r="G33" i="3" s="1"/>
  <c r="O34" i="16" l="1"/>
  <c r="E80" i="17"/>
  <c r="F80" i="17" s="1"/>
  <c r="D34" i="14"/>
  <c r="C34" i="14" s="1"/>
  <c r="G34" i="14" s="1"/>
  <c r="E34" i="14" s="1"/>
  <c r="O80" i="19"/>
  <c r="D81" i="19"/>
  <c r="C81" i="19" s="1"/>
  <c r="G81" i="19" s="1"/>
  <c r="F35" i="16"/>
  <c r="H35" i="16"/>
  <c r="H33" i="3"/>
  <c r="C34" i="3"/>
  <c r="H80" i="17" l="1"/>
  <c r="O80" i="17" s="1"/>
  <c r="E81" i="19"/>
  <c r="H81" i="19" s="1"/>
  <c r="F34" i="14"/>
  <c r="H34" i="14"/>
  <c r="O34" i="14" s="1"/>
  <c r="D36" i="16"/>
  <c r="C36" i="16" s="1"/>
  <c r="G36" i="16" s="1"/>
  <c r="E36" i="16" s="1"/>
  <c r="O35" i="16"/>
  <c r="E34" i="3"/>
  <c r="D34" i="3" s="1"/>
  <c r="F34" i="3" s="1"/>
  <c r="G34" i="3" s="1"/>
  <c r="I34" i="3"/>
  <c r="D81" i="17" l="1"/>
  <c r="C81" i="17" s="1"/>
  <c r="G81" i="17" s="1"/>
  <c r="E81" i="17" s="1"/>
  <c r="F81" i="17" s="1"/>
  <c r="F81" i="19"/>
  <c r="D82" i="19"/>
  <c r="C82" i="19" s="1"/>
  <c r="G82" i="19" s="1"/>
  <c r="O81" i="19"/>
  <c r="D35" i="14"/>
  <c r="C35" i="14" s="1"/>
  <c r="G35" i="14" s="1"/>
  <c r="E35" i="14" s="1"/>
  <c r="F35" i="14" s="1"/>
  <c r="H36" i="16"/>
  <c r="F36" i="16"/>
  <c r="C35" i="3"/>
  <c r="H34" i="3"/>
  <c r="H81" i="17" l="1"/>
  <c r="E82" i="19"/>
  <c r="H82" i="19" s="1"/>
  <c r="D37" i="16"/>
  <c r="C37" i="16" s="1"/>
  <c r="G37" i="16" s="1"/>
  <c r="O36" i="16"/>
  <c r="H35" i="14"/>
  <c r="O35" i="14" s="1"/>
  <c r="E35" i="3"/>
  <c r="D35" i="3" s="1"/>
  <c r="F35" i="3" s="1"/>
  <c r="G35" i="3" s="1"/>
  <c r="I35" i="3"/>
  <c r="O82" i="19" l="1"/>
  <c r="D83" i="19"/>
  <c r="F82" i="19"/>
  <c r="O81" i="17"/>
  <c r="D82" i="17"/>
  <c r="C82" i="17" s="1"/>
  <c r="G82" i="17" s="1"/>
  <c r="E37" i="16"/>
  <c r="F37" i="16" s="1"/>
  <c r="D36" i="14"/>
  <c r="C36" i="14" s="1"/>
  <c r="G36" i="14" s="1"/>
  <c r="E36" i="14" s="1"/>
  <c r="H35" i="3"/>
  <c r="C36" i="3"/>
  <c r="E82" i="17" l="1"/>
  <c r="F82" i="17" s="1"/>
  <c r="C83" i="19"/>
  <c r="G83" i="19" s="1"/>
  <c r="E83" i="19" s="1"/>
  <c r="F83" i="19" s="1"/>
  <c r="H37" i="16"/>
  <c r="O37" i="16" s="1"/>
  <c r="F36" i="14"/>
  <c r="H36" i="14"/>
  <c r="D37" i="14" s="1"/>
  <c r="I36" i="3"/>
  <c r="E36" i="3"/>
  <c r="D36" i="3" s="1"/>
  <c r="F36" i="3" s="1"/>
  <c r="G36" i="3" s="1"/>
  <c r="D38" i="16" l="1"/>
  <c r="C38" i="16" s="1"/>
  <c r="G38" i="16" s="1"/>
  <c r="H83" i="19"/>
  <c r="O83" i="19" s="1"/>
  <c r="H82" i="17"/>
  <c r="E38" i="16"/>
  <c r="O36" i="14"/>
  <c r="C37" i="14"/>
  <c r="G37" i="14" s="1"/>
  <c r="E37" i="14" s="1"/>
  <c r="H36" i="3"/>
  <c r="C37" i="3"/>
  <c r="F38" i="16" l="1"/>
  <c r="D84" i="19"/>
  <c r="H38" i="16"/>
  <c r="O38" i="16" s="1"/>
  <c r="D83" i="17"/>
  <c r="O82" i="17"/>
  <c r="C84" i="19"/>
  <c r="G84" i="19" s="1"/>
  <c r="E84" i="19" s="1"/>
  <c r="F84" i="19" s="1"/>
  <c r="H37" i="14"/>
  <c r="O37" i="14" s="1"/>
  <c r="F37" i="14"/>
  <c r="E37" i="3"/>
  <c r="D37" i="3" s="1"/>
  <c r="F37" i="3" s="1"/>
  <c r="G37" i="3" s="1"/>
  <c r="I37" i="3"/>
  <c r="H84" i="19" l="1"/>
  <c r="D85" i="19" s="1"/>
  <c r="D39" i="16"/>
  <c r="C39" i="16" s="1"/>
  <c r="G39" i="16" s="1"/>
  <c r="C83" i="17"/>
  <c r="G83" i="17" s="1"/>
  <c r="D38" i="14"/>
  <c r="C38" i="14" s="1"/>
  <c r="G38" i="14" s="1"/>
  <c r="E38" i="14" s="1"/>
  <c r="H37" i="3"/>
  <c r="C38" i="3"/>
  <c r="O84" i="19" l="1"/>
  <c r="E83" i="17"/>
  <c r="H83" i="17" s="1"/>
  <c r="C85" i="19"/>
  <c r="G85" i="19" s="1"/>
  <c r="E85" i="19" s="1"/>
  <c r="F85" i="19" s="1"/>
  <c r="E39" i="16"/>
  <c r="F39" i="16" s="1"/>
  <c r="F38" i="14"/>
  <c r="H38" i="14"/>
  <c r="D39" i="14" s="1"/>
  <c r="I38" i="3"/>
  <c r="E38" i="3"/>
  <c r="D38" i="3" s="1"/>
  <c r="F38" i="3" s="1"/>
  <c r="G38" i="3" s="1"/>
  <c r="H85" i="19" l="1"/>
  <c r="D86" i="19" s="1"/>
  <c r="D84" i="17"/>
  <c r="O83" i="17"/>
  <c r="F83" i="17"/>
  <c r="H39" i="16"/>
  <c r="O39" i="16" s="1"/>
  <c r="O38" i="14"/>
  <c r="C39" i="14"/>
  <c r="G39" i="14" s="1"/>
  <c r="E39" i="14" s="1"/>
  <c r="H38" i="3"/>
  <c r="C39" i="3"/>
  <c r="O85" i="19" l="1"/>
  <c r="C84" i="17"/>
  <c r="G84" i="17" s="1"/>
  <c r="C86" i="19"/>
  <c r="G86" i="19" s="1"/>
  <c r="E86" i="19" s="1"/>
  <c r="F86" i="19" s="1"/>
  <c r="D40" i="16"/>
  <c r="C40" i="16" s="1"/>
  <c r="G40" i="16" s="1"/>
  <c r="F39" i="14"/>
  <c r="H39" i="14"/>
  <c r="O39" i="14" s="1"/>
  <c r="I39" i="3"/>
  <c r="E39" i="3"/>
  <c r="D39" i="3" s="1"/>
  <c r="F39" i="3" s="1"/>
  <c r="G39" i="3" s="1"/>
  <c r="H86" i="19" l="1"/>
  <c r="O86" i="19" s="1"/>
  <c r="E84" i="17"/>
  <c r="H84" i="17" s="1"/>
  <c r="E40" i="16"/>
  <c r="F40" i="16" s="1"/>
  <c r="D40" i="14"/>
  <c r="C40" i="14" s="1"/>
  <c r="G40" i="14" s="1"/>
  <c r="E40" i="14" s="1"/>
  <c r="C40" i="3"/>
  <c r="H39" i="3"/>
  <c r="D87" i="19" l="1"/>
  <c r="C87" i="19" s="1"/>
  <c r="G87" i="19" s="1"/>
  <c r="O84" i="17"/>
  <c r="D85" i="17"/>
  <c r="F84" i="17"/>
  <c r="H40" i="16"/>
  <c r="O40" i="16" s="1"/>
  <c r="F40" i="14"/>
  <c r="H40" i="14"/>
  <c r="E40" i="3"/>
  <c r="D40" i="3" s="1"/>
  <c r="F40" i="3" s="1"/>
  <c r="G40" i="3" s="1"/>
  <c r="I40" i="3"/>
  <c r="E87" i="19" l="1"/>
  <c r="H87" i="19" s="1"/>
  <c r="C85" i="17"/>
  <c r="G85" i="17" s="1"/>
  <c r="D41" i="16"/>
  <c r="C41" i="16" s="1"/>
  <c r="G41" i="16" s="1"/>
  <c r="O40" i="14"/>
  <c r="D41" i="14"/>
  <c r="C41" i="14" s="1"/>
  <c r="G41" i="14" s="1"/>
  <c r="E41" i="14" s="1"/>
  <c r="C41" i="3"/>
  <c r="H40" i="3"/>
  <c r="E85" i="17" l="1"/>
  <c r="H85" i="17" s="1"/>
  <c r="O87" i="19"/>
  <c r="D88" i="19"/>
  <c r="F87" i="19"/>
  <c r="E41" i="16"/>
  <c r="F41" i="16" s="1"/>
  <c r="F41" i="14"/>
  <c r="H41" i="14"/>
  <c r="O41" i="14" s="1"/>
  <c r="I41" i="3"/>
  <c r="E41" i="3"/>
  <c r="D41" i="3" s="1"/>
  <c r="F41" i="3" s="1"/>
  <c r="G41" i="3" s="1"/>
  <c r="C88" i="19" l="1"/>
  <c r="G88" i="19" s="1"/>
  <c r="E88" i="19" s="1"/>
  <c r="F88" i="19" s="1"/>
  <c r="D86" i="17"/>
  <c r="C86" i="17" s="1"/>
  <c r="G86" i="17" s="1"/>
  <c r="O85" i="17"/>
  <c r="F85" i="17"/>
  <c r="H41" i="16"/>
  <c r="O41" i="16" s="1"/>
  <c r="D42" i="14"/>
  <c r="C42" i="14" s="1"/>
  <c r="G42" i="14" s="1"/>
  <c r="E42" i="14" s="1"/>
  <c r="H41" i="3"/>
  <c r="C42" i="3"/>
  <c r="H88" i="19" l="1"/>
  <c r="O88" i="19" s="1"/>
  <c r="E86" i="17"/>
  <c r="F86" i="17" s="1"/>
  <c r="D42" i="16"/>
  <c r="C42" i="16" s="1"/>
  <c r="G42" i="16" s="1"/>
  <c r="F42" i="14"/>
  <c r="H42" i="14"/>
  <c r="D43" i="14" s="1"/>
  <c r="I42" i="3"/>
  <c r="E42" i="3"/>
  <c r="D42" i="3" s="1"/>
  <c r="F42" i="3" s="1"/>
  <c r="G42" i="3" s="1"/>
  <c r="D89" i="19" l="1"/>
  <c r="C89" i="19" s="1"/>
  <c r="G89" i="19" s="1"/>
  <c r="H86" i="17"/>
  <c r="E42" i="16"/>
  <c r="H42" i="16" s="1"/>
  <c r="O42" i="14"/>
  <c r="C43" i="14"/>
  <c r="G43" i="14" s="1"/>
  <c r="E43" i="14" s="1"/>
  <c r="F43" i="14" s="1"/>
  <c r="C43" i="3"/>
  <c r="H42" i="3"/>
  <c r="F42" i="16" l="1"/>
  <c r="O86" i="17"/>
  <c r="D87" i="17"/>
  <c r="C87" i="17" s="1"/>
  <c r="G87" i="17" s="1"/>
  <c r="E89" i="19"/>
  <c r="H89" i="19" s="1"/>
  <c r="D43" i="16"/>
  <c r="C43" i="16" s="1"/>
  <c r="G43" i="16" s="1"/>
  <c r="O42" i="16"/>
  <c r="H43" i="14"/>
  <c r="E43" i="3"/>
  <c r="D43" i="3" s="1"/>
  <c r="F43" i="3" s="1"/>
  <c r="G43" i="3" s="1"/>
  <c r="I43" i="3"/>
  <c r="O89" i="19" l="1"/>
  <c r="D90" i="19"/>
  <c r="F89" i="19"/>
  <c r="E87" i="17"/>
  <c r="F87" i="17" s="1"/>
  <c r="E43" i="16"/>
  <c r="F43" i="16" s="1"/>
  <c r="D44" i="14"/>
  <c r="C44" i="14" s="1"/>
  <c r="G44" i="14" s="1"/>
  <c r="I43" i="14"/>
  <c r="O43" i="14"/>
  <c r="C44" i="3"/>
  <c r="H43" i="3"/>
  <c r="H87" i="17" l="1"/>
  <c r="C90" i="19"/>
  <c r="G90" i="19" s="1"/>
  <c r="E90" i="19" s="1"/>
  <c r="F90" i="19" s="1"/>
  <c r="H43" i="16"/>
  <c r="D44" i="16" s="1"/>
  <c r="C44" i="16" s="1"/>
  <c r="G44" i="16" s="1"/>
  <c r="E44" i="14"/>
  <c r="F44" i="14" s="1"/>
  <c r="E44" i="3"/>
  <c r="D44" i="3" s="1"/>
  <c r="F44" i="3" s="1"/>
  <c r="G44" i="3" s="1"/>
  <c r="I44" i="3"/>
  <c r="H90" i="19" l="1"/>
  <c r="O90" i="19" s="1"/>
  <c r="D88" i="17"/>
  <c r="C88" i="17" s="1"/>
  <c r="G88" i="17" s="1"/>
  <c r="O87" i="17"/>
  <c r="H44" i="14"/>
  <c r="D45" i="14" s="1"/>
  <c r="C45" i="14" s="1"/>
  <c r="G45" i="14" s="1"/>
  <c r="E45" i="14" s="1"/>
  <c r="O43" i="16"/>
  <c r="I43" i="16"/>
  <c r="E44" i="16"/>
  <c r="F44" i="16" s="1"/>
  <c r="C45" i="3"/>
  <c r="H44" i="3"/>
  <c r="O44" i="14" l="1"/>
  <c r="D91" i="19"/>
  <c r="C91" i="19" s="1"/>
  <c r="G91" i="19" s="1"/>
  <c r="E91" i="19" s="1"/>
  <c r="F91" i="19" s="1"/>
  <c r="E88" i="17"/>
  <c r="F88" i="17" s="1"/>
  <c r="H44" i="16"/>
  <c r="O44" i="16" s="1"/>
  <c r="F45" i="14"/>
  <c r="H45" i="14"/>
  <c r="O45" i="14" s="1"/>
  <c r="I45" i="3"/>
  <c r="E45" i="3"/>
  <c r="D45" i="3" s="1"/>
  <c r="F45" i="3" s="1"/>
  <c r="G45" i="3" s="1"/>
  <c r="H91" i="19" l="1"/>
  <c r="I91" i="19" s="1"/>
  <c r="H88" i="17"/>
  <c r="D45" i="16"/>
  <c r="C45" i="16" s="1"/>
  <c r="G45" i="16" s="1"/>
  <c r="D46" i="14"/>
  <c r="C46" i="14" s="1"/>
  <c r="G46" i="14" s="1"/>
  <c r="E46" i="14" s="1"/>
  <c r="H45" i="3"/>
  <c r="C46" i="3"/>
  <c r="O91" i="19" l="1"/>
  <c r="D92" i="19"/>
  <c r="C92" i="19" s="1"/>
  <c r="G92" i="19" s="1"/>
  <c r="E92" i="19" s="1"/>
  <c r="F92" i="19" s="1"/>
  <c r="D89" i="17"/>
  <c r="O88" i="17"/>
  <c r="E45" i="16"/>
  <c r="H45" i="16" s="1"/>
  <c r="O45" i="16" s="1"/>
  <c r="F46" i="14"/>
  <c r="H46" i="14"/>
  <c r="D47" i="14" s="1"/>
  <c r="E46" i="3"/>
  <c r="D46" i="3" s="1"/>
  <c r="F46" i="3" s="1"/>
  <c r="G46" i="3" s="1"/>
  <c r="I46" i="3"/>
  <c r="H92" i="19" l="1"/>
  <c r="O92" i="19" s="1"/>
  <c r="C89" i="17"/>
  <c r="G89" i="17" s="1"/>
  <c r="F45" i="16"/>
  <c r="D46" i="16"/>
  <c r="C46" i="16" s="1"/>
  <c r="G46" i="16" s="1"/>
  <c r="E46" i="16" s="1"/>
  <c r="F46" i="16" s="1"/>
  <c r="O46" i="14"/>
  <c r="C47" i="14"/>
  <c r="G47" i="14" s="1"/>
  <c r="E47" i="14" s="1"/>
  <c r="C47" i="3"/>
  <c r="H46" i="3"/>
  <c r="D93" i="19" l="1"/>
  <c r="E89" i="17"/>
  <c r="H89" i="17" s="1"/>
  <c r="C93" i="19"/>
  <c r="G93" i="19" s="1"/>
  <c r="E93" i="19" s="1"/>
  <c r="F93" i="19" s="1"/>
  <c r="H46" i="16"/>
  <c r="F47" i="14"/>
  <c r="H47" i="14"/>
  <c r="D48" i="14" s="1"/>
  <c r="E47" i="3"/>
  <c r="D47" i="3" s="1"/>
  <c r="F47" i="3" s="1"/>
  <c r="G47" i="3" s="1"/>
  <c r="I47" i="3"/>
  <c r="H93" i="19" l="1"/>
  <c r="D94" i="19" s="1"/>
  <c r="O89" i="17"/>
  <c r="D90" i="17"/>
  <c r="F89" i="17"/>
  <c r="O46" i="16"/>
  <c r="D47" i="16"/>
  <c r="C47" i="16" s="1"/>
  <c r="G47" i="16" s="1"/>
  <c r="E47" i="16" s="1"/>
  <c r="O47" i="14"/>
  <c r="C48" i="14"/>
  <c r="G48" i="14" s="1"/>
  <c r="E48" i="14" s="1"/>
  <c r="H47" i="3"/>
  <c r="C48" i="3"/>
  <c r="O93" i="19" l="1"/>
  <c r="C90" i="17"/>
  <c r="G90" i="17" s="1"/>
  <c r="C94" i="19"/>
  <c r="G94" i="19" s="1"/>
  <c r="H47" i="16"/>
  <c r="O47" i="16" s="1"/>
  <c r="F47" i="16"/>
  <c r="F48" i="14"/>
  <c r="H48" i="14"/>
  <c r="I48" i="3"/>
  <c r="E48" i="3"/>
  <c r="D48" i="3" s="1"/>
  <c r="F48" i="3" s="1"/>
  <c r="G48" i="3" s="1"/>
  <c r="D48" i="16" l="1"/>
  <c r="C48" i="16" s="1"/>
  <c r="G48" i="16" s="1"/>
  <c r="E94" i="19"/>
  <c r="H94" i="19" s="1"/>
  <c r="E90" i="17"/>
  <c r="H90" i="17" s="1"/>
  <c r="O48" i="14"/>
  <c r="D49" i="14"/>
  <c r="C49" i="3"/>
  <c r="H48" i="3"/>
  <c r="O90" i="17" l="1"/>
  <c r="D91" i="17"/>
  <c r="F90" i="17"/>
  <c r="O94" i="19"/>
  <c r="D95" i="19"/>
  <c r="F94" i="19"/>
  <c r="E48" i="16"/>
  <c r="H48" i="16" s="1"/>
  <c r="C49" i="14"/>
  <c r="G49" i="14" s="1"/>
  <c r="E49" i="3"/>
  <c r="D49" i="3" s="1"/>
  <c r="F49" i="3" s="1"/>
  <c r="G49" i="3" s="1"/>
  <c r="I49" i="3"/>
  <c r="C95" i="19" l="1"/>
  <c r="G95" i="19" s="1"/>
  <c r="C91" i="17"/>
  <c r="G91" i="17" s="1"/>
  <c r="F48" i="16"/>
  <c r="D49" i="16"/>
  <c r="C49" i="16" s="1"/>
  <c r="G49" i="16" s="1"/>
  <c r="O48" i="16"/>
  <c r="E49" i="14"/>
  <c r="F49" i="14" s="1"/>
  <c r="C50" i="3"/>
  <c r="H49" i="3"/>
  <c r="E91" i="17" l="1"/>
  <c r="H91" i="17" s="1"/>
  <c r="E95" i="19"/>
  <c r="H95" i="19" s="1"/>
  <c r="H49" i="14"/>
  <c r="D50" i="14" s="1"/>
  <c r="C50" i="14" s="1"/>
  <c r="G50" i="14" s="1"/>
  <c r="E49" i="16"/>
  <c r="F49" i="16" s="1"/>
  <c r="I50" i="3"/>
  <c r="E50" i="3"/>
  <c r="D50" i="3" s="1"/>
  <c r="F50" i="3" s="1"/>
  <c r="G50" i="3" s="1"/>
  <c r="D96" i="19" l="1"/>
  <c r="O95" i="19"/>
  <c r="F95" i="19"/>
  <c r="D92" i="17"/>
  <c r="I91" i="17"/>
  <c r="O91" i="17"/>
  <c r="F91" i="17"/>
  <c r="H49" i="16"/>
  <c r="O49" i="16" s="1"/>
  <c r="E50" i="14"/>
  <c r="H50" i="14" s="1"/>
  <c r="O50" i="14" s="1"/>
  <c r="O49" i="14"/>
  <c r="C51" i="3"/>
  <c r="H50" i="3"/>
  <c r="D50" i="16" l="1"/>
  <c r="C50" i="16" s="1"/>
  <c r="G50" i="16" s="1"/>
  <c r="E50" i="16" s="1"/>
  <c r="F50" i="14"/>
  <c r="C92" i="17"/>
  <c r="G92" i="17" s="1"/>
  <c r="E92" i="17" s="1"/>
  <c r="F92" i="17" s="1"/>
  <c r="C96" i="19"/>
  <c r="G96" i="19" s="1"/>
  <c r="D51" i="14"/>
  <c r="C51" i="14" s="1"/>
  <c r="G51" i="14" s="1"/>
  <c r="I51" i="3"/>
  <c r="E51" i="3"/>
  <c r="D51" i="3" s="1"/>
  <c r="F51" i="3" s="1"/>
  <c r="G51" i="3" s="1"/>
  <c r="H92" i="17" l="1"/>
  <c r="D93" i="17" s="1"/>
  <c r="E96" i="19"/>
  <c r="H96" i="19" s="1"/>
  <c r="E51" i="14"/>
  <c r="F51" i="14" s="1"/>
  <c r="F50" i="16"/>
  <c r="H50" i="16"/>
  <c r="H51" i="3"/>
  <c r="C52" i="3"/>
  <c r="O92" i="17" l="1"/>
  <c r="C93" i="17"/>
  <c r="G93" i="17" s="1"/>
  <c r="D97" i="19"/>
  <c r="O96" i="19"/>
  <c r="F96" i="19"/>
  <c r="H51" i="14"/>
  <c r="O50" i="16"/>
  <c r="D51" i="16"/>
  <c r="E52" i="3"/>
  <c r="D52" i="3" s="1"/>
  <c r="F52" i="3" s="1"/>
  <c r="G52" i="3" s="1"/>
  <c r="I52" i="3"/>
  <c r="C97" i="19" l="1"/>
  <c r="G97" i="19" s="1"/>
  <c r="E93" i="17"/>
  <c r="H93" i="17" s="1"/>
  <c r="O51" i="14"/>
  <c r="D52" i="14"/>
  <c r="C52" i="14" s="1"/>
  <c r="G52" i="14" s="1"/>
  <c r="E52" i="14" s="1"/>
  <c r="F52" i="14" s="1"/>
  <c r="C51" i="16"/>
  <c r="H52" i="3"/>
  <c r="C53" i="3"/>
  <c r="O93" i="17" l="1"/>
  <c r="D94" i="17"/>
  <c r="F93" i="17"/>
  <c r="E97" i="19"/>
  <c r="H97" i="19" s="1"/>
  <c r="H52" i="14"/>
  <c r="G51" i="16"/>
  <c r="E51" i="16" s="1"/>
  <c r="I53" i="3"/>
  <c r="E53" i="3"/>
  <c r="D53" i="3" s="1"/>
  <c r="F53" i="3" s="1"/>
  <c r="G53" i="3" s="1"/>
  <c r="O97" i="19" l="1"/>
  <c r="D98" i="19"/>
  <c r="F97" i="19"/>
  <c r="C94" i="17"/>
  <c r="G94" i="17" s="1"/>
  <c r="D53" i="14"/>
  <c r="C53" i="14" s="1"/>
  <c r="G53" i="14" s="1"/>
  <c r="O52" i="14"/>
  <c r="F51" i="16"/>
  <c r="H51" i="16"/>
  <c r="H53" i="3"/>
  <c r="C54" i="3"/>
  <c r="E94" i="17" l="1"/>
  <c r="H94" i="17" s="1"/>
  <c r="C98" i="19"/>
  <c r="G98" i="19" s="1"/>
  <c r="E53" i="14"/>
  <c r="H53" i="14" s="1"/>
  <c r="O53" i="14" s="1"/>
  <c r="O51" i="16"/>
  <c r="D52" i="16"/>
  <c r="I54" i="3"/>
  <c r="E54" i="3"/>
  <c r="D54" i="3" s="1"/>
  <c r="F54" i="3" s="1"/>
  <c r="G54" i="3" s="1"/>
  <c r="D54" i="14" l="1"/>
  <c r="C54" i="14" s="1"/>
  <c r="G54" i="14" s="1"/>
  <c r="E54" i="14" s="1"/>
  <c r="E98" i="19"/>
  <c r="H98" i="19" s="1"/>
  <c r="O94" i="17"/>
  <c r="D95" i="17"/>
  <c r="F94" i="17"/>
  <c r="F53" i="14"/>
  <c r="C52" i="16"/>
  <c r="H54" i="3"/>
  <c r="C55" i="3"/>
  <c r="H54" i="14" l="1"/>
  <c r="D55" i="14" s="1"/>
  <c r="C55" i="14" s="1"/>
  <c r="G55" i="14" s="1"/>
  <c r="E55" i="14" s="1"/>
  <c r="F54" i="14"/>
  <c r="C95" i="17"/>
  <c r="G95" i="17" s="1"/>
  <c r="E95" i="17" s="1"/>
  <c r="F95" i="17" s="1"/>
  <c r="O98" i="19"/>
  <c r="D99" i="19"/>
  <c r="F98" i="19"/>
  <c r="G52" i="16"/>
  <c r="E52" i="16" s="1"/>
  <c r="D17" i="14"/>
  <c r="E55" i="3"/>
  <c r="D55" i="3" s="1"/>
  <c r="F55" i="3" s="1"/>
  <c r="G55" i="3" s="1"/>
  <c r="I55" i="3"/>
  <c r="H95" i="17" l="1"/>
  <c r="O95" i="17" s="1"/>
  <c r="O54" i="14"/>
  <c r="D14" i="14"/>
  <c r="C99" i="19"/>
  <c r="G99" i="19" s="1"/>
  <c r="E99" i="19" s="1"/>
  <c r="F99" i="19" s="1"/>
  <c r="H52" i="16"/>
  <c r="F52" i="16"/>
  <c r="D13" i="14"/>
  <c r="H55" i="14"/>
  <c r="F55" i="14"/>
  <c r="C56" i="3"/>
  <c r="H55" i="3"/>
  <c r="D96" i="17" l="1"/>
  <c r="C96" i="17" s="1"/>
  <c r="D15" i="14"/>
  <c r="H99" i="19"/>
  <c r="D100" i="19" s="1"/>
  <c r="D53" i="16"/>
  <c r="O52" i="16"/>
  <c r="I55" i="14"/>
  <c r="O55" i="14"/>
  <c r="D56" i="14"/>
  <c r="I56" i="3"/>
  <c r="E56" i="3"/>
  <c r="D56" i="3" s="1"/>
  <c r="F56" i="3" s="1"/>
  <c r="G56" i="3" s="1"/>
  <c r="O99" i="19" l="1"/>
  <c r="C100" i="19"/>
  <c r="G100" i="19" s="1"/>
  <c r="E100" i="19" s="1"/>
  <c r="F100" i="19" s="1"/>
  <c r="G96" i="17"/>
  <c r="C53" i="16"/>
  <c r="C56" i="14"/>
  <c r="G56" i="14" s="1"/>
  <c r="H56" i="3"/>
  <c r="C57" i="3"/>
  <c r="H100" i="19" l="1"/>
  <c r="D101" i="19" s="1"/>
  <c r="C101" i="19" s="1"/>
  <c r="G101" i="19" s="1"/>
  <c r="E101" i="19" s="1"/>
  <c r="E96" i="17"/>
  <c r="F96" i="17" s="1"/>
  <c r="E56" i="14"/>
  <c r="H56" i="14" s="1"/>
  <c r="G53" i="16"/>
  <c r="E53" i="16" s="1"/>
  <c r="I57" i="3"/>
  <c r="E57" i="3"/>
  <c r="D57" i="3" s="1"/>
  <c r="F57" i="3" s="1"/>
  <c r="G57" i="3" s="1"/>
  <c r="O100" i="19" l="1"/>
  <c r="F101" i="19"/>
  <c r="H101" i="19"/>
  <c r="O101" i="19" s="1"/>
  <c r="H96" i="17"/>
  <c r="D97" i="17" s="1"/>
  <c r="F56" i="14"/>
  <c r="D57" i="14"/>
  <c r="C57" i="14" s="1"/>
  <c r="G57" i="14" s="1"/>
  <c r="E57" i="14" s="1"/>
  <c r="F57" i="14" s="1"/>
  <c r="O56" i="14"/>
  <c r="F53" i="16"/>
  <c r="H53" i="16"/>
  <c r="C58" i="3"/>
  <c r="H57" i="3"/>
  <c r="O96" i="17" l="1"/>
  <c r="D102" i="19"/>
  <c r="C102" i="19" s="1"/>
  <c r="C97" i="17"/>
  <c r="H57" i="14"/>
  <c r="D58" i="14" s="1"/>
  <c r="O53" i="16"/>
  <c r="D54" i="16"/>
  <c r="I58" i="3"/>
  <c r="E58" i="3"/>
  <c r="D58" i="3" s="1"/>
  <c r="F58" i="3" s="1"/>
  <c r="G58" i="3" s="1"/>
  <c r="O57" i="14" l="1"/>
  <c r="G97" i="17"/>
  <c r="C54" i="16"/>
  <c r="G102" i="19"/>
  <c r="E102" i="19" s="1"/>
  <c r="C58" i="14"/>
  <c r="G58" i="14" s="1"/>
  <c r="C59" i="3"/>
  <c r="H58" i="3"/>
  <c r="E97" i="17" l="1"/>
  <c r="F97" i="17" s="1"/>
  <c r="E58" i="14"/>
  <c r="F58" i="14" s="1"/>
  <c r="G54" i="16"/>
  <c r="E54" i="16" s="1"/>
  <c r="H102" i="19"/>
  <c r="F102" i="19"/>
  <c r="I59" i="3"/>
  <c r="E59" i="3"/>
  <c r="D59" i="3" s="1"/>
  <c r="F59" i="3" s="1"/>
  <c r="G59" i="3" s="1"/>
  <c r="H97" i="17" l="1"/>
  <c r="O97" i="17" s="1"/>
  <c r="H58" i="14"/>
  <c r="O58" i="14" s="1"/>
  <c r="F54" i="16"/>
  <c r="H54" i="16"/>
  <c r="D103" i="19"/>
  <c r="O102" i="19"/>
  <c r="H59" i="3"/>
  <c r="C60" i="3"/>
  <c r="D59" i="14" l="1"/>
  <c r="C59" i="14" s="1"/>
  <c r="G59" i="14" s="1"/>
  <c r="D98" i="17"/>
  <c r="C98" i="17" s="1"/>
  <c r="E59" i="14"/>
  <c r="O54" i="16"/>
  <c r="D55" i="16"/>
  <c r="C103" i="19"/>
  <c r="F14" i="19"/>
  <c r="E60" i="3"/>
  <c r="D60" i="3" s="1"/>
  <c r="F60" i="3" s="1"/>
  <c r="G60" i="3" s="1"/>
  <c r="I60" i="3"/>
  <c r="F59" i="14" l="1"/>
  <c r="H59" i="14"/>
  <c r="D60" i="14" s="1"/>
  <c r="C60" i="14" s="1"/>
  <c r="G60" i="14" s="1"/>
  <c r="G98" i="17"/>
  <c r="C55" i="16"/>
  <c r="D14" i="16"/>
  <c r="G103" i="19"/>
  <c r="E103" i="19" s="1"/>
  <c r="F17" i="19"/>
  <c r="H60" i="3"/>
  <c r="C61" i="3"/>
  <c r="E60" i="14" l="1"/>
  <c r="F60" i="14" s="1"/>
  <c r="O59" i="14"/>
  <c r="E98" i="17"/>
  <c r="F98" i="17" s="1"/>
  <c r="G55" i="16"/>
  <c r="E55" i="16" s="1"/>
  <c r="D17" i="16"/>
  <c r="H60" i="14"/>
  <c r="O60" i="14" s="1"/>
  <c r="F13" i="19"/>
  <c r="F15" i="19" s="1"/>
  <c r="F103" i="19"/>
  <c r="H103" i="19"/>
  <c r="I61" i="3"/>
  <c r="E61" i="3"/>
  <c r="D61" i="3" s="1"/>
  <c r="F61" i="3" s="1"/>
  <c r="G61" i="3" s="1"/>
  <c r="H98" i="17" l="1"/>
  <c r="O98" i="17" s="1"/>
  <c r="D13" i="16"/>
  <c r="D15" i="16" s="1"/>
  <c r="F55" i="16"/>
  <c r="H55" i="16"/>
  <c r="D61" i="14"/>
  <c r="C61" i="14" s="1"/>
  <c r="G61" i="14" s="1"/>
  <c r="E61" i="14" s="1"/>
  <c r="I103" i="19"/>
  <c r="D104" i="19"/>
  <c r="O103" i="19"/>
  <c r="C62" i="3"/>
  <c r="H61" i="3"/>
  <c r="D99" i="17" l="1"/>
  <c r="C99" i="17" s="1"/>
  <c r="I55" i="16"/>
  <c r="O55" i="16"/>
  <c r="D56" i="16"/>
  <c r="F61" i="14"/>
  <c r="H61" i="14"/>
  <c r="O61" i="14" s="1"/>
  <c r="C104" i="19"/>
  <c r="G104" i="19" s="1"/>
  <c r="I62" i="3"/>
  <c r="E62" i="3"/>
  <c r="D62" i="3" s="1"/>
  <c r="F62" i="3" s="1"/>
  <c r="G62" i="3" s="1"/>
  <c r="E104" i="19" l="1"/>
  <c r="F104" i="19" s="1"/>
  <c r="G99" i="17"/>
  <c r="C56" i="16"/>
  <c r="G56" i="16" s="1"/>
  <c r="D62" i="14"/>
  <c r="C62" i="14" s="1"/>
  <c r="G62" i="14" s="1"/>
  <c r="E62" i="14" s="1"/>
  <c r="H62" i="3"/>
  <c r="C63" i="3"/>
  <c r="H104" i="19" l="1"/>
  <c r="D105" i="19" s="1"/>
  <c r="C105" i="19" s="1"/>
  <c r="G105" i="19" s="1"/>
  <c r="E99" i="17"/>
  <c r="F99" i="17" s="1"/>
  <c r="E56" i="16"/>
  <c r="F56" i="16" s="1"/>
  <c r="F62" i="14"/>
  <c r="H62" i="14"/>
  <c r="D63" i="14" s="1"/>
  <c r="C63" i="14" s="1"/>
  <c r="G63" i="14" s="1"/>
  <c r="I63" i="3"/>
  <c r="E63" i="3"/>
  <c r="D63" i="3" s="1"/>
  <c r="F63" i="3" s="1"/>
  <c r="G63" i="3" s="1"/>
  <c r="O104" i="19" l="1"/>
  <c r="H99" i="17"/>
  <c r="O99" i="17" s="1"/>
  <c r="E105" i="19"/>
  <c r="F105" i="19" s="1"/>
  <c r="H56" i="16"/>
  <c r="O56" i="16" s="1"/>
  <c r="O62" i="14"/>
  <c r="E63" i="14"/>
  <c r="H63" i="14" s="1"/>
  <c r="O63" i="14" s="1"/>
  <c r="H105" i="19"/>
  <c r="O105" i="19" s="1"/>
  <c r="C64" i="3"/>
  <c r="H63" i="3"/>
  <c r="D100" i="17" l="1"/>
  <c r="C100" i="17" s="1"/>
  <c r="D57" i="16"/>
  <c r="C57" i="16" s="1"/>
  <c r="G57" i="16" s="1"/>
  <c r="D106" i="19"/>
  <c r="C106" i="19" s="1"/>
  <c r="G106" i="19" s="1"/>
  <c r="E106" i="19" s="1"/>
  <c r="F63" i="14"/>
  <c r="D64" i="14"/>
  <c r="C64" i="14" s="1"/>
  <c r="G64" i="14" s="1"/>
  <c r="E64" i="14" s="1"/>
  <c r="I64" i="3"/>
  <c r="E64" i="3"/>
  <c r="D64" i="3" s="1"/>
  <c r="F64" i="3" s="1"/>
  <c r="G64" i="3" s="1"/>
  <c r="G100" i="17" l="1"/>
  <c r="E57" i="16"/>
  <c r="F57" i="16" s="1"/>
  <c r="F64" i="14"/>
  <c r="F106" i="19"/>
  <c r="H106" i="19"/>
  <c r="H64" i="14"/>
  <c r="C65" i="3"/>
  <c r="H64" i="3"/>
  <c r="E100" i="17" l="1"/>
  <c r="F100" i="17" s="1"/>
  <c r="H57" i="16"/>
  <c r="D107" i="19"/>
  <c r="O106" i="19"/>
  <c r="O64" i="14"/>
  <c r="D65" i="14"/>
  <c r="I65" i="3"/>
  <c r="E65" i="3"/>
  <c r="D65" i="3" s="1"/>
  <c r="F65" i="3" s="1"/>
  <c r="G65" i="3" s="1"/>
  <c r="H100" i="17" l="1"/>
  <c r="O100" i="17" s="1"/>
  <c r="O57" i="16"/>
  <c r="D58" i="16"/>
  <c r="C58" i="16" s="1"/>
  <c r="G58" i="16" s="1"/>
  <c r="E58" i="16" s="1"/>
  <c r="C107" i="19"/>
  <c r="G107" i="19" s="1"/>
  <c r="C65" i="14"/>
  <c r="G65" i="14" s="1"/>
  <c r="C66" i="3"/>
  <c r="H65" i="3"/>
  <c r="D101" i="17" l="1"/>
  <c r="C101" i="17" s="1"/>
  <c r="G101" i="17" s="1"/>
  <c r="E107" i="19"/>
  <c r="F107" i="19" s="1"/>
  <c r="F58" i="16"/>
  <c r="E65" i="14"/>
  <c r="F65" i="14" s="1"/>
  <c r="H58" i="16"/>
  <c r="O58" i="16" s="1"/>
  <c r="I66" i="3"/>
  <c r="E66" i="3"/>
  <c r="D66" i="3" s="1"/>
  <c r="F66" i="3" s="1"/>
  <c r="G66" i="3" s="1"/>
  <c r="H107" i="19" l="1"/>
  <c r="O107" i="19" s="1"/>
  <c r="E101" i="17"/>
  <c r="H101" i="17" s="1"/>
  <c r="D59" i="16"/>
  <c r="C59" i="16" s="1"/>
  <c r="G59" i="16" s="1"/>
  <c r="H65" i="14"/>
  <c r="O65" i="14" s="1"/>
  <c r="D108" i="19"/>
  <c r="C108" i="19" s="1"/>
  <c r="G108" i="19" s="1"/>
  <c r="C67" i="3"/>
  <c r="H66" i="3"/>
  <c r="E108" i="19" l="1"/>
  <c r="F108" i="19" s="1"/>
  <c r="D102" i="17"/>
  <c r="O101" i="17"/>
  <c r="F101" i="17"/>
  <c r="D66" i="14"/>
  <c r="C66" i="14" s="1"/>
  <c r="G66" i="14" s="1"/>
  <c r="E66" i="14" s="1"/>
  <c r="E59" i="16"/>
  <c r="H59" i="16" s="1"/>
  <c r="H108" i="19"/>
  <c r="E67" i="3"/>
  <c r="D67" i="3" s="1"/>
  <c r="F67" i="3" s="1"/>
  <c r="G67" i="3" s="1"/>
  <c r="I67" i="3"/>
  <c r="C102" i="17" l="1"/>
  <c r="G102" i="17" s="1"/>
  <c r="F59" i="16"/>
  <c r="O59" i="16"/>
  <c r="D60" i="16"/>
  <c r="C60" i="16" s="1"/>
  <c r="G60" i="16" s="1"/>
  <c r="E60" i="16" s="1"/>
  <c r="F60" i="16" s="1"/>
  <c r="H66" i="14"/>
  <c r="F66" i="14"/>
  <c r="D109" i="19"/>
  <c r="C109" i="19" s="1"/>
  <c r="G109" i="19" s="1"/>
  <c r="E109" i="19" s="1"/>
  <c r="O108" i="19"/>
  <c r="H67" i="3"/>
  <c r="C68" i="3"/>
  <c r="E102" i="17" l="1"/>
  <c r="H102" i="17" s="1"/>
  <c r="H60" i="16"/>
  <c r="O66" i="14"/>
  <c r="D67" i="14"/>
  <c r="C67" i="14" s="1"/>
  <c r="G67" i="14" s="1"/>
  <c r="H109" i="19"/>
  <c r="D110" i="19" s="1"/>
  <c r="F109" i="19"/>
  <c r="I68" i="3"/>
  <c r="E68" i="3"/>
  <c r="D68" i="3" s="1"/>
  <c r="F68" i="3" s="1"/>
  <c r="G68" i="3" s="1"/>
  <c r="O109" i="19" l="1"/>
  <c r="O102" i="17"/>
  <c r="D103" i="17"/>
  <c r="F102" i="17"/>
  <c r="E67" i="14"/>
  <c r="H67" i="14" s="1"/>
  <c r="D61" i="16"/>
  <c r="O60" i="16"/>
  <c r="C110" i="19"/>
  <c r="G110" i="19" s="1"/>
  <c r="H68" i="3"/>
  <c r="C69" i="3"/>
  <c r="C103" i="17" l="1"/>
  <c r="F14" i="17"/>
  <c r="E110" i="19"/>
  <c r="F110" i="19" s="1"/>
  <c r="F67" i="14"/>
  <c r="I67" i="14"/>
  <c r="D68" i="14"/>
  <c r="C68" i="14" s="1"/>
  <c r="G68" i="14" s="1"/>
  <c r="E68" i="14" s="1"/>
  <c r="O67" i="14"/>
  <c r="C61" i="16"/>
  <c r="G61" i="16" s="1"/>
  <c r="E61" i="16" s="1"/>
  <c r="F61" i="16" s="1"/>
  <c r="E69" i="3"/>
  <c r="D69" i="3" s="1"/>
  <c r="F69" i="3" s="1"/>
  <c r="G69" i="3" s="1"/>
  <c r="I69" i="3"/>
  <c r="G103" i="17" l="1"/>
  <c r="F17" i="17"/>
  <c r="H110" i="19"/>
  <c r="O110" i="19" s="1"/>
  <c r="H68" i="14"/>
  <c r="D69" i="14" s="1"/>
  <c r="C69" i="14" s="1"/>
  <c r="G69" i="14" s="1"/>
  <c r="E69" i="14" s="1"/>
  <c r="F68" i="14"/>
  <c r="H61" i="16"/>
  <c r="O61" i="16" s="1"/>
  <c r="C70" i="3"/>
  <c r="H69" i="3"/>
  <c r="D111" i="19" l="1"/>
  <c r="F13" i="17"/>
  <c r="F15" i="17" s="1"/>
  <c r="E103" i="17"/>
  <c r="F103" i="17" s="1"/>
  <c r="D62" i="16"/>
  <c r="C62" i="16" s="1"/>
  <c r="G62" i="16" s="1"/>
  <c r="E62" i="16" s="1"/>
  <c r="F62" i="16" s="1"/>
  <c r="O68" i="14"/>
  <c r="F69" i="14"/>
  <c r="C111" i="19"/>
  <c r="G111" i="19" s="1"/>
  <c r="H69" i="14"/>
  <c r="E70" i="3"/>
  <c r="D70" i="3" s="1"/>
  <c r="F70" i="3" s="1"/>
  <c r="G70" i="3" s="1"/>
  <c r="I70" i="3"/>
  <c r="H103" i="17" l="1"/>
  <c r="O103" i="17" s="1"/>
  <c r="E111" i="19"/>
  <c r="F111" i="19" s="1"/>
  <c r="H62" i="16"/>
  <c r="D70" i="14"/>
  <c r="C70" i="14" s="1"/>
  <c r="G70" i="14" s="1"/>
  <c r="E70" i="14" s="1"/>
  <c r="O69" i="14"/>
  <c r="H70" i="3"/>
  <c r="C71" i="3"/>
  <c r="I103" i="17" l="1"/>
  <c r="D104" i="17"/>
  <c r="C104" i="17" s="1"/>
  <c r="G104" i="17" s="1"/>
  <c r="E104" i="17" s="1"/>
  <c r="F104" i="17" s="1"/>
  <c r="H111" i="19"/>
  <c r="D112" i="19" s="1"/>
  <c r="F70" i="14"/>
  <c r="H70" i="14"/>
  <c r="D71" i="14" s="1"/>
  <c r="C71" i="14" s="1"/>
  <c r="G71" i="14" s="1"/>
  <c r="O62" i="16"/>
  <c r="D63" i="16"/>
  <c r="I71" i="3"/>
  <c r="E71" i="3"/>
  <c r="D71" i="3" s="1"/>
  <c r="F71" i="3" s="1"/>
  <c r="G71" i="3" s="1"/>
  <c r="H104" i="17" l="1"/>
  <c r="D105" i="17" s="1"/>
  <c r="O111" i="19"/>
  <c r="O70" i="14"/>
  <c r="C63" i="16"/>
  <c r="G63" i="16" s="1"/>
  <c r="E63" i="16" s="1"/>
  <c r="F63" i="16" s="1"/>
  <c r="E71" i="14"/>
  <c r="F71" i="14" s="1"/>
  <c r="C112" i="19"/>
  <c r="G112" i="19" s="1"/>
  <c r="C72" i="3"/>
  <c r="H71" i="3"/>
  <c r="O104" i="17" l="1"/>
  <c r="E112" i="19"/>
  <c r="F112" i="19" s="1"/>
  <c r="C105" i="17"/>
  <c r="G105" i="17" s="1"/>
  <c r="H71" i="14"/>
  <c r="D72" i="14" s="1"/>
  <c r="C72" i="14" s="1"/>
  <c r="G72" i="14" s="1"/>
  <c r="H63" i="16"/>
  <c r="H112" i="19"/>
  <c r="I72" i="3"/>
  <c r="E72" i="3"/>
  <c r="D72" i="3" s="1"/>
  <c r="F72" i="3" s="1"/>
  <c r="G72" i="3" s="1"/>
  <c r="O71" i="14" l="1"/>
  <c r="E105" i="17"/>
  <c r="H105" i="17" s="1"/>
  <c r="D64" i="16"/>
  <c r="C64" i="16" s="1"/>
  <c r="G64" i="16" s="1"/>
  <c r="O63" i="16"/>
  <c r="E72" i="14"/>
  <c r="F72" i="14" s="1"/>
  <c r="O112" i="19"/>
  <c r="D113" i="19"/>
  <c r="H72" i="3"/>
  <c r="C73" i="3"/>
  <c r="D106" i="17" l="1"/>
  <c r="C106" i="17" s="1"/>
  <c r="G106" i="17" s="1"/>
  <c r="O105" i="17"/>
  <c r="F105" i="17"/>
  <c r="H72" i="14"/>
  <c r="O72" i="14" s="1"/>
  <c r="E64" i="16"/>
  <c r="F64" i="16" s="1"/>
  <c r="C113" i="19"/>
  <c r="G113" i="19" s="1"/>
  <c r="E73" i="3"/>
  <c r="D73" i="3" s="1"/>
  <c r="F73" i="3" s="1"/>
  <c r="G73" i="3" s="1"/>
  <c r="I73" i="3"/>
  <c r="E113" i="19" l="1"/>
  <c r="F113" i="19" s="1"/>
  <c r="E106" i="17"/>
  <c r="F106" i="17" s="1"/>
  <c r="D73" i="14"/>
  <c r="C73" i="14" s="1"/>
  <c r="G73" i="14" s="1"/>
  <c r="E73" i="14" s="1"/>
  <c r="F73" i="14" s="1"/>
  <c r="H64" i="16"/>
  <c r="O64" i="16" s="1"/>
  <c r="H73" i="3"/>
  <c r="C74" i="3"/>
  <c r="H113" i="19" l="1"/>
  <c r="H106" i="17"/>
  <c r="H73" i="14"/>
  <c r="D74" i="14" s="1"/>
  <c r="C74" i="14" s="1"/>
  <c r="G74" i="14" s="1"/>
  <c r="E74" i="14" s="1"/>
  <c r="D65" i="16"/>
  <c r="C65" i="16" s="1"/>
  <c r="G65" i="16" s="1"/>
  <c r="E65" i="16" s="1"/>
  <c r="F65" i="16" s="1"/>
  <c r="O113" i="19"/>
  <c r="D114" i="19"/>
  <c r="I74" i="3"/>
  <c r="E74" i="3"/>
  <c r="D74" i="3" s="1"/>
  <c r="F74" i="3" s="1"/>
  <c r="G74" i="3" s="1"/>
  <c r="O106" i="17" l="1"/>
  <c r="D107" i="17"/>
  <c r="O73" i="14"/>
  <c r="F74" i="14"/>
  <c r="H65" i="16"/>
  <c r="H74" i="14"/>
  <c r="O74" i="14" s="1"/>
  <c r="C114" i="19"/>
  <c r="G114" i="19" s="1"/>
  <c r="H74" i="3"/>
  <c r="C75" i="3"/>
  <c r="E114" i="19" l="1"/>
  <c r="F114" i="19" s="1"/>
  <c r="C107" i="17"/>
  <c r="G107" i="17" s="1"/>
  <c r="E107" i="17" s="1"/>
  <c r="F107" i="17" s="1"/>
  <c r="D66" i="16"/>
  <c r="O65" i="16"/>
  <c r="H114" i="19"/>
  <c r="D115" i="19" s="1"/>
  <c r="D75" i="14"/>
  <c r="C75" i="14" s="1"/>
  <c r="G75" i="14" s="1"/>
  <c r="E75" i="14" s="1"/>
  <c r="E75" i="3"/>
  <c r="D75" i="3" s="1"/>
  <c r="F75" i="3" s="1"/>
  <c r="G75" i="3" s="1"/>
  <c r="I75" i="3"/>
  <c r="H107" i="17" l="1"/>
  <c r="D108" i="17" s="1"/>
  <c r="C66" i="16"/>
  <c r="G66" i="16" s="1"/>
  <c r="O114" i="19"/>
  <c r="F75" i="14"/>
  <c r="C115" i="19"/>
  <c r="G115" i="19" s="1"/>
  <c r="H75" i="14"/>
  <c r="D76" i="14" s="1"/>
  <c r="H75" i="3"/>
  <c r="C76" i="3"/>
  <c r="O107" i="17" l="1"/>
  <c r="E115" i="19"/>
  <c r="F115" i="19" s="1"/>
  <c r="C108" i="17"/>
  <c r="G108" i="17" s="1"/>
  <c r="E108" i="17" s="1"/>
  <c r="F108" i="17" s="1"/>
  <c r="E66" i="16"/>
  <c r="H66" i="16" s="1"/>
  <c r="O75" i="14"/>
  <c r="C76" i="14"/>
  <c r="G76" i="14" s="1"/>
  <c r="E76" i="14" s="1"/>
  <c r="I76" i="3"/>
  <c r="E76" i="3"/>
  <c r="D76" i="3" s="1"/>
  <c r="F76" i="3" s="1"/>
  <c r="G76" i="3" s="1"/>
  <c r="H115" i="19" l="1"/>
  <c r="D116" i="19" s="1"/>
  <c r="H108" i="17"/>
  <c r="O108" i="17" s="1"/>
  <c r="O66" i="16"/>
  <c r="D67" i="16"/>
  <c r="F66" i="16"/>
  <c r="F76" i="14"/>
  <c r="H76" i="14"/>
  <c r="O76" i="14" s="1"/>
  <c r="C77" i="3"/>
  <c r="H76" i="3"/>
  <c r="I115" i="19" l="1"/>
  <c r="O115" i="19"/>
  <c r="D109" i="17"/>
  <c r="C109" i="17" s="1"/>
  <c r="G109" i="17" s="1"/>
  <c r="E109" i="17" s="1"/>
  <c r="F109" i="17" s="1"/>
  <c r="C67" i="16"/>
  <c r="G67" i="16" s="1"/>
  <c r="E67" i="16" s="1"/>
  <c r="F67" i="16" s="1"/>
  <c r="D77" i="14"/>
  <c r="C77" i="14" s="1"/>
  <c r="G77" i="14" s="1"/>
  <c r="C116" i="19"/>
  <c r="G116" i="19" s="1"/>
  <c r="I77" i="3"/>
  <c r="E77" i="3"/>
  <c r="D77" i="3" s="1"/>
  <c r="F77" i="3" s="1"/>
  <c r="G77" i="3" s="1"/>
  <c r="H109" i="17" l="1"/>
  <c r="D110" i="17" s="1"/>
  <c r="E116" i="19"/>
  <c r="F116" i="19" s="1"/>
  <c r="H67" i="16"/>
  <c r="I67" i="16" s="1"/>
  <c r="E77" i="14"/>
  <c r="F77" i="14" s="1"/>
  <c r="H116" i="19"/>
  <c r="C78" i="3"/>
  <c r="H77" i="3"/>
  <c r="O109" i="17" l="1"/>
  <c r="C110" i="17"/>
  <c r="G110" i="17" s="1"/>
  <c r="D68" i="16"/>
  <c r="C68" i="16" s="1"/>
  <c r="G68" i="16" s="1"/>
  <c r="E68" i="16" s="1"/>
  <c r="F68" i="16" s="1"/>
  <c r="O67" i="16"/>
  <c r="H77" i="14"/>
  <c r="O77" i="14" s="1"/>
  <c r="O116" i="19"/>
  <c r="D117" i="19"/>
  <c r="E78" i="3"/>
  <c r="D78" i="3" s="1"/>
  <c r="F78" i="3" s="1"/>
  <c r="G78" i="3" s="1"/>
  <c r="I78" i="3"/>
  <c r="E110" i="17" l="1"/>
  <c r="H110" i="17" s="1"/>
  <c r="D78" i="14"/>
  <c r="C78" i="14" s="1"/>
  <c r="G78" i="14" s="1"/>
  <c r="E78" i="14" s="1"/>
  <c r="F78" i="14" s="1"/>
  <c r="H68" i="16"/>
  <c r="D69" i="16" s="1"/>
  <c r="C69" i="16" s="1"/>
  <c r="G69" i="16" s="1"/>
  <c r="E69" i="16" s="1"/>
  <c r="F69" i="16" s="1"/>
  <c r="C117" i="19"/>
  <c r="G117" i="19" s="1"/>
  <c r="C79" i="3"/>
  <c r="H78" i="3"/>
  <c r="O68" i="16" l="1"/>
  <c r="E117" i="19"/>
  <c r="H117" i="19" s="1"/>
  <c r="O110" i="17"/>
  <c r="D111" i="17"/>
  <c r="F110" i="17"/>
  <c r="H78" i="14"/>
  <c r="D79" i="14" s="1"/>
  <c r="C79" i="14" s="1"/>
  <c r="H69" i="16"/>
  <c r="O69" i="16" s="1"/>
  <c r="E14" i="14"/>
  <c r="I79" i="3"/>
  <c r="E79" i="3"/>
  <c r="D79" i="3" s="1"/>
  <c r="F79" i="3" s="1"/>
  <c r="G79" i="3" s="1"/>
  <c r="F117" i="19" l="1"/>
  <c r="O117" i="19"/>
  <c r="D118" i="19"/>
  <c r="C118" i="19" s="1"/>
  <c r="G118" i="19" s="1"/>
  <c r="C111" i="17"/>
  <c r="G111" i="17" s="1"/>
  <c r="O78" i="14"/>
  <c r="D70" i="16"/>
  <c r="C70" i="16" s="1"/>
  <c r="E17" i="14"/>
  <c r="G79" i="14"/>
  <c r="E79" i="14" s="1"/>
  <c r="H79" i="3"/>
  <c r="C80" i="3"/>
  <c r="E111" i="17" l="1"/>
  <c r="H111" i="17" s="1"/>
  <c r="E118" i="19"/>
  <c r="F118" i="19" s="1"/>
  <c r="G70" i="16"/>
  <c r="E70" i="16" s="1"/>
  <c r="E13" i="14"/>
  <c r="E15" i="14" s="1"/>
  <c r="F79" i="14"/>
  <c r="H79" i="14"/>
  <c r="I80" i="3"/>
  <c r="E80" i="3"/>
  <c r="D80" i="3" s="1"/>
  <c r="F80" i="3" s="1"/>
  <c r="G80" i="3" s="1"/>
  <c r="H118" i="19" l="1"/>
  <c r="O118" i="19" s="1"/>
  <c r="D112" i="17"/>
  <c r="O111" i="17"/>
  <c r="F111" i="17"/>
  <c r="H70" i="16"/>
  <c r="D71" i="16" s="1"/>
  <c r="F70" i="16"/>
  <c r="I79" i="14"/>
  <c r="O79" i="14"/>
  <c r="D80" i="14"/>
  <c r="H80" i="3"/>
  <c r="C81" i="3"/>
  <c r="D119" i="19" l="1"/>
  <c r="C119" i="19" s="1"/>
  <c r="G119" i="19" s="1"/>
  <c r="O70" i="16"/>
  <c r="C112" i="17"/>
  <c r="G112" i="17" s="1"/>
  <c r="E112" i="17" s="1"/>
  <c r="F112" i="17" s="1"/>
  <c r="C71" i="16"/>
  <c r="C80" i="14"/>
  <c r="G80" i="14" s="1"/>
  <c r="E81" i="3"/>
  <c r="D81" i="3" s="1"/>
  <c r="F81" i="3" s="1"/>
  <c r="G81" i="3" s="1"/>
  <c r="I81" i="3"/>
  <c r="H112" i="17" l="1"/>
  <c r="O112" i="17" s="1"/>
  <c r="E119" i="19"/>
  <c r="H119" i="19" s="1"/>
  <c r="E80" i="14"/>
  <c r="F80" i="14" s="1"/>
  <c r="G71" i="16"/>
  <c r="E71" i="16" s="1"/>
  <c r="C82" i="3"/>
  <c r="H81" i="3"/>
  <c r="D113" i="17" l="1"/>
  <c r="C113" i="17" s="1"/>
  <c r="G113" i="17" s="1"/>
  <c r="E113" i="17" s="1"/>
  <c r="F113" i="17" s="1"/>
  <c r="F119" i="19"/>
  <c r="H80" i="14"/>
  <c r="O80" i="14" s="1"/>
  <c r="O119" i="19"/>
  <c r="D120" i="19"/>
  <c r="H113" i="17"/>
  <c r="F71" i="16"/>
  <c r="H71" i="16"/>
  <c r="C120" i="19"/>
  <c r="G120" i="19" s="1"/>
  <c r="E82" i="3"/>
  <c r="D82" i="3" s="1"/>
  <c r="F82" i="3" s="1"/>
  <c r="G82" i="3" s="1"/>
  <c r="I82" i="3"/>
  <c r="D81" i="14" l="1"/>
  <c r="C81" i="14" s="1"/>
  <c r="G81" i="14" s="1"/>
  <c r="O113" i="17"/>
  <c r="D114" i="17"/>
  <c r="E120" i="19"/>
  <c r="F120" i="19" s="1"/>
  <c r="E81" i="14"/>
  <c r="D72" i="16"/>
  <c r="O71" i="16"/>
  <c r="C83" i="3"/>
  <c r="H82" i="3"/>
  <c r="H120" i="19" l="1"/>
  <c r="D121" i="19" s="1"/>
  <c r="F81" i="14"/>
  <c r="C114" i="17"/>
  <c r="G114" i="17" s="1"/>
  <c r="E114" i="17" s="1"/>
  <c r="F114" i="17" s="1"/>
  <c r="H81" i="14"/>
  <c r="D82" i="14" s="1"/>
  <c r="C82" i="14" s="1"/>
  <c r="G82" i="14" s="1"/>
  <c r="C72" i="16"/>
  <c r="O120" i="19"/>
  <c r="C121" i="19"/>
  <c r="I83" i="3"/>
  <c r="E83" i="3"/>
  <c r="D83" i="3" s="1"/>
  <c r="F83" i="3" s="1"/>
  <c r="G83" i="3" s="1"/>
  <c r="H114" i="17" l="1"/>
  <c r="O114" i="17" s="1"/>
  <c r="E82" i="14"/>
  <c r="F82" i="14" s="1"/>
  <c r="O81" i="14"/>
  <c r="G72" i="16"/>
  <c r="E72" i="16" s="1"/>
  <c r="G121" i="19"/>
  <c r="E121" i="19" s="1"/>
  <c r="H83" i="3"/>
  <c r="C84" i="3"/>
  <c r="D115" i="17" l="1"/>
  <c r="C115" i="17" s="1"/>
  <c r="G115" i="17" s="1"/>
  <c r="E115" i="17" s="1"/>
  <c r="F115" i="17" s="1"/>
  <c r="H82" i="14"/>
  <c r="O82" i="14" s="1"/>
  <c r="H72" i="16"/>
  <c r="F72" i="16"/>
  <c r="F121" i="19"/>
  <c r="H121" i="19"/>
  <c r="I84" i="3"/>
  <c r="E84" i="3"/>
  <c r="D84" i="3" s="1"/>
  <c r="F84" i="3" s="1"/>
  <c r="G84" i="3" s="1"/>
  <c r="D83" i="14" l="1"/>
  <c r="C83" i="14" s="1"/>
  <c r="G83" i="14" s="1"/>
  <c r="E83" i="14" s="1"/>
  <c r="F83" i="14" s="1"/>
  <c r="H115" i="17"/>
  <c r="O115" i="17" s="1"/>
  <c r="O72" i="16"/>
  <c r="D73" i="16"/>
  <c r="D122" i="19"/>
  <c r="O121" i="19"/>
  <c r="C85" i="3"/>
  <c r="H84" i="3"/>
  <c r="H83" i="14" l="1"/>
  <c r="D84" i="14" s="1"/>
  <c r="C84" i="14" s="1"/>
  <c r="G84" i="14" s="1"/>
  <c r="E84" i="14" s="1"/>
  <c r="D116" i="17"/>
  <c r="C116" i="17" s="1"/>
  <c r="G116" i="17" s="1"/>
  <c r="E116" i="17" s="1"/>
  <c r="F116" i="17" s="1"/>
  <c r="I115" i="17"/>
  <c r="C73" i="16"/>
  <c r="C122" i="19"/>
  <c r="E85" i="3"/>
  <c r="D85" i="3" s="1"/>
  <c r="F85" i="3" s="1"/>
  <c r="G85" i="3" s="1"/>
  <c r="I85" i="3"/>
  <c r="O83" i="14" l="1"/>
  <c r="H116" i="17"/>
  <c r="O116" i="17" s="1"/>
  <c r="G73" i="16"/>
  <c r="E73" i="16" s="1"/>
  <c r="F84" i="14"/>
  <c r="H84" i="14"/>
  <c r="O84" i="14" s="1"/>
  <c r="G122" i="19"/>
  <c r="E122" i="19" s="1"/>
  <c r="C86" i="3"/>
  <c r="H85" i="3"/>
  <c r="D117" i="17" l="1"/>
  <c r="C117" i="17" s="1"/>
  <c r="G117" i="17" s="1"/>
  <c r="E117" i="17" s="1"/>
  <c r="F117" i="17" s="1"/>
  <c r="F73" i="16"/>
  <c r="H73" i="16"/>
  <c r="D85" i="14"/>
  <c r="C85" i="14" s="1"/>
  <c r="G85" i="14" s="1"/>
  <c r="E85" i="14" s="1"/>
  <c r="H122" i="19"/>
  <c r="F122" i="19"/>
  <c r="I86" i="3"/>
  <c r="E86" i="3"/>
  <c r="D86" i="3" s="1"/>
  <c r="F86" i="3" s="1"/>
  <c r="G86" i="3" s="1"/>
  <c r="H117" i="17" l="1"/>
  <c r="O117" i="17" s="1"/>
  <c r="D74" i="16"/>
  <c r="O73" i="16"/>
  <c r="F85" i="14"/>
  <c r="H85" i="14"/>
  <c r="D86" i="14" s="1"/>
  <c r="C86" i="14" s="1"/>
  <c r="G86" i="14" s="1"/>
  <c r="O122" i="19"/>
  <c r="D123" i="19"/>
  <c r="C87" i="3"/>
  <c r="H86" i="3"/>
  <c r="D118" i="17" l="1"/>
  <c r="C118" i="17" s="1"/>
  <c r="G118" i="17" s="1"/>
  <c r="C74" i="16"/>
  <c r="E86" i="14"/>
  <c r="H86" i="14" s="1"/>
  <c r="O85" i="14"/>
  <c r="C123" i="19"/>
  <c r="E87" i="3"/>
  <c r="D87" i="3" s="1"/>
  <c r="F87" i="3" s="1"/>
  <c r="G87" i="3" s="1"/>
  <c r="I87" i="3"/>
  <c r="E118" i="17" l="1"/>
  <c r="H118" i="17" s="1"/>
  <c r="G74" i="16"/>
  <c r="E74" i="16" s="1"/>
  <c r="F86" i="14"/>
  <c r="G123" i="19"/>
  <c r="E123" i="19" s="1"/>
  <c r="O86" i="14"/>
  <c r="D87" i="14"/>
  <c r="C87" i="14" s="1"/>
  <c r="G87" i="14" s="1"/>
  <c r="E87" i="14" s="1"/>
  <c r="H87" i="3"/>
  <c r="C88" i="3"/>
  <c r="D119" i="17" l="1"/>
  <c r="O118" i="17"/>
  <c r="F118" i="17"/>
  <c r="F74" i="16"/>
  <c r="H74" i="16"/>
  <c r="H123" i="19"/>
  <c r="F123" i="19"/>
  <c r="H87" i="14"/>
  <c r="F87" i="14"/>
  <c r="E88" i="3"/>
  <c r="D88" i="3" s="1"/>
  <c r="F88" i="3" s="1"/>
  <c r="G88" i="3" s="1"/>
  <c r="I88" i="3"/>
  <c r="C119" i="17" l="1"/>
  <c r="G119" i="17" s="1"/>
  <c r="D75" i="16"/>
  <c r="O74" i="16"/>
  <c r="D124" i="19"/>
  <c r="O123" i="19"/>
  <c r="D88" i="14"/>
  <c r="O87" i="14"/>
  <c r="C89" i="3"/>
  <c r="H88" i="3"/>
  <c r="E119" i="17" l="1"/>
  <c r="H119" i="17" s="1"/>
  <c r="C75" i="16"/>
  <c r="G75" i="16" s="1"/>
  <c r="C124" i="19"/>
  <c r="C88" i="14"/>
  <c r="G88" i="14" s="1"/>
  <c r="E89" i="3"/>
  <c r="D89" i="3" s="1"/>
  <c r="F89" i="3" s="1"/>
  <c r="G89" i="3" s="1"/>
  <c r="I89" i="3"/>
  <c r="D120" i="17" l="1"/>
  <c r="O119" i="17"/>
  <c r="F119" i="17"/>
  <c r="E88" i="14"/>
  <c r="F88" i="14" s="1"/>
  <c r="E75" i="16"/>
  <c r="F75" i="16" s="1"/>
  <c r="G124" i="19"/>
  <c r="E124" i="19" s="1"/>
  <c r="C90" i="3"/>
  <c r="H89" i="3"/>
  <c r="C120" i="17" l="1"/>
  <c r="G120" i="17" s="1"/>
  <c r="H75" i="16"/>
  <c r="O75" i="16" s="1"/>
  <c r="H88" i="14"/>
  <c r="D89" i="14" s="1"/>
  <c r="C89" i="14" s="1"/>
  <c r="G89" i="14" s="1"/>
  <c r="E89" i="14" s="1"/>
  <c r="H124" i="19"/>
  <c r="F124" i="19"/>
  <c r="I90" i="3"/>
  <c r="E90" i="3"/>
  <c r="D90" i="3" s="1"/>
  <c r="F90" i="3" s="1"/>
  <c r="G90" i="3" s="1"/>
  <c r="D76" i="16" l="1"/>
  <c r="C76" i="16" s="1"/>
  <c r="G76" i="16" s="1"/>
  <c r="E120" i="17"/>
  <c r="H120" i="17" s="1"/>
  <c r="O88" i="14"/>
  <c r="F89" i="14"/>
  <c r="H89" i="14"/>
  <c r="D90" i="14" s="1"/>
  <c r="O124" i="19"/>
  <c r="D125" i="19"/>
  <c r="H90" i="3"/>
  <c r="C91" i="3"/>
  <c r="O120" i="17" l="1"/>
  <c r="D121" i="17"/>
  <c r="F120" i="17"/>
  <c r="E76" i="16"/>
  <c r="F76" i="16" s="1"/>
  <c r="O89" i="14"/>
  <c r="C125" i="19"/>
  <c r="C90" i="14"/>
  <c r="G90" i="14" s="1"/>
  <c r="E90" i="14" s="1"/>
  <c r="I91" i="3"/>
  <c r="E91" i="3"/>
  <c r="D91" i="3" s="1"/>
  <c r="F91" i="3" s="1"/>
  <c r="G91" i="3" s="1"/>
  <c r="C121" i="17" l="1"/>
  <c r="G121" i="17" s="1"/>
  <c r="E121" i="17" s="1"/>
  <c r="F121" i="17" s="1"/>
  <c r="H76" i="16"/>
  <c r="D77" i="16" s="1"/>
  <c r="C77" i="16" s="1"/>
  <c r="G77" i="16" s="1"/>
  <c r="E77" i="16" s="1"/>
  <c r="F90" i="14"/>
  <c r="H90" i="14"/>
  <c r="O90" i="14" s="1"/>
  <c r="G125" i="19"/>
  <c r="E125" i="19" s="1"/>
  <c r="H91" i="3"/>
  <c r="C92" i="3"/>
  <c r="H121" i="17" l="1"/>
  <c r="O121" i="17" s="1"/>
  <c r="O76" i="16"/>
  <c r="F77" i="16"/>
  <c r="H77" i="16"/>
  <c r="D91" i="14"/>
  <c r="C91" i="14" s="1"/>
  <c r="G91" i="14" s="1"/>
  <c r="E91" i="14" s="1"/>
  <c r="H125" i="19"/>
  <c r="F125" i="19"/>
  <c r="E92" i="3"/>
  <c r="D92" i="3" s="1"/>
  <c r="F92" i="3" s="1"/>
  <c r="G92" i="3" s="1"/>
  <c r="I92" i="3"/>
  <c r="D122" i="17" l="1"/>
  <c r="C122" i="17" s="1"/>
  <c r="G122" i="17" s="1"/>
  <c r="D78" i="16"/>
  <c r="O77" i="16"/>
  <c r="F91" i="14"/>
  <c r="O125" i="19"/>
  <c r="D126" i="19"/>
  <c r="H91" i="14"/>
  <c r="O91" i="14" s="1"/>
  <c r="H92" i="3"/>
  <c r="C93" i="3"/>
  <c r="E122" i="17" l="1"/>
  <c r="H122" i="17" s="1"/>
  <c r="C78" i="16"/>
  <c r="G78" i="16" s="1"/>
  <c r="I91" i="14"/>
  <c r="D92" i="14"/>
  <c r="C92" i="14" s="1"/>
  <c r="G92" i="14" s="1"/>
  <c r="E92" i="14" s="1"/>
  <c r="C126" i="19"/>
  <c r="G126" i="19" s="1"/>
  <c r="I93" i="3"/>
  <c r="E93" i="3"/>
  <c r="D93" i="3" s="1"/>
  <c r="F93" i="3" s="1"/>
  <c r="G93" i="3" s="1"/>
  <c r="E126" i="19" l="1"/>
  <c r="F126" i="19" s="1"/>
  <c r="D123" i="17"/>
  <c r="O122" i="17"/>
  <c r="F122" i="17"/>
  <c r="E78" i="16"/>
  <c r="F78" i="16" s="1"/>
  <c r="H92" i="14"/>
  <c r="O92" i="14" s="1"/>
  <c r="F92" i="14"/>
  <c r="H93" i="3"/>
  <c r="C94" i="3"/>
  <c r="H126" i="19" l="1"/>
  <c r="O126" i="19" s="1"/>
  <c r="C123" i="17"/>
  <c r="G123" i="17" s="1"/>
  <c r="E123" i="17" s="1"/>
  <c r="F123" i="17" s="1"/>
  <c r="H78" i="16"/>
  <c r="O78" i="16" s="1"/>
  <c r="D127" i="19"/>
  <c r="C127" i="19" s="1"/>
  <c r="G127" i="19" s="1"/>
  <c r="E127" i="19" s="1"/>
  <c r="D93" i="14"/>
  <c r="C93" i="14" s="1"/>
  <c r="G93" i="14" s="1"/>
  <c r="E93" i="14" s="1"/>
  <c r="E94" i="3"/>
  <c r="D94" i="3" s="1"/>
  <c r="F94" i="3" s="1"/>
  <c r="G94" i="3" s="1"/>
  <c r="I94" i="3"/>
  <c r="H123" i="17" l="1"/>
  <c r="O123" i="17" s="1"/>
  <c r="D79" i="16"/>
  <c r="C79" i="16" s="1"/>
  <c r="F93" i="14"/>
  <c r="F127" i="19"/>
  <c r="H127" i="19"/>
  <c r="H93" i="14"/>
  <c r="D94" i="14" s="1"/>
  <c r="H94" i="3"/>
  <c r="C95" i="3"/>
  <c r="E14" i="16" l="1"/>
  <c r="D124" i="17"/>
  <c r="C124" i="17" s="1"/>
  <c r="G124" i="17" s="1"/>
  <c r="G79" i="16"/>
  <c r="E79" i="16" s="1"/>
  <c r="E17" i="16"/>
  <c r="O93" i="14"/>
  <c r="D128" i="19"/>
  <c r="O127" i="19"/>
  <c r="I127" i="19"/>
  <c r="C94" i="14"/>
  <c r="G94" i="14" s="1"/>
  <c r="E95" i="3"/>
  <c r="D95" i="3" s="1"/>
  <c r="F95" i="3" s="1"/>
  <c r="G95" i="3" s="1"/>
  <c r="I95" i="3"/>
  <c r="E124" i="17" l="1"/>
  <c r="H124" i="17" s="1"/>
  <c r="E94" i="14"/>
  <c r="F94" i="14" s="1"/>
  <c r="H79" i="16"/>
  <c r="E13" i="16"/>
  <c r="E15" i="16" s="1"/>
  <c r="F79" i="16"/>
  <c r="C128" i="19"/>
  <c r="G128" i="19" s="1"/>
  <c r="H95" i="3"/>
  <c r="C96" i="3"/>
  <c r="E128" i="19" l="1"/>
  <c r="F128" i="19" s="1"/>
  <c r="O124" i="17"/>
  <c r="D125" i="17"/>
  <c r="F124" i="17"/>
  <c r="H94" i="14"/>
  <c r="D95" i="14" s="1"/>
  <c r="C95" i="14" s="1"/>
  <c r="G95" i="14" s="1"/>
  <c r="E95" i="14" s="1"/>
  <c r="I79" i="16"/>
  <c r="D80" i="16"/>
  <c r="O79" i="16"/>
  <c r="I96" i="3"/>
  <c r="E96" i="3"/>
  <c r="D96" i="3" s="1"/>
  <c r="F96" i="3" s="1"/>
  <c r="G96" i="3" s="1"/>
  <c r="O94" i="14" l="1"/>
  <c r="H128" i="19"/>
  <c r="O128" i="19" s="1"/>
  <c r="C125" i="17"/>
  <c r="G125" i="17" s="1"/>
  <c r="C80" i="16"/>
  <c r="G80" i="16" s="1"/>
  <c r="F95" i="14"/>
  <c r="H95" i="14"/>
  <c r="C97" i="3"/>
  <c r="H96" i="3"/>
  <c r="D129" i="19" l="1"/>
  <c r="E125" i="17"/>
  <c r="H125" i="17" s="1"/>
  <c r="E80" i="16"/>
  <c r="F80" i="16" s="1"/>
  <c r="D96" i="14"/>
  <c r="C96" i="14" s="1"/>
  <c r="G96" i="14" s="1"/>
  <c r="O95" i="14"/>
  <c r="C129" i="19"/>
  <c r="G129" i="19" s="1"/>
  <c r="E97" i="3"/>
  <c r="D97" i="3" s="1"/>
  <c r="F97" i="3" s="1"/>
  <c r="G97" i="3" s="1"/>
  <c r="I97" i="3"/>
  <c r="H80" i="16" l="1"/>
  <c r="O80" i="16" s="1"/>
  <c r="E129" i="19"/>
  <c r="H129" i="19" s="1"/>
  <c r="D126" i="17"/>
  <c r="O125" i="17"/>
  <c r="F125" i="17"/>
  <c r="E96" i="14"/>
  <c r="F96" i="14" s="1"/>
  <c r="C98" i="3"/>
  <c r="H97" i="3"/>
  <c r="F129" i="19" l="1"/>
  <c r="D81" i="16"/>
  <c r="C81" i="16" s="1"/>
  <c r="G81" i="16" s="1"/>
  <c r="O129" i="19"/>
  <c r="D130" i="19"/>
  <c r="C130" i="19" s="1"/>
  <c r="G130" i="19" s="1"/>
  <c r="E130" i="19" s="1"/>
  <c r="C126" i="17"/>
  <c r="H96" i="14"/>
  <c r="O96" i="14" s="1"/>
  <c r="I98" i="3"/>
  <c r="E98" i="3"/>
  <c r="D98" i="3" s="1"/>
  <c r="F98" i="3" s="1"/>
  <c r="G98" i="3" s="1"/>
  <c r="F130" i="19" l="1"/>
  <c r="H130" i="19"/>
  <c r="O130" i="19" s="1"/>
  <c r="G126" i="17"/>
  <c r="D97" i="14"/>
  <c r="C97" i="14" s="1"/>
  <c r="G97" i="14" s="1"/>
  <c r="E97" i="14" s="1"/>
  <c r="F97" i="14" s="1"/>
  <c r="E81" i="16"/>
  <c r="F81" i="16" s="1"/>
  <c r="H98" i="3"/>
  <c r="C99" i="3"/>
  <c r="D131" i="19" l="1"/>
  <c r="C131" i="19" s="1"/>
  <c r="G131" i="19" s="1"/>
  <c r="E131" i="19" s="1"/>
  <c r="E126" i="17"/>
  <c r="F126" i="17" s="1"/>
  <c r="H81" i="16"/>
  <c r="D82" i="16" s="1"/>
  <c r="H97" i="14"/>
  <c r="O97" i="14" s="1"/>
  <c r="E99" i="3"/>
  <c r="D99" i="3" s="1"/>
  <c r="F99" i="3" s="1"/>
  <c r="G99" i="3" s="1"/>
  <c r="I99" i="3"/>
  <c r="H126" i="17" l="1"/>
  <c r="F131" i="19"/>
  <c r="H131" i="19"/>
  <c r="O131" i="19" s="1"/>
  <c r="O81" i="16"/>
  <c r="D98" i="14"/>
  <c r="C98" i="14" s="1"/>
  <c r="G98" i="14" s="1"/>
  <c r="E98" i="14" s="1"/>
  <c r="F98" i="14" s="1"/>
  <c r="D127" i="17"/>
  <c r="O126" i="17"/>
  <c r="C82" i="16"/>
  <c r="G82" i="16" s="1"/>
  <c r="C100" i="3"/>
  <c r="H99" i="3"/>
  <c r="D132" i="19" l="1"/>
  <c r="C132" i="19" s="1"/>
  <c r="G132" i="19" s="1"/>
  <c r="H98" i="14"/>
  <c r="O98" i="14" s="1"/>
  <c r="E132" i="19"/>
  <c r="C127" i="17"/>
  <c r="E82" i="16"/>
  <c r="F82" i="16" s="1"/>
  <c r="I100" i="3"/>
  <c r="E100" i="3"/>
  <c r="D100" i="3" s="1"/>
  <c r="F100" i="3" s="1"/>
  <c r="G100" i="3" s="1"/>
  <c r="F132" i="19" l="1"/>
  <c r="H132" i="19"/>
  <c r="D133" i="19" s="1"/>
  <c r="D99" i="14"/>
  <c r="C99" i="14" s="1"/>
  <c r="G99" i="14" s="1"/>
  <c r="H82" i="16"/>
  <c r="O82" i="16" s="1"/>
  <c r="G127" i="17"/>
  <c r="E99" i="14"/>
  <c r="O132" i="19"/>
  <c r="H100" i="3"/>
  <c r="C101" i="3"/>
  <c r="F99" i="14" l="1"/>
  <c r="D83" i="16"/>
  <c r="C83" i="16" s="1"/>
  <c r="G83" i="16" s="1"/>
  <c r="H99" i="14"/>
  <c r="O99" i="14" s="1"/>
  <c r="E127" i="17"/>
  <c r="F127" i="17" s="1"/>
  <c r="E83" i="16"/>
  <c r="C133" i="19"/>
  <c r="G133" i="19" s="1"/>
  <c r="I101" i="3"/>
  <c r="E101" i="3"/>
  <c r="D101" i="3" s="1"/>
  <c r="F101" i="3" s="1"/>
  <c r="G101" i="3" s="1"/>
  <c r="H83" i="16" l="1"/>
  <c r="D84" i="16" s="1"/>
  <c r="C84" i="16" s="1"/>
  <c r="G84" i="16" s="1"/>
  <c r="H127" i="17"/>
  <c r="D128" i="17" s="1"/>
  <c r="D100" i="14"/>
  <c r="C100" i="14" s="1"/>
  <c r="G100" i="14" s="1"/>
  <c r="E100" i="14" s="1"/>
  <c r="F100" i="14" s="1"/>
  <c r="E133" i="19"/>
  <c r="F133" i="19" s="1"/>
  <c r="I127" i="17"/>
  <c r="O127" i="17"/>
  <c r="F83" i="16"/>
  <c r="H101" i="3"/>
  <c r="C102" i="3"/>
  <c r="H133" i="19" l="1"/>
  <c r="O133" i="19" s="1"/>
  <c r="O83" i="16"/>
  <c r="H100" i="14"/>
  <c r="O100" i="14" s="1"/>
  <c r="C128" i="17"/>
  <c r="E84" i="16"/>
  <c r="F84" i="16" s="1"/>
  <c r="E102" i="3"/>
  <c r="D102" i="3" s="1"/>
  <c r="F102" i="3" s="1"/>
  <c r="G102" i="3" s="1"/>
  <c r="I102" i="3"/>
  <c r="D134" i="19" l="1"/>
  <c r="D101" i="14"/>
  <c r="C101" i="14" s="1"/>
  <c r="G101" i="14" s="1"/>
  <c r="E101" i="14" s="1"/>
  <c r="F101" i="14" s="1"/>
  <c r="G128" i="17"/>
  <c r="H84" i="16"/>
  <c r="O84" i="16" s="1"/>
  <c r="C134" i="19"/>
  <c r="G134" i="19" s="1"/>
  <c r="C103" i="3"/>
  <c r="H102" i="3"/>
  <c r="H101" i="14" l="1"/>
  <c r="O101" i="14" s="1"/>
  <c r="D85" i="16"/>
  <c r="C85" i="16" s="1"/>
  <c r="G85" i="16" s="1"/>
  <c r="E134" i="19"/>
  <c r="F134" i="19" s="1"/>
  <c r="E128" i="17"/>
  <c r="F128" i="17" s="1"/>
  <c r="E103" i="3"/>
  <c r="D103" i="3" s="1"/>
  <c r="F103" i="3" s="1"/>
  <c r="G103" i="3" s="1"/>
  <c r="I103" i="3"/>
  <c r="D102" i="14" l="1"/>
  <c r="C102" i="14" s="1"/>
  <c r="G102" i="14" s="1"/>
  <c r="E102" i="14" s="1"/>
  <c r="F102" i="14" s="1"/>
  <c r="H134" i="19"/>
  <c r="O134" i="19" s="1"/>
  <c r="H128" i="17"/>
  <c r="E85" i="16"/>
  <c r="F85" i="16" s="1"/>
  <c r="H103" i="3"/>
  <c r="C104" i="3"/>
  <c r="H102" i="14" l="1"/>
  <c r="O102" i="14" s="1"/>
  <c r="D135" i="19"/>
  <c r="C135" i="19" s="1"/>
  <c r="G135" i="19" s="1"/>
  <c r="E135" i="19" s="1"/>
  <c r="H85" i="16"/>
  <c r="O85" i="16" s="1"/>
  <c r="D129" i="17"/>
  <c r="O128" i="17"/>
  <c r="D103" i="14"/>
  <c r="C103" i="14" s="1"/>
  <c r="F135" i="19"/>
  <c r="I104" i="3"/>
  <c r="E104" i="3"/>
  <c r="D104" i="3" s="1"/>
  <c r="F104" i="3" s="1"/>
  <c r="G104" i="3" s="1"/>
  <c r="H135" i="19" l="1"/>
  <c r="D136" i="19" s="1"/>
  <c r="C136" i="19" s="1"/>
  <c r="G136" i="19" s="1"/>
  <c r="F14" i="14"/>
  <c r="D86" i="16"/>
  <c r="C86" i="16" s="1"/>
  <c r="G86" i="16" s="1"/>
  <c r="C129" i="17"/>
  <c r="F17" i="14"/>
  <c r="G103" i="14"/>
  <c r="E103" i="14" s="1"/>
  <c r="C105" i="3"/>
  <c r="H104" i="3"/>
  <c r="O135" i="19" l="1"/>
  <c r="G129" i="17"/>
  <c r="E136" i="19"/>
  <c r="H136" i="19" s="1"/>
  <c r="O136" i="19" s="1"/>
  <c r="E86" i="16"/>
  <c r="F86" i="16" s="1"/>
  <c r="F13" i="14"/>
  <c r="F15" i="14" s="1"/>
  <c r="F103" i="14"/>
  <c r="H103" i="14"/>
  <c r="I105" i="3"/>
  <c r="E105" i="3"/>
  <c r="D105" i="3" s="1"/>
  <c r="F105" i="3" s="1"/>
  <c r="G105" i="3" s="1"/>
  <c r="D137" i="19" l="1"/>
  <c r="C137" i="19" s="1"/>
  <c r="G137" i="19" s="1"/>
  <c r="H86" i="16"/>
  <c r="D87" i="16" s="1"/>
  <c r="C87" i="16" s="1"/>
  <c r="E129" i="17"/>
  <c r="F129" i="17" s="1"/>
  <c r="F136" i="19"/>
  <c r="I103" i="14"/>
  <c r="D104" i="14"/>
  <c r="O103" i="14"/>
  <c r="C106" i="3"/>
  <c r="H105" i="3"/>
  <c r="H129" i="17" l="1"/>
  <c r="O129" i="17" s="1"/>
  <c r="O86" i="16"/>
  <c r="E137" i="19"/>
  <c r="F137" i="19" s="1"/>
  <c r="G87" i="16"/>
  <c r="E87" i="16" s="1"/>
  <c r="C104" i="14"/>
  <c r="G104" i="14" s="1"/>
  <c r="I106" i="3"/>
  <c r="E106" i="3"/>
  <c r="D106" i="3" s="1"/>
  <c r="F106" i="3" s="1"/>
  <c r="G106" i="3" s="1"/>
  <c r="D130" i="17" l="1"/>
  <c r="H137" i="19"/>
  <c r="O137" i="19" s="1"/>
  <c r="C130" i="17"/>
  <c r="E104" i="14"/>
  <c r="F104" i="14" s="1"/>
  <c r="F87" i="16"/>
  <c r="H87" i="16"/>
  <c r="H106" i="3"/>
  <c r="C107" i="3"/>
  <c r="D138" i="19" l="1"/>
  <c r="C138" i="19" s="1"/>
  <c r="G138" i="19" s="1"/>
  <c r="E138" i="19" s="1"/>
  <c r="H104" i="14"/>
  <c r="O104" i="14" s="1"/>
  <c r="G130" i="17"/>
  <c r="O87" i="16"/>
  <c r="D88" i="16"/>
  <c r="F138" i="19"/>
  <c r="H138" i="19"/>
  <c r="E107" i="3"/>
  <c r="D107" i="3" s="1"/>
  <c r="F107" i="3" s="1"/>
  <c r="G107" i="3" s="1"/>
  <c r="I107" i="3"/>
  <c r="D105" i="14" l="1"/>
  <c r="C105" i="14" s="1"/>
  <c r="G105" i="14" s="1"/>
  <c r="E105" i="14" s="1"/>
  <c r="F105" i="14" s="1"/>
  <c r="E130" i="17"/>
  <c r="F130" i="17" s="1"/>
  <c r="C88" i="16"/>
  <c r="D139" i="19"/>
  <c r="O138" i="19"/>
  <c r="H107" i="3"/>
  <c r="C108" i="3"/>
  <c r="H105" i="14" l="1"/>
  <c r="D106" i="14" s="1"/>
  <c r="H130" i="17"/>
  <c r="O130" i="17" s="1"/>
  <c r="G88" i="16"/>
  <c r="E88" i="16" s="1"/>
  <c r="O105" i="14"/>
  <c r="C139" i="19"/>
  <c r="G14" i="19"/>
  <c r="C106" i="14"/>
  <c r="G106" i="14" s="1"/>
  <c r="E106" i="14" s="1"/>
  <c r="E108" i="3"/>
  <c r="D108" i="3" s="1"/>
  <c r="F108" i="3" s="1"/>
  <c r="G108" i="3" s="1"/>
  <c r="I108" i="3"/>
  <c r="D131" i="17" l="1"/>
  <c r="C131" i="17" s="1"/>
  <c r="G131" i="17" s="1"/>
  <c r="E131" i="17" s="1"/>
  <c r="F131" i="17" s="1"/>
  <c r="F88" i="16"/>
  <c r="H88" i="16"/>
  <c r="F106" i="14"/>
  <c r="G139" i="19"/>
  <c r="E139" i="19" s="1"/>
  <c r="G17" i="19"/>
  <c r="H106" i="14"/>
  <c r="D107" i="14" s="1"/>
  <c r="C109" i="3"/>
  <c r="H108" i="3"/>
  <c r="H131" i="17" l="1"/>
  <c r="D89" i="16"/>
  <c r="O88" i="16"/>
  <c r="O106" i="14"/>
  <c r="G13" i="19"/>
  <c r="G15" i="19" s="1"/>
  <c r="F139" i="19"/>
  <c r="H139" i="19"/>
  <c r="C107" i="14"/>
  <c r="G107" i="14" s="1"/>
  <c r="E107" i="14" s="1"/>
  <c r="E109" i="3"/>
  <c r="D109" i="3" s="1"/>
  <c r="F109" i="3" s="1"/>
  <c r="G109" i="3" s="1"/>
  <c r="I109" i="3"/>
  <c r="O131" i="17" l="1"/>
  <c r="D132" i="17"/>
  <c r="H107" i="14"/>
  <c r="O107" i="14" s="1"/>
  <c r="C89" i="16"/>
  <c r="F107" i="14"/>
  <c r="D140" i="19"/>
  <c r="C140" i="19" s="1"/>
  <c r="G140" i="19" s="1"/>
  <c r="E140" i="19" s="1"/>
  <c r="O139" i="19"/>
  <c r="I139" i="19"/>
  <c r="H109" i="3"/>
  <c r="C110" i="3"/>
  <c r="C132" i="17" l="1"/>
  <c r="G132" i="17" s="1"/>
  <c r="E132" i="17" s="1"/>
  <c r="F132" i="17" s="1"/>
  <c r="D108" i="14"/>
  <c r="C108" i="14" s="1"/>
  <c r="G108" i="14" s="1"/>
  <c r="E108" i="14" s="1"/>
  <c r="F108" i="14" s="1"/>
  <c r="G89" i="16"/>
  <c r="E89" i="16" s="1"/>
  <c r="F140" i="19"/>
  <c r="H140" i="19"/>
  <c r="E110" i="3"/>
  <c r="D110" i="3" s="1"/>
  <c r="F110" i="3" s="1"/>
  <c r="G110" i="3" s="1"/>
  <c r="I110" i="3"/>
  <c r="H132" i="17" l="1"/>
  <c r="D133" i="17" s="1"/>
  <c r="F89" i="16"/>
  <c r="H89" i="16"/>
  <c r="O140" i="19"/>
  <c r="D141" i="19"/>
  <c r="H108" i="14"/>
  <c r="D109" i="14" s="1"/>
  <c r="H110" i="3"/>
  <c r="C111" i="3"/>
  <c r="O132" i="17" l="1"/>
  <c r="C133" i="17"/>
  <c r="G133" i="17" s="1"/>
  <c r="E133" i="17" s="1"/>
  <c r="F133" i="17" s="1"/>
  <c r="D90" i="16"/>
  <c r="O89" i="16"/>
  <c r="O108" i="14"/>
  <c r="C141" i="19"/>
  <c r="G141" i="19" s="1"/>
  <c r="C109" i="14"/>
  <c r="G109" i="14" s="1"/>
  <c r="E109" i="14" s="1"/>
  <c r="I111" i="3"/>
  <c r="E111" i="3"/>
  <c r="D111" i="3" s="1"/>
  <c r="F111" i="3" s="1"/>
  <c r="G111" i="3" s="1"/>
  <c r="E141" i="19" l="1"/>
  <c r="H141" i="19" s="1"/>
  <c r="H133" i="17"/>
  <c r="C90" i="16"/>
  <c r="F109" i="14"/>
  <c r="H109" i="14"/>
  <c r="D110" i="14" s="1"/>
  <c r="C112" i="3"/>
  <c r="H111" i="3"/>
  <c r="F141" i="19" l="1"/>
  <c r="O141" i="19"/>
  <c r="D142" i="19"/>
  <c r="C142" i="19" s="1"/>
  <c r="G142" i="19" s="1"/>
  <c r="O133" i="17"/>
  <c r="D134" i="17"/>
  <c r="G90" i="16"/>
  <c r="E90" i="16" s="1"/>
  <c r="O109" i="14"/>
  <c r="C110" i="14"/>
  <c r="G110" i="14" s="1"/>
  <c r="E112" i="3"/>
  <c r="D112" i="3" s="1"/>
  <c r="F112" i="3" s="1"/>
  <c r="G112" i="3" s="1"/>
  <c r="I112" i="3"/>
  <c r="C134" i="17" l="1"/>
  <c r="G134" i="17" s="1"/>
  <c r="E134" i="17" s="1"/>
  <c r="F134" i="17" s="1"/>
  <c r="E142" i="19"/>
  <c r="H142" i="19" s="1"/>
  <c r="E110" i="14"/>
  <c r="F110" i="14" s="1"/>
  <c r="F90" i="16"/>
  <c r="H90" i="16"/>
  <c r="C113" i="3"/>
  <c r="H112" i="3"/>
  <c r="H110" i="14" l="1"/>
  <c r="D111" i="14" s="1"/>
  <c r="C111" i="14" s="1"/>
  <c r="G111" i="14" s="1"/>
  <c r="E111" i="14" s="1"/>
  <c r="H134" i="17"/>
  <c r="O134" i="17" s="1"/>
  <c r="O142" i="19"/>
  <c r="D143" i="19"/>
  <c r="C143" i="19" s="1"/>
  <c r="G143" i="19" s="1"/>
  <c r="F142" i="19"/>
  <c r="D91" i="16"/>
  <c r="O90" i="16"/>
  <c r="E113" i="3"/>
  <c r="D113" i="3" s="1"/>
  <c r="F113" i="3" s="1"/>
  <c r="G113" i="3" s="1"/>
  <c r="I113" i="3"/>
  <c r="O110" i="14" l="1"/>
  <c r="D135" i="17"/>
  <c r="C135" i="17" s="1"/>
  <c r="G135" i="17" s="1"/>
  <c r="E143" i="19"/>
  <c r="H143" i="19" s="1"/>
  <c r="C91" i="16"/>
  <c r="F111" i="14"/>
  <c r="H111" i="14"/>
  <c r="H113" i="3"/>
  <c r="C114" i="3"/>
  <c r="F143" i="19" l="1"/>
  <c r="O143" i="19"/>
  <c r="D144" i="19"/>
  <c r="C144" i="19" s="1"/>
  <c r="G144" i="19" s="1"/>
  <c r="E135" i="17"/>
  <c r="H135" i="17" s="1"/>
  <c r="G91" i="16"/>
  <c r="E91" i="16" s="1"/>
  <c r="O111" i="14"/>
  <c r="D112" i="14"/>
  <c r="C112" i="14" s="1"/>
  <c r="G112" i="14" s="1"/>
  <c r="E114" i="3"/>
  <c r="D114" i="3" s="1"/>
  <c r="F114" i="3" s="1"/>
  <c r="G114" i="3" s="1"/>
  <c r="I114" i="3"/>
  <c r="D136" i="17" l="1"/>
  <c r="O135" i="17"/>
  <c r="F135" i="17"/>
  <c r="E144" i="19"/>
  <c r="F144" i="19" s="1"/>
  <c r="E112" i="14"/>
  <c r="F112" i="14" s="1"/>
  <c r="F91" i="16"/>
  <c r="H91" i="16"/>
  <c r="H114" i="3"/>
  <c r="C115" i="3"/>
  <c r="H112" i="14" l="1"/>
  <c r="D113" i="14" s="1"/>
  <c r="C113" i="14" s="1"/>
  <c r="G113" i="14" s="1"/>
  <c r="H144" i="19"/>
  <c r="D145" i="19" s="1"/>
  <c r="C145" i="19" s="1"/>
  <c r="G145" i="19" s="1"/>
  <c r="C136" i="17"/>
  <c r="G136" i="17" s="1"/>
  <c r="D92" i="16"/>
  <c r="I91" i="16"/>
  <c r="O91" i="16"/>
  <c r="I115" i="3"/>
  <c r="E115" i="3"/>
  <c r="D115" i="3" s="1"/>
  <c r="F115" i="3" s="1"/>
  <c r="G115" i="3" s="1"/>
  <c r="E113" i="14" l="1"/>
  <c r="F113" i="14" s="1"/>
  <c r="O112" i="14"/>
  <c r="O144" i="19"/>
  <c r="E136" i="17"/>
  <c r="H136" i="17" s="1"/>
  <c r="E145" i="19"/>
  <c r="F145" i="19" s="1"/>
  <c r="C92" i="16"/>
  <c r="G92" i="16" s="1"/>
  <c r="H115" i="3"/>
  <c r="C116" i="3"/>
  <c r="H113" i="14" l="1"/>
  <c r="D114" i="14" s="1"/>
  <c r="C114" i="14" s="1"/>
  <c r="G114" i="14" s="1"/>
  <c r="H145" i="19"/>
  <c r="D137" i="17"/>
  <c r="O136" i="17"/>
  <c r="F136" i="17"/>
  <c r="E92" i="16"/>
  <c r="F92" i="16" s="1"/>
  <c r="O113" i="14"/>
  <c r="D146" i="19"/>
  <c r="O145" i="19"/>
  <c r="E116" i="3"/>
  <c r="D116" i="3" s="1"/>
  <c r="F116" i="3" s="1"/>
  <c r="G116" i="3" s="1"/>
  <c r="I116" i="3"/>
  <c r="E114" i="14" l="1"/>
  <c r="F114" i="14" s="1"/>
  <c r="H92" i="16"/>
  <c r="O92" i="16" s="1"/>
  <c r="C137" i="17"/>
  <c r="G137" i="17" s="1"/>
  <c r="E137" i="17" s="1"/>
  <c r="F137" i="17" s="1"/>
  <c r="H114" i="14"/>
  <c r="O114" i="14" s="1"/>
  <c r="C146" i="19"/>
  <c r="G146" i="19" s="1"/>
  <c r="C117" i="3"/>
  <c r="H116" i="3"/>
  <c r="D93" i="16" l="1"/>
  <c r="C93" i="16" s="1"/>
  <c r="G93" i="16" s="1"/>
  <c r="E93" i="16" s="1"/>
  <c r="H137" i="17"/>
  <c r="E146" i="19"/>
  <c r="F146" i="19" s="1"/>
  <c r="D115" i="14"/>
  <c r="C115" i="14" s="1"/>
  <c r="G115" i="14" s="1"/>
  <c r="E117" i="3"/>
  <c r="D117" i="3" s="1"/>
  <c r="F117" i="3" s="1"/>
  <c r="G117" i="3" s="1"/>
  <c r="I117" i="3"/>
  <c r="F93" i="16" l="1"/>
  <c r="H93" i="16"/>
  <c r="D94" i="16" s="1"/>
  <c r="H146" i="19"/>
  <c r="O146" i="19" s="1"/>
  <c r="O137" i="17"/>
  <c r="D138" i="17"/>
  <c r="E115" i="14"/>
  <c r="H115" i="14" s="1"/>
  <c r="C118" i="3"/>
  <c r="H117" i="3"/>
  <c r="D147" i="19" l="1"/>
  <c r="C147" i="19" s="1"/>
  <c r="G147" i="19" s="1"/>
  <c r="E147" i="19" s="1"/>
  <c r="O93" i="16"/>
  <c r="F115" i="14"/>
  <c r="C138" i="17"/>
  <c r="G138" i="17" s="1"/>
  <c r="E138" i="17" s="1"/>
  <c r="F138" i="17" s="1"/>
  <c r="O115" i="14"/>
  <c r="D116" i="14"/>
  <c r="C116" i="14" s="1"/>
  <c r="G116" i="14" s="1"/>
  <c r="I115" i="14"/>
  <c r="H147" i="19"/>
  <c r="O147" i="19" s="1"/>
  <c r="C94" i="16"/>
  <c r="G94" i="16" s="1"/>
  <c r="F147" i="19"/>
  <c r="I118" i="3"/>
  <c r="E118" i="3"/>
  <c r="D118" i="3" s="1"/>
  <c r="F118" i="3" s="1"/>
  <c r="G118" i="3" s="1"/>
  <c r="H138" i="17" l="1"/>
  <c r="D148" i="19"/>
  <c r="C148" i="19" s="1"/>
  <c r="G148" i="19" s="1"/>
  <c r="E148" i="19" s="1"/>
  <c r="E94" i="16"/>
  <c r="H94" i="16" s="1"/>
  <c r="E116" i="14"/>
  <c r="F116" i="14" s="1"/>
  <c r="C119" i="3"/>
  <c r="H118" i="3"/>
  <c r="H116" i="14" l="1"/>
  <c r="O116" i="14" s="1"/>
  <c r="F148" i="19"/>
  <c r="O138" i="17"/>
  <c r="D139" i="17"/>
  <c r="F94" i="16"/>
  <c r="D95" i="16"/>
  <c r="C95" i="16" s="1"/>
  <c r="G95" i="16" s="1"/>
  <c r="O94" i="16"/>
  <c r="H148" i="19"/>
  <c r="I119" i="3"/>
  <c r="E119" i="3"/>
  <c r="D119" i="3" s="1"/>
  <c r="F119" i="3" s="1"/>
  <c r="G119" i="3" s="1"/>
  <c r="D117" i="14" l="1"/>
  <c r="C117" i="14" s="1"/>
  <c r="G117" i="14" s="1"/>
  <c r="C139" i="17"/>
  <c r="G14" i="17"/>
  <c r="E117" i="14"/>
  <c r="E95" i="16"/>
  <c r="F95" i="16" s="1"/>
  <c r="O148" i="19"/>
  <c r="D149" i="19"/>
  <c r="H119" i="3"/>
  <c r="C120" i="3"/>
  <c r="F117" i="14" l="1"/>
  <c r="H117" i="14"/>
  <c r="D118" i="14" s="1"/>
  <c r="C118" i="14" s="1"/>
  <c r="G118" i="14" s="1"/>
  <c r="E118" i="14" s="1"/>
  <c r="G139" i="17"/>
  <c r="G17" i="17"/>
  <c r="H95" i="16"/>
  <c r="D96" i="16" s="1"/>
  <c r="C96" i="16" s="1"/>
  <c r="G96" i="16" s="1"/>
  <c r="C149" i="19"/>
  <c r="G149" i="19" s="1"/>
  <c r="E120" i="3"/>
  <c r="D120" i="3" s="1"/>
  <c r="F120" i="3" s="1"/>
  <c r="G120" i="3" s="1"/>
  <c r="I120" i="3"/>
  <c r="O117" i="14" l="1"/>
  <c r="O95" i="16"/>
  <c r="E149" i="19"/>
  <c r="H149" i="19" s="1"/>
  <c r="G13" i="17"/>
  <c r="G15" i="17" s="1"/>
  <c r="E139" i="17"/>
  <c r="F139" i="17" s="1"/>
  <c r="E96" i="16"/>
  <c r="F96" i="16" s="1"/>
  <c r="F118" i="14"/>
  <c r="H118" i="14"/>
  <c r="O118" i="14" s="1"/>
  <c r="H120" i="3"/>
  <c r="C121" i="3"/>
  <c r="F149" i="19" l="1"/>
  <c r="O149" i="19"/>
  <c r="D150" i="19"/>
  <c r="C150" i="19" s="1"/>
  <c r="G150" i="19" s="1"/>
  <c r="E150" i="19" s="1"/>
  <c r="H139" i="17"/>
  <c r="H96" i="16"/>
  <c r="D97" i="16" s="1"/>
  <c r="C97" i="16" s="1"/>
  <c r="G97" i="16" s="1"/>
  <c r="D119" i="14"/>
  <c r="C119" i="14" s="1"/>
  <c r="G119" i="14" s="1"/>
  <c r="E119" i="14" s="1"/>
  <c r="E121" i="3"/>
  <c r="D121" i="3" s="1"/>
  <c r="F121" i="3" s="1"/>
  <c r="G121" i="3" s="1"/>
  <c r="I121" i="3"/>
  <c r="F150" i="19" l="1"/>
  <c r="H150" i="19"/>
  <c r="O150" i="19" s="1"/>
  <c r="I139" i="17"/>
  <c r="D140" i="17"/>
  <c r="O139" i="17"/>
  <c r="O96" i="16"/>
  <c r="F119" i="14"/>
  <c r="E97" i="16"/>
  <c r="H97" i="16" s="1"/>
  <c r="H119" i="14"/>
  <c r="D120" i="14" s="1"/>
  <c r="C120" i="14" s="1"/>
  <c r="G120" i="14" s="1"/>
  <c r="C122" i="3"/>
  <c r="H121" i="3"/>
  <c r="D151" i="19" l="1"/>
  <c r="C151" i="19" s="1"/>
  <c r="G151" i="19" s="1"/>
  <c r="E151" i="19" s="1"/>
  <c r="C140" i="17"/>
  <c r="G140" i="17" s="1"/>
  <c r="F97" i="16"/>
  <c r="O97" i="16"/>
  <c r="D98" i="16"/>
  <c r="C98" i="16" s="1"/>
  <c r="G98" i="16" s="1"/>
  <c r="E120" i="14"/>
  <c r="H120" i="14" s="1"/>
  <c r="O119" i="14"/>
  <c r="I122" i="3"/>
  <c r="E122" i="3"/>
  <c r="D122" i="3" s="1"/>
  <c r="F122" i="3" s="1"/>
  <c r="G122" i="3" s="1"/>
  <c r="H151" i="19" l="1"/>
  <c r="I151" i="19" s="1"/>
  <c r="F151" i="19"/>
  <c r="E140" i="17"/>
  <c r="H140" i="17" s="1"/>
  <c r="E98" i="16"/>
  <c r="F98" i="16" s="1"/>
  <c r="F120" i="14"/>
  <c r="D121" i="14"/>
  <c r="C121" i="14" s="1"/>
  <c r="G121" i="14" s="1"/>
  <c r="E121" i="14" s="1"/>
  <c r="O120" i="14"/>
  <c r="H122" i="3"/>
  <c r="C123" i="3"/>
  <c r="O151" i="19" l="1"/>
  <c r="D152" i="19"/>
  <c r="C152" i="19" s="1"/>
  <c r="G152" i="19" s="1"/>
  <c r="E152" i="19" s="1"/>
  <c r="F152" i="19" s="1"/>
  <c r="F140" i="17"/>
  <c r="O140" i="17"/>
  <c r="D141" i="17"/>
  <c r="C141" i="17" s="1"/>
  <c r="G141" i="17" s="1"/>
  <c r="H98" i="16"/>
  <c r="H121" i="14"/>
  <c r="F121" i="14"/>
  <c r="I123" i="3"/>
  <c r="E123" i="3"/>
  <c r="D123" i="3" s="1"/>
  <c r="F123" i="3" s="1"/>
  <c r="G123" i="3" s="1"/>
  <c r="H152" i="19" l="1"/>
  <c r="O152" i="19" s="1"/>
  <c r="E141" i="17"/>
  <c r="F141" i="17" s="1"/>
  <c r="D99" i="16"/>
  <c r="O98" i="16"/>
  <c r="D122" i="14"/>
  <c r="C122" i="14" s="1"/>
  <c r="G122" i="14" s="1"/>
  <c r="E122" i="14" s="1"/>
  <c r="O121" i="14"/>
  <c r="C124" i="3"/>
  <c r="H123" i="3"/>
  <c r="D153" i="19" l="1"/>
  <c r="H141" i="17"/>
  <c r="D142" i="17" s="1"/>
  <c r="C99" i="16"/>
  <c r="G99" i="16" s="1"/>
  <c r="C153" i="19"/>
  <c r="G153" i="19" s="1"/>
  <c r="H122" i="14"/>
  <c r="F122" i="14"/>
  <c r="E124" i="3"/>
  <c r="D124" i="3" s="1"/>
  <c r="F124" i="3" s="1"/>
  <c r="G124" i="3" s="1"/>
  <c r="I124" i="3"/>
  <c r="O141" i="17" l="1"/>
  <c r="E153" i="19"/>
  <c r="F153" i="19" s="1"/>
  <c r="C142" i="17"/>
  <c r="G142" i="17" s="1"/>
  <c r="E99" i="16"/>
  <c r="H99" i="16" s="1"/>
  <c r="D123" i="14"/>
  <c r="C123" i="14" s="1"/>
  <c r="G123" i="14" s="1"/>
  <c r="E123" i="14" s="1"/>
  <c r="O122" i="14"/>
  <c r="H124" i="3"/>
  <c r="C125" i="3"/>
  <c r="H153" i="19" l="1"/>
  <c r="D154" i="19" s="1"/>
  <c r="C154" i="19" s="1"/>
  <c r="G154" i="19" s="1"/>
  <c r="E142" i="17"/>
  <c r="F142" i="17" s="1"/>
  <c r="O99" i="16"/>
  <c r="D100" i="16"/>
  <c r="F99" i="16"/>
  <c r="H123" i="14"/>
  <c r="F123" i="14"/>
  <c r="E125" i="3"/>
  <c r="D125" i="3" s="1"/>
  <c r="F125" i="3" s="1"/>
  <c r="G125" i="3" s="1"/>
  <c r="I125" i="3"/>
  <c r="O153" i="19" l="1"/>
  <c r="H142" i="17"/>
  <c r="O142" i="17" s="1"/>
  <c r="E154" i="19"/>
  <c r="F154" i="19" s="1"/>
  <c r="C100" i="16"/>
  <c r="G100" i="16" s="1"/>
  <c r="D124" i="14"/>
  <c r="O123" i="14"/>
  <c r="H125" i="3"/>
  <c r="C126" i="3"/>
  <c r="H154" i="19" l="1"/>
  <c r="O154" i="19" s="1"/>
  <c r="D143" i="17"/>
  <c r="C143" i="17" s="1"/>
  <c r="G143" i="17" s="1"/>
  <c r="E143" i="17" s="1"/>
  <c r="F143" i="17" s="1"/>
  <c r="D155" i="19"/>
  <c r="C155" i="19" s="1"/>
  <c r="G155" i="19" s="1"/>
  <c r="E100" i="16"/>
  <c r="H100" i="16" s="1"/>
  <c r="C124" i="14"/>
  <c r="G124" i="14" s="1"/>
  <c r="I126" i="3"/>
  <c r="E126" i="3"/>
  <c r="D126" i="3" s="1"/>
  <c r="F126" i="3" s="1"/>
  <c r="G126" i="3" s="1"/>
  <c r="E155" i="19" l="1"/>
  <c r="H155" i="19" s="1"/>
  <c r="H143" i="17"/>
  <c r="O100" i="16"/>
  <c r="D101" i="16"/>
  <c r="E124" i="14"/>
  <c r="F124" i="14" s="1"/>
  <c r="F100" i="16"/>
  <c r="C127" i="3"/>
  <c r="H126" i="3"/>
  <c r="H124" i="14" l="1"/>
  <c r="D125" i="14" s="1"/>
  <c r="C125" i="14" s="1"/>
  <c r="G125" i="14" s="1"/>
  <c r="F155" i="19"/>
  <c r="O155" i="19"/>
  <c r="D156" i="19"/>
  <c r="C156" i="19" s="1"/>
  <c r="G156" i="19" s="1"/>
  <c r="E156" i="19" s="1"/>
  <c r="F156" i="19" s="1"/>
  <c r="O143" i="17"/>
  <c r="D144" i="17"/>
  <c r="C101" i="16"/>
  <c r="E127" i="3"/>
  <c r="D127" i="3" s="1"/>
  <c r="F127" i="3" s="1"/>
  <c r="G127" i="3" s="1"/>
  <c r="I127" i="3"/>
  <c r="H156" i="19" l="1"/>
  <c r="O124" i="14"/>
  <c r="E125" i="14"/>
  <c r="H125" i="14" s="1"/>
  <c r="D126" i="14" s="1"/>
  <c r="C126" i="14" s="1"/>
  <c r="G126" i="14" s="1"/>
  <c r="E126" i="14" s="1"/>
  <c r="C144" i="17"/>
  <c r="G144" i="17" s="1"/>
  <c r="E144" i="17" s="1"/>
  <c r="F144" i="17" s="1"/>
  <c r="G101" i="16"/>
  <c r="C128" i="3"/>
  <c r="H127" i="3"/>
  <c r="D157" i="19" l="1"/>
  <c r="C157" i="19" s="1"/>
  <c r="G157" i="19" s="1"/>
  <c r="E157" i="19" s="1"/>
  <c r="F157" i="19" s="1"/>
  <c r="O156" i="19"/>
  <c r="F125" i="14"/>
  <c r="O125" i="14"/>
  <c r="H144" i="17"/>
  <c r="E101" i="16"/>
  <c r="F101" i="16" s="1"/>
  <c r="H126" i="14"/>
  <c r="F126" i="14"/>
  <c r="E128" i="3"/>
  <c r="D128" i="3" s="1"/>
  <c r="F128" i="3" s="1"/>
  <c r="G128" i="3" s="1"/>
  <c r="I128" i="3"/>
  <c r="H101" i="16" l="1"/>
  <c r="D102" i="16" s="1"/>
  <c r="H157" i="19"/>
  <c r="O157" i="19" s="1"/>
  <c r="O144" i="17"/>
  <c r="D145" i="17"/>
  <c r="O126" i="14"/>
  <c r="D127" i="14"/>
  <c r="C129" i="3"/>
  <c r="H128" i="3"/>
  <c r="D158" i="19" l="1"/>
  <c r="C158" i="19" s="1"/>
  <c r="G158" i="19" s="1"/>
  <c r="O101" i="16"/>
  <c r="C145" i="17"/>
  <c r="G145" i="17" s="1"/>
  <c r="C102" i="16"/>
  <c r="C127" i="14"/>
  <c r="G127" i="14" s="1"/>
  <c r="I129" i="3"/>
  <c r="E129" i="3"/>
  <c r="D129" i="3" s="1"/>
  <c r="F129" i="3" s="1"/>
  <c r="G129" i="3" s="1"/>
  <c r="E158" i="19" l="1"/>
  <c r="H158" i="19" s="1"/>
  <c r="E145" i="17"/>
  <c r="H145" i="17" s="1"/>
  <c r="E127" i="14"/>
  <c r="F127" i="14" s="1"/>
  <c r="G102" i="16"/>
  <c r="C130" i="3"/>
  <c r="H129" i="3"/>
  <c r="F158" i="19" l="1"/>
  <c r="D146" i="17"/>
  <c r="O145" i="17"/>
  <c r="D159" i="19"/>
  <c r="C159" i="19" s="1"/>
  <c r="G159" i="19" s="1"/>
  <c r="E159" i="19" s="1"/>
  <c r="O158" i="19"/>
  <c r="F145" i="17"/>
  <c r="H127" i="14"/>
  <c r="O127" i="14" s="1"/>
  <c r="E102" i="16"/>
  <c r="F102" i="16" s="1"/>
  <c r="I130" i="3"/>
  <c r="E130" i="3"/>
  <c r="D130" i="3" s="1"/>
  <c r="F130" i="3" s="1"/>
  <c r="G130" i="3" s="1"/>
  <c r="C146" i="17" l="1"/>
  <c r="G146" i="17" s="1"/>
  <c r="E146" i="17" s="1"/>
  <c r="F146" i="17" s="1"/>
  <c r="F159" i="19"/>
  <c r="H102" i="16"/>
  <c r="D103" i="16" s="1"/>
  <c r="I127" i="14"/>
  <c r="D128" i="14"/>
  <c r="C128" i="14" s="1"/>
  <c r="G128" i="14" s="1"/>
  <c r="E128" i="14" s="1"/>
  <c r="H159" i="19"/>
  <c r="H130" i="3"/>
  <c r="C131" i="3"/>
  <c r="O102" i="16" l="1"/>
  <c r="H146" i="17"/>
  <c r="O146" i="17" s="1"/>
  <c r="H128" i="14"/>
  <c r="D129" i="14" s="1"/>
  <c r="F128" i="14"/>
  <c r="C103" i="16"/>
  <c r="F14" i="16"/>
  <c r="O159" i="19"/>
  <c r="D160" i="19"/>
  <c r="I131" i="3"/>
  <c r="E131" i="3"/>
  <c r="D131" i="3" s="1"/>
  <c r="F131" i="3" s="1"/>
  <c r="G131" i="3" s="1"/>
  <c r="O128" i="14" l="1"/>
  <c r="D147" i="17"/>
  <c r="C147" i="17" s="1"/>
  <c r="G147" i="17" s="1"/>
  <c r="E147" i="17" s="1"/>
  <c r="F147" i="17" s="1"/>
  <c r="G103" i="16"/>
  <c r="F17" i="16"/>
  <c r="C160" i="19"/>
  <c r="G160" i="19" s="1"/>
  <c r="C129" i="14"/>
  <c r="G129" i="14" s="1"/>
  <c r="C132" i="3"/>
  <c r="H131" i="3"/>
  <c r="E160" i="19" l="1"/>
  <c r="F160" i="19" s="1"/>
  <c r="H147" i="17"/>
  <c r="E129" i="14"/>
  <c r="F129" i="14" s="1"/>
  <c r="F13" i="16"/>
  <c r="F15" i="16" s="1"/>
  <c r="E103" i="16"/>
  <c r="F103" i="16" s="1"/>
  <c r="I132" i="3"/>
  <c r="E132" i="3"/>
  <c r="D132" i="3" s="1"/>
  <c r="F132" i="3" s="1"/>
  <c r="G132" i="3" s="1"/>
  <c r="H160" i="19" l="1"/>
  <c r="D161" i="19" s="1"/>
  <c r="C161" i="19" s="1"/>
  <c r="D148" i="17"/>
  <c r="O147" i="17"/>
  <c r="H129" i="14"/>
  <c r="O129" i="14" s="1"/>
  <c r="H103" i="16"/>
  <c r="H132" i="3"/>
  <c r="C133" i="3"/>
  <c r="O160" i="19" l="1"/>
  <c r="D130" i="14"/>
  <c r="C130" i="14" s="1"/>
  <c r="G130" i="14" s="1"/>
  <c r="E130" i="14" s="1"/>
  <c r="F130" i="14" s="1"/>
  <c r="C148" i="17"/>
  <c r="G148" i="17" s="1"/>
  <c r="E148" i="17" s="1"/>
  <c r="F148" i="17" s="1"/>
  <c r="D104" i="16"/>
  <c r="I103" i="16"/>
  <c r="O103" i="16"/>
  <c r="G161" i="19"/>
  <c r="E161" i="19" s="1"/>
  <c r="I133" i="3"/>
  <c r="E133" i="3"/>
  <c r="D133" i="3" s="1"/>
  <c r="F133" i="3" s="1"/>
  <c r="G133" i="3" s="1"/>
  <c r="H130" i="14" l="1"/>
  <c r="O130" i="14" s="1"/>
  <c r="H148" i="17"/>
  <c r="O148" i="17" s="1"/>
  <c r="C104" i="16"/>
  <c r="G104" i="16" s="1"/>
  <c r="E104" i="16" s="1"/>
  <c r="F104" i="16" s="1"/>
  <c r="F161" i="19"/>
  <c r="H161" i="19"/>
  <c r="C134" i="3"/>
  <c r="H133" i="3"/>
  <c r="D131" i="14" l="1"/>
  <c r="C131" i="14" s="1"/>
  <c r="G131" i="14" s="1"/>
  <c r="D149" i="17"/>
  <c r="C149" i="17" s="1"/>
  <c r="G149" i="17" s="1"/>
  <c r="H104" i="16"/>
  <c r="D105" i="16" s="1"/>
  <c r="E131" i="14"/>
  <c r="O161" i="19"/>
  <c r="D162" i="19"/>
  <c r="I134" i="3"/>
  <c r="E134" i="3"/>
  <c r="D134" i="3" s="1"/>
  <c r="F134" i="3" s="1"/>
  <c r="G134" i="3" s="1"/>
  <c r="O104" i="16" l="1"/>
  <c r="F131" i="14"/>
  <c r="H131" i="14"/>
  <c r="O131" i="14" s="1"/>
  <c r="E149" i="17"/>
  <c r="H149" i="17" s="1"/>
  <c r="C105" i="16"/>
  <c r="G105" i="16" s="1"/>
  <c r="C162" i="19"/>
  <c r="C135" i="3"/>
  <c r="H134" i="3"/>
  <c r="D132" i="14" l="1"/>
  <c r="C132" i="14" s="1"/>
  <c r="G132" i="14" s="1"/>
  <c r="O149" i="17"/>
  <c r="D150" i="17"/>
  <c r="F149" i="17"/>
  <c r="E105" i="16"/>
  <c r="H105" i="16" s="1"/>
  <c r="E132" i="14"/>
  <c r="G162" i="19"/>
  <c r="E162" i="19" s="1"/>
  <c r="I135" i="3"/>
  <c r="E135" i="3"/>
  <c r="D135" i="3" s="1"/>
  <c r="F135" i="3" s="1"/>
  <c r="G135" i="3" s="1"/>
  <c r="F132" i="14" l="1"/>
  <c r="C150" i="17"/>
  <c r="G150" i="17" s="1"/>
  <c r="H132" i="14"/>
  <c r="D133" i="14" s="1"/>
  <c r="C133" i="14" s="1"/>
  <c r="G133" i="14" s="1"/>
  <c r="E133" i="14" s="1"/>
  <c r="D106" i="16"/>
  <c r="O105" i="16"/>
  <c r="F105" i="16"/>
  <c r="H162" i="19"/>
  <c r="F162" i="19"/>
  <c r="C136" i="3"/>
  <c r="H135" i="3"/>
  <c r="O132" i="14" l="1"/>
  <c r="E150" i="17"/>
  <c r="H150" i="17" s="1"/>
  <c r="C106" i="16"/>
  <c r="G106" i="16" s="1"/>
  <c r="F133" i="14"/>
  <c r="H133" i="14"/>
  <c r="D134" i="14" s="1"/>
  <c r="C134" i="14" s="1"/>
  <c r="G134" i="14" s="1"/>
  <c r="O162" i="19"/>
  <c r="D163" i="19"/>
  <c r="I136" i="3"/>
  <c r="E136" i="3"/>
  <c r="D136" i="3" s="1"/>
  <c r="F136" i="3" s="1"/>
  <c r="G136" i="3" s="1"/>
  <c r="D151" i="17" l="1"/>
  <c r="O150" i="17"/>
  <c r="F150" i="17"/>
  <c r="E106" i="16"/>
  <c r="H106" i="16" s="1"/>
  <c r="E134" i="14"/>
  <c r="H134" i="14" s="1"/>
  <c r="O133" i="14"/>
  <c r="C163" i="19"/>
  <c r="H136" i="3"/>
  <c r="C137" i="3"/>
  <c r="C151" i="17" l="1"/>
  <c r="G151" i="17" s="1"/>
  <c r="D107" i="16"/>
  <c r="O106" i="16"/>
  <c r="F106" i="16"/>
  <c r="F134" i="14"/>
  <c r="G163" i="19"/>
  <c r="E163" i="19" s="1"/>
  <c r="D135" i="14"/>
  <c r="O134" i="14"/>
  <c r="I137" i="3"/>
  <c r="E137" i="3"/>
  <c r="D137" i="3" s="1"/>
  <c r="F137" i="3" s="1"/>
  <c r="G137" i="3" s="1"/>
  <c r="E151" i="17" l="1"/>
  <c r="H151" i="17" s="1"/>
  <c r="C107" i="16"/>
  <c r="G107" i="16" s="1"/>
  <c r="E107" i="16" s="1"/>
  <c r="F107" i="16" s="1"/>
  <c r="F163" i="19"/>
  <c r="H163" i="19"/>
  <c r="C135" i="14"/>
  <c r="G135" i="14" s="1"/>
  <c r="C138" i="3"/>
  <c r="H137" i="3"/>
  <c r="I151" i="17" l="1"/>
  <c r="O151" i="17"/>
  <c r="D152" i="17"/>
  <c r="F151" i="17"/>
  <c r="H107" i="16"/>
  <c r="D108" i="16" s="1"/>
  <c r="E135" i="14"/>
  <c r="F135" i="14" s="1"/>
  <c r="D164" i="19"/>
  <c r="I163" i="19"/>
  <c r="O163" i="19"/>
  <c r="I138" i="3"/>
  <c r="E138" i="3"/>
  <c r="D138" i="3" s="1"/>
  <c r="F138" i="3" s="1"/>
  <c r="G138" i="3" s="1"/>
  <c r="O107" i="16" l="1"/>
  <c r="C152" i="17"/>
  <c r="G152" i="17" s="1"/>
  <c r="E152" i="17" s="1"/>
  <c r="F152" i="17" s="1"/>
  <c r="C108" i="16"/>
  <c r="G108" i="16" s="1"/>
  <c r="H135" i="14"/>
  <c r="D136" i="14" s="1"/>
  <c r="C136" i="14" s="1"/>
  <c r="G136" i="14" s="1"/>
  <c r="C164" i="19"/>
  <c r="C139" i="3"/>
  <c r="H138" i="3"/>
  <c r="O135" i="14" l="1"/>
  <c r="H152" i="17"/>
  <c r="D153" i="17" s="1"/>
  <c r="E136" i="14"/>
  <c r="H136" i="14" s="1"/>
  <c r="O136" i="14" s="1"/>
  <c r="E108" i="16"/>
  <c r="H108" i="16" s="1"/>
  <c r="G164" i="19"/>
  <c r="E164" i="19" s="1"/>
  <c r="I139" i="3"/>
  <c r="E139" i="3"/>
  <c r="D139" i="3" s="1"/>
  <c r="F139" i="3" s="1"/>
  <c r="G139" i="3" s="1"/>
  <c r="D137" i="14" l="1"/>
  <c r="C137" i="14" s="1"/>
  <c r="G137" i="14" s="1"/>
  <c r="E137" i="14" s="1"/>
  <c r="F137" i="14" s="1"/>
  <c r="F136" i="14"/>
  <c r="O152" i="17"/>
  <c r="C153" i="17"/>
  <c r="G153" i="17" s="1"/>
  <c r="E153" i="17" s="1"/>
  <c r="F153" i="17" s="1"/>
  <c r="D109" i="16"/>
  <c r="O108" i="16"/>
  <c r="F108" i="16"/>
  <c r="F164" i="19"/>
  <c r="H164" i="19"/>
  <c r="H139" i="3"/>
  <c r="C140" i="3"/>
  <c r="H153" i="17" l="1"/>
  <c r="O153" i="17" s="1"/>
  <c r="C109" i="16"/>
  <c r="G109" i="16" s="1"/>
  <c r="D165" i="19"/>
  <c r="O164" i="19"/>
  <c r="H137" i="14"/>
  <c r="E140" i="3"/>
  <c r="D140" i="3" s="1"/>
  <c r="F140" i="3" s="1"/>
  <c r="G140" i="3" s="1"/>
  <c r="I140" i="3"/>
  <c r="D154" i="17" l="1"/>
  <c r="C154" i="17" s="1"/>
  <c r="G154" i="17" s="1"/>
  <c r="E109" i="16"/>
  <c r="H109" i="16" s="1"/>
  <c r="C165" i="19"/>
  <c r="D138" i="14"/>
  <c r="C138" i="14" s="1"/>
  <c r="G138" i="14" s="1"/>
  <c r="O137" i="14"/>
  <c r="E138" i="14"/>
  <c r="C141" i="3"/>
  <c r="H140" i="3"/>
  <c r="E154" i="17" l="1"/>
  <c r="H154" i="17" s="1"/>
  <c r="F109" i="16"/>
  <c r="D110" i="16"/>
  <c r="O109" i="16"/>
  <c r="G165" i="19"/>
  <c r="E165" i="19" s="1"/>
  <c r="H138" i="14"/>
  <c r="F138" i="14"/>
  <c r="I141" i="3"/>
  <c r="E141" i="3"/>
  <c r="D141" i="3" s="1"/>
  <c r="F141" i="3" s="1"/>
  <c r="G141" i="3" s="1"/>
  <c r="O154" i="17" l="1"/>
  <c r="D155" i="17"/>
  <c r="F154" i="17"/>
  <c r="C110" i="16"/>
  <c r="G110" i="16" s="1"/>
  <c r="F165" i="19"/>
  <c r="H165" i="19"/>
  <c r="O138" i="14"/>
  <c r="D139" i="14"/>
  <c r="H141" i="3"/>
  <c r="C142" i="3"/>
  <c r="C155" i="17" l="1"/>
  <c r="G155" i="17" s="1"/>
  <c r="E110" i="16"/>
  <c r="H110" i="16" s="1"/>
  <c r="O165" i="19"/>
  <c r="D166" i="19"/>
  <c r="C139" i="14"/>
  <c r="G14" i="14"/>
  <c r="I142" i="3"/>
  <c r="E142" i="3"/>
  <c r="D142" i="3" s="1"/>
  <c r="F142" i="3" s="1"/>
  <c r="G142" i="3" s="1"/>
  <c r="E155" i="17" l="1"/>
  <c r="H155" i="17" s="1"/>
  <c r="O110" i="16"/>
  <c r="D111" i="16"/>
  <c r="C111" i="16" s="1"/>
  <c r="G111" i="16" s="1"/>
  <c r="F110" i="16"/>
  <c r="C166" i="19"/>
  <c r="G166" i="19" s="1"/>
  <c r="G17" i="14"/>
  <c r="G139" i="14"/>
  <c r="E139" i="14" s="1"/>
  <c r="H142" i="3"/>
  <c r="C143" i="3"/>
  <c r="E166" i="19" l="1"/>
  <c r="H166" i="19" s="1"/>
  <c r="D156" i="17"/>
  <c r="O155" i="17"/>
  <c r="F155" i="17"/>
  <c r="E111" i="16"/>
  <c r="F111" i="16" s="1"/>
  <c r="G13" i="14"/>
  <c r="G15" i="14" s="1"/>
  <c r="F139" i="14"/>
  <c r="H139" i="14"/>
  <c r="I143" i="3"/>
  <c r="E143" i="3"/>
  <c r="D143" i="3" s="1"/>
  <c r="F143" i="3" s="1"/>
  <c r="G143" i="3" s="1"/>
  <c r="F166" i="19" l="1"/>
  <c r="O166" i="19"/>
  <c r="D167" i="19"/>
  <c r="C167" i="19" s="1"/>
  <c r="G167" i="19" s="1"/>
  <c r="C156" i="17"/>
  <c r="G156" i="17" s="1"/>
  <c r="E156" i="17" s="1"/>
  <c r="F156" i="17" s="1"/>
  <c r="H111" i="16"/>
  <c r="O139" i="14"/>
  <c r="I139" i="14"/>
  <c r="D140" i="14"/>
  <c r="C144" i="3"/>
  <c r="H143" i="3"/>
  <c r="H156" i="17" l="1"/>
  <c r="D157" i="17" s="1"/>
  <c r="E167" i="19"/>
  <c r="F167" i="19" s="1"/>
  <c r="O111" i="16"/>
  <c r="D112" i="16"/>
  <c r="C140" i="14"/>
  <c r="G140" i="14" s="1"/>
  <c r="E140" i="14" s="1"/>
  <c r="F140" i="14" s="1"/>
  <c r="I144" i="3"/>
  <c r="E144" i="3"/>
  <c r="D144" i="3" s="1"/>
  <c r="F144" i="3" s="1"/>
  <c r="G144" i="3" s="1"/>
  <c r="H167" i="19" l="1"/>
  <c r="O167" i="19" s="1"/>
  <c r="O156" i="17"/>
  <c r="C157" i="17"/>
  <c r="G157" i="17" s="1"/>
  <c r="E157" i="17" s="1"/>
  <c r="F157" i="17" s="1"/>
  <c r="C112" i="16"/>
  <c r="G112" i="16" s="1"/>
  <c r="H140" i="14"/>
  <c r="C145" i="3"/>
  <c r="H144" i="3"/>
  <c r="D168" i="19" l="1"/>
  <c r="H157" i="17"/>
  <c r="O157" i="17" s="1"/>
  <c r="E112" i="16"/>
  <c r="H112" i="16" s="1"/>
  <c r="C168" i="19"/>
  <c r="G168" i="19" s="1"/>
  <c r="D141" i="14"/>
  <c r="O140" i="14"/>
  <c r="E145" i="3"/>
  <c r="D145" i="3" s="1"/>
  <c r="F145" i="3" s="1"/>
  <c r="G145" i="3" s="1"/>
  <c r="I145" i="3"/>
  <c r="D158" i="17" l="1"/>
  <c r="C158" i="17" s="1"/>
  <c r="G158" i="17" s="1"/>
  <c r="E158" i="17" s="1"/>
  <c r="F158" i="17" s="1"/>
  <c r="E168" i="19"/>
  <c r="F168" i="19" s="1"/>
  <c r="D113" i="16"/>
  <c r="O112" i="16"/>
  <c r="F112" i="16"/>
  <c r="C141" i="14"/>
  <c r="G141" i="14" s="1"/>
  <c r="H145" i="3"/>
  <c r="C146" i="3"/>
  <c r="H168" i="19" l="1"/>
  <c r="O168" i="19" s="1"/>
  <c r="H158" i="17"/>
  <c r="D159" i="17" s="1"/>
  <c r="E141" i="14"/>
  <c r="F141" i="14" s="1"/>
  <c r="C113" i="16"/>
  <c r="G113" i="16" s="1"/>
  <c r="E146" i="3"/>
  <c r="D146" i="3" s="1"/>
  <c r="F146" i="3" s="1"/>
  <c r="G146" i="3" s="1"/>
  <c r="I146" i="3"/>
  <c r="D169" i="19" l="1"/>
  <c r="C169" i="19" s="1"/>
  <c r="G169" i="19" s="1"/>
  <c r="E169" i="19" s="1"/>
  <c r="F169" i="19" s="1"/>
  <c r="O158" i="17"/>
  <c r="H141" i="14"/>
  <c r="D142" i="14" s="1"/>
  <c r="C142" i="14" s="1"/>
  <c r="G142" i="14" s="1"/>
  <c r="E142" i="14" s="1"/>
  <c r="C159" i="17"/>
  <c r="G159" i="17" s="1"/>
  <c r="E113" i="16"/>
  <c r="H113" i="16" s="1"/>
  <c r="H146" i="3"/>
  <c r="C147" i="3"/>
  <c r="H169" i="19" l="1"/>
  <c r="O169" i="19" s="1"/>
  <c r="O141" i="14"/>
  <c r="E159" i="17"/>
  <c r="H159" i="17" s="1"/>
  <c r="O113" i="16"/>
  <c r="D114" i="16"/>
  <c r="F113" i="16"/>
  <c r="F142" i="14"/>
  <c r="H142" i="14"/>
  <c r="I147" i="3"/>
  <c r="E147" i="3"/>
  <c r="D147" i="3" s="1"/>
  <c r="F147" i="3" s="1"/>
  <c r="G147" i="3" s="1"/>
  <c r="D170" i="19" l="1"/>
  <c r="C170" i="19" s="1"/>
  <c r="G170" i="19" s="1"/>
  <c r="E170" i="19" s="1"/>
  <c r="H170" i="19" s="1"/>
  <c r="D160" i="17"/>
  <c r="O159" i="17"/>
  <c r="F159" i="17"/>
  <c r="C114" i="16"/>
  <c r="G114" i="16" s="1"/>
  <c r="D143" i="14"/>
  <c r="O142" i="14"/>
  <c r="C148" i="3"/>
  <c r="H147" i="3"/>
  <c r="F170" i="19" l="1"/>
  <c r="C160" i="17"/>
  <c r="G160" i="17" s="1"/>
  <c r="E160" i="17" s="1"/>
  <c r="F160" i="17" s="1"/>
  <c r="E114" i="16"/>
  <c r="H114" i="16" s="1"/>
  <c r="O170" i="19"/>
  <c r="D171" i="19"/>
  <c r="C171" i="19" s="1"/>
  <c r="G171" i="19" s="1"/>
  <c r="C143" i="14"/>
  <c r="G143" i="14" s="1"/>
  <c r="I148" i="3"/>
  <c r="E148" i="3"/>
  <c r="D148" i="3" s="1"/>
  <c r="F148" i="3" s="1"/>
  <c r="G148" i="3" s="1"/>
  <c r="H160" i="17" l="1"/>
  <c r="O160" i="17" s="1"/>
  <c r="E171" i="19"/>
  <c r="F171" i="19" s="1"/>
  <c r="E143" i="14"/>
  <c r="F143" i="14" s="1"/>
  <c r="D115" i="16"/>
  <c r="O114" i="16"/>
  <c r="F114" i="16"/>
  <c r="H148" i="3"/>
  <c r="C149" i="3"/>
  <c r="D161" i="17" l="1"/>
  <c r="H171" i="19"/>
  <c r="O171" i="19" s="1"/>
  <c r="H143" i="14"/>
  <c r="O143" i="14" s="1"/>
  <c r="C161" i="17"/>
  <c r="G161" i="17" s="1"/>
  <c r="C115" i="16"/>
  <c r="G115" i="16" s="1"/>
  <c r="E115" i="16" s="1"/>
  <c r="F115" i="16" s="1"/>
  <c r="E149" i="3"/>
  <c r="D149" i="3" s="1"/>
  <c r="F149" i="3" s="1"/>
  <c r="G149" i="3" s="1"/>
  <c r="I149" i="3"/>
  <c r="D172" i="19" l="1"/>
  <c r="C172" i="19" s="1"/>
  <c r="G172" i="19" s="1"/>
  <c r="E172" i="19" s="1"/>
  <c r="F172" i="19" s="1"/>
  <c r="D144" i="14"/>
  <c r="C144" i="14" s="1"/>
  <c r="G144" i="14" s="1"/>
  <c r="E144" i="14" s="1"/>
  <c r="F144" i="14" s="1"/>
  <c r="E161" i="17"/>
  <c r="H161" i="17" s="1"/>
  <c r="H115" i="16"/>
  <c r="I115" i="16" s="1"/>
  <c r="H149" i="3"/>
  <c r="C150" i="3"/>
  <c r="H144" i="14" l="1"/>
  <c r="D145" i="14" s="1"/>
  <c r="C145" i="14" s="1"/>
  <c r="G145" i="14" s="1"/>
  <c r="H172" i="19"/>
  <c r="O172" i="19" s="1"/>
  <c r="O161" i="17"/>
  <c r="D162" i="17"/>
  <c r="F161" i="17"/>
  <c r="D116" i="16"/>
  <c r="C116" i="16" s="1"/>
  <c r="G116" i="16" s="1"/>
  <c r="O115" i="16"/>
  <c r="I150" i="3"/>
  <c r="E150" i="3"/>
  <c r="D150" i="3" s="1"/>
  <c r="F150" i="3" s="1"/>
  <c r="G150" i="3" s="1"/>
  <c r="E145" i="14" l="1"/>
  <c r="H145" i="14" s="1"/>
  <c r="O144" i="14"/>
  <c r="D173" i="19"/>
  <c r="C173" i="19" s="1"/>
  <c r="G173" i="19" s="1"/>
  <c r="E173" i="19" s="1"/>
  <c r="F173" i="19" s="1"/>
  <c r="C162" i="17"/>
  <c r="G162" i="17" s="1"/>
  <c r="E162" i="17" s="1"/>
  <c r="F162" i="17" s="1"/>
  <c r="E116" i="16"/>
  <c r="H116" i="16" s="1"/>
  <c r="H173" i="19"/>
  <c r="F145" i="14"/>
  <c r="C151" i="3"/>
  <c r="H150" i="3"/>
  <c r="H162" i="17" l="1"/>
  <c r="O162" i="17" s="1"/>
  <c r="O116" i="16"/>
  <c r="D117" i="16"/>
  <c r="F116" i="16"/>
  <c r="O173" i="19"/>
  <c r="D174" i="19"/>
  <c r="C174" i="19" s="1"/>
  <c r="G174" i="19" s="1"/>
  <c r="O145" i="14"/>
  <c r="D146" i="14"/>
  <c r="I151" i="3"/>
  <c r="E151" i="3"/>
  <c r="D151" i="3" s="1"/>
  <c r="F151" i="3" s="1"/>
  <c r="G151" i="3" s="1"/>
  <c r="D163" i="17" l="1"/>
  <c r="C163" i="17"/>
  <c r="G163" i="17" s="1"/>
  <c r="E163" i="17" s="1"/>
  <c r="F163" i="17" s="1"/>
  <c r="E174" i="19"/>
  <c r="F174" i="19" s="1"/>
  <c r="C117" i="16"/>
  <c r="G117" i="16" s="1"/>
  <c r="E117" i="16" s="1"/>
  <c r="F117" i="16" s="1"/>
  <c r="C146" i="14"/>
  <c r="G146" i="14" s="1"/>
  <c r="C152" i="3"/>
  <c r="H151" i="3"/>
  <c r="H174" i="19" l="1"/>
  <c r="D175" i="19" s="1"/>
  <c r="H117" i="16"/>
  <c r="D118" i="16" s="1"/>
  <c r="H163" i="17"/>
  <c r="O163" i="17" s="1"/>
  <c r="E146" i="14"/>
  <c r="F146" i="14" s="1"/>
  <c r="O174" i="19"/>
  <c r="E152" i="3"/>
  <c r="D152" i="3" s="1"/>
  <c r="F152" i="3" s="1"/>
  <c r="G152" i="3" s="1"/>
  <c r="I152" i="3"/>
  <c r="D164" i="17" l="1"/>
  <c r="C164" i="17" s="1"/>
  <c r="G164" i="17" s="1"/>
  <c r="E164" i="17" s="1"/>
  <c r="F164" i="17" s="1"/>
  <c r="O117" i="16"/>
  <c r="I163" i="17"/>
  <c r="H146" i="14"/>
  <c r="O146" i="14" s="1"/>
  <c r="C118" i="16"/>
  <c r="G118" i="16" s="1"/>
  <c r="E118" i="16" s="1"/>
  <c r="F118" i="16" s="1"/>
  <c r="C175" i="19"/>
  <c r="G175" i="19" s="1"/>
  <c r="C153" i="3"/>
  <c r="H152" i="3"/>
  <c r="H164" i="17" l="1"/>
  <c r="D165" i="17" s="1"/>
  <c r="D147" i="14"/>
  <c r="C147" i="14" s="1"/>
  <c r="G147" i="14" s="1"/>
  <c r="E147" i="14" s="1"/>
  <c r="F147" i="14" s="1"/>
  <c r="E175" i="19"/>
  <c r="F175" i="19" s="1"/>
  <c r="H118" i="16"/>
  <c r="D119" i="16" s="1"/>
  <c r="I153" i="3"/>
  <c r="E153" i="3"/>
  <c r="D153" i="3" s="1"/>
  <c r="F153" i="3" s="1"/>
  <c r="G153" i="3" s="1"/>
  <c r="O164" i="17" l="1"/>
  <c r="H147" i="14"/>
  <c r="D148" i="14" s="1"/>
  <c r="C148" i="14" s="1"/>
  <c r="G148" i="14" s="1"/>
  <c r="O118" i="16"/>
  <c r="H175" i="19"/>
  <c r="D176" i="19" s="1"/>
  <c r="C176" i="19" s="1"/>
  <c r="G176" i="19" s="1"/>
  <c r="C165" i="17"/>
  <c r="G165" i="17" s="1"/>
  <c r="C119" i="16"/>
  <c r="G119" i="16" s="1"/>
  <c r="E119" i="16" s="1"/>
  <c r="F119" i="16" s="1"/>
  <c r="C154" i="3"/>
  <c r="H153" i="3"/>
  <c r="E148" i="14" l="1"/>
  <c r="H148" i="14" s="1"/>
  <c r="D149" i="14" s="1"/>
  <c r="C149" i="14" s="1"/>
  <c r="G149" i="14" s="1"/>
  <c r="E149" i="14" s="1"/>
  <c r="O147" i="14"/>
  <c r="O175" i="19"/>
  <c r="E176" i="19"/>
  <c r="H176" i="19" s="1"/>
  <c r="O176" i="19" s="1"/>
  <c r="I175" i="19"/>
  <c r="E165" i="17"/>
  <c r="H165" i="17" s="1"/>
  <c r="H119" i="16"/>
  <c r="D120" i="16" s="1"/>
  <c r="E154" i="3"/>
  <c r="D154" i="3" s="1"/>
  <c r="F154" i="3" s="1"/>
  <c r="G154" i="3" s="1"/>
  <c r="I154" i="3"/>
  <c r="O148" i="14" l="1"/>
  <c r="D177" i="19"/>
  <c r="C177" i="19" s="1"/>
  <c r="G177" i="19" s="1"/>
  <c r="E177" i="19" s="1"/>
  <c r="F148" i="14"/>
  <c r="F176" i="19"/>
  <c r="D166" i="17"/>
  <c r="O165" i="17"/>
  <c r="F165" i="17"/>
  <c r="O119" i="16"/>
  <c r="C120" i="16"/>
  <c r="G120" i="16" s="1"/>
  <c r="E120" i="16" s="1"/>
  <c r="F120" i="16" s="1"/>
  <c r="H149" i="14"/>
  <c r="F149" i="14"/>
  <c r="H154" i="3"/>
  <c r="C155" i="3"/>
  <c r="H177" i="19" l="1"/>
  <c r="F177" i="19"/>
  <c r="O177" i="19"/>
  <c r="D178" i="19"/>
  <c r="C178" i="19" s="1"/>
  <c r="G178" i="19" s="1"/>
  <c r="C166" i="17"/>
  <c r="G166" i="17" s="1"/>
  <c r="H120" i="16"/>
  <c r="D121" i="16" s="1"/>
  <c r="D150" i="14"/>
  <c r="C150" i="14" s="1"/>
  <c r="G150" i="14" s="1"/>
  <c r="E150" i="14" s="1"/>
  <c r="O149" i="14"/>
  <c r="I155" i="3"/>
  <c r="E155" i="3"/>
  <c r="D155" i="3" s="1"/>
  <c r="F155" i="3" s="1"/>
  <c r="G155" i="3" s="1"/>
  <c r="E166" i="17" l="1"/>
  <c r="H166" i="17" s="1"/>
  <c r="E178" i="19"/>
  <c r="F178" i="19" s="1"/>
  <c r="O120" i="16"/>
  <c r="C121" i="16"/>
  <c r="G121" i="16" s="1"/>
  <c r="E121" i="16" s="1"/>
  <c r="F121" i="16" s="1"/>
  <c r="H150" i="14"/>
  <c r="F150" i="14"/>
  <c r="C156" i="3"/>
  <c r="H155" i="3"/>
  <c r="H178" i="19" l="1"/>
  <c r="O178" i="19" s="1"/>
  <c r="D167" i="17"/>
  <c r="O166" i="17"/>
  <c r="F166" i="17"/>
  <c r="H121" i="16"/>
  <c r="D122" i="16" s="1"/>
  <c r="D151" i="14"/>
  <c r="C151" i="14" s="1"/>
  <c r="G151" i="14" s="1"/>
  <c r="E151" i="14" s="1"/>
  <c r="O150" i="14"/>
  <c r="I156" i="3"/>
  <c r="E156" i="3"/>
  <c r="D156" i="3" s="1"/>
  <c r="F156" i="3" s="1"/>
  <c r="G156" i="3" s="1"/>
  <c r="D179" i="19" l="1"/>
  <c r="C179" i="19" s="1"/>
  <c r="G179" i="19" s="1"/>
  <c r="E179" i="19" s="1"/>
  <c r="H179" i="19" s="1"/>
  <c r="C167" i="17"/>
  <c r="G167" i="17" s="1"/>
  <c r="E167" i="17" s="1"/>
  <c r="F167" i="17" s="1"/>
  <c r="O121" i="16"/>
  <c r="C122" i="16"/>
  <c r="G122" i="16" s="1"/>
  <c r="H151" i="14"/>
  <c r="F151" i="14"/>
  <c r="C157" i="3"/>
  <c r="H156" i="3"/>
  <c r="H167" i="17" l="1"/>
  <c r="F179" i="19"/>
  <c r="D180" i="19"/>
  <c r="C180" i="19" s="1"/>
  <c r="G180" i="19" s="1"/>
  <c r="O179" i="19"/>
  <c r="O167" i="17"/>
  <c r="D168" i="17"/>
  <c r="E122" i="16"/>
  <c r="H122" i="16" s="1"/>
  <c r="I151" i="14"/>
  <c r="O151" i="14"/>
  <c r="D152" i="14"/>
  <c r="E157" i="3"/>
  <c r="D157" i="3" s="1"/>
  <c r="F157" i="3" s="1"/>
  <c r="G157" i="3" s="1"/>
  <c r="I157" i="3"/>
  <c r="C168" i="17" l="1"/>
  <c r="G168" i="17" s="1"/>
  <c r="E180" i="19"/>
  <c r="F180" i="19" s="1"/>
  <c r="D123" i="16"/>
  <c r="O122" i="16"/>
  <c r="F122" i="16"/>
  <c r="C152" i="14"/>
  <c r="G152" i="14" s="1"/>
  <c r="H157" i="3"/>
  <c r="C158" i="3"/>
  <c r="H180" i="19" l="1"/>
  <c r="D181" i="19" s="1"/>
  <c r="E168" i="17"/>
  <c r="H168" i="17" s="1"/>
  <c r="E152" i="14"/>
  <c r="F152" i="14" s="1"/>
  <c r="C123" i="16"/>
  <c r="G123" i="16" s="1"/>
  <c r="E158" i="3"/>
  <c r="D158" i="3" s="1"/>
  <c r="F158" i="3" s="1"/>
  <c r="G158" i="3" s="1"/>
  <c r="I158" i="3"/>
  <c r="O180" i="19" l="1"/>
  <c r="O168" i="17"/>
  <c r="D169" i="17"/>
  <c r="F168" i="17"/>
  <c r="H152" i="14"/>
  <c r="O152" i="14" s="1"/>
  <c r="E123" i="16"/>
  <c r="H123" i="16" s="1"/>
  <c r="C181" i="19"/>
  <c r="G181" i="19" s="1"/>
  <c r="C159" i="3"/>
  <c r="H158" i="3"/>
  <c r="E181" i="19" l="1"/>
  <c r="F181" i="19" s="1"/>
  <c r="C169" i="17"/>
  <c r="G169" i="17" s="1"/>
  <c r="E169" i="17" s="1"/>
  <c r="F169" i="17" s="1"/>
  <c r="D153" i="14"/>
  <c r="C153" i="14" s="1"/>
  <c r="G153" i="14" s="1"/>
  <c r="E153" i="14" s="1"/>
  <c r="F153" i="14" s="1"/>
  <c r="O123" i="16"/>
  <c r="D124" i="16"/>
  <c r="F123" i="16"/>
  <c r="I159" i="3"/>
  <c r="E159" i="3"/>
  <c r="D159" i="3" s="1"/>
  <c r="F159" i="3" s="1"/>
  <c r="G159" i="3" s="1"/>
  <c r="H181" i="19" l="1"/>
  <c r="D182" i="19" s="1"/>
  <c r="H169" i="17"/>
  <c r="D170" i="17" s="1"/>
  <c r="H153" i="14"/>
  <c r="O153" i="14" s="1"/>
  <c r="C124" i="16"/>
  <c r="G124" i="16" s="1"/>
  <c r="H159" i="3"/>
  <c r="C160" i="3"/>
  <c r="O169" i="17" l="1"/>
  <c r="O181" i="19"/>
  <c r="C170" i="17"/>
  <c r="G170" i="17" s="1"/>
  <c r="E170" i="17" s="1"/>
  <c r="F170" i="17" s="1"/>
  <c r="D154" i="14"/>
  <c r="C154" i="14" s="1"/>
  <c r="G154" i="14" s="1"/>
  <c r="E154" i="14" s="1"/>
  <c r="F154" i="14" s="1"/>
  <c r="E124" i="16"/>
  <c r="H124" i="16" s="1"/>
  <c r="C182" i="19"/>
  <c r="G182" i="19" s="1"/>
  <c r="E160" i="3"/>
  <c r="D160" i="3" s="1"/>
  <c r="F160" i="3" s="1"/>
  <c r="G160" i="3" s="1"/>
  <c r="I160" i="3"/>
  <c r="H170" i="17" l="1"/>
  <c r="D171" i="17" s="1"/>
  <c r="E182" i="19"/>
  <c r="F182" i="19" s="1"/>
  <c r="H154" i="14"/>
  <c r="O154" i="14" s="1"/>
  <c r="D125" i="16"/>
  <c r="C125" i="16" s="1"/>
  <c r="G125" i="16" s="1"/>
  <c r="O124" i="16"/>
  <c r="F124" i="16"/>
  <c r="C161" i="3"/>
  <c r="H160" i="3"/>
  <c r="H182" i="19" l="1"/>
  <c r="D183" i="19" s="1"/>
  <c r="O170" i="17"/>
  <c r="C171" i="17"/>
  <c r="G171" i="17" s="1"/>
  <c r="E171" i="17" s="1"/>
  <c r="F171" i="17" s="1"/>
  <c r="D155" i="14"/>
  <c r="C155" i="14" s="1"/>
  <c r="G155" i="14" s="1"/>
  <c r="E155" i="14" s="1"/>
  <c r="F155" i="14" s="1"/>
  <c r="E125" i="16"/>
  <c r="F125" i="16" s="1"/>
  <c r="C183" i="19"/>
  <c r="G183" i="19" s="1"/>
  <c r="I161" i="3"/>
  <c r="E161" i="3"/>
  <c r="D161" i="3" s="1"/>
  <c r="F161" i="3" s="1"/>
  <c r="G161" i="3" s="1"/>
  <c r="O182" i="19" l="1"/>
  <c r="H171" i="17"/>
  <c r="D172" i="17" s="1"/>
  <c r="E183" i="19"/>
  <c r="F183" i="19" s="1"/>
  <c r="H155" i="14"/>
  <c r="O155" i="14" s="1"/>
  <c r="H125" i="16"/>
  <c r="C162" i="3"/>
  <c r="H161" i="3"/>
  <c r="O171" i="17" l="1"/>
  <c r="H183" i="19"/>
  <c r="D184" i="19" s="1"/>
  <c r="C172" i="17"/>
  <c r="G172" i="17" s="1"/>
  <c r="E172" i="17" s="1"/>
  <c r="F172" i="17" s="1"/>
  <c r="D156" i="14"/>
  <c r="C156" i="14" s="1"/>
  <c r="G156" i="14" s="1"/>
  <c r="E156" i="14" s="1"/>
  <c r="F156" i="14" s="1"/>
  <c r="D126" i="16"/>
  <c r="O125" i="16"/>
  <c r="O183" i="19"/>
  <c r="I162" i="3"/>
  <c r="E162" i="3"/>
  <c r="D162" i="3" s="1"/>
  <c r="F162" i="3" s="1"/>
  <c r="G162" i="3" s="1"/>
  <c r="H172" i="17" l="1"/>
  <c r="O172" i="17" s="1"/>
  <c r="H156" i="14"/>
  <c r="D157" i="14" s="1"/>
  <c r="C126" i="16"/>
  <c r="G126" i="16" s="1"/>
  <c r="C184" i="19"/>
  <c r="G184" i="19" s="1"/>
  <c r="C163" i="3"/>
  <c r="H162" i="3"/>
  <c r="D173" i="17" l="1"/>
  <c r="E184" i="19"/>
  <c r="F184" i="19" s="1"/>
  <c r="C173" i="17"/>
  <c r="G173" i="17" s="1"/>
  <c r="E173" i="17" s="1"/>
  <c r="F173" i="17" s="1"/>
  <c r="O156" i="14"/>
  <c r="E126" i="16"/>
  <c r="H126" i="16" s="1"/>
  <c r="H184" i="19"/>
  <c r="C157" i="14"/>
  <c r="G157" i="14" s="1"/>
  <c r="E163" i="3"/>
  <c r="D163" i="3" s="1"/>
  <c r="F163" i="3" s="1"/>
  <c r="G163" i="3" s="1"/>
  <c r="I163" i="3"/>
  <c r="H173" i="17" l="1"/>
  <c r="D174" i="17" s="1"/>
  <c r="E157" i="14"/>
  <c r="F157" i="14" s="1"/>
  <c r="O126" i="16"/>
  <c r="D127" i="16"/>
  <c r="F126" i="16"/>
  <c r="D185" i="19"/>
  <c r="O184" i="19"/>
  <c r="H163" i="3"/>
  <c r="C164" i="3"/>
  <c r="O173" i="17" l="1"/>
  <c r="C174" i="17"/>
  <c r="G174" i="17" s="1"/>
  <c r="E174" i="17" s="1"/>
  <c r="F174" i="17" s="1"/>
  <c r="H157" i="14"/>
  <c r="O157" i="14" s="1"/>
  <c r="C127" i="16"/>
  <c r="G127" i="16" s="1"/>
  <c r="C185" i="19"/>
  <c r="G185" i="19" s="1"/>
  <c r="I164" i="3"/>
  <c r="E164" i="3"/>
  <c r="D164" i="3" s="1"/>
  <c r="F164" i="3" s="1"/>
  <c r="G164" i="3" s="1"/>
  <c r="H174" i="17" l="1"/>
  <c r="O174" i="17" s="1"/>
  <c r="D158" i="14"/>
  <c r="C158" i="14" s="1"/>
  <c r="G158" i="14" s="1"/>
  <c r="E158" i="14" s="1"/>
  <c r="F158" i="14" s="1"/>
  <c r="E185" i="19"/>
  <c r="H185" i="19" s="1"/>
  <c r="E127" i="16"/>
  <c r="H127" i="16" s="1"/>
  <c r="C165" i="3"/>
  <c r="H164" i="3"/>
  <c r="D175" i="17" l="1"/>
  <c r="F185" i="19"/>
  <c r="H158" i="14"/>
  <c r="D159" i="14" s="1"/>
  <c r="C159" i="14" s="1"/>
  <c r="G159" i="14" s="1"/>
  <c r="D186" i="19"/>
  <c r="O185" i="19"/>
  <c r="C175" i="17"/>
  <c r="G175" i="17" s="1"/>
  <c r="E175" i="17" s="1"/>
  <c r="F175" i="17" s="1"/>
  <c r="O127" i="16"/>
  <c r="D128" i="16"/>
  <c r="I127" i="16"/>
  <c r="F127" i="16"/>
  <c r="C186" i="19"/>
  <c r="G186" i="19" s="1"/>
  <c r="E165" i="3"/>
  <c r="D165" i="3" s="1"/>
  <c r="F165" i="3" s="1"/>
  <c r="G165" i="3" s="1"/>
  <c r="I165" i="3"/>
  <c r="O158" i="14" l="1"/>
  <c r="H175" i="17"/>
  <c r="I175" i="17" s="1"/>
  <c r="E186" i="19"/>
  <c r="F186" i="19" s="1"/>
  <c r="C128" i="16"/>
  <c r="G128" i="16" s="1"/>
  <c r="E159" i="14"/>
  <c r="H159" i="14" s="1"/>
  <c r="C166" i="3"/>
  <c r="H165" i="3"/>
  <c r="O175" i="17" l="1"/>
  <c r="D176" i="17"/>
  <c r="C176" i="17" s="1"/>
  <c r="G176" i="17" s="1"/>
  <c r="H186" i="19"/>
  <c r="D187" i="19" s="1"/>
  <c r="C187" i="19" s="1"/>
  <c r="G187" i="19" s="1"/>
  <c r="F159" i="14"/>
  <c r="O159" i="14"/>
  <c r="D160" i="14"/>
  <c r="C160" i="14" s="1"/>
  <c r="G160" i="14" s="1"/>
  <c r="E128" i="16"/>
  <c r="H128" i="16" s="1"/>
  <c r="E166" i="3"/>
  <c r="D166" i="3" s="1"/>
  <c r="F166" i="3" s="1"/>
  <c r="G166" i="3" s="1"/>
  <c r="I166" i="3"/>
  <c r="O186" i="19" l="1"/>
  <c r="E187" i="19"/>
  <c r="F187" i="19" s="1"/>
  <c r="E176" i="17"/>
  <c r="H176" i="17" s="1"/>
  <c r="O128" i="16"/>
  <c r="D129" i="16"/>
  <c r="F128" i="16"/>
  <c r="E160" i="14"/>
  <c r="F160" i="14" s="1"/>
  <c r="C167" i="3"/>
  <c r="H166" i="3"/>
  <c r="H187" i="19" l="1"/>
  <c r="D188" i="19" s="1"/>
  <c r="C188" i="19" s="1"/>
  <c r="G188" i="19" s="1"/>
  <c r="D177" i="17"/>
  <c r="O176" i="17"/>
  <c r="F176" i="17"/>
  <c r="H160" i="14"/>
  <c r="O160" i="14" s="1"/>
  <c r="C129" i="16"/>
  <c r="G129" i="16" s="1"/>
  <c r="O187" i="19"/>
  <c r="I187" i="19"/>
  <c r="E188" i="19"/>
  <c r="H188" i="19" s="1"/>
  <c r="O188" i="19" s="1"/>
  <c r="I167" i="3"/>
  <c r="E167" i="3"/>
  <c r="D167" i="3" s="1"/>
  <c r="F167" i="3" s="1"/>
  <c r="G167" i="3" s="1"/>
  <c r="D161" i="14" l="1"/>
  <c r="C161" i="14" s="1"/>
  <c r="G161" i="14" s="1"/>
  <c r="E161" i="14" s="1"/>
  <c r="F161" i="14" s="1"/>
  <c r="C177" i="17"/>
  <c r="G177" i="17" s="1"/>
  <c r="F188" i="19"/>
  <c r="E129" i="16"/>
  <c r="H129" i="16" s="1"/>
  <c r="D189" i="19"/>
  <c r="C189" i="19" s="1"/>
  <c r="G189" i="19" s="1"/>
  <c r="C168" i="3"/>
  <c r="H167" i="3"/>
  <c r="H161" i="14" l="1"/>
  <c r="D162" i="14" s="1"/>
  <c r="C162" i="14" s="1"/>
  <c r="G162" i="14" s="1"/>
  <c r="E162" i="14" s="1"/>
  <c r="E189" i="19"/>
  <c r="H189" i="19" s="1"/>
  <c r="E177" i="17"/>
  <c r="H177" i="17" s="1"/>
  <c r="D130" i="16"/>
  <c r="O129" i="16"/>
  <c r="F129" i="16"/>
  <c r="I168" i="3"/>
  <c r="E168" i="3"/>
  <c r="D168" i="3" s="1"/>
  <c r="F168" i="3" s="1"/>
  <c r="G168" i="3" s="1"/>
  <c r="F189" i="19" l="1"/>
  <c r="O161" i="14"/>
  <c r="O189" i="19"/>
  <c r="D190" i="19"/>
  <c r="O177" i="17"/>
  <c r="D178" i="17"/>
  <c r="F177" i="17"/>
  <c r="C130" i="16"/>
  <c r="G130" i="16" s="1"/>
  <c r="F162" i="14"/>
  <c r="H162" i="14"/>
  <c r="C190" i="19"/>
  <c r="G190" i="19" s="1"/>
  <c r="H168" i="3"/>
  <c r="C169" i="3"/>
  <c r="C178" i="17" l="1"/>
  <c r="E190" i="19"/>
  <c r="F190" i="19" s="1"/>
  <c r="E130" i="16"/>
  <c r="H130" i="16" s="1"/>
  <c r="O162" i="14"/>
  <c r="D163" i="14"/>
  <c r="C163" i="14" s="1"/>
  <c r="G163" i="14" s="1"/>
  <c r="I169" i="3"/>
  <c r="E169" i="3"/>
  <c r="D169" i="3" s="1"/>
  <c r="F169" i="3" s="1"/>
  <c r="G169" i="3" s="1"/>
  <c r="H190" i="19" l="1"/>
  <c r="O190" i="19" s="1"/>
  <c r="G178" i="17"/>
  <c r="D131" i="16"/>
  <c r="O130" i="16"/>
  <c r="F130" i="16"/>
  <c r="E163" i="14"/>
  <c r="F163" i="14" s="1"/>
  <c r="D191" i="19"/>
  <c r="H169" i="3"/>
  <c r="C170" i="3"/>
  <c r="E178" i="17" l="1"/>
  <c r="F178" i="17" s="1"/>
  <c r="H163" i="14"/>
  <c r="D164" i="14" s="1"/>
  <c r="C131" i="16"/>
  <c r="G131" i="16" s="1"/>
  <c r="C191" i="19"/>
  <c r="G191" i="19" s="1"/>
  <c r="E170" i="3"/>
  <c r="D170" i="3" s="1"/>
  <c r="F170" i="3" s="1"/>
  <c r="G170" i="3" s="1"/>
  <c r="I170" i="3"/>
  <c r="H178" i="17" l="1"/>
  <c r="O178" i="17" s="1"/>
  <c r="E191" i="19"/>
  <c r="F191" i="19" s="1"/>
  <c r="O163" i="14"/>
  <c r="I163" i="14"/>
  <c r="E131" i="16"/>
  <c r="H131" i="16" s="1"/>
  <c r="C164" i="14"/>
  <c r="G164" i="14" s="1"/>
  <c r="H170" i="3"/>
  <c r="C171" i="3"/>
  <c r="D179" i="17" l="1"/>
  <c r="C179" i="17" s="1"/>
  <c r="H191" i="19"/>
  <c r="D192" i="19" s="1"/>
  <c r="E164" i="14"/>
  <c r="H164" i="14" s="1"/>
  <c r="D132" i="16"/>
  <c r="O131" i="16"/>
  <c r="F131" i="16"/>
  <c r="E171" i="3"/>
  <c r="D171" i="3" s="1"/>
  <c r="F171" i="3" s="1"/>
  <c r="G171" i="3" s="1"/>
  <c r="I171" i="3"/>
  <c r="O191" i="19" l="1"/>
  <c r="G179" i="17"/>
  <c r="F164" i="14"/>
  <c r="D165" i="14"/>
  <c r="C165" i="14" s="1"/>
  <c r="G165" i="14" s="1"/>
  <c r="O164" i="14"/>
  <c r="C132" i="16"/>
  <c r="G132" i="16" s="1"/>
  <c r="C192" i="19"/>
  <c r="G192" i="19" s="1"/>
  <c r="C172" i="3"/>
  <c r="H171" i="3"/>
  <c r="E192" i="19" l="1"/>
  <c r="F192" i="19" s="1"/>
  <c r="E179" i="17"/>
  <c r="F179" i="17" s="1"/>
  <c r="E132" i="16"/>
  <c r="H132" i="16" s="1"/>
  <c r="E165" i="14"/>
  <c r="F165" i="14" s="1"/>
  <c r="I172" i="3"/>
  <c r="E172" i="3"/>
  <c r="D172" i="3" s="1"/>
  <c r="F172" i="3" s="1"/>
  <c r="G172" i="3" s="1"/>
  <c r="H192" i="19" l="1"/>
  <c r="O192" i="19" s="1"/>
  <c r="H179" i="17"/>
  <c r="H165" i="14"/>
  <c r="D166" i="14" s="1"/>
  <c r="C166" i="14" s="1"/>
  <c r="G166" i="14" s="1"/>
  <c r="D133" i="16"/>
  <c r="O132" i="16"/>
  <c r="F132" i="16"/>
  <c r="H172" i="3"/>
  <c r="C173" i="3"/>
  <c r="D193" i="19" l="1"/>
  <c r="C193" i="19" s="1"/>
  <c r="G193" i="19" s="1"/>
  <c r="E193" i="19" s="1"/>
  <c r="F193" i="19" s="1"/>
  <c r="O165" i="14"/>
  <c r="E166" i="14"/>
  <c r="F166" i="14" s="1"/>
  <c r="D180" i="17"/>
  <c r="O179" i="17"/>
  <c r="C133" i="16"/>
  <c r="E173" i="3"/>
  <c r="D173" i="3" s="1"/>
  <c r="F173" i="3" s="1"/>
  <c r="G173" i="3" s="1"/>
  <c r="I173" i="3"/>
  <c r="H166" i="14" l="1"/>
  <c r="D167" i="14" s="1"/>
  <c r="C167" i="14" s="1"/>
  <c r="G167" i="14" s="1"/>
  <c r="H193" i="19"/>
  <c r="D194" i="19" s="1"/>
  <c r="C180" i="17"/>
  <c r="G133" i="16"/>
  <c r="C174" i="3"/>
  <c r="H173" i="3"/>
  <c r="O166" i="14" l="1"/>
  <c r="E167" i="14"/>
  <c r="H167" i="14" s="1"/>
  <c r="D168" i="14" s="1"/>
  <c r="C168" i="14" s="1"/>
  <c r="G168" i="14" s="1"/>
  <c r="E168" i="14" s="1"/>
  <c r="O193" i="19"/>
  <c r="G180" i="17"/>
  <c r="E133" i="16"/>
  <c r="F133" i="16" s="1"/>
  <c r="C194" i="19"/>
  <c r="G194" i="19" s="1"/>
  <c r="E174" i="3"/>
  <c r="D174" i="3" s="1"/>
  <c r="F174" i="3" s="1"/>
  <c r="G174" i="3" s="1"/>
  <c r="I174" i="3"/>
  <c r="O167" i="14" l="1"/>
  <c r="F167" i="14"/>
  <c r="E194" i="19"/>
  <c r="H194" i="19" s="1"/>
  <c r="E180" i="17"/>
  <c r="F180" i="17" s="1"/>
  <c r="H133" i="16"/>
  <c r="H168" i="14"/>
  <c r="F168" i="14"/>
  <c r="C175" i="3"/>
  <c r="H174" i="3"/>
  <c r="F194" i="19" l="1"/>
  <c r="D195" i="19"/>
  <c r="C195" i="19" s="1"/>
  <c r="G195" i="19" s="1"/>
  <c r="O194" i="19"/>
  <c r="H180" i="17"/>
  <c r="O133" i="16"/>
  <c r="D134" i="16"/>
  <c r="O168" i="14"/>
  <c r="D169" i="14"/>
  <c r="C169" i="14" s="1"/>
  <c r="G169" i="14" s="1"/>
  <c r="E169" i="14"/>
  <c r="E175" i="3"/>
  <c r="D175" i="3" s="1"/>
  <c r="F175" i="3" s="1"/>
  <c r="G175" i="3" s="1"/>
  <c r="I175" i="3"/>
  <c r="O180" i="17" l="1"/>
  <c r="D181" i="17"/>
  <c r="E195" i="19"/>
  <c r="F195" i="19" s="1"/>
  <c r="C134" i="16"/>
  <c r="H169" i="14"/>
  <c r="F169" i="14"/>
  <c r="C176" i="3"/>
  <c r="H175" i="3"/>
  <c r="H195" i="19" l="1"/>
  <c r="D196" i="19" s="1"/>
  <c r="C196" i="19" s="1"/>
  <c r="G196" i="19" s="1"/>
  <c r="E196" i="19" s="1"/>
  <c r="C181" i="17"/>
  <c r="G134" i="16"/>
  <c r="O169" i="14"/>
  <c r="D170" i="14"/>
  <c r="E176" i="3"/>
  <c r="D176" i="3" s="1"/>
  <c r="F176" i="3" s="1"/>
  <c r="G176" i="3" s="1"/>
  <c r="I176" i="3"/>
  <c r="O195" i="19" l="1"/>
  <c r="G181" i="17"/>
  <c r="E134" i="16"/>
  <c r="F134" i="16" s="1"/>
  <c r="F196" i="19"/>
  <c r="H196" i="19"/>
  <c r="C170" i="14"/>
  <c r="G170" i="14" s="1"/>
  <c r="C177" i="3"/>
  <c r="H176" i="3"/>
  <c r="E181" i="17" l="1"/>
  <c r="F181" i="17" s="1"/>
  <c r="H134" i="16"/>
  <c r="O134" i="16" s="1"/>
  <c r="E170" i="14"/>
  <c r="F170" i="14" s="1"/>
  <c r="D197" i="19"/>
  <c r="C197" i="19" s="1"/>
  <c r="G197" i="19" s="1"/>
  <c r="E197" i="19" s="1"/>
  <c r="O196" i="19"/>
  <c r="E177" i="3"/>
  <c r="D177" i="3" s="1"/>
  <c r="F177" i="3" s="1"/>
  <c r="G177" i="3" s="1"/>
  <c r="I177" i="3"/>
  <c r="H181" i="17" l="1"/>
  <c r="O181" i="17" s="1"/>
  <c r="H170" i="14"/>
  <c r="D171" i="14" s="1"/>
  <c r="C171" i="14" s="1"/>
  <c r="G171" i="14" s="1"/>
  <c r="D135" i="16"/>
  <c r="C135" i="16" s="1"/>
  <c r="H197" i="19"/>
  <c r="F197" i="19"/>
  <c r="H177" i="3"/>
  <c r="C178" i="3"/>
  <c r="D182" i="17" l="1"/>
  <c r="C182" i="17"/>
  <c r="E171" i="14"/>
  <c r="H171" i="14" s="1"/>
  <c r="D172" i="14" s="1"/>
  <c r="O170" i="14"/>
  <c r="G135" i="16"/>
  <c r="D198" i="19"/>
  <c r="O197" i="19"/>
  <c r="I178" i="3"/>
  <c r="E178" i="3"/>
  <c r="D178" i="3" s="1"/>
  <c r="F178" i="3" s="1"/>
  <c r="G178" i="3" s="1"/>
  <c r="O171" i="14" l="1"/>
  <c r="F171" i="14"/>
  <c r="G182" i="17"/>
  <c r="E135" i="16"/>
  <c r="F135" i="16" s="1"/>
  <c r="C198" i="19"/>
  <c r="G198" i="19" s="1"/>
  <c r="C172" i="14"/>
  <c r="G172" i="14" s="1"/>
  <c r="C179" i="3"/>
  <c r="H178" i="3"/>
  <c r="E198" i="19" l="1"/>
  <c r="F198" i="19" s="1"/>
  <c r="E182" i="17"/>
  <c r="F182" i="17" s="1"/>
  <c r="H135" i="16"/>
  <c r="O135" i="16" s="1"/>
  <c r="E172" i="14"/>
  <c r="H172" i="14" s="1"/>
  <c r="I179" i="3"/>
  <c r="E179" i="3"/>
  <c r="D179" i="3" s="1"/>
  <c r="F179" i="3" s="1"/>
  <c r="G179" i="3" s="1"/>
  <c r="H198" i="19" l="1"/>
  <c r="O198" i="19" s="1"/>
  <c r="H182" i="17"/>
  <c r="D183" i="17" s="1"/>
  <c r="D136" i="16"/>
  <c r="F172" i="14"/>
  <c r="D173" i="14"/>
  <c r="C173" i="14" s="1"/>
  <c r="G173" i="14" s="1"/>
  <c r="O172" i="14"/>
  <c r="C136" i="16"/>
  <c r="D199" i="19"/>
  <c r="C199" i="19" s="1"/>
  <c r="C180" i="3"/>
  <c r="H179" i="3"/>
  <c r="I14" i="19" l="1"/>
  <c r="O182" i="17"/>
  <c r="C183" i="17"/>
  <c r="G183" i="17" s="1"/>
  <c r="E183" i="17" s="1"/>
  <c r="F183" i="17" s="1"/>
  <c r="G136" i="16"/>
  <c r="E173" i="14"/>
  <c r="F173" i="14" s="1"/>
  <c r="G199" i="19"/>
  <c r="E199" i="19" s="1"/>
  <c r="I17" i="19"/>
  <c r="E180" i="3"/>
  <c r="D180" i="3" s="1"/>
  <c r="F180" i="3" s="1"/>
  <c r="G180" i="3" s="1"/>
  <c r="I180" i="3"/>
  <c r="H183" i="17" l="1"/>
  <c r="O183" i="17" s="1"/>
  <c r="H173" i="14"/>
  <c r="D174" i="14" s="1"/>
  <c r="C174" i="14" s="1"/>
  <c r="G174" i="14" s="1"/>
  <c r="E174" i="14" s="1"/>
  <c r="E136" i="16"/>
  <c r="F136" i="16" s="1"/>
  <c r="I13" i="19"/>
  <c r="I15" i="19" s="1"/>
  <c r="H199" i="19"/>
  <c r="F199" i="19"/>
  <c r="H180" i="3"/>
  <c r="C181" i="3"/>
  <c r="D184" i="17" l="1"/>
  <c r="O173" i="14"/>
  <c r="C184" i="17"/>
  <c r="G184" i="17" s="1"/>
  <c r="E184" i="17" s="1"/>
  <c r="F184" i="17" s="1"/>
  <c r="H136" i="16"/>
  <c r="D200" i="19"/>
  <c r="I199" i="19"/>
  <c r="O199" i="19"/>
  <c r="H174" i="14"/>
  <c r="F174" i="14"/>
  <c r="E181" i="3"/>
  <c r="D181" i="3" s="1"/>
  <c r="F181" i="3" s="1"/>
  <c r="G181" i="3" s="1"/>
  <c r="I181" i="3"/>
  <c r="H184" i="17" l="1"/>
  <c r="D137" i="16"/>
  <c r="O136" i="16"/>
  <c r="C200" i="19"/>
  <c r="G200" i="19" s="1"/>
  <c r="O174" i="14"/>
  <c r="D175" i="14"/>
  <c r="C182" i="3"/>
  <c r="H181" i="3"/>
  <c r="E200" i="19" l="1"/>
  <c r="F200" i="19" s="1"/>
  <c r="D185" i="17"/>
  <c r="O184" i="17"/>
  <c r="C137" i="16"/>
  <c r="C175" i="14"/>
  <c r="G175" i="14" s="1"/>
  <c r="I182" i="3"/>
  <c r="E182" i="3"/>
  <c r="D182" i="3" s="1"/>
  <c r="F182" i="3" s="1"/>
  <c r="G182" i="3" s="1"/>
  <c r="H200" i="19" l="1"/>
  <c r="O200" i="19" s="1"/>
  <c r="C185" i="17"/>
  <c r="G185" i="17" s="1"/>
  <c r="E185" i="17" s="1"/>
  <c r="F185" i="17" s="1"/>
  <c r="E175" i="14"/>
  <c r="H175" i="14" s="1"/>
  <c r="G137" i="16"/>
  <c r="C183" i="3"/>
  <c r="H182" i="3"/>
  <c r="D201" i="19" l="1"/>
  <c r="H185" i="17"/>
  <c r="O185" i="17" s="1"/>
  <c r="F175" i="14"/>
  <c r="D176" i="14"/>
  <c r="C176" i="14" s="1"/>
  <c r="G176" i="14" s="1"/>
  <c r="I175" i="14"/>
  <c r="O175" i="14"/>
  <c r="E176" i="14"/>
  <c r="E137" i="16"/>
  <c r="F137" i="16" s="1"/>
  <c r="C201" i="19"/>
  <c r="G201" i="19" s="1"/>
  <c r="I183" i="3"/>
  <c r="E183" i="3"/>
  <c r="D183" i="3" s="1"/>
  <c r="F183" i="3" s="1"/>
  <c r="G183" i="3" s="1"/>
  <c r="D186" i="17" l="1"/>
  <c r="C186" i="17" s="1"/>
  <c r="G186" i="17" s="1"/>
  <c r="E186" i="17" s="1"/>
  <c r="F186" i="17" s="1"/>
  <c r="E201" i="19"/>
  <c r="F201" i="19" s="1"/>
  <c r="H176" i="14"/>
  <c r="D177" i="14" s="1"/>
  <c r="H137" i="16"/>
  <c r="O137" i="16" s="1"/>
  <c r="F176" i="14"/>
  <c r="H183" i="3"/>
  <c r="C184" i="3"/>
  <c r="H201" i="19" l="1"/>
  <c r="O201" i="19" s="1"/>
  <c r="O176" i="14"/>
  <c r="D138" i="16"/>
  <c r="C138" i="16" s="1"/>
  <c r="G138" i="16" s="1"/>
  <c r="H186" i="17"/>
  <c r="C177" i="14"/>
  <c r="G177" i="14" s="1"/>
  <c r="I184" i="3"/>
  <c r="E184" i="3"/>
  <c r="D184" i="3" s="1"/>
  <c r="F184" i="3" s="1"/>
  <c r="G184" i="3" s="1"/>
  <c r="D202" i="19" l="1"/>
  <c r="C202" i="19" s="1"/>
  <c r="G202" i="19" s="1"/>
  <c r="E202" i="19" s="1"/>
  <c r="H202" i="19" s="1"/>
  <c r="O202" i="19" s="1"/>
  <c r="D187" i="17"/>
  <c r="O186" i="17"/>
  <c r="E177" i="14"/>
  <c r="F177" i="14" s="1"/>
  <c r="E138" i="16"/>
  <c r="H138" i="16" s="1"/>
  <c r="C185" i="3"/>
  <c r="H184" i="3"/>
  <c r="F202" i="19" l="1"/>
  <c r="D203" i="19"/>
  <c r="C187" i="17"/>
  <c r="G187" i="17" s="1"/>
  <c r="D139" i="16"/>
  <c r="O138" i="16"/>
  <c r="F138" i="16"/>
  <c r="H177" i="14"/>
  <c r="O177" i="14" s="1"/>
  <c r="C203" i="19"/>
  <c r="G203" i="19" s="1"/>
  <c r="E185" i="3"/>
  <c r="D185" i="3" s="1"/>
  <c r="F185" i="3" s="1"/>
  <c r="G185" i="3" s="1"/>
  <c r="I185" i="3"/>
  <c r="E187" i="17" l="1"/>
  <c r="H187" i="17" s="1"/>
  <c r="E203" i="19"/>
  <c r="F203" i="19" s="1"/>
  <c r="D178" i="14"/>
  <c r="C178" i="14" s="1"/>
  <c r="G178" i="14" s="1"/>
  <c r="C139" i="16"/>
  <c r="G14" i="16"/>
  <c r="H185" i="3"/>
  <c r="C186" i="3"/>
  <c r="H203" i="19" l="1"/>
  <c r="D204" i="19" s="1"/>
  <c r="D188" i="17"/>
  <c r="C188" i="17" s="1"/>
  <c r="G188" i="17" s="1"/>
  <c r="O187" i="17"/>
  <c r="I187" i="17"/>
  <c r="F187" i="17"/>
  <c r="E178" i="14"/>
  <c r="F178" i="14" s="1"/>
  <c r="G139" i="16"/>
  <c r="G17" i="16"/>
  <c r="E186" i="3"/>
  <c r="D186" i="3" s="1"/>
  <c r="F186" i="3" s="1"/>
  <c r="G186" i="3" s="1"/>
  <c r="I186" i="3"/>
  <c r="O203" i="19" l="1"/>
  <c r="H178" i="14"/>
  <c r="D179" i="14" s="1"/>
  <c r="C179" i="14" s="1"/>
  <c r="G179" i="14" s="1"/>
  <c r="E188" i="17"/>
  <c r="F188" i="17" s="1"/>
  <c r="G13" i="16"/>
  <c r="G15" i="16" s="1"/>
  <c r="E139" i="16"/>
  <c r="F139" i="16" s="1"/>
  <c r="C204" i="19"/>
  <c r="G204" i="19" s="1"/>
  <c r="H186" i="3"/>
  <c r="C187" i="3"/>
  <c r="O178" i="14" l="1"/>
  <c r="E179" i="14"/>
  <c r="H179" i="14" s="1"/>
  <c r="O179" i="14" s="1"/>
  <c r="E204" i="19"/>
  <c r="F204" i="19" s="1"/>
  <c r="H188" i="17"/>
  <c r="H139" i="16"/>
  <c r="O139" i="16" s="1"/>
  <c r="E187" i="3"/>
  <c r="D187" i="3" s="1"/>
  <c r="F187" i="3" s="1"/>
  <c r="G187" i="3" s="1"/>
  <c r="I187" i="3"/>
  <c r="F179" i="14" l="1"/>
  <c r="H204" i="19"/>
  <c r="D189" i="17"/>
  <c r="O188" i="17"/>
  <c r="I139" i="16"/>
  <c r="D140" i="16"/>
  <c r="C140" i="16" s="1"/>
  <c r="G140" i="16" s="1"/>
  <c r="D180" i="14"/>
  <c r="C180" i="14" s="1"/>
  <c r="G180" i="14" s="1"/>
  <c r="C188" i="3"/>
  <c r="H187" i="3"/>
  <c r="O204" i="19" l="1"/>
  <c r="D205" i="19"/>
  <c r="C205" i="19" s="1"/>
  <c r="G205" i="19" s="1"/>
  <c r="E205" i="19" s="1"/>
  <c r="C189" i="17"/>
  <c r="G189" i="17" s="1"/>
  <c r="E180" i="14"/>
  <c r="F180" i="14" s="1"/>
  <c r="E140" i="16"/>
  <c r="H140" i="16" s="1"/>
  <c r="E188" i="3"/>
  <c r="D188" i="3" s="1"/>
  <c r="F188" i="3" s="1"/>
  <c r="G188" i="3" s="1"/>
  <c r="I188" i="3"/>
  <c r="H205" i="19" l="1"/>
  <c r="D206" i="19" s="1"/>
  <c r="C206" i="19" s="1"/>
  <c r="G206" i="19" s="1"/>
  <c r="F205" i="19"/>
  <c r="E189" i="17"/>
  <c r="H189" i="17" s="1"/>
  <c r="H180" i="14"/>
  <c r="D181" i="14" s="1"/>
  <c r="C181" i="14" s="1"/>
  <c r="G181" i="14" s="1"/>
  <c r="D141" i="16"/>
  <c r="O140" i="16"/>
  <c r="F140" i="16"/>
  <c r="C189" i="3"/>
  <c r="H188" i="3"/>
  <c r="O180" i="14" l="1"/>
  <c r="O205" i="19"/>
  <c r="O189" i="17"/>
  <c r="D190" i="17"/>
  <c r="C190" i="17" s="1"/>
  <c r="G190" i="17" s="1"/>
  <c r="F189" i="17"/>
  <c r="E206" i="19"/>
  <c r="F206" i="19" s="1"/>
  <c r="E181" i="14"/>
  <c r="F181" i="14" s="1"/>
  <c r="C141" i="16"/>
  <c r="G141" i="16" s="1"/>
  <c r="E141" i="16" s="1"/>
  <c r="F141" i="16" s="1"/>
  <c r="E189" i="3"/>
  <c r="D189" i="3" s="1"/>
  <c r="F189" i="3" s="1"/>
  <c r="G189" i="3" s="1"/>
  <c r="I189" i="3"/>
  <c r="H206" i="19" l="1"/>
  <c r="D207" i="19" s="1"/>
  <c r="C207" i="19" s="1"/>
  <c r="G207" i="19" s="1"/>
  <c r="E207" i="19" s="1"/>
  <c r="H181" i="14"/>
  <c r="O181" i="14" s="1"/>
  <c r="E190" i="17"/>
  <c r="F190" i="17" s="1"/>
  <c r="H141" i="16"/>
  <c r="O141" i="16" s="1"/>
  <c r="H189" i="3"/>
  <c r="C190" i="3"/>
  <c r="O206" i="19" l="1"/>
  <c r="D142" i="16"/>
  <c r="C142" i="16" s="1"/>
  <c r="G142" i="16" s="1"/>
  <c r="D182" i="14"/>
  <c r="C182" i="14" s="1"/>
  <c r="G182" i="14" s="1"/>
  <c r="E142" i="16"/>
  <c r="H190" i="17"/>
  <c r="H207" i="19"/>
  <c r="O207" i="19" s="1"/>
  <c r="F207" i="19"/>
  <c r="I190" i="3"/>
  <c r="E190" i="3"/>
  <c r="D190" i="3" s="1"/>
  <c r="F190" i="3" s="1"/>
  <c r="G190" i="3" s="1"/>
  <c r="D208" i="19" l="1"/>
  <c r="C208" i="19" s="1"/>
  <c r="G208" i="19" s="1"/>
  <c r="E208" i="19" s="1"/>
  <c r="H208" i="19" s="1"/>
  <c r="F142" i="16"/>
  <c r="E182" i="14"/>
  <c r="F182" i="14" s="1"/>
  <c r="H142" i="16"/>
  <c r="D143" i="16" s="1"/>
  <c r="O190" i="17"/>
  <c r="D191" i="17"/>
  <c r="C191" i="3"/>
  <c r="H190" i="3"/>
  <c r="O142" i="16" l="1"/>
  <c r="H182" i="14"/>
  <c r="O182" i="14" s="1"/>
  <c r="O208" i="19"/>
  <c r="D209" i="19"/>
  <c r="C209" i="19" s="1"/>
  <c r="G209" i="19" s="1"/>
  <c r="C191" i="17"/>
  <c r="G191" i="17" s="1"/>
  <c r="F208" i="19"/>
  <c r="C143" i="16"/>
  <c r="G143" i="16" s="1"/>
  <c r="E191" i="3"/>
  <c r="D191" i="3" s="1"/>
  <c r="F191" i="3" s="1"/>
  <c r="G191" i="3" s="1"/>
  <c r="I191" i="3"/>
  <c r="D183" i="14" l="1"/>
  <c r="C183" i="14" s="1"/>
  <c r="G183" i="14" s="1"/>
  <c r="E183" i="14" s="1"/>
  <c r="F183" i="14" s="1"/>
  <c r="E191" i="17"/>
  <c r="H191" i="17" s="1"/>
  <c r="E209" i="19"/>
  <c r="F209" i="19" s="1"/>
  <c r="E143" i="16"/>
  <c r="H143" i="16" s="1"/>
  <c r="C192" i="3"/>
  <c r="H191" i="3"/>
  <c r="H183" i="14" l="1"/>
  <c r="D184" i="14" s="1"/>
  <c r="C184" i="14" s="1"/>
  <c r="G184" i="14" s="1"/>
  <c r="E184" i="14" s="1"/>
  <c r="F184" i="14" s="1"/>
  <c r="H209" i="19"/>
  <c r="O191" i="17"/>
  <c r="D192" i="17"/>
  <c r="F191" i="17"/>
  <c r="D144" i="16"/>
  <c r="C144" i="16" s="1"/>
  <c r="G144" i="16" s="1"/>
  <c r="E144" i="16" s="1"/>
  <c r="O143" i="16"/>
  <c r="F143" i="16"/>
  <c r="E192" i="3"/>
  <c r="D192" i="3" s="1"/>
  <c r="F192" i="3" s="1"/>
  <c r="G192" i="3" s="1"/>
  <c r="I192" i="3"/>
  <c r="O183" i="14" l="1"/>
  <c r="H184" i="14"/>
  <c r="F144" i="16"/>
  <c r="O209" i="19"/>
  <c r="D210" i="19"/>
  <c r="C210" i="19" s="1"/>
  <c r="G210" i="19" s="1"/>
  <c r="E210" i="19" s="1"/>
  <c r="C192" i="17"/>
  <c r="G192" i="17" s="1"/>
  <c r="H144" i="16"/>
  <c r="H192" i="3"/>
  <c r="C193" i="3"/>
  <c r="O184" i="14" l="1"/>
  <c r="D185" i="14"/>
  <c r="H210" i="19"/>
  <c r="F210" i="19"/>
  <c r="E192" i="17"/>
  <c r="H192" i="17" s="1"/>
  <c r="O144" i="16"/>
  <c r="D145" i="16"/>
  <c r="E193" i="3"/>
  <c r="D193" i="3" s="1"/>
  <c r="F193" i="3" s="1"/>
  <c r="G193" i="3" s="1"/>
  <c r="I193" i="3"/>
  <c r="C185" i="14" l="1"/>
  <c r="G185" i="14" s="1"/>
  <c r="E185" i="14" s="1"/>
  <c r="F185" i="14" s="1"/>
  <c r="O210" i="19"/>
  <c r="D211" i="19"/>
  <c r="D193" i="17"/>
  <c r="O192" i="17"/>
  <c r="F192" i="17"/>
  <c r="C145" i="16"/>
  <c r="G145" i="16" s="1"/>
  <c r="C194" i="3"/>
  <c r="H193" i="3"/>
  <c r="H185" i="14" l="1"/>
  <c r="D186" i="14" s="1"/>
  <c r="C186" i="14" s="1"/>
  <c r="G186" i="14" s="1"/>
  <c r="E186" i="14" s="1"/>
  <c r="C211" i="19"/>
  <c r="G211" i="19" s="1"/>
  <c r="E211" i="19" s="1"/>
  <c r="F211" i="19" s="1"/>
  <c r="C193" i="17"/>
  <c r="G193" i="17" s="1"/>
  <c r="E193" i="17" s="1"/>
  <c r="F193" i="17" s="1"/>
  <c r="E145" i="16"/>
  <c r="F145" i="16" s="1"/>
  <c r="E194" i="3"/>
  <c r="D194" i="3" s="1"/>
  <c r="F194" i="3" s="1"/>
  <c r="G194" i="3" s="1"/>
  <c r="I194" i="3"/>
  <c r="O185" i="14" l="1"/>
  <c r="H186" i="14"/>
  <c r="F186" i="14"/>
  <c r="H193" i="17"/>
  <c r="O193" i="17" s="1"/>
  <c r="H211" i="19"/>
  <c r="O211" i="19" s="1"/>
  <c r="H145" i="16"/>
  <c r="D146" i="16" s="1"/>
  <c r="H194" i="3"/>
  <c r="C195" i="3"/>
  <c r="D194" i="17" l="1"/>
  <c r="I211" i="19"/>
  <c r="D212" i="19"/>
  <c r="C212" i="19" s="1"/>
  <c r="G212" i="19" s="1"/>
  <c r="E212" i="19" s="1"/>
  <c r="F212" i="19" s="1"/>
  <c r="D187" i="14"/>
  <c r="O186" i="14"/>
  <c r="O145" i="16"/>
  <c r="C194" i="17"/>
  <c r="G194" i="17" s="1"/>
  <c r="E194" i="17" s="1"/>
  <c r="F194" i="17" s="1"/>
  <c r="C146" i="16"/>
  <c r="G146" i="16" s="1"/>
  <c r="E146" i="16" s="1"/>
  <c r="F146" i="16" s="1"/>
  <c r="I195" i="3"/>
  <c r="E195" i="3"/>
  <c r="D195" i="3" s="1"/>
  <c r="F195" i="3" s="1"/>
  <c r="G195" i="3" s="1"/>
  <c r="C187" i="14" l="1"/>
  <c r="G187" i="14" s="1"/>
  <c r="E187" i="14" s="1"/>
  <c r="F187" i="14" s="1"/>
  <c r="H212" i="19"/>
  <c r="O212" i="19" s="1"/>
  <c r="H194" i="17"/>
  <c r="D195" i="17" s="1"/>
  <c r="D213" i="19"/>
  <c r="C213" i="19" s="1"/>
  <c r="G213" i="19" s="1"/>
  <c r="E213" i="19" s="1"/>
  <c r="H146" i="16"/>
  <c r="O146" i="16" s="1"/>
  <c r="H195" i="3"/>
  <c r="C196" i="3"/>
  <c r="O194" i="17" l="1"/>
  <c r="H187" i="14"/>
  <c r="D188" i="14" s="1"/>
  <c r="F213" i="19"/>
  <c r="H213" i="19"/>
  <c r="O213" i="19" s="1"/>
  <c r="D147" i="16"/>
  <c r="C147" i="16" s="1"/>
  <c r="G147" i="16" s="1"/>
  <c r="C195" i="17"/>
  <c r="G195" i="17" s="1"/>
  <c r="I196" i="3"/>
  <c r="E196" i="3"/>
  <c r="D196" i="3" s="1"/>
  <c r="F196" i="3" s="1"/>
  <c r="G196" i="3" s="1"/>
  <c r="I187" i="14" l="1"/>
  <c r="C188" i="14"/>
  <c r="G188" i="14" s="1"/>
  <c r="E188" i="14" s="1"/>
  <c r="F188" i="14" s="1"/>
  <c r="O187" i="14"/>
  <c r="D214" i="19"/>
  <c r="C214" i="19" s="1"/>
  <c r="G214" i="19" s="1"/>
  <c r="E195" i="17"/>
  <c r="H195" i="17" s="1"/>
  <c r="E147" i="16"/>
  <c r="H147" i="16" s="1"/>
  <c r="C197" i="3"/>
  <c r="H196" i="3"/>
  <c r="H188" i="14" l="1"/>
  <c r="O188" i="14" s="1"/>
  <c r="E214" i="19"/>
  <c r="F214" i="19" s="1"/>
  <c r="O195" i="17"/>
  <c r="D196" i="17"/>
  <c r="F195" i="17"/>
  <c r="D148" i="16"/>
  <c r="O147" i="16"/>
  <c r="F147" i="16"/>
  <c r="H214" i="19"/>
  <c r="E197" i="3"/>
  <c r="D197" i="3" s="1"/>
  <c r="F197" i="3" s="1"/>
  <c r="G197" i="3" s="1"/>
  <c r="I197" i="3"/>
  <c r="D189" i="14" l="1"/>
  <c r="C189" i="14" s="1"/>
  <c r="G189" i="14" s="1"/>
  <c r="E189" i="14" s="1"/>
  <c r="F189" i="14" s="1"/>
  <c r="C196" i="17"/>
  <c r="G196" i="17" s="1"/>
  <c r="C148" i="16"/>
  <c r="G148" i="16" s="1"/>
  <c r="O214" i="19"/>
  <c r="D215" i="19"/>
  <c r="C215" i="19" s="1"/>
  <c r="G215" i="19" s="1"/>
  <c r="E215" i="19" s="1"/>
  <c r="C198" i="3"/>
  <c r="H197" i="3"/>
  <c r="H189" i="14" l="1"/>
  <c r="D190" i="14" s="1"/>
  <c r="E196" i="17"/>
  <c r="H196" i="17" s="1"/>
  <c r="E148" i="16"/>
  <c r="H148" i="16" s="1"/>
  <c r="H215" i="19"/>
  <c r="D216" i="19" s="1"/>
  <c r="C216" i="19" s="1"/>
  <c r="G216" i="19" s="1"/>
  <c r="E216" i="19" s="1"/>
  <c r="F215" i="19"/>
  <c r="I198" i="3"/>
  <c r="E198" i="3"/>
  <c r="D198" i="3" s="1"/>
  <c r="F198" i="3" s="1"/>
  <c r="G198" i="3" s="1"/>
  <c r="O189" i="14" l="1"/>
  <c r="C190" i="14"/>
  <c r="G190" i="14" s="1"/>
  <c r="E190" i="14" s="1"/>
  <c r="F190" i="14" s="1"/>
  <c r="O215" i="19"/>
  <c r="O196" i="17"/>
  <c r="D197" i="17"/>
  <c r="F196" i="17"/>
  <c r="O148" i="16"/>
  <c r="D149" i="16"/>
  <c r="F148" i="16"/>
  <c r="H216" i="19"/>
  <c r="F216" i="19"/>
  <c r="H198" i="3"/>
  <c r="C199" i="3"/>
  <c r="H190" i="14" l="1"/>
  <c r="O190" i="14" s="1"/>
  <c r="C197" i="17"/>
  <c r="G197" i="17" s="1"/>
  <c r="C149" i="16"/>
  <c r="G149" i="16" s="1"/>
  <c r="E149" i="16" s="1"/>
  <c r="F149" i="16" s="1"/>
  <c r="O216" i="19"/>
  <c r="D217" i="19"/>
  <c r="C217" i="19" s="1"/>
  <c r="G217" i="19" s="1"/>
  <c r="E199" i="3"/>
  <c r="D199" i="3" s="1"/>
  <c r="F199" i="3" s="1"/>
  <c r="G199" i="3" s="1"/>
  <c r="I199" i="3"/>
  <c r="D191" i="14" l="1"/>
  <c r="C191" i="14" s="1"/>
  <c r="G191" i="14" s="1"/>
  <c r="E191" i="14" s="1"/>
  <c r="F191" i="14" s="1"/>
  <c r="H149" i="16"/>
  <c r="D150" i="16" s="1"/>
  <c r="E197" i="17"/>
  <c r="H197" i="17" s="1"/>
  <c r="E217" i="19"/>
  <c r="F217" i="19" s="1"/>
  <c r="C200" i="3"/>
  <c r="H199" i="3"/>
  <c r="H191" i="14" l="1"/>
  <c r="H217" i="19"/>
  <c r="O217" i="19" s="1"/>
  <c r="O149" i="16"/>
  <c r="D198" i="17"/>
  <c r="O197" i="17"/>
  <c r="F197" i="17"/>
  <c r="C150" i="16"/>
  <c r="G150" i="16" s="1"/>
  <c r="E200" i="3"/>
  <c r="D200" i="3" s="1"/>
  <c r="F200" i="3" s="1"/>
  <c r="G200" i="3" s="1"/>
  <c r="I200" i="3"/>
  <c r="O191" i="14" l="1"/>
  <c r="D192" i="14"/>
  <c r="D218" i="19"/>
  <c r="C218" i="19" s="1"/>
  <c r="G218" i="19" s="1"/>
  <c r="E218" i="19" s="1"/>
  <c r="F218" i="19" s="1"/>
  <c r="C198" i="17"/>
  <c r="G198" i="17" s="1"/>
  <c r="E150" i="16"/>
  <c r="H150" i="16" s="1"/>
  <c r="H200" i="3"/>
  <c r="C201" i="3"/>
  <c r="C192" i="14" l="1"/>
  <c r="G192" i="14" s="1"/>
  <c r="E192" i="14" s="1"/>
  <c r="F192" i="14" s="1"/>
  <c r="H218" i="19"/>
  <c r="O218" i="19" s="1"/>
  <c r="E198" i="17"/>
  <c r="H198" i="17" s="1"/>
  <c r="O150" i="16"/>
  <c r="D151" i="16"/>
  <c r="F150" i="16"/>
  <c r="I201" i="3"/>
  <c r="E201" i="3"/>
  <c r="D201" i="3" s="1"/>
  <c r="F201" i="3" s="1"/>
  <c r="G201" i="3" s="1"/>
  <c r="D219" i="19" l="1"/>
  <c r="C219" i="19" s="1"/>
  <c r="G219" i="19" s="1"/>
  <c r="E219" i="19" s="1"/>
  <c r="F219" i="19" s="1"/>
  <c r="H192" i="14"/>
  <c r="O198" i="17"/>
  <c r="D199" i="17"/>
  <c r="F198" i="17"/>
  <c r="C151" i="16"/>
  <c r="G151" i="16" s="1"/>
  <c r="H201" i="3"/>
  <c r="C202" i="3"/>
  <c r="D193" i="14" l="1"/>
  <c r="O192" i="14"/>
  <c r="C199" i="17"/>
  <c r="I14" i="17"/>
  <c r="E151" i="16"/>
  <c r="H151" i="16" s="1"/>
  <c r="H219" i="19"/>
  <c r="D220" i="19" s="1"/>
  <c r="C220" i="19" s="1"/>
  <c r="G220" i="19" s="1"/>
  <c r="E220" i="19" s="1"/>
  <c r="F220" i="19" s="1"/>
  <c r="E202" i="3"/>
  <c r="D202" i="3" s="1"/>
  <c r="F202" i="3" s="1"/>
  <c r="G202" i="3" s="1"/>
  <c r="I202" i="3"/>
  <c r="C193" i="14" l="1"/>
  <c r="G193" i="14" s="1"/>
  <c r="O219" i="19"/>
  <c r="G199" i="17"/>
  <c r="I17" i="17"/>
  <c r="I151" i="16"/>
  <c r="O151" i="16"/>
  <c r="D152" i="16"/>
  <c r="F151" i="16"/>
  <c r="H220" i="19"/>
  <c r="C203" i="3"/>
  <c r="H202" i="3"/>
  <c r="E193" i="14" l="1"/>
  <c r="H193" i="14" s="1"/>
  <c r="I13" i="17"/>
  <c r="I15" i="17" s="1"/>
  <c r="E199" i="17"/>
  <c r="F199" i="17" s="1"/>
  <c r="C152" i="16"/>
  <c r="G152" i="16" s="1"/>
  <c r="D221" i="19"/>
  <c r="O220" i="19"/>
  <c r="E203" i="3"/>
  <c r="D203" i="3" s="1"/>
  <c r="F203" i="3" s="1"/>
  <c r="G203" i="3" s="1"/>
  <c r="I203" i="3"/>
  <c r="F193" i="14" l="1"/>
  <c r="O193" i="14"/>
  <c r="D194" i="14"/>
  <c r="C194" i="14" s="1"/>
  <c r="G194" i="14" s="1"/>
  <c r="H199" i="17"/>
  <c r="I199" i="17" s="1"/>
  <c r="E152" i="16"/>
  <c r="H152" i="16" s="1"/>
  <c r="C221" i="19"/>
  <c r="G221" i="19" s="1"/>
  <c r="E221" i="19" s="1"/>
  <c r="F221" i="19" s="1"/>
  <c r="H203" i="3"/>
  <c r="C204" i="3"/>
  <c r="D200" i="17" l="1"/>
  <c r="E194" i="14"/>
  <c r="F194" i="14" s="1"/>
  <c r="O199" i="17"/>
  <c r="C200" i="17"/>
  <c r="G200" i="17" s="1"/>
  <c r="E200" i="17" s="1"/>
  <c r="F200" i="17" s="1"/>
  <c r="O152" i="16"/>
  <c r="D153" i="16"/>
  <c r="F152" i="16"/>
  <c r="H221" i="19"/>
  <c r="I204" i="3"/>
  <c r="E204" i="3"/>
  <c r="D204" i="3" s="1"/>
  <c r="F204" i="3" s="1"/>
  <c r="G204" i="3" s="1"/>
  <c r="H194" i="14" l="1"/>
  <c r="H200" i="17"/>
  <c r="O200" i="17" s="1"/>
  <c r="C153" i="16"/>
  <c r="G153" i="16" s="1"/>
  <c r="O221" i="19"/>
  <c r="D222" i="19"/>
  <c r="C205" i="3"/>
  <c r="H204" i="3"/>
  <c r="O194" i="14" l="1"/>
  <c r="D195" i="14"/>
  <c r="C195" i="14" s="1"/>
  <c r="G195" i="14" s="1"/>
  <c r="E195" i="14" s="1"/>
  <c r="D201" i="17"/>
  <c r="C201" i="17" s="1"/>
  <c r="G201" i="17" s="1"/>
  <c r="E153" i="16"/>
  <c r="H153" i="16" s="1"/>
  <c r="C222" i="19"/>
  <c r="G222" i="19" s="1"/>
  <c r="E222" i="19" s="1"/>
  <c r="F222" i="19" s="1"/>
  <c r="I205" i="3"/>
  <c r="E205" i="3"/>
  <c r="D205" i="3" s="1"/>
  <c r="F205" i="3" s="1"/>
  <c r="G205" i="3" s="1"/>
  <c r="F195" i="14" l="1"/>
  <c r="H195" i="14"/>
  <c r="O195" i="14" s="1"/>
  <c r="E201" i="17"/>
  <c r="H201" i="17" s="1"/>
  <c r="O153" i="16"/>
  <c r="D154" i="16"/>
  <c r="C154" i="16" s="1"/>
  <c r="G154" i="16" s="1"/>
  <c r="F153" i="16"/>
  <c r="H222" i="19"/>
  <c r="D223" i="19" s="1"/>
  <c r="C206" i="3"/>
  <c r="H205" i="3"/>
  <c r="D196" i="14" l="1"/>
  <c r="C196" i="14" s="1"/>
  <c r="G196" i="14" s="1"/>
  <c r="E196" i="14" s="1"/>
  <c r="F196" i="14" s="1"/>
  <c r="O222" i="19"/>
  <c r="O201" i="17"/>
  <c r="D202" i="17"/>
  <c r="F201" i="17"/>
  <c r="E154" i="16"/>
  <c r="F154" i="16" s="1"/>
  <c r="C223" i="19"/>
  <c r="G223" i="19" s="1"/>
  <c r="E223" i="19" s="1"/>
  <c r="F223" i="19" s="1"/>
  <c r="E206" i="3"/>
  <c r="D206" i="3" s="1"/>
  <c r="F206" i="3" s="1"/>
  <c r="G206" i="3" s="1"/>
  <c r="I206" i="3"/>
  <c r="H196" i="14" l="1"/>
  <c r="O196" i="14" s="1"/>
  <c r="C202" i="17"/>
  <c r="G202" i="17" s="1"/>
  <c r="E202" i="17" s="1"/>
  <c r="F202" i="17" s="1"/>
  <c r="H154" i="16"/>
  <c r="H223" i="19"/>
  <c r="O223" i="19" s="1"/>
  <c r="C207" i="3"/>
  <c r="H206" i="3"/>
  <c r="D197" i="14" l="1"/>
  <c r="C197" i="14" s="1"/>
  <c r="G197" i="14" s="1"/>
  <c r="I223" i="19"/>
  <c r="H202" i="17"/>
  <c r="O202" i="17" s="1"/>
  <c r="O154" i="16"/>
  <c r="D155" i="16"/>
  <c r="D224" i="19"/>
  <c r="C224" i="19" s="1"/>
  <c r="G224" i="19" s="1"/>
  <c r="E224" i="19" s="1"/>
  <c r="F224" i="19" s="1"/>
  <c r="I207" i="3"/>
  <c r="E207" i="3"/>
  <c r="D207" i="3" s="1"/>
  <c r="F207" i="3" s="1"/>
  <c r="G207" i="3" s="1"/>
  <c r="E197" i="14" l="1"/>
  <c r="H197" i="14" s="1"/>
  <c r="D203" i="17"/>
  <c r="C203" i="17" s="1"/>
  <c r="G203" i="17" s="1"/>
  <c r="C155" i="16"/>
  <c r="G155" i="16" s="1"/>
  <c r="H224" i="19"/>
  <c r="O224" i="19" s="1"/>
  <c r="H207" i="3"/>
  <c r="C208" i="3"/>
  <c r="F197" i="14" l="1"/>
  <c r="O197" i="14"/>
  <c r="D198" i="14"/>
  <c r="C198" i="14" s="1"/>
  <c r="G198" i="14" s="1"/>
  <c r="E198" i="14" s="1"/>
  <c r="F198" i="14" s="1"/>
  <c r="E203" i="17"/>
  <c r="H203" i="17" s="1"/>
  <c r="E155" i="16"/>
  <c r="F155" i="16" s="1"/>
  <c r="D225" i="19"/>
  <c r="C225" i="19" s="1"/>
  <c r="G225" i="19" s="1"/>
  <c r="E225" i="19" s="1"/>
  <c r="F225" i="19" s="1"/>
  <c r="E208" i="3"/>
  <c r="D208" i="3" s="1"/>
  <c r="F208" i="3" s="1"/>
  <c r="G208" i="3" s="1"/>
  <c r="I208" i="3"/>
  <c r="H198" i="14" l="1"/>
  <c r="D204" i="17"/>
  <c r="C204" i="17" s="1"/>
  <c r="G204" i="17" s="1"/>
  <c r="O203" i="17"/>
  <c r="F203" i="17"/>
  <c r="H155" i="16"/>
  <c r="D156" i="16" s="1"/>
  <c r="H225" i="19"/>
  <c r="C209" i="3"/>
  <c r="H208" i="3"/>
  <c r="O198" i="14" l="1"/>
  <c r="D199" i="14"/>
  <c r="I14" i="14" s="1"/>
  <c r="E204" i="17"/>
  <c r="F204" i="17" s="1"/>
  <c r="O155" i="16"/>
  <c r="C156" i="16"/>
  <c r="G156" i="16" s="1"/>
  <c r="D226" i="19"/>
  <c r="O225" i="19"/>
  <c r="I209" i="3"/>
  <c r="E209" i="3"/>
  <c r="D209" i="3" s="1"/>
  <c r="F209" i="3" s="1"/>
  <c r="G209" i="3" s="1"/>
  <c r="C199" i="14" l="1"/>
  <c r="H204" i="17"/>
  <c r="E156" i="16"/>
  <c r="H156" i="16" s="1"/>
  <c r="C226" i="19"/>
  <c r="G226" i="19" s="1"/>
  <c r="E226" i="19" s="1"/>
  <c r="F226" i="19" s="1"/>
  <c r="C210" i="3"/>
  <c r="H209" i="3"/>
  <c r="G199" i="14" l="1"/>
  <c r="I17" i="14"/>
  <c r="D205" i="17"/>
  <c r="C205" i="17" s="1"/>
  <c r="G205" i="17" s="1"/>
  <c r="O204" i="17"/>
  <c r="O156" i="16"/>
  <c r="D157" i="16"/>
  <c r="F156" i="16"/>
  <c r="H226" i="19"/>
  <c r="E210" i="3"/>
  <c r="D210" i="3" s="1"/>
  <c r="F210" i="3" s="1"/>
  <c r="G210" i="3" s="1"/>
  <c r="I210" i="3"/>
  <c r="I13" i="14" l="1"/>
  <c r="I15" i="14" s="1"/>
  <c r="E199" i="14"/>
  <c r="F199" i="14" s="1"/>
  <c r="E205" i="17"/>
  <c r="F205" i="17" s="1"/>
  <c r="C157" i="16"/>
  <c r="G157" i="16" s="1"/>
  <c r="O226" i="19"/>
  <c r="D227" i="19"/>
  <c r="H210" i="3"/>
  <c r="C211" i="3"/>
  <c r="H199" i="14" l="1"/>
  <c r="H205" i="17"/>
  <c r="E157" i="16"/>
  <c r="H157" i="16" s="1"/>
  <c r="C227" i="19"/>
  <c r="G227" i="19" s="1"/>
  <c r="E227" i="19" s="1"/>
  <c r="F227" i="19" s="1"/>
  <c r="I211" i="3"/>
  <c r="E211" i="3"/>
  <c r="D211" i="3" s="1"/>
  <c r="F211" i="3" s="1"/>
  <c r="G211" i="3" s="1"/>
  <c r="O199" i="14" l="1"/>
  <c r="I199" i="14"/>
  <c r="D200" i="14"/>
  <c r="D206" i="17"/>
  <c r="O205" i="17"/>
  <c r="O157" i="16"/>
  <c r="D158" i="16"/>
  <c r="F157" i="16"/>
  <c r="H227" i="19"/>
  <c r="C212" i="3"/>
  <c r="H211" i="3"/>
  <c r="C200" i="14" l="1"/>
  <c r="G200" i="14" s="1"/>
  <c r="E200" i="14" s="1"/>
  <c r="F200" i="14" s="1"/>
  <c r="C206" i="17"/>
  <c r="G206" i="17" s="1"/>
  <c r="E206" i="17" s="1"/>
  <c r="F206" i="17" s="1"/>
  <c r="C158" i="16"/>
  <c r="G158" i="16" s="1"/>
  <c r="O227" i="19"/>
  <c r="D228" i="19"/>
  <c r="E212" i="3"/>
  <c r="D212" i="3" s="1"/>
  <c r="F212" i="3" s="1"/>
  <c r="G212" i="3" s="1"/>
  <c r="I212" i="3"/>
  <c r="H200" i="14" l="1"/>
  <c r="D201" i="14" s="1"/>
  <c r="C201" i="14" s="1"/>
  <c r="G201" i="14" s="1"/>
  <c r="E201" i="14" s="1"/>
  <c r="H201" i="14" s="1"/>
  <c r="H206" i="17"/>
  <c r="D207" i="17" s="1"/>
  <c r="E158" i="16"/>
  <c r="H158" i="16" s="1"/>
  <c r="C228" i="19"/>
  <c r="G228" i="19" s="1"/>
  <c r="E228" i="19" s="1"/>
  <c r="F228" i="19" s="1"/>
  <c r="H212" i="3"/>
  <c r="C213" i="3"/>
  <c r="O200" i="14" l="1"/>
  <c r="F201" i="14"/>
  <c r="O201" i="14"/>
  <c r="D202" i="14"/>
  <c r="O206" i="17"/>
  <c r="C207" i="17"/>
  <c r="G207" i="17" s="1"/>
  <c r="O158" i="16"/>
  <c r="D159" i="16"/>
  <c r="F158" i="16"/>
  <c r="H228" i="19"/>
  <c r="I213" i="3"/>
  <c r="E213" i="3"/>
  <c r="D213" i="3" s="1"/>
  <c r="F213" i="3" s="1"/>
  <c r="G213" i="3" s="1"/>
  <c r="C202" i="14" l="1"/>
  <c r="G202" i="14" s="1"/>
  <c r="E207" i="17"/>
  <c r="H207" i="17" s="1"/>
  <c r="C159" i="16"/>
  <c r="G159" i="16" s="1"/>
  <c r="D229" i="19"/>
  <c r="O228" i="19"/>
  <c r="H213" i="3"/>
  <c r="C214" i="3"/>
  <c r="E202" i="14" l="1"/>
  <c r="F202" i="14" s="1"/>
  <c r="D208" i="17"/>
  <c r="O207" i="17"/>
  <c r="F207" i="17"/>
  <c r="E159" i="16"/>
  <c r="H159" i="16" s="1"/>
  <c r="C229" i="19"/>
  <c r="G229" i="19" s="1"/>
  <c r="E229" i="19" s="1"/>
  <c r="F229" i="19" s="1"/>
  <c r="I214" i="3"/>
  <c r="E214" i="3"/>
  <c r="D214" i="3" s="1"/>
  <c r="F214" i="3" s="1"/>
  <c r="G214" i="3" s="1"/>
  <c r="H202" i="14" l="1"/>
  <c r="O202" i="14" s="1"/>
  <c r="C208" i="17"/>
  <c r="G208" i="17" s="1"/>
  <c r="O159" i="16"/>
  <c r="D160" i="16"/>
  <c r="C160" i="16" s="1"/>
  <c r="G160" i="16" s="1"/>
  <c r="E160" i="16" s="1"/>
  <c r="F159" i="16"/>
  <c r="H229" i="19"/>
  <c r="O229" i="19" s="1"/>
  <c r="C215" i="3"/>
  <c r="H214" i="3"/>
  <c r="D203" i="14" l="1"/>
  <c r="C203" i="14" s="1"/>
  <c r="G203" i="14" s="1"/>
  <c r="E203" i="14" s="1"/>
  <c r="F203" i="14" s="1"/>
  <c r="E208" i="17"/>
  <c r="H208" i="17" s="1"/>
  <c r="F160" i="16"/>
  <c r="H160" i="16"/>
  <c r="D230" i="19"/>
  <c r="C230" i="19" s="1"/>
  <c r="G230" i="19" s="1"/>
  <c r="E230" i="19" s="1"/>
  <c r="F230" i="19" s="1"/>
  <c r="E215" i="3"/>
  <c r="D215" i="3" s="1"/>
  <c r="F215" i="3" s="1"/>
  <c r="G215" i="3" s="1"/>
  <c r="I215" i="3"/>
  <c r="H203" i="14" l="1"/>
  <c r="D204" i="14" s="1"/>
  <c r="O208" i="17"/>
  <c r="D209" i="17"/>
  <c r="F208" i="17"/>
  <c r="O160" i="16"/>
  <c r="D161" i="16"/>
  <c r="H230" i="19"/>
  <c r="C216" i="3"/>
  <c r="H215" i="3"/>
  <c r="O203" i="14" l="1"/>
  <c r="C204" i="14"/>
  <c r="G204" i="14" s="1"/>
  <c r="C209" i="17"/>
  <c r="G209" i="17" s="1"/>
  <c r="E209" i="17" s="1"/>
  <c r="F209" i="17" s="1"/>
  <c r="C161" i="16"/>
  <c r="G161" i="16" s="1"/>
  <c r="O230" i="19"/>
  <c r="D231" i="19"/>
  <c r="I216" i="3"/>
  <c r="E216" i="3"/>
  <c r="D216" i="3" s="1"/>
  <c r="F216" i="3" s="1"/>
  <c r="G216" i="3" s="1"/>
  <c r="E204" i="14" l="1"/>
  <c r="F204" i="14" s="1"/>
  <c r="H209" i="17"/>
  <c r="D210" i="17" s="1"/>
  <c r="E161" i="16"/>
  <c r="H161" i="16" s="1"/>
  <c r="C231" i="19"/>
  <c r="G231" i="19" s="1"/>
  <c r="E231" i="19" s="1"/>
  <c r="F231" i="19" s="1"/>
  <c r="H216" i="3"/>
  <c r="C217" i="3"/>
  <c r="H204" i="14" l="1"/>
  <c r="O204" i="14" s="1"/>
  <c r="O209" i="17"/>
  <c r="C210" i="17"/>
  <c r="G210" i="17" s="1"/>
  <c r="E210" i="17" s="1"/>
  <c r="F210" i="17" s="1"/>
  <c r="D162" i="16"/>
  <c r="O161" i="16"/>
  <c r="F161" i="16"/>
  <c r="H231" i="19"/>
  <c r="D232" i="19" s="1"/>
  <c r="E217" i="3"/>
  <c r="D217" i="3" s="1"/>
  <c r="F217" i="3" s="1"/>
  <c r="G217" i="3" s="1"/>
  <c r="I217" i="3"/>
  <c r="D205" i="14" l="1"/>
  <c r="C205" i="14" s="1"/>
  <c r="G205" i="14" s="1"/>
  <c r="E205" i="14" s="1"/>
  <c r="F205" i="14" s="1"/>
  <c r="H210" i="17"/>
  <c r="D211" i="17" s="1"/>
  <c r="C211" i="17" s="1"/>
  <c r="G211" i="17" s="1"/>
  <c r="C162" i="16"/>
  <c r="G162" i="16" s="1"/>
  <c r="O231" i="19"/>
  <c r="C232" i="19"/>
  <c r="G232" i="19" s="1"/>
  <c r="E232" i="19" s="1"/>
  <c r="F232" i="19" s="1"/>
  <c r="C218" i="3"/>
  <c r="H217" i="3"/>
  <c r="H205" i="14" l="1"/>
  <c r="O210" i="17"/>
  <c r="E211" i="17"/>
  <c r="F211" i="17" s="1"/>
  <c r="E162" i="16"/>
  <c r="H162" i="16" s="1"/>
  <c r="H232" i="19"/>
  <c r="E218" i="3"/>
  <c r="D218" i="3" s="1"/>
  <c r="F218" i="3" s="1"/>
  <c r="G218" i="3" s="1"/>
  <c r="I218" i="3"/>
  <c r="O205" i="14" l="1"/>
  <c r="D206" i="14"/>
  <c r="H211" i="17"/>
  <c r="D163" i="16"/>
  <c r="O162" i="16"/>
  <c r="F162" i="16"/>
  <c r="D233" i="19"/>
  <c r="O232" i="19"/>
  <c r="C219" i="3"/>
  <c r="H218" i="3"/>
  <c r="C206" i="14" l="1"/>
  <c r="G206" i="14" s="1"/>
  <c r="E206" i="14" s="1"/>
  <c r="F206" i="14" s="1"/>
  <c r="D212" i="17"/>
  <c r="O211" i="17"/>
  <c r="I211" i="17"/>
  <c r="C163" i="16"/>
  <c r="G163" i="16" s="1"/>
  <c r="E163" i="16" s="1"/>
  <c r="F163" i="16" s="1"/>
  <c r="C233" i="19"/>
  <c r="G233" i="19" s="1"/>
  <c r="E233" i="19" s="1"/>
  <c r="F233" i="19" s="1"/>
  <c r="E219" i="3"/>
  <c r="D219" i="3" s="1"/>
  <c r="F219" i="3" s="1"/>
  <c r="G219" i="3" s="1"/>
  <c r="I219" i="3"/>
  <c r="H206" i="14" l="1"/>
  <c r="O206" i="14" s="1"/>
  <c r="C212" i="17"/>
  <c r="G212" i="17" s="1"/>
  <c r="H163" i="16"/>
  <c r="O163" i="16" s="1"/>
  <c r="H233" i="19"/>
  <c r="C220" i="3"/>
  <c r="H219" i="3"/>
  <c r="D207" i="14" l="1"/>
  <c r="C207" i="14" s="1"/>
  <c r="G207" i="14" s="1"/>
  <c r="E207" i="14" s="1"/>
  <c r="F207" i="14" s="1"/>
  <c r="D164" i="16"/>
  <c r="C164" i="16" s="1"/>
  <c r="G164" i="16" s="1"/>
  <c r="I163" i="16"/>
  <c r="E212" i="17"/>
  <c r="H212" i="17" s="1"/>
  <c r="E164" i="16"/>
  <c r="O233" i="19"/>
  <c r="D234" i="19"/>
  <c r="I220" i="3"/>
  <c r="E220" i="3"/>
  <c r="D220" i="3" s="1"/>
  <c r="F220" i="3" s="1"/>
  <c r="G220" i="3" s="1"/>
  <c r="H207" i="14" l="1"/>
  <c r="F164" i="16"/>
  <c r="D213" i="17"/>
  <c r="O212" i="17"/>
  <c r="F212" i="17"/>
  <c r="H164" i="16"/>
  <c r="C234" i="19"/>
  <c r="G234" i="19" s="1"/>
  <c r="E234" i="19" s="1"/>
  <c r="F234" i="19" s="1"/>
  <c r="C221" i="3"/>
  <c r="H220" i="3"/>
  <c r="D208" i="14" l="1"/>
  <c r="O207" i="14"/>
  <c r="C213" i="17"/>
  <c r="G213" i="17" s="1"/>
  <c r="D165" i="16"/>
  <c r="O164" i="16"/>
  <c r="H234" i="19"/>
  <c r="E221" i="3"/>
  <c r="D221" i="3" s="1"/>
  <c r="F221" i="3" s="1"/>
  <c r="G221" i="3" s="1"/>
  <c r="I221" i="3"/>
  <c r="C208" i="14" l="1"/>
  <c r="G208" i="14" s="1"/>
  <c r="E208" i="14" s="1"/>
  <c r="F208" i="14" s="1"/>
  <c r="E213" i="17"/>
  <c r="H213" i="17" s="1"/>
  <c r="C165" i="16"/>
  <c r="G165" i="16" s="1"/>
  <c r="E165" i="16" s="1"/>
  <c r="F165" i="16" s="1"/>
  <c r="D235" i="19"/>
  <c r="O234" i="19"/>
  <c r="H221" i="3"/>
  <c r="C222" i="3"/>
  <c r="H208" i="14" l="1"/>
  <c r="D209" i="14" s="1"/>
  <c r="D214" i="17"/>
  <c r="O213" i="17"/>
  <c r="F213" i="17"/>
  <c r="H165" i="16"/>
  <c r="O165" i="16" s="1"/>
  <c r="C235" i="19"/>
  <c r="G235" i="19" s="1"/>
  <c r="E235" i="19" s="1"/>
  <c r="F235" i="19" s="1"/>
  <c r="I222" i="3"/>
  <c r="E222" i="3"/>
  <c r="D222" i="3" s="1"/>
  <c r="F222" i="3" s="1"/>
  <c r="G222" i="3" s="1"/>
  <c r="O208" i="14" l="1"/>
  <c r="C209" i="14"/>
  <c r="G209" i="14" s="1"/>
  <c r="E209" i="14" s="1"/>
  <c r="F209" i="14" s="1"/>
  <c r="D166" i="16"/>
  <c r="C166" i="16" s="1"/>
  <c r="G166" i="16" s="1"/>
  <c r="E166" i="16" s="1"/>
  <c r="F166" i="16" s="1"/>
  <c r="C214" i="17"/>
  <c r="G214" i="17" s="1"/>
  <c r="E214" i="17" s="1"/>
  <c r="F214" i="17" s="1"/>
  <c r="H235" i="19"/>
  <c r="H222" i="3"/>
  <c r="C223" i="3"/>
  <c r="H209" i="14" l="1"/>
  <c r="H214" i="17"/>
  <c r="D215" i="17" s="1"/>
  <c r="H166" i="16"/>
  <c r="O166" i="16" s="1"/>
  <c r="I235" i="19"/>
  <c r="O235" i="19"/>
  <c r="D236" i="19"/>
  <c r="I223" i="3"/>
  <c r="E223" i="3"/>
  <c r="D223" i="3" s="1"/>
  <c r="F223" i="3" s="1"/>
  <c r="G223" i="3" s="1"/>
  <c r="O209" i="14" l="1"/>
  <c r="D210" i="14"/>
  <c r="O214" i="17"/>
  <c r="D167" i="16"/>
  <c r="C167" i="16" s="1"/>
  <c r="G167" i="16" s="1"/>
  <c r="C215" i="17"/>
  <c r="G215" i="17" s="1"/>
  <c r="E215" i="17" s="1"/>
  <c r="F215" i="17" s="1"/>
  <c r="C236" i="19"/>
  <c r="G236" i="19" s="1"/>
  <c r="E236" i="19" s="1"/>
  <c r="F236" i="19" s="1"/>
  <c r="C224" i="3"/>
  <c r="H223" i="3"/>
  <c r="C210" i="14" l="1"/>
  <c r="G210" i="14" s="1"/>
  <c r="E210" i="14" s="1"/>
  <c r="F210" i="14" s="1"/>
  <c r="H215" i="17"/>
  <c r="O215" i="17" s="1"/>
  <c r="E167" i="16"/>
  <c r="H167" i="16" s="1"/>
  <c r="H236" i="19"/>
  <c r="E224" i="3"/>
  <c r="D224" i="3" s="1"/>
  <c r="F224" i="3" s="1"/>
  <c r="G224" i="3" s="1"/>
  <c r="I224" i="3"/>
  <c r="D216" i="17" l="1"/>
  <c r="H210" i="14"/>
  <c r="C216" i="17"/>
  <c r="G216" i="17" s="1"/>
  <c r="O167" i="16"/>
  <c r="D168" i="16"/>
  <c r="F167" i="16"/>
  <c r="O236" i="19"/>
  <c r="D237" i="19"/>
  <c r="C225" i="3"/>
  <c r="H224" i="3"/>
  <c r="O210" i="14" l="1"/>
  <c r="D211" i="14"/>
  <c r="C211" i="14" s="1"/>
  <c r="G211" i="14" s="1"/>
  <c r="E211" i="14" s="1"/>
  <c r="E216" i="17"/>
  <c r="H216" i="17" s="1"/>
  <c r="C168" i="16"/>
  <c r="G168" i="16" s="1"/>
  <c r="C237" i="19"/>
  <c r="G237" i="19" s="1"/>
  <c r="E237" i="19" s="1"/>
  <c r="F237" i="19" s="1"/>
  <c r="I225" i="3"/>
  <c r="E225" i="3"/>
  <c r="D225" i="3" s="1"/>
  <c r="F225" i="3" s="1"/>
  <c r="G225" i="3" s="1"/>
  <c r="H211" i="14" l="1"/>
  <c r="F211" i="14"/>
  <c r="D217" i="17"/>
  <c r="O216" i="17"/>
  <c r="F216" i="17"/>
  <c r="E168" i="16"/>
  <c r="H168" i="16" s="1"/>
  <c r="H237" i="19"/>
  <c r="D238" i="19" s="1"/>
  <c r="C226" i="3"/>
  <c r="H225" i="3"/>
  <c r="D212" i="14" l="1"/>
  <c r="C212" i="14" s="1"/>
  <c r="G212" i="14" s="1"/>
  <c r="E212" i="14" s="1"/>
  <c r="O211" i="14"/>
  <c r="I211" i="14"/>
  <c r="C217" i="17"/>
  <c r="G217" i="17" s="1"/>
  <c r="O168" i="16"/>
  <c r="D169" i="16"/>
  <c r="F168" i="16"/>
  <c r="O237" i="19"/>
  <c r="C238" i="19"/>
  <c r="G238" i="19" s="1"/>
  <c r="E238" i="19" s="1"/>
  <c r="F238" i="19" s="1"/>
  <c r="E226" i="3"/>
  <c r="D226" i="3" s="1"/>
  <c r="F226" i="3" s="1"/>
  <c r="G226" i="3" s="1"/>
  <c r="I226" i="3"/>
  <c r="H212" i="14" l="1"/>
  <c r="F212" i="14"/>
  <c r="E217" i="17"/>
  <c r="H217" i="17" s="1"/>
  <c r="C169" i="16"/>
  <c r="G169" i="16" s="1"/>
  <c r="H238" i="19"/>
  <c r="D239" i="19" s="1"/>
  <c r="C227" i="3"/>
  <c r="H226" i="3"/>
  <c r="D213" i="14" l="1"/>
  <c r="C213" i="14" s="1"/>
  <c r="G213" i="14" s="1"/>
  <c r="E213" i="14" s="1"/>
  <c r="O212" i="14"/>
  <c r="O238" i="19"/>
  <c r="D218" i="17"/>
  <c r="C218" i="17" s="1"/>
  <c r="G218" i="17" s="1"/>
  <c r="E218" i="17" s="1"/>
  <c r="F218" i="17" s="1"/>
  <c r="O217" i="17"/>
  <c r="F217" i="17"/>
  <c r="E169" i="16"/>
  <c r="H169" i="16" s="1"/>
  <c r="C239" i="19"/>
  <c r="G239" i="19" s="1"/>
  <c r="E239" i="19" s="1"/>
  <c r="F239" i="19" s="1"/>
  <c r="E227" i="3"/>
  <c r="D227" i="3" s="1"/>
  <c r="F227" i="3" s="1"/>
  <c r="G227" i="3" s="1"/>
  <c r="I227" i="3"/>
  <c r="H213" i="14" l="1"/>
  <c r="F213" i="14"/>
  <c r="H218" i="17"/>
  <c r="D170" i="16"/>
  <c r="O169" i="16"/>
  <c r="F169" i="16"/>
  <c r="H239" i="19"/>
  <c r="H227" i="3"/>
  <c r="C228" i="3"/>
  <c r="O213" i="14" l="1"/>
  <c r="D214" i="14"/>
  <c r="D219" i="17"/>
  <c r="O218" i="17"/>
  <c r="C170" i="16"/>
  <c r="G170" i="16" s="1"/>
  <c r="E170" i="16" s="1"/>
  <c r="F170" i="16" s="1"/>
  <c r="D240" i="19"/>
  <c r="O239" i="19"/>
  <c r="E228" i="3"/>
  <c r="D228" i="3" s="1"/>
  <c r="F228" i="3" s="1"/>
  <c r="G228" i="3" s="1"/>
  <c r="I228" i="3"/>
  <c r="C214" i="14" l="1"/>
  <c r="G214" i="14" s="1"/>
  <c r="C219" i="17"/>
  <c r="G219" i="17" s="1"/>
  <c r="H170" i="16"/>
  <c r="O170" i="16" s="1"/>
  <c r="C240" i="19"/>
  <c r="G240" i="19" s="1"/>
  <c r="E240" i="19" s="1"/>
  <c r="F240" i="19" s="1"/>
  <c r="H228" i="3"/>
  <c r="C229" i="3"/>
  <c r="E214" i="14" l="1"/>
  <c r="H214" i="14" s="1"/>
  <c r="O214" i="14" s="1"/>
  <c r="D171" i="16"/>
  <c r="C171" i="16" s="1"/>
  <c r="G171" i="16" s="1"/>
  <c r="E219" i="17"/>
  <c r="H219" i="17" s="1"/>
  <c r="H240" i="19"/>
  <c r="D241" i="19" s="1"/>
  <c r="E229" i="3"/>
  <c r="D229" i="3" s="1"/>
  <c r="F229" i="3" s="1"/>
  <c r="G229" i="3" s="1"/>
  <c r="I229" i="3"/>
  <c r="D215" i="14" l="1"/>
  <c r="C215" i="14" s="1"/>
  <c r="G215" i="14" s="1"/>
  <c r="E215" i="14" s="1"/>
  <c r="F215" i="14" s="1"/>
  <c r="F214" i="14"/>
  <c r="D220" i="17"/>
  <c r="O219" i="17"/>
  <c r="F219" i="17"/>
  <c r="E171" i="16"/>
  <c r="F171" i="16" s="1"/>
  <c r="O240" i="19"/>
  <c r="C241" i="19"/>
  <c r="G241" i="19" s="1"/>
  <c r="E241" i="19" s="1"/>
  <c r="F241" i="19" s="1"/>
  <c r="C230" i="3"/>
  <c r="H229" i="3"/>
  <c r="H215" i="14" l="1"/>
  <c r="C220" i="17"/>
  <c r="G220" i="17" s="1"/>
  <c r="H171" i="16"/>
  <c r="O171" i="16" s="1"/>
  <c r="H241" i="19"/>
  <c r="E230" i="3"/>
  <c r="D230" i="3" s="1"/>
  <c r="F230" i="3" s="1"/>
  <c r="G230" i="3" s="1"/>
  <c r="I230" i="3"/>
  <c r="O215" i="14" l="1"/>
  <c r="D216" i="14"/>
  <c r="E220" i="17"/>
  <c r="H220" i="17" s="1"/>
  <c r="D172" i="16"/>
  <c r="C172" i="16" s="1"/>
  <c r="G172" i="16" s="1"/>
  <c r="E172" i="16" s="1"/>
  <c r="F172" i="16" s="1"/>
  <c r="O241" i="19"/>
  <c r="D242" i="19"/>
  <c r="C231" i="3"/>
  <c r="H230" i="3"/>
  <c r="C216" i="14" l="1"/>
  <c r="G216" i="14" s="1"/>
  <c r="E216" i="14" s="1"/>
  <c r="F216" i="14" s="1"/>
  <c r="O220" i="17"/>
  <c r="D221" i="17"/>
  <c r="F220" i="17"/>
  <c r="H172" i="16"/>
  <c r="O172" i="16" s="1"/>
  <c r="C242" i="19"/>
  <c r="G242" i="19" s="1"/>
  <c r="E242" i="19" s="1"/>
  <c r="F242" i="19" s="1"/>
  <c r="I231" i="3"/>
  <c r="E231" i="3"/>
  <c r="D231" i="3" s="1"/>
  <c r="F231" i="3" s="1"/>
  <c r="G231" i="3" s="1"/>
  <c r="H216" i="14" l="1"/>
  <c r="C221" i="17"/>
  <c r="G221" i="17" s="1"/>
  <c r="D173" i="16"/>
  <c r="C173" i="16" s="1"/>
  <c r="G173" i="16" s="1"/>
  <c r="E173" i="16" s="1"/>
  <c r="F173" i="16" s="1"/>
  <c r="H242" i="19"/>
  <c r="H231" i="3"/>
  <c r="C232" i="3"/>
  <c r="D217" i="14" l="1"/>
  <c r="O216" i="14"/>
  <c r="E221" i="17"/>
  <c r="H221" i="17" s="1"/>
  <c r="H173" i="16"/>
  <c r="D174" i="16" s="1"/>
  <c r="O242" i="19"/>
  <c r="D243" i="19"/>
  <c r="I232" i="3"/>
  <c r="E232" i="3"/>
  <c r="D232" i="3" s="1"/>
  <c r="F232" i="3" s="1"/>
  <c r="G232" i="3" s="1"/>
  <c r="C217" i="14" l="1"/>
  <c r="G217" i="14" s="1"/>
  <c r="O173" i="16"/>
  <c r="D222" i="17"/>
  <c r="O221" i="17"/>
  <c r="F221" i="17"/>
  <c r="C174" i="16"/>
  <c r="G174" i="16" s="1"/>
  <c r="E174" i="16" s="1"/>
  <c r="F174" i="16" s="1"/>
  <c r="C243" i="19"/>
  <c r="G243" i="19" s="1"/>
  <c r="E243" i="19" s="1"/>
  <c r="F243" i="19" s="1"/>
  <c r="H232" i="3"/>
  <c r="C233" i="3"/>
  <c r="E217" i="14" l="1"/>
  <c r="F217" i="14" s="1"/>
  <c r="C222" i="17"/>
  <c r="G222" i="17" s="1"/>
  <c r="E222" i="17" s="1"/>
  <c r="F222" i="17" s="1"/>
  <c r="H174" i="16"/>
  <c r="D175" i="16" s="1"/>
  <c r="H243" i="19"/>
  <c r="E233" i="3"/>
  <c r="D233" i="3" s="1"/>
  <c r="F233" i="3" s="1"/>
  <c r="G233" i="3" s="1"/>
  <c r="I233" i="3"/>
  <c r="H217" i="14" l="1"/>
  <c r="O217" i="14" s="1"/>
  <c r="H222" i="17"/>
  <c r="D223" i="17" s="1"/>
  <c r="O174" i="16"/>
  <c r="O222" i="17"/>
  <c r="C175" i="16"/>
  <c r="G175" i="16" s="1"/>
  <c r="E175" i="16" s="1"/>
  <c r="F175" i="16" s="1"/>
  <c r="D244" i="19"/>
  <c r="O243" i="19"/>
  <c r="C234" i="3"/>
  <c r="H233" i="3"/>
  <c r="D218" i="14" l="1"/>
  <c r="C218" i="14" s="1"/>
  <c r="G218" i="14" s="1"/>
  <c r="C223" i="17"/>
  <c r="G223" i="17" s="1"/>
  <c r="H175" i="16"/>
  <c r="D176" i="16" s="1"/>
  <c r="C244" i="19"/>
  <c r="G244" i="19" s="1"/>
  <c r="E244" i="19" s="1"/>
  <c r="F244" i="19" s="1"/>
  <c r="I234" i="3"/>
  <c r="E234" i="3"/>
  <c r="D234" i="3" s="1"/>
  <c r="F234" i="3" s="1"/>
  <c r="G234" i="3" s="1"/>
  <c r="E218" i="14" l="1"/>
  <c r="H218" i="14" s="1"/>
  <c r="O175" i="16"/>
  <c r="I175" i="16"/>
  <c r="E223" i="17"/>
  <c r="H223" i="17" s="1"/>
  <c r="C176" i="16"/>
  <c r="G176" i="16" s="1"/>
  <c r="E176" i="16" s="1"/>
  <c r="F176" i="16" s="1"/>
  <c r="H244" i="19"/>
  <c r="H234" i="3"/>
  <c r="C235" i="3"/>
  <c r="D219" i="14" l="1"/>
  <c r="C219" i="14" s="1"/>
  <c r="G219" i="14" s="1"/>
  <c r="E219" i="14" s="1"/>
  <c r="O218" i="14"/>
  <c r="F218" i="14"/>
  <c r="D224" i="17"/>
  <c r="I223" i="17"/>
  <c r="O223" i="17"/>
  <c r="F223" i="17"/>
  <c r="H176" i="16"/>
  <c r="D177" i="16" s="1"/>
  <c r="O244" i="19"/>
  <c r="D245" i="19"/>
  <c r="I235" i="3"/>
  <c r="E235" i="3"/>
  <c r="D235" i="3" s="1"/>
  <c r="F235" i="3" s="1"/>
  <c r="G235" i="3" s="1"/>
  <c r="F219" i="14" l="1"/>
  <c r="H219" i="14"/>
  <c r="C224" i="17"/>
  <c r="G224" i="17" s="1"/>
  <c r="E224" i="17" s="1"/>
  <c r="F224" i="17" s="1"/>
  <c r="O176" i="16"/>
  <c r="C177" i="16"/>
  <c r="G177" i="16" s="1"/>
  <c r="C245" i="19"/>
  <c r="G245" i="19" s="1"/>
  <c r="E245" i="19" s="1"/>
  <c r="F245" i="19" s="1"/>
  <c r="C236" i="3"/>
  <c r="H235" i="3"/>
  <c r="D220" i="14" l="1"/>
  <c r="O219" i="14"/>
  <c r="H224" i="17"/>
  <c r="D225" i="17" s="1"/>
  <c r="E177" i="16"/>
  <c r="H177" i="16" s="1"/>
  <c r="H245" i="19"/>
  <c r="D246" i="19" s="1"/>
  <c r="E236" i="3"/>
  <c r="D236" i="3" s="1"/>
  <c r="F236" i="3" s="1"/>
  <c r="G236" i="3" s="1"/>
  <c r="I236" i="3"/>
  <c r="O224" i="17" l="1"/>
  <c r="C220" i="14"/>
  <c r="G220" i="14" s="1"/>
  <c r="E220" i="14" s="1"/>
  <c r="F220" i="14" s="1"/>
  <c r="C225" i="17"/>
  <c r="G225" i="17" s="1"/>
  <c r="O177" i="16"/>
  <c r="D178" i="16"/>
  <c r="F177" i="16"/>
  <c r="O245" i="19"/>
  <c r="C246" i="19"/>
  <c r="G246" i="19" s="1"/>
  <c r="E246" i="19" s="1"/>
  <c r="F246" i="19" s="1"/>
  <c r="H236" i="3"/>
  <c r="C237" i="3"/>
  <c r="H220" i="14" l="1"/>
  <c r="E225" i="17"/>
  <c r="H225" i="17" s="1"/>
  <c r="C178" i="16"/>
  <c r="G178" i="16" s="1"/>
  <c r="E178" i="16" s="1"/>
  <c r="F178" i="16" s="1"/>
  <c r="H246" i="19"/>
  <c r="E237" i="3"/>
  <c r="D237" i="3" s="1"/>
  <c r="F237" i="3" s="1"/>
  <c r="G237" i="3" s="1"/>
  <c r="I237" i="3"/>
  <c r="D221" i="14" l="1"/>
  <c r="O220" i="14"/>
  <c r="D226" i="17"/>
  <c r="O225" i="17"/>
  <c r="F225" i="17"/>
  <c r="H178" i="16"/>
  <c r="D179" i="16" s="1"/>
  <c r="O246" i="19"/>
  <c r="D247" i="19"/>
  <c r="H237" i="3"/>
  <c r="C238" i="3"/>
  <c r="C221" i="14" l="1"/>
  <c r="G221" i="14" s="1"/>
  <c r="E221" i="14" s="1"/>
  <c r="F221" i="14" s="1"/>
  <c r="O178" i="16"/>
  <c r="C226" i="17"/>
  <c r="G226" i="17" s="1"/>
  <c r="C179" i="16"/>
  <c r="G179" i="16" s="1"/>
  <c r="C247" i="19"/>
  <c r="G247" i="19" s="1"/>
  <c r="E247" i="19" s="1"/>
  <c r="F247" i="19" s="1"/>
  <c r="E238" i="3"/>
  <c r="D238" i="3" s="1"/>
  <c r="F238" i="3" s="1"/>
  <c r="G238" i="3" s="1"/>
  <c r="I238" i="3"/>
  <c r="H221" i="14" l="1"/>
  <c r="E226" i="17"/>
  <c r="H226" i="17" s="1"/>
  <c r="E179" i="16"/>
  <c r="H179" i="16" s="1"/>
  <c r="H247" i="19"/>
  <c r="C239" i="3"/>
  <c r="H238" i="3"/>
  <c r="O221" i="14" l="1"/>
  <c r="D222" i="14"/>
  <c r="O226" i="17"/>
  <c r="D227" i="17"/>
  <c r="F226" i="17"/>
  <c r="D180" i="16"/>
  <c r="O179" i="16"/>
  <c r="F179" i="16"/>
  <c r="O247" i="19"/>
  <c r="D248" i="19"/>
  <c r="I247" i="19"/>
  <c r="I239" i="3"/>
  <c r="E239" i="3"/>
  <c r="D239" i="3" s="1"/>
  <c r="F239" i="3" s="1"/>
  <c r="G239" i="3" s="1"/>
  <c r="C222" i="14" l="1"/>
  <c r="G222" i="14" s="1"/>
  <c r="E222" i="14" s="1"/>
  <c r="F222" i="14" s="1"/>
  <c r="C227" i="17"/>
  <c r="G227" i="17" s="1"/>
  <c r="C180" i="16"/>
  <c r="G180" i="16" s="1"/>
  <c r="E180" i="16" s="1"/>
  <c r="F180" i="16" s="1"/>
  <c r="C248" i="19"/>
  <c r="G248" i="19" s="1"/>
  <c r="E248" i="19" s="1"/>
  <c r="F248" i="19" s="1"/>
  <c r="C240" i="3"/>
  <c r="H239" i="3"/>
  <c r="H222" i="14" l="1"/>
  <c r="D223" i="14" s="1"/>
  <c r="E227" i="17"/>
  <c r="H227" i="17" s="1"/>
  <c r="H180" i="16"/>
  <c r="D181" i="16" s="1"/>
  <c r="H248" i="19"/>
  <c r="I240" i="3"/>
  <c r="E240" i="3"/>
  <c r="D240" i="3" s="1"/>
  <c r="F240" i="3" s="1"/>
  <c r="G240" i="3" s="1"/>
  <c r="O222" i="14" l="1"/>
  <c r="C223" i="14"/>
  <c r="G223" i="14" s="1"/>
  <c r="E223" i="14" s="1"/>
  <c r="F223" i="14" s="1"/>
  <c r="O227" i="17"/>
  <c r="D228" i="17"/>
  <c r="F227" i="17"/>
  <c r="O180" i="16"/>
  <c r="C181" i="16"/>
  <c r="G181" i="16" s="1"/>
  <c r="E181" i="16" s="1"/>
  <c r="F181" i="16" s="1"/>
  <c r="O248" i="19"/>
  <c r="D249" i="19"/>
  <c r="C241" i="3"/>
  <c r="H240" i="3"/>
  <c r="H223" i="14" l="1"/>
  <c r="C228" i="17"/>
  <c r="G228" i="17" s="1"/>
  <c r="H181" i="16"/>
  <c r="D182" i="16" s="1"/>
  <c r="C182" i="16" s="1"/>
  <c r="G182" i="16" s="1"/>
  <c r="C249" i="19"/>
  <c r="G249" i="19" s="1"/>
  <c r="E249" i="19" s="1"/>
  <c r="F249" i="19" s="1"/>
  <c r="I241" i="3"/>
  <c r="E241" i="3"/>
  <c r="D241" i="3" s="1"/>
  <c r="F241" i="3" s="1"/>
  <c r="G241" i="3" s="1"/>
  <c r="I223" i="14" l="1"/>
  <c r="D224" i="14"/>
  <c r="O223" i="14"/>
  <c r="E228" i="17"/>
  <c r="H228" i="17" s="1"/>
  <c r="O181" i="16"/>
  <c r="E182" i="16"/>
  <c r="F182" i="16" s="1"/>
  <c r="H249" i="19"/>
  <c r="C242" i="3"/>
  <c r="H241" i="3"/>
  <c r="C224" i="14" l="1"/>
  <c r="G224" i="14" s="1"/>
  <c r="E224" i="14" s="1"/>
  <c r="F224" i="14" s="1"/>
  <c r="D229" i="17"/>
  <c r="O228" i="17"/>
  <c r="F228" i="17"/>
  <c r="H182" i="16"/>
  <c r="D250" i="19"/>
  <c r="O249" i="19"/>
  <c r="E242" i="3"/>
  <c r="D242" i="3" s="1"/>
  <c r="F242" i="3" s="1"/>
  <c r="G242" i="3" s="1"/>
  <c r="I242" i="3"/>
  <c r="H224" i="14" l="1"/>
  <c r="C229" i="17"/>
  <c r="G229" i="17" s="1"/>
  <c r="O182" i="16"/>
  <c r="D183" i="16"/>
  <c r="C250" i="19"/>
  <c r="G250" i="19" s="1"/>
  <c r="E250" i="19" s="1"/>
  <c r="F250" i="19" s="1"/>
  <c r="C243" i="3"/>
  <c r="H242" i="3"/>
  <c r="D225" i="14" l="1"/>
  <c r="O224" i="14"/>
  <c r="E229" i="17"/>
  <c r="H229" i="17" s="1"/>
  <c r="C183" i="16"/>
  <c r="H250" i="19"/>
  <c r="D251" i="19" s="1"/>
  <c r="I243" i="3"/>
  <c r="E243" i="3"/>
  <c r="D243" i="3" s="1"/>
  <c r="F243" i="3" s="1"/>
  <c r="G243" i="3" s="1"/>
  <c r="C225" i="14" l="1"/>
  <c r="G225" i="14" s="1"/>
  <c r="O229" i="17"/>
  <c r="D230" i="17"/>
  <c r="F229" i="17"/>
  <c r="G183" i="16"/>
  <c r="O250" i="19"/>
  <c r="C251" i="19"/>
  <c r="G251" i="19" s="1"/>
  <c r="E251" i="19" s="1"/>
  <c r="F251" i="19" s="1"/>
  <c r="C244" i="3"/>
  <c r="H243" i="3"/>
  <c r="E225" i="14" l="1"/>
  <c r="F225" i="14" s="1"/>
  <c r="C230" i="17"/>
  <c r="G230" i="17" s="1"/>
  <c r="E230" i="17" s="1"/>
  <c r="F230" i="17" s="1"/>
  <c r="E183" i="16"/>
  <c r="F183" i="16" s="1"/>
  <c r="H251" i="19"/>
  <c r="I244" i="3"/>
  <c r="E244" i="3"/>
  <c r="D244" i="3" s="1"/>
  <c r="F244" i="3" s="1"/>
  <c r="G244" i="3" s="1"/>
  <c r="H225" i="14" l="1"/>
  <c r="O225" i="14" s="1"/>
  <c r="H230" i="17"/>
  <c r="O230" i="17"/>
  <c r="D231" i="17"/>
  <c r="H183" i="16"/>
  <c r="D184" i="16" s="1"/>
  <c r="O251" i="19"/>
  <c r="D252" i="19"/>
  <c r="C245" i="3"/>
  <c r="H244" i="3"/>
  <c r="D226" i="14" l="1"/>
  <c r="C226" i="14" s="1"/>
  <c r="G226" i="14" s="1"/>
  <c r="E226" i="14" s="1"/>
  <c r="F226" i="14" s="1"/>
  <c r="O183" i="16"/>
  <c r="C231" i="17"/>
  <c r="G231" i="17" s="1"/>
  <c r="E231" i="17" s="1"/>
  <c r="F231" i="17" s="1"/>
  <c r="C184" i="16"/>
  <c r="C252" i="19"/>
  <c r="G252" i="19" s="1"/>
  <c r="E252" i="19" s="1"/>
  <c r="F252" i="19" s="1"/>
  <c r="E245" i="3"/>
  <c r="D245" i="3" s="1"/>
  <c r="F245" i="3" s="1"/>
  <c r="G245" i="3" s="1"/>
  <c r="I245" i="3"/>
  <c r="H226" i="14" l="1"/>
  <c r="H231" i="17"/>
  <c r="O231" i="17" s="1"/>
  <c r="G184" i="16"/>
  <c r="H252" i="19"/>
  <c r="D253" i="19" s="1"/>
  <c r="C246" i="3"/>
  <c r="H245" i="3"/>
  <c r="O226" i="14" l="1"/>
  <c r="D227" i="14"/>
  <c r="D232" i="17"/>
  <c r="C232" i="17" s="1"/>
  <c r="G232" i="17" s="1"/>
  <c r="E184" i="16"/>
  <c r="F184" i="16" s="1"/>
  <c r="O252" i="19"/>
  <c r="C253" i="19"/>
  <c r="G253" i="19" s="1"/>
  <c r="E253" i="19" s="1"/>
  <c r="F253" i="19" s="1"/>
  <c r="E246" i="3"/>
  <c r="D246" i="3" s="1"/>
  <c r="F246" i="3" s="1"/>
  <c r="G246" i="3" s="1"/>
  <c r="I246" i="3"/>
  <c r="C227" i="14" l="1"/>
  <c r="G227" i="14" s="1"/>
  <c r="E227" i="14" s="1"/>
  <c r="F227" i="14" s="1"/>
  <c r="E232" i="17"/>
  <c r="H232" i="17" s="1"/>
  <c r="H184" i="16"/>
  <c r="O184" i="16" s="1"/>
  <c r="H253" i="19"/>
  <c r="H246" i="3"/>
  <c r="C247" i="3"/>
  <c r="H227" i="14" l="1"/>
  <c r="D185" i="16"/>
  <c r="C185" i="16" s="1"/>
  <c r="O232" i="17"/>
  <c r="D233" i="17"/>
  <c r="F232" i="17"/>
  <c r="D254" i="19"/>
  <c r="O253" i="19"/>
  <c r="I247" i="3"/>
  <c r="E247" i="3"/>
  <c r="D247" i="3" s="1"/>
  <c r="F247" i="3" s="1"/>
  <c r="G247" i="3" s="1"/>
  <c r="O227" i="14" l="1"/>
  <c r="D228" i="14"/>
  <c r="C233" i="17"/>
  <c r="G233" i="17" s="1"/>
  <c r="E233" i="17" s="1"/>
  <c r="F233" i="17" s="1"/>
  <c r="G185" i="16"/>
  <c r="C254" i="19"/>
  <c r="G254" i="19" s="1"/>
  <c r="E254" i="19" s="1"/>
  <c r="F254" i="19" s="1"/>
  <c r="C248" i="3"/>
  <c r="H247" i="3"/>
  <c r="C228" i="14" l="1"/>
  <c r="G228" i="14" s="1"/>
  <c r="E228" i="14" s="1"/>
  <c r="F228" i="14" s="1"/>
  <c r="H233" i="17"/>
  <c r="O233" i="17" s="1"/>
  <c r="E185" i="16"/>
  <c r="F185" i="16" s="1"/>
  <c r="H254" i="19"/>
  <c r="E248" i="3"/>
  <c r="D248" i="3" s="1"/>
  <c r="F248" i="3" s="1"/>
  <c r="G248" i="3" s="1"/>
  <c r="I248" i="3"/>
  <c r="D234" i="17" l="1"/>
  <c r="H228" i="14"/>
  <c r="H185" i="16"/>
  <c r="D186" i="16" s="1"/>
  <c r="C234" i="17"/>
  <c r="G234" i="17" s="1"/>
  <c r="E234" i="17" s="1"/>
  <c r="F234" i="17" s="1"/>
  <c r="O254" i="19"/>
  <c r="D255" i="19"/>
  <c r="C249" i="3"/>
  <c r="H248" i="3"/>
  <c r="D229" i="14" l="1"/>
  <c r="O228" i="14"/>
  <c r="H234" i="17"/>
  <c r="O234" i="17" s="1"/>
  <c r="O185" i="16"/>
  <c r="C186" i="16"/>
  <c r="C255" i="19"/>
  <c r="G255" i="19" s="1"/>
  <c r="E255" i="19" s="1"/>
  <c r="F255" i="19" s="1"/>
  <c r="I249" i="3"/>
  <c r="E249" i="3"/>
  <c r="D249" i="3" s="1"/>
  <c r="F249" i="3" s="1"/>
  <c r="G249" i="3" s="1"/>
  <c r="D235" i="17" l="1"/>
  <c r="C235" i="17" s="1"/>
  <c r="G235" i="17" s="1"/>
  <c r="E235" i="17" s="1"/>
  <c r="F235" i="17" s="1"/>
  <c r="C229" i="14"/>
  <c r="G229" i="14" s="1"/>
  <c r="E229" i="14" s="1"/>
  <c r="F229" i="14" s="1"/>
  <c r="G186" i="16"/>
  <c r="H255" i="19"/>
  <c r="H249" i="3"/>
  <c r="C250" i="3"/>
  <c r="H229" i="14" l="1"/>
  <c r="H235" i="17"/>
  <c r="O235" i="17" s="1"/>
  <c r="D236" i="17"/>
  <c r="E186" i="16"/>
  <c r="F186" i="16" s="1"/>
  <c r="D256" i="19"/>
  <c r="O255" i="19"/>
  <c r="I250" i="3"/>
  <c r="E250" i="3"/>
  <c r="D250" i="3" s="1"/>
  <c r="F250" i="3" s="1"/>
  <c r="G250" i="3" s="1"/>
  <c r="I235" i="17" l="1"/>
  <c r="O229" i="14"/>
  <c r="D230" i="14"/>
  <c r="C236" i="17"/>
  <c r="G236" i="17" s="1"/>
  <c r="H186" i="16"/>
  <c r="C256" i="19"/>
  <c r="G256" i="19" s="1"/>
  <c r="E256" i="19" s="1"/>
  <c r="F256" i="19" s="1"/>
  <c r="H250" i="3"/>
  <c r="C251" i="3"/>
  <c r="C230" i="14" l="1"/>
  <c r="G230" i="14" s="1"/>
  <c r="E230" i="14" s="1"/>
  <c r="F230" i="14" s="1"/>
  <c r="E236" i="17"/>
  <c r="H236" i="17" s="1"/>
  <c r="D187" i="16"/>
  <c r="O186" i="16"/>
  <c r="H256" i="19"/>
  <c r="D257" i="19" s="1"/>
  <c r="E251" i="3"/>
  <c r="D251" i="3" s="1"/>
  <c r="F251" i="3" s="1"/>
  <c r="G251" i="3" s="1"/>
  <c r="I251" i="3"/>
  <c r="H230" i="14" l="1"/>
  <c r="D237" i="17"/>
  <c r="O236" i="17"/>
  <c r="F236" i="17"/>
  <c r="C187" i="16"/>
  <c r="O256" i="19"/>
  <c r="C257" i="19"/>
  <c r="G257" i="19" s="1"/>
  <c r="E257" i="19" s="1"/>
  <c r="F257" i="19" s="1"/>
  <c r="H251" i="3"/>
  <c r="C252" i="3"/>
  <c r="O230" i="14" l="1"/>
  <c r="D231" i="14"/>
  <c r="C237" i="17"/>
  <c r="G237" i="17" s="1"/>
  <c r="G187" i="16"/>
  <c r="H257" i="19"/>
  <c r="I252" i="3"/>
  <c r="E252" i="3"/>
  <c r="D252" i="3" s="1"/>
  <c r="F252" i="3" s="1"/>
  <c r="G252" i="3" s="1"/>
  <c r="C231" i="14" l="1"/>
  <c r="G231" i="14" s="1"/>
  <c r="E231" i="14" s="1"/>
  <c r="F231" i="14" s="1"/>
  <c r="E237" i="17"/>
  <c r="H237" i="17" s="1"/>
  <c r="E187" i="16"/>
  <c r="F187" i="16" s="1"/>
  <c r="O257" i="19"/>
  <c r="D258" i="19"/>
  <c r="H252" i="3"/>
  <c r="C253" i="3"/>
  <c r="H231" i="14" l="1"/>
  <c r="O237" i="17"/>
  <c r="D238" i="17"/>
  <c r="F237" i="17"/>
  <c r="H187" i="16"/>
  <c r="C258" i="19"/>
  <c r="G258" i="19" s="1"/>
  <c r="E258" i="19" s="1"/>
  <c r="F258" i="19" s="1"/>
  <c r="E253" i="3"/>
  <c r="D253" i="3" s="1"/>
  <c r="F253" i="3" s="1"/>
  <c r="G253" i="3" s="1"/>
  <c r="I253" i="3"/>
  <c r="D232" i="14" l="1"/>
  <c r="O231" i="14"/>
  <c r="C238" i="17"/>
  <c r="G238" i="17" s="1"/>
  <c r="D188" i="16"/>
  <c r="O187" i="16"/>
  <c r="I187" i="16"/>
  <c r="H258" i="19"/>
  <c r="D259" i="19" s="1"/>
  <c r="C254" i="3"/>
  <c r="H253" i="3"/>
  <c r="C232" i="14" l="1"/>
  <c r="G232" i="14" s="1"/>
  <c r="E232" i="14" s="1"/>
  <c r="F232" i="14" s="1"/>
  <c r="E238" i="17"/>
  <c r="H238" i="17" s="1"/>
  <c r="C188" i="16"/>
  <c r="G188" i="16" s="1"/>
  <c r="O258" i="19"/>
  <c r="C259" i="19"/>
  <c r="G259" i="19" s="1"/>
  <c r="E259" i="19" s="1"/>
  <c r="F259" i="19" s="1"/>
  <c r="E254" i="3"/>
  <c r="D254" i="3" s="1"/>
  <c r="F254" i="3" s="1"/>
  <c r="G254" i="3" s="1"/>
  <c r="I254" i="3"/>
  <c r="H232" i="14" l="1"/>
  <c r="D239" i="17"/>
  <c r="O238" i="17"/>
  <c r="F238" i="17"/>
  <c r="E188" i="16"/>
  <c r="H188" i="16" s="1"/>
  <c r="H259" i="19"/>
  <c r="I259" i="19" s="1"/>
  <c r="H254" i="3"/>
  <c r="C255" i="3"/>
  <c r="D233" i="14" l="1"/>
  <c r="O232" i="14"/>
  <c r="C239" i="17"/>
  <c r="G239" i="17" s="1"/>
  <c r="D189" i="16"/>
  <c r="O188" i="16"/>
  <c r="F188" i="16"/>
  <c r="D260" i="19"/>
  <c r="C260" i="19" s="1"/>
  <c r="G260" i="19" s="1"/>
  <c r="E260" i="19" s="1"/>
  <c r="F260" i="19" s="1"/>
  <c r="O259" i="19"/>
  <c r="I255" i="3"/>
  <c r="E255" i="3"/>
  <c r="D255" i="3" s="1"/>
  <c r="F255" i="3" s="1"/>
  <c r="G255" i="3" s="1"/>
  <c r="C233" i="14" l="1"/>
  <c r="G233" i="14" s="1"/>
  <c r="E233" i="14" s="1"/>
  <c r="F233" i="14" s="1"/>
  <c r="E239" i="17"/>
  <c r="H239" i="17" s="1"/>
  <c r="C189" i="16"/>
  <c r="G189" i="16" s="1"/>
  <c r="H260" i="19"/>
  <c r="H255" i="3"/>
  <c r="C256" i="3"/>
  <c r="H233" i="14" l="1"/>
  <c r="D240" i="17"/>
  <c r="O239" i="17"/>
  <c r="F239" i="17"/>
  <c r="E189" i="16"/>
  <c r="H189" i="16" s="1"/>
  <c r="O260" i="19"/>
  <c r="D261" i="19"/>
  <c r="E256" i="3"/>
  <c r="D256" i="3" s="1"/>
  <c r="F256" i="3" s="1"/>
  <c r="G256" i="3" s="1"/>
  <c r="I256" i="3"/>
  <c r="D234" i="14" l="1"/>
  <c r="O233" i="14"/>
  <c r="C240" i="17"/>
  <c r="G240" i="17" s="1"/>
  <c r="E240" i="17" s="1"/>
  <c r="F240" i="17" s="1"/>
  <c r="O189" i="16"/>
  <c r="D190" i="16"/>
  <c r="C190" i="16" s="1"/>
  <c r="G190" i="16" s="1"/>
  <c r="F189" i="16"/>
  <c r="C261" i="19"/>
  <c r="G261" i="19" s="1"/>
  <c r="E261" i="19" s="1"/>
  <c r="F261" i="19" s="1"/>
  <c r="C257" i="3"/>
  <c r="H256" i="3"/>
  <c r="C234" i="14" l="1"/>
  <c r="G234" i="14" s="1"/>
  <c r="E234" i="14" s="1"/>
  <c r="F234" i="14" s="1"/>
  <c r="H240" i="17"/>
  <c r="D241" i="17" s="1"/>
  <c r="E190" i="16"/>
  <c r="F190" i="16" s="1"/>
  <c r="H261" i="19"/>
  <c r="D262" i="19" s="1"/>
  <c r="I257" i="3"/>
  <c r="E257" i="3"/>
  <c r="D257" i="3" s="1"/>
  <c r="F257" i="3" s="1"/>
  <c r="G257" i="3" s="1"/>
  <c r="H234" i="14" l="1"/>
  <c r="O240" i="17"/>
  <c r="C241" i="17"/>
  <c r="G241" i="17" s="1"/>
  <c r="H190" i="16"/>
  <c r="O261" i="19"/>
  <c r="C262" i="19"/>
  <c r="G262" i="19" s="1"/>
  <c r="E262" i="19" s="1"/>
  <c r="F262" i="19" s="1"/>
  <c r="H257" i="3"/>
  <c r="C258" i="3"/>
  <c r="O234" i="14" l="1"/>
  <c r="D235" i="14"/>
  <c r="E241" i="17"/>
  <c r="H241" i="17" s="1"/>
  <c r="O190" i="16"/>
  <c r="D191" i="16"/>
  <c r="C191" i="16" s="1"/>
  <c r="G191" i="16" s="1"/>
  <c r="H262" i="19"/>
  <c r="I258" i="3"/>
  <c r="E258" i="3"/>
  <c r="D258" i="3" s="1"/>
  <c r="F258" i="3" s="1"/>
  <c r="G258" i="3" s="1"/>
  <c r="C235" i="14" l="1"/>
  <c r="G235" i="14" s="1"/>
  <c r="E235" i="14" s="1"/>
  <c r="F235" i="14" s="1"/>
  <c r="D242" i="17"/>
  <c r="O241" i="17"/>
  <c r="F241" i="17"/>
  <c r="E191" i="16"/>
  <c r="F191" i="16" s="1"/>
  <c r="D263" i="19"/>
  <c r="O262" i="19"/>
  <c r="C259" i="3"/>
  <c r="H258" i="3"/>
  <c r="H235" i="14" l="1"/>
  <c r="C242" i="17"/>
  <c r="G242" i="17" s="1"/>
  <c r="E242" i="17" s="1"/>
  <c r="F242" i="17" s="1"/>
  <c r="H191" i="16"/>
  <c r="C263" i="19"/>
  <c r="G263" i="19" s="1"/>
  <c r="E263" i="19" s="1"/>
  <c r="F263" i="19" s="1"/>
  <c r="I259" i="3"/>
  <c r="E259" i="3"/>
  <c r="D259" i="3" s="1"/>
  <c r="F259" i="3" s="1"/>
  <c r="G259" i="3" s="1"/>
  <c r="O235" i="14" l="1"/>
  <c r="D236" i="14"/>
  <c r="I235" i="14"/>
  <c r="H242" i="17"/>
  <c r="D243" i="17" s="1"/>
  <c r="O191" i="16"/>
  <c r="D192" i="16"/>
  <c r="C192" i="16" s="1"/>
  <c r="G192" i="16" s="1"/>
  <c r="E192" i="16"/>
  <c r="H263" i="19"/>
  <c r="D264" i="19" s="1"/>
  <c r="C260" i="3"/>
  <c r="H259" i="3"/>
  <c r="O242" i="17" l="1"/>
  <c r="C236" i="14"/>
  <c r="G236" i="14" s="1"/>
  <c r="E236" i="14" s="1"/>
  <c r="F236" i="14" s="1"/>
  <c r="C243" i="17"/>
  <c r="G243" i="17" s="1"/>
  <c r="F192" i="16"/>
  <c r="H192" i="16"/>
  <c r="O263" i="19"/>
  <c r="C264" i="19"/>
  <c r="G264" i="19" s="1"/>
  <c r="E264" i="19" s="1"/>
  <c r="F264" i="19" s="1"/>
  <c r="E260" i="3"/>
  <c r="D260" i="3" s="1"/>
  <c r="F260" i="3" s="1"/>
  <c r="G260" i="3" s="1"/>
  <c r="I260" i="3"/>
  <c r="H236" i="14" l="1"/>
  <c r="E243" i="17"/>
  <c r="H243" i="17" s="1"/>
  <c r="O192" i="16"/>
  <c r="D193" i="16"/>
  <c r="C193" i="16" s="1"/>
  <c r="G193" i="16" s="1"/>
  <c r="H264" i="19"/>
  <c r="H260" i="3"/>
  <c r="C261" i="3"/>
  <c r="D237" i="14" l="1"/>
  <c r="O236" i="14"/>
  <c r="O243" i="17"/>
  <c r="D244" i="17"/>
  <c r="C244" i="17" s="1"/>
  <c r="G244" i="17" s="1"/>
  <c r="F243" i="17"/>
  <c r="E193" i="16"/>
  <c r="F193" i="16" s="1"/>
  <c r="O264" i="19"/>
  <c r="D265" i="19"/>
  <c r="I261" i="3"/>
  <c r="E261" i="3"/>
  <c r="D261" i="3" s="1"/>
  <c r="F261" i="3" s="1"/>
  <c r="G261" i="3" s="1"/>
  <c r="C237" i="14" l="1"/>
  <c r="G237" i="14" s="1"/>
  <c r="E237" i="14" s="1"/>
  <c r="F237" i="14" s="1"/>
  <c r="E244" i="17"/>
  <c r="F244" i="17" s="1"/>
  <c r="H193" i="16"/>
  <c r="C265" i="19"/>
  <c r="G265" i="19" s="1"/>
  <c r="E265" i="19" s="1"/>
  <c r="F265" i="19" s="1"/>
  <c r="H261" i="3"/>
  <c r="C262" i="3"/>
  <c r="H237" i="14" l="1"/>
  <c r="H244" i="17"/>
  <c r="D194" i="16"/>
  <c r="O193" i="16"/>
  <c r="H265" i="19"/>
  <c r="D266" i="19" s="1"/>
  <c r="I262" i="3"/>
  <c r="E262" i="3"/>
  <c r="D262" i="3" s="1"/>
  <c r="F262" i="3" s="1"/>
  <c r="G262" i="3" s="1"/>
  <c r="O237" i="14" l="1"/>
  <c r="D238" i="14"/>
  <c r="D245" i="17"/>
  <c r="O244" i="17"/>
  <c r="C194" i="16"/>
  <c r="G194" i="16" s="1"/>
  <c r="O265" i="19"/>
  <c r="C266" i="19"/>
  <c r="G266" i="19" s="1"/>
  <c r="E266" i="19" s="1"/>
  <c r="F266" i="19" s="1"/>
  <c r="C263" i="3"/>
  <c r="H262" i="3"/>
  <c r="C238" i="14" l="1"/>
  <c r="G238" i="14" s="1"/>
  <c r="E238" i="14" s="1"/>
  <c r="F238" i="14" s="1"/>
  <c r="C245" i="17"/>
  <c r="G245" i="17" s="1"/>
  <c r="E194" i="16"/>
  <c r="H194" i="16" s="1"/>
  <c r="H266" i="19"/>
  <c r="O266" i="19" s="1"/>
  <c r="E263" i="3"/>
  <c r="D263" i="3" s="1"/>
  <c r="F263" i="3" s="1"/>
  <c r="G263" i="3" s="1"/>
  <c r="I263" i="3"/>
  <c r="H238" i="14" l="1"/>
  <c r="E245" i="17"/>
  <c r="H245" i="17" s="1"/>
  <c r="D195" i="16"/>
  <c r="O194" i="16"/>
  <c r="F194" i="16"/>
  <c r="D267" i="19"/>
  <c r="C267" i="19" s="1"/>
  <c r="G267" i="19" s="1"/>
  <c r="E267" i="19" s="1"/>
  <c r="F267" i="19" s="1"/>
  <c r="C264" i="3"/>
  <c r="H263" i="3"/>
  <c r="O238" i="14" l="1"/>
  <c r="D239" i="14"/>
  <c r="D246" i="17"/>
  <c r="O245" i="17"/>
  <c r="F245" i="17"/>
  <c r="C195" i="16"/>
  <c r="G195" i="16" s="1"/>
  <c r="E195" i="16" s="1"/>
  <c r="F195" i="16" s="1"/>
  <c r="H267" i="19"/>
  <c r="I264" i="3"/>
  <c r="E264" i="3"/>
  <c r="D264" i="3" s="1"/>
  <c r="F264" i="3" s="1"/>
  <c r="G264" i="3" s="1"/>
  <c r="C239" i="14" l="1"/>
  <c r="G239" i="14" s="1"/>
  <c r="E239" i="14" s="1"/>
  <c r="F239" i="14" s="1"/>
  <c r="C246" i="17"/>
  <c r="G246" i="17" s="1"/>
  <c r="H195" i="16"/>
  <c r="O195" i="16" s="1"/>
  <c r="D268" i="19"/>
  <c r="O267" i="19"/>
  <c r="H264" i="3"/>
  <c r="C265" i="3"/>
  <c r="H239" i="14" l="1"/>
  <c r="O239" i="14" s="1"/>
  <c r="D196" i="16"/>
  <c r="C196" i="16" s="1"/>
  <c r="G196" i="16" s="1"/>
  <c r="E246" i="17"/>
  <c r="H246" i="17" s="1"/>
  <c r="E196" i="16"/>
  <c r="C268" i="19"/>
  <c r="G268" i="19" s="1"/>
  <c r="E268" i="19" s="1"/>
  <c r="F268" i="19" s="1"/>
  <c r="I265" i="3"/>
  <c r="E265" i="3"/>
  <c r="D265" i="3" s="1"/>
  <c r="F265" i="3" s="1"/>
  <c r="G265" i="3" s="1"/>
  <c r="D240" i="14" l="1"/>
  <c r="C240" i="14" s="1"/>
  <c r="G240" i="14" s="1"/>
  <c r="E240" i="14" s="1"/>
  <c r="F240" i="14" s="1"/>
  <c r="F196" i="16"/>
  <c r="D247" i="17"/>
  <c r="O246" i="17"/>
  <c r="F246" i="17"/>
  <c r="H196" i="16"/>
  <c r="H268" i="19"/>
  <c r="H265" i="3"/>
  <c r="C266" i="3"/>
  <c r="H240" i="14" l="1"/>
  <c r="O240" i="14" s="1"/>
  <c r="C247" i="17"/>
  <c r="G247" i="17" s="1"/>
  <c r="E247" i="17" s="1"/>
  <c r="F247" i="17" s="1"/>
  <c r="D197" i="16"/>
  <c r="O196" i="16"/>
  <c r="O268" i="19"/>
  <c r="D269" i="19"/>
  <c r="I266" i="3"/>
  <c r="E266" i="3"/>
  <c r="D266" i="3" s="1"/>
  <c r="F266" i="3" s="1"/>
  <c r="G266" i="3" s="1"/>
  <c r="D241" i="14" l="1"/>
  <c r="C241" i="14" s="1"/>
  <c r="G241" i="14" s="1"/>
  <c r="E241" i="14" s="1"/>
  <c r="F241" i="14" s="1"/>
  <c r="H247" i="17"/>
  <c r="O247" i="17" s="1"/>
  <c r="C197" i="16"/>
  <c r="G197" i="16" s="1"/>
  <c r="C269" i="19"/>
  <c r="G269" i="19" s="1"/>
  <c r="E269" i="19" s="1"/>
  <c r="F269" i="19" s="1"/>
  <c r="H266" i="3"/>
  <c r="C267" i="3"/>
  <c r="H241" i="14" l="1"/>
  <c r="I247" i="17"/>
  <c r="D248" i="17"/>
  <c r="C248" i="17" s="1"/>
  <c r="G248" i="17" s="1"/>
  <c r="E248" i="17" s="1"/>
  <c r="F248" i="17" s="1"/>
  <c r="E197" i="16"/>
  <c r="H197" i="16" s="1"/>
  <c r="H269" i="19"/>
  <c r="I267" i="3"/>
  <c r="E267" i="3"/>
  <c r="D267" i="3" s="1"/>
  <c r="F267" i="3" s="1"/>
  <c r="G267" i="3" s="1"/>
  <c r="D242" i="14" l="1"/>
  <c r="O241" i="14"/>
  <c r="H248" i="17"/>
  <c r="D249" i="17" s="1"/>
  <c r="O197" i="16"/>
  <c r="D198" i="16"/>
  <c r="C198" i="16" s="1"/>
  <c r="G198" i="16" s="1"/>
  <c r="F197" i="16"/>
  <c r="D270" i="19"/>
  <c r="O269" i="19"/>
  <c r="H267" i="3"/>
  <c r="C268" i="3"/>
  <c r="C242" i="14" l="1"/>
  <c r="G242" i="14" s="1"/>
  <c r="O248" i="17"/>
  <c r="C249" i="17"/>
  <c r="G249" i="17" s="1"/>
  <c r="E249" i="17" s="1"/>
  <c r="F249" i="17" s="1"/>
  <c r="E198" i="16"/>
  <c r="F198" i="16" s="1"/>
  <c r="C270" i="19"/>
  <c r="G270" i="19" s="1"/>
  <c r="E270" i="19" s="1"/>
  <c r="F270" i="19" s="1"/>
  <c r="I268" i="3"/>
  <c r="E268" i="3"/>
  <c r="D268" i="3" s="1"/>
  <c r="F268" i="3" s="1"/>
  <c r="G268" i="3" s="1"/>
  <c r="E242" i="14" l="1"/>
  <c r="F242" i="14" s="1"/>
  <c r="H249" i="17"/>
  <c r="O249" i="17" s="1"/>
  <c r="H198" i="16"/>
  <c r="H270" i="19"/>
  <c r="C269" i="3"/>
  <c r="H268" i="3"/>
  <c r="H242" i="14" l="1"/>
  <c r="D243" i="14" s="1"/>
  <c r="O242" i="14"/>
  <c r="D250" i="17"/>
  <c r="C250" i="17" s="1"/>
  <c r="G250" i="17" s="1"/>
  <c r="E250" i="17" s="1"/>
  <c r="F250" i="17" s="1"/>
  <c r="O198" i="16"/>
  <c r="D199" i="16"/>
  <c r="O270" i="19"/>
  <c r="D271" i="19"/>
  <c r="I269" i="3"/>
  <c r="E269" i="3"/>
  <c r="D269" i="3" s="1"/>
  <c r="F269" i="3" s="1"/>
  <c r="G269" i="3" s="1"/>
  <c r="C243" i="14" l="1"/>
  <c r="G243" i="14" s="1"/>
  <c r="E243" i="14" s="1"/>
  <c r="F243" i="14" s="1"/>
  <c r="H250" i="17"/>
  <c r="D251" i="17" s="1"/>
  <c r="C199" i="16"/>
  <c r="I14" i="16"/>
  <c r="C271" i="19"/>
  <c r="G271" i="19" s="1"/>
  <c r="E271" i="19" s="1"/>
  <c r="F271" i="19" s="1"/>
  <c r="C270" i="3"/>
  <c r="H269" i="3"/>
  <c r="H243" i="14" l="1"/>
  <c r="O243" i="14" s="1"/>
  <c r="O250" i="17"/>
  <c r="C251" i="17"/>
  <c r="G251" i="17" s="1"/>
  <c r="E251" i="17" s="1"/>
  <c r="F251" i="17" s="1"/>
  <c r="G199" i="16"/>
  <c r="I17" i="16"/>
  <c r="H271" i="19"/>
  <c r="E270" i="3"/>
  <c r="D270" i="3" s="1"/>
  <c r="F270" i="3" s="1"/>
  <c r="G270" i="3" s="1"/>
  <c r="I270" i="3"/>
  <c r="D244" i="14" l="1"/>
  <c r="C244" i="14" s="1"/>
  <c r="G244" i="14" s="1"/>
  <c r="E244" i="14" s="1"/>
  <c r="F244" i="14" s="1"/>
  <c r="H251" i="17"/>
  <c r="O251" i="17" s="1"/>
  <c r="I13" i="16"/>
  <c r="I15" i="16" s="1"/>
  <c r="E199" i="16"/>
  <c r="F199" i="16" s="1"/>
  <c r="D272" i="19"/>
  <c r="O271" i="19"/>
  <c r="I271" i="19"/>
  <c r="H270" i="3"/>
  <c r="C271" i="3"/>
  <c r="H244" i="14" l="1"/>
  <c r="D252" i="17"/>
  <c r="C252" i="17" s="1"/>
  <c r="G252" i="17" s="1"/>
  <c r="E252" i="17" s="1"/>
  <c r="F252" i="17" s="1"/>
  <c r="H199" i="16"/>
  <c r="C272" i="19"/>
  <c r="G272" i="19" s="1"/>
  <c r="E272" i="19" s="1"/>
  <c r="F272" i="19" s="1"/>
  <c r="I271" i="3"/>
  <c r="E271" i="3"/>
  <c r="D271" i="3" s="1"/>
  <c r="F271" i="3" s="1"/>
  <c r="G271" i="3" s="1"/>
  <c r="O244" i="14" l="1"/>
  <c r="D245" i="14"/>
  <c r="H252" i="17"/>
  <c r="O252" i="17" s="1"/>
  <c r="D200" i="16"/>
  <c r="I199" i="16"/>
  <c r="O199" i="16"/>
  <c r="H272" i="19"/>
  <c r="C272" i="3"/>
  <c r="H271" i="3"/>
  <c r="C245" i="14" l="1"/>
  <c r="G245" i="14" s="1"/>
  <c r="D253" i="17"/>
  <c r="C253" i="17" s="1"/>
  <c r="G253" i="17" s="1"/>
  <c r="E253" i="17" s="1"/>
  <c r="F253" i="17" s="1"/>
  <c r="C200" i="16"/>
  <c r="G200" i="16" s="1"/>
  <c r="E200" i="16" s="1"/>
  <c r="F200" i="16" s="1"/>
  <c r="D273" i="19"/>
  <c r="O272" i="19"/>
  <c r="E272" i="3"/>
  <c r="D272" i="3" s="1"/>
  <c r="F272" i="3" s="1"/>
  <c r="G272" i="3" s="1"/>
  <c r="I272" i="3"/>
  <c r="E245" i="14" l="1"/>
  <c r="F245" i="14" s="1"/>
  <c r="H253" i="17"/>
  <c r="D254" i="17" s="1"/>
  <c r="H200" i="16"/>
  <c r="C273" i="19"/>
  <c r="G273" i="19" s="1"/>
  <c r="E273" i="19" s="1"/>
  <c r="F273" i="19" s="1"/>
  <c r="H272" i="3"/>
  <c r="C273" i="3"/>
  <c r="H245" i="14" l="1"/>
  <c r="O253" i="17"/>
  <c r="C254" i="17"/>
  <c r="G254" i="17" s="1"/>
  <c r="E254" i="17" s="1"/>
  <c r="F254" i="17" s="1"/>
  <c r="D201" i="16"/>
  <c r="O200" i="16"/>
  <c r="H273" i="19"/>
  <c r="O273" i="19" s="1"/>
  <c r="I273" i="3"/>
  <c r="E273" i="3"/>
  <c r="D273" i="3" s="1"/>
  <c r="F273" i="3" s="1"/>
  <c r="G273" i="3" s="1"/>
  <c r="O245" i="14" l="1"/>
  <c r="D246" i="14"/>
  <c r="C246" i="14" s="1"/>
  <c r="G246" i="14" s="1"/>
  <c r="E246" i="14" s="1"/>
  <c r="H246" i="14" s="1"/>
  <c r="D274" i="19"/>
  <c r="H254" i="17"/>
  <c r="D255" i="17" s="1"/>
  <c r="C201" i="16"/>
  <c r="G201" i="16" s="1"/>
  <c r="C274" i="19"/>
  <c r="G274" i="19" s="1"/>
  <c r="E274" i="19" s="1"/>
  <c r="F274" i="19" s="1"/>
  <c r="C274" i="3"/>
  <c r="H273" i="3"/>
  <c r="O254" i="17" l="1"/>
  <c r="F246" i="14"/>
  <c r="O246" i="14"/>
  <c r="D247" i="14"/>
  <c r="C255" i="17"/>
  <c r="G255" i="17" s="1"/>
  <c r="E255" i="17" s="1"/>
  <c r="F255" i="17" s="1"/>
  <c r="E201" i="16"/>
  <c r="H201" i="16" s="1"/>
  <c r="H274" i="19"/>
  <c r="D275" i="19" s="1"/>
  <c r="I274" i="3"/>
  <c r="E274" i="3"/>
  <c r="D274" i="3" s="1"/>
  <c r="F274" i="3" s="1"/>
  <c r="G274" i="3" s="1"/>
  <c r="C247" i="14" l="1"/>
  <c r="G247" i="14" s="1"/>
  <c r="E247" i="14" s="1"/>
  <c r="F247" i="14" s="1"/>
  <c r="H255" i="17"/>
  <c r="D256" i="17" s="1"/>
  <c r="C256" i="17" s="1"/>
  <c r="G256" i="17" s="1"/>
  <c r="O201" i="16"/>
  <c r="D202" i="16"/>
  <c r="F201" i="16"/>
  <c r="O274" i="19"/>
  <c r="C275" i="19"/>
  <c r="G275" i="19" s="1"/>
  <c r="E275" i="19" s="1"/>
  <c r="F275" i="19" s="1"/>
  <c r="C275" i="3"/>
  <c r="H274" i="3"/>
  <c r="H247" i="14" l="1"/>
  <c r="O255" i="17"/>
  <c r="E256" i="17"/>
  <c r="H256" i="17" s="1"/>
  <c r="C202" i="16"/>
  <c r="G202" i="16" s="1"/>
  <c r="H275" i="19"/>
  <c r="I275" i="3"/>
  <c r="E275" i="3"/>
  <c r="D275" i="3" s="1"/>
  <c r="F275" i="3" s="1"/>
  <c r="G275" i="3" s="1"/>
  <c r="D248" i="14" l="1"/>
  <c r="O247" i="14"/>
  <c r="I247" i="14"/>
  <c r="F256" i="17"/>
  <c r="O256" i="17"/>
  <c r="D257" i="17"/>
  <c r="E202" i="16"/>
  <c r="H202" i="16" s="1"/>
  <c r="O275" i="19"/>
  <c r="D276" i="19"/>
  <c r="H275" i="3"/>
  <c r="C276" i="3"/>
  <c r="C248" i="14" l="1"/>
  <c r="G248" i="14" s="1"/>
  <c r="C257" i="17"/>
  <c r="G257" i="17" s="1"/>
  <c r="E257" i="17" s="1"/>
  <c r="F257" i="17" s="1"/>
  <c r="D203" i="16"/>
  <c r="O202" i="16"/>
  <c r="F202" i="16"/>
  <c r="C276" i="19"/>
  <c r="G276" i="19" s="1"/>
  <c r="E276" i="19" s="1"/>
  <c r="F276" i="19" s="1"/>
  <c r="E276" i="3"/>
  <c r="D276" i="3" s="1"/>
  <c r="F276" i="3" s="1"/>
  <c r="G276" i="3" s="1"/>
  <c r="I276" i="3"/>
  <c r="E248" i="14" l="1"/>
  <c r="F248" i="14" s="1"/>
  <c r="H257" i="17"/>
  <c r="O257" i="17" s="1"/>
  <c r="C203" i="16"/>
  <c r="G203" i="16" s="1"/>
  <c r="H276" i="19"/>
  <c r="O276" i="19" s="1"/>
  <c r="H276" i="3"/>
  <c r="C277" i="3"/>
  <c r="H248" i="14" l="1"/>
  <c r="O248" i="14" s="1"/>
  <c r="D258" i="17"/>
  <c r="C258" i="17" s="1"/>
  <c r="G258" i="17" s="1"/>
  <c r="E258" i="17" s="1"/>
  <c r="F258" i="17" s="1"/>
  <c r="E203" i="16"/>
  <c r="H203" i="16" s="1"/>
  <c r="D277" i="19"/>
  <c r="C277" i="19" s="1"/>
  <c r="G277" i="19" s="1"/>
  <c r="E277" i="19" s="1"/>
  <c r="F277" i="19" s="1"/>
  <c r="E277" i="3"/>
  <c r="D277" i="3" s="1"/>
  <c r="F277" i="3" s="1"/>
  <c r="G277" i="3" s="1"/>
  <c r="I277" i="3"/>
  <c r="D249" i="14" l="1"/>
  <c r="C249" i="14" s="1"/>
  <c r="G249" i="14" s="1"/>
  <c r="E249" i="14" s="1"/>
  <c r="F249" i="14" s="1"/>
  <c r="H258" i="17"/>
  <c r="O258" i="17" s="1"/>
  <c r="D204" i="16"/>
  <c r="O203" i="16"/>
  <c r="F203" i="16"/>
  <c r="H277" i="19"/>
  <c r="C278" i="3"/>
  <c r="H277" i="3"/>
  <c r="H249" i="14" l="1"/>
  <c r="D250" i="14" s="1"/>
  <c r="C250" i="14" s="1"/>
  <c r="G250" i="14" s="1"/>
  <c r="E250" i="14" s="1"/>
  <c r="F250" i="14" s="1"/>
  <c r="D259" i="17"/>
  <c r="C259" i="17" s="1"/>
  <c r="G259" i="17" s="1"/>
  <c r="E259" i="17" s="1"/>
  <c r="F259" i="17" s="1"/>
  <c r="C204" i="16"/>
  <c r="G204" i="16" s="1"/>
  <c r="O277" i="19"/>
  <c r="D278" i="19"/>
  <c r="I278" i="3"/>
  <c r="E278" i="3"/>
  <c r="D278" i="3" s="1"/>
  <c r="F278" i="3" s="1"/>
  <c r="G278" i="3" s="1"/>
  <c r="O249" i="14" l="1"/>
  <c r="H250" i="14"/>
  <c r="H259" i="17"/>
  <c r="D260" i="17" s="1"/>
  <c r="E204" i="16"/>
  <c r="H204" i="16" s="1"/>
  <c r="C278" i="19"/>
  <c r="G278" i="19" s="1"/>
  <c r="E278" i="19" s="1"/>
  <c r="F278" i="19" s="1"/>
  <c r="H278" i="3"/>
  <c r="C279" i="3"/>
  <c r="O250" i="14" l="1"/>
  <c r="D251" i="14"/>
  <c r="O259" i="17"/>
  <c r="I259" i="17"/>
  <c r="C260" i="17"/>
  <c r="G260" i="17" s="1"/>
  <c r="E260" i="17" s="1"/>
  <c r="F260" i="17" s="1"/>
  <c r="D205" i="16"/>
  <c r="O204" i="16"/>
  <c r="F204" i="16"/>
  <c r="H278" i="19"/>
  <c r="O278" i="19" s="1"/>
  <c r="I279" i="3"/>
  <c r="E279" i="3"/>
  <c r="D279" i="3" s="1"/>
  <c r="F279" i="3" s="1"/>
  <c r="G279" i="3" s="1"/>
  <c r="C251" i="14" l="1"/>
  <c r="G251" i="14" s="1"/>
  <c r="H260" i="17"/>
  <c r="O260" i="17" s="1"/>
  <c r="C205" i="16"/>
  <c r="G205" i="16" s="1"/>
  <c r="D279" i="19"/>
  <c r="C279" i="19" s="1"/>
  <c r="G279" i="19" s="1"/>
  <c r="E279" i="19" s="1"/>
  <c r="F279" i="19" s="1"/>
  <c r="C280" i="3"/>
  <c r="H279" i="3"/>
  <c r="E251" i="14" l="1"/>
  <c r="H251" i="14" s="1"/>
  <c r="O251" i="14" s="1"/>
  <c r="D261" i="17"/>
  <c r="C261" i="17" s="1"/>
  <c r="G261" i="17" s="1"/>
  <c r="E261" i="17" s="1"/>
  <c r="F261" i="17" s="1"/>
  <c r="E205" i="16"/>
  <c r="H205" i="16" s="1"/>
  <c r="H279" i="19"/>
  <c r="I280" i="3"/>
  <c r="E280" i="3"/>
  <c r="D280" i="3" s="1"/>
  <c r="F280" i="3" s="1"/>
  <c r="G280" i="3" s="1"/>
  <c r="D252" i="14" l="1"/>
  <c r="C252" i="14" s="1"/>
  <c r="G252" i="14" s="1"/>
  <c r="F251" i="14"/>
  <c r="H261" i="17"/>
  <c r="O261" i="17" s="1"/>
  <c r="D262" i="17"/>
  <c r="O205" i="16"/>
  <c r="D206" i="16"/>
  <c r="F205" i="16"/>
  <c r="O279" i="19"/>
  <c r="D280" i="19"/>
  <c r="C281" i="3"/>
  <c r="H280" i="3"/>
  <c r="E252" i="14" l="1"/>
  <c r="F252" i="14" s="1"/>
  <c r="C262" i="17"/>
  <c r="G262" i="17" s="1"/>
  <c r="E262" i="17" s="1"/>
  <c r="F262" i="17" s="1"/>
  <c r="C206" i="16"/>
  <c r="G206" i="16" s="1"/>
  <c r="C280" i="19"/>
  <c r="G280" i="19" s="1"/>
  <c r="E280" i="19" s="1"/>
  <c r="F280" i="19" s="1"/>
  <c r="E281" i="3"/>
  <c r="D281" i="3" s="1"/>
  <c r="F281" i="3" s="1"/>
  <c r="G281" i="3" s="1"/>
  <c r="I281" i="3"/>
  <c r="H252" i="14" l="1"/>
  <c r="D253" i="14" s="1"/>
  <c r="H262" i="17"/>
  <c r="O262" i="17" s="1"/>
  <c r="E206" i="16"/>
  <c r="H206" i="16" s="1"/>
  <c r="H280" i="19"/>
  <c r="O280" i="19" s="1"/>
  <c r="H281" i="3"/>
  <c r="C282" i="3"/>
  <c r="O252" i="14" l="1"/>
  <c r="C253" i="14"/>
  <c r="G253" i="14" s="1"/>
  <c r="E253" i="14" s="1"/>
  <c r="F253" i="14" s="1"/>
  <c r="D263" i="17"/>
  <c r="C263" i="17" s="1"/>
  <c r="G263" i="17" s="1"/>
  <c r="O206" i="16"/>
  <c r="D207" i="16"/>
  <c r="F206" i="16"/>
  <c r="D281" i="19"/>
  <c r="C281" i="19" s="1"/>
  <c r="G281" i="19" s="1"/>
  <c r="E281" i="19" s="1"/>
  <c r="F281" i="19" s="1"/>
  <c r="E282" i="3"/>
  <c r="D282" i="3" s="1"/>
  <c r="F282" i="3" s="1"/>
  <c r="G282" i="3" s="1"/>
  <c r="I282" i="3"/>
  <c r="H253" i="14" l="1"/>
  <c r="D254" i="14" s="1"/>
  <c r="E263" i="17"/>
  <c r="F263" i="17" s="1"/>
  <c r="C207" i="16"/>
  <c r="G207" i="16" s="1"/>
  <c r="H281" i="19"/>
  <c r="O281" i="19" s="1"/>
  <c r="C283" i="3"/>
  <c r="H282" i="3"/>
  <c r="O253" i="14" l="1"/>
  <c r="C254" i="14"/>
  <c r="G254" i="14" s="1"/>
  <c r="E254" i="14" s="1"/>
  <c r="F254" i="14" s="1"/>
  <c r="H263" i="17"/>
  <c r="E207" i="16"/>
  <c r="H207" i="16" s="1"/>
  <c r="D282" i="19"/>
  <c r="C282" i="19" s="1"/>
  <c r="G282" i="19" s="1"/>
  <c r="E282" i="19" s="1"/>
  <c r="F282" i="19" s="1"/>
  <c r="E283" i="3"/>
  <c r="D283" i="3" s="1"/>
  <c r="F283" i="3" s="1"/>
  <c r="G283" i="3" s="1"/>
  <c r="I283" i="3"/>
  <c r="H254" i="14" l="1"/>
  <c r="O263" i="17"/>
  <c r="D264" i="17"/>
  <c r="O207" i="16"/>
  <c r="D208" i="16"/>
  <c r="F207" i="16"/>
  <c r="H282" i="19"/>
  <c r="C284" i="3"/>
  <c r="H283" i="3"/>
  <c r="O254" i="14" l="1"/>
  <c r="D255" i="14"/>
  <c r="C264" i="17"/>
  <c r="G264" i="17" s="1"/>
  <c r="E264" i="17" s="1"/>
  <c r="F264" i="17" s="1"/>
  <c r="C208" i="16"/>
  <c r="G208" i="16" s="1"/>
  <c r="O282" i="19"/>
  <c r="D283" i="19"/>
  <c r="I284" i="3"/>
  <c r="E284" i="3"/>
  <c r="D284" i="3" s="1"/>
  <c r="F284" i="3" s="1"/>
  <c r="G284" i="3" s="1"/>
  <c r="C255" i="14" l="1"/>
  <c r="G255" i="14" s="1"/>
  <c r="H264" i="17"/>
  <c r="E208" i="16"/>
  <c r="H208" i="16" s="1"/>
  <c r="C283" i="19"/>
  <c r="G283" i="19" s="1"/>
  <c r="E283" i="19" s="1"/>
  <c r="F283" i="19" s="1"/>
  <c r="H284" i="3"/>
  <c r="C285" i="3"/>
  <c r="E255" i="14" l="1"/>
  <c r="H255" i="14" s="1"/>
  <c r="O255" i="14" s="1"/>
  <c r="D265" i="17"/>
  <c r="O264" i="17"/>
  <c r="O208" i="16"/>
  <c r="D209" i="16"/>
  <c r="F208" i="16"/>
  <c r="H283" i="19"/>
  <c r="D284" i="19" s="1"/>
  <c r="I285" i="3"/>
  <c r="E285" i="3"/>
  <c r="D285" i="3" s="1"/>
  <c r="F285" i="3" s="1"/>
  <c r="G285" i="3" s="1"/>
  <c r="D256" i="14" l="1"/>
  <c r="C256" i="14" s="1"/>
  <c r="G256" i="14" s="1"/>
  <c r="F255" i="14"/>
  <c r="C265" i="17"/>
  <c r="G265" i="17" s="1"/>
  <c r="E265" i="17" s="1"/>
  <c r="F265" i="17" s="1"/>
  <c r="C209" i="16"/>
  <c r="G209" i="16" s="1"/>
  <c r="O283" i="19"/>
  <c r="I283" i="19"/>
  <c r="C284" i="19"/>
  <c r="G284" i="19" s="1"/>
  <c r="E284" i="19" s="1"/>
  <c r="F284" i="19" s="1"/>
  <c r="H285" i="3"/>
  <c r="C286" i="3"/>
  <c r="H265" i="17" l="1"/>
  <c r="E256" i="14"/>
  <c r="F256" i="14" s="1"/>
  <c r="O265" i="17"/>
  <c r="D266" i="17"/>
  <c r="E209" i="16"/>
  <c r="H209" i="16" s="1"/>
  <c r="H284" i="19"/>
  <c r="D285" i="19" s="1"/>
  <c r="I286" i="3"/>
  <c r="E286" i="3"/>
  <c r="D286" i="3" s="1"/>
  <c r="F286" i="3" s="1"/>
  <c r="G286" i="3" s="1"/>
  <c r="H256" i="14" l="1"/>
  <c r="D257" i="14" s="1"/>
  <c r="C266" i="17"/>
  <c r="G266" i="17" s="1"/>
  <c r="E266" i="17" s="1"/>
  <c r="F266" i="17" s="1"/>
  <c r="O284" i="19"/>
  <c r="O209" i="16"/>
  <c r="D210" i="16"/>
  <c r="F209" i="16"/>
  <c r="C285" i="19"/>
  <c r="G285" i="19" s="1"/>
  <c r="E285" i="19" s="1"/>
  <c r="F285" i="19" s="1"/>
  <c r="C287" i="3"/>
  <c r="H286" i="3"/>
  <c r="H266" i="17" l="1"/>
  <c r="O256" i="14"/>
  <c r="C257" i="14"/>
  <c r="G257" i="14" s="1"/>
  <c r="D267" i="17"/>
  <c r="O266" i="17"/>
  <c r="C210" i="16"/>
  <c r="G210" i="16" s="1"/>
  <c r="E210" i="16" s="1"/>
  <c r="F210" i="16" s="1"/>
  <c r="H285" i="19"/>
  <c r="O285" i="19" s="1"/>
  <c r="I287" i="3"/>
  <c r="E287" i="3"/>
  <c r="D287" i="3" s="1"/>
  <c r="F287" i="3" s="1"/>
  <c r="G287" i="3" s="1"/>
  <c r="E257" i="14" l="1"/>
  <c r="H257" i="14" s="1"/>
  <c r="C267" i="17"/>
  <c r="G267" i="17" s="1"/>
  <c r="E267" i="17" s="1"/>
  <c r="F267" i="17" s="1"/>
  <c r="H210" i="16"/>
  <c r="O210" i="16" s="1"/>
  <c r="D286" i="19"/>
  <c r="C286" i="19" s="1"/>
  <c r="G286" i="19" s="1"/>
  <c r="E286" i="19" s="1"/>
  <c r="F286" i="19" s="1"/>
  <c r="H287" i="3"/>
  <c r="C288" i="3"/>
  <c r="F257" i="14" l="1"/>
  <c r="D258" i="14"/>
  <c r="C258" i="14" s="1"/>
  <c r="G258" i="14" s="1"/>
  <c r="O257" i="14"/>
  <c r="H267" i="17"/>
  <c r="D268" i="17" s="1"/>
  <c r="O267" i="17"/>
  <c r="D211" i="16"/>
  <c r="C211" i="16" s="1"/>
  <c r="G211" i="16" s="1"/>
  <c r="H286" i="19"/>
  <c r="O286" i="19" s="1"/>
  <c r="I288" i="3"/>
  <c r="E288" i="3"/>
  <c r="D288" i="3" s="1"/>
  <c r="F288" i="3" s="1"/>
  <c r="G288" i="3" s="1"/>
  <c r="E258" i="14" l="1"/>
  <c r="H258" i="14" s="1"/>
  <c r="C268" i="17"/>
  <c r="G268" i="17" s="1"/>
  <c r="E268" i="17" s="1"/>
  <c r="F268" i="17" s="1"/>
  <c r="E211" i="16"/>
  <c r="H211" i="16" s="1"/>
  <c r="D287" i="19"/>
  <c r="C287" i="19" s="1"/>
  <c r="G287" i="19" s="1"/>
  <c r="E287" i="19" s="1"/>
  <c r="F287" i="19" s="1"/>
  <c r="H288" i="3"/>
  <c r="C289" i="3"/>
  <c r="F258" i="14" l="1"/>
  <c r="O258" i="14"/>
  <c r="D259" i="14"/>
  <c r="C259" i="14" s="1"/>
  <c r="G259" i="14" s="1"/>
  <c r="H268" i="17"/>
  <c r="I211" i="16"/>
  <c r="D212" i="16"/>
  <c r="O211" i="16"/>
  <c r="F211" i="16"/>
  <c r="H287" i="19"/>
  <c r="E289" i="3"/>
  <c r="D289" i="3" s="1"/>
  <c r="F289" i="3" s="1"/>
  <c r="G289" i="3" s="1"/>
  <c r="I289" i="3"/>
  <c r="E259" i="14" l="1"/>
  <c r="F259" i="14" s="1"/>
  <c r="O268" i="17"/>
  <c r="D269" i="17"/>
  <c r="C212" i="16"/>
  <c r="G212" i="16" s="1"/>
  <c r="D288" i="19"/>
  <c r="O287" i="19"/>
  <c r="H289" i="3"/>
  <c r="C290" i="3"/>
  <c r="H259" i="14" l="1"/>
  <c r="D260" i="14" s="1"/>
  <c r="C260" i="14" s="1"/>
  <c r="G260" i="14" s="1"/>
  <c r="E260" i="14" s="1"/>
  <c r="F260" i="14" s="1"/>
  <c r="C269" i="17"/>
  <c r="G269" i="17" s="1"/>
  <c r="E269" i="17" s="1"/>
  <c r="F269" i="17" s="1"/>
  <c r="E212" i="16"/>
  <c r="H212" i="16" s="1"/>
  <c r="C288" i="19"/>
  <c r="G288" i="19" s="1"/>
  <c r="E288" i="19" s="1"/>
  <c r="F288" i="19" s="1"/>
  <c r="I290" i="3"/>
  <c r="E290" i="3"/>
  <c r="D290" i="3" s="1"/>
  <c r="F290" i="3" s="1"/>
  <c r="G290" i="3" s="1"/>
  <c r="I259" i="14" l="1"/>
  <c r="O259" i="14"/>
  <c r="H269" i="17"/>
  <c r="D270" i="17" s="1"/>
  <c r="H260" i="14"/>
  <c r="O260" i="14" s="1"/>
  <c r="O269" i="17"/>
  <c r="D213" i="16"/>
  <c r="O212" i="16"/>
  <c r="F212" i="16"/>
  <c r="H288" i="19"/>
  <c r="C291" i="3"/>
  <c r="H290" i="3"/>
  <c r="D261" i="14" l="1"/>
  <c r="C261" i="14" s="1"/>
  <c r="G261" i="14" s="1"/>
  <c r="E261" i="14" s="1"/>
  <c r="F261" i="14" s="1"/>
  <c r="C270" i="17"/>
  <c r="G270" i="17" s="1"/>
  <c r="E270" i="17" s="1"/>
  <c r="F270" i="17" s="1"/>
  <c r="C213" i="16"/>
  <c r="G213" i="16" s="1"/>
  <c r="E213" i="16" s="1"/>
  <c r="F213" i="16" s="1"/>
  <c r="D289" i="19"/>
  <c r="O288" i="19"/>
  <c r="E291" i="3"/>
  <c r="D291" i="3" s="1"/>
  <c r="F291" i="3" s="1"/>
  <c r="G291" i="3" s="1"/>
  <c r="I291" i="3"/>
  <c r="H261" i="14" l="1"/>
  <c r="O261" i="14" s="1"/>
  <c r="D262" i="14"/>
  <c r="H270" i="17"/>
  <c r="H213" i="16"/>
  <c r="C289" i="19"/>
  <c r="G289" i="19" s="1"/>
  <c r="E289" i="19" s="1"/>
  <c r="F289" i="19" s="1"/>
  <c r="H291" i="3"/>
  <c r="C292" i="3"/>
  <c r="C262" i="14" l="1"/>
  <c r="G262" i="14" s="1"/>
  <c r="D271" i="17"/>
  <c r="O270" i="17"/>
  <c r="D214" i="16"/>
  <c r="O213" i="16"/>
  <c r="H289" i="19"/>
  <c r="D290" i="19" s="1"/>
  <c r="I292" i="3"/>
  <c r="E292" i="3"/>
  <c r="D292" i="3" s="1"/>
  <c r="F292" i="3" s="1"/>
  <c r="G292" i="3" s="1"/>
  <c r="E262" i="14" l="1"/>
  <c r="H262" i="14" s="1"/>
  <c r="C271" i="17"/>
  <c r="G271" i="17" s="1"/>
  <c r="E271" i="17" s="1"/>
  <c r="F271" i="17" s="1"/>
  <c r="C214" i="16"/>
  <c r="G214" i="16" s="1"/>
  <c r="O289" i="19"/>
  <c r="C290" i="19"/>
  <c r="G290" i="19" s="1"/>
  <c r="E290" i="19" s="1"/>
  <c r="F290" i="19" s="1"/>
  <c r="C293" i="3"/>
  <c r="H292" i="3"/>
  <c r="H271" i="17" l="1"/>
  <c r="I271" i="17" s="1"/>
  <c r="F262" i="14"/>
  <c r="O262" i="14"/>
  <c r="D263" i="14"/>
  <c r="C263" i="14" s="1"/>
  <c r="G263" i="14" s="1"/>
  <c r="E214" i="16"/>
  <c r="H214" i="16" s="1"/>
  <c r="H290" i="19"/>
  <c r="O290" i="19" s="1"/>
  <c r="E293" i="3"/>
  <c r="D293" i="3" s="1"/>
  <c r="F293" i="3" s="1"/>
  <c r="G293" i="3" s="1"/>
  <c r="I293" i="3"/>
  <c r="O271" i="17" l="1"/>
  <c r="D272" i="17"/>
  <c r="E263" i="14"/>
  <c r="F263" i="14" s="1"/>
  <c r="C272" i="17"/>
  <c r="G272" i="17" s="1"/>
  <c r="E272" i="17" s="1"/>
  <c r="F272" i="17" s="1"/>
  <c r="D215" i="16"/>
  <c r="O214" i="16"/>
  <c r="F214" i="16"/>
  <c r="D291" i="19"/>
  <c r="C291" i="19" s="1"/>
  <c r="G291" i="19" s="1"/>
  <c r="E291" i="19" s="1"/>
  <c r="F291" i="19" s="1"/>
  <c r="C294" i="3"/>
  <c r="H293" i="3"/>
  <c r="H272" i="17" l="1"/>
  <c r="O272" i="17" s="1"/>
  <c r="H263" i="14"/>
  <c r="O263" i="14" s="1"/>
  <c r="C215" i="16"/>
  <c r="G215" i="16" s="1"/>
  <c r="H291" i="19"/>
  <c r="O291" i="19" s="1"/>
  <c r="I294" i="3"/>
  <c r="E294" i="3"/>
  <c r="D294" i="3" s="1"/>
  <c r="F294" i="3" s="1"/>
  <c r="G294" i="3" s="1"/>
  <c r="D273" i="17" l="1"/>
  <c r="C273" i="17" s="1"/>
  <c r="G273" i="17" s="1"/>
  <c r="E273" i="17" s="1"/>
  <c r="F273" i="17" s="1"/>
  <c r="D264" i="14"/>
  <c r="C264" i="14" s="1"/>
  <c r="G264" i="14" s="1"/>
  <c r="E215" i="16"/>
  <c r="H215" i="16" s="1"/>
  <c r="D292" i="19"/>
  <c r="C292" i="19" s="1"/>
  <c r="G292" i="19" s="1"/>
  <c r="E292" i="19" s="1"/>
  <c r="F292" i="19" s="1"/>
  <c r="H294" i="3"/>
  <c r="C295" i="3"/>
  <c r="E264" i="14" l="1"/>
  <c r="H264" i="14" s="1"/>
  <c r="O264" i="14" s="1"/>
  <c r="H273" i="17"/>
  <c r="D216" i="16"/>
  <c r="O215" i="16"/>
  <c r="F215" i="16"/>
  <c r="H292" i="19"/>
  <c r="I295" i="3"/>
  <c r="E295" i="3"/>
  <c r="D295" i="3" s="1"/>
  <c r="F295" i="3" s="1"/>
  <c r="G295" i="3" s="1"/>
  <c r="D265" i="14" l="1"/>
  <c r="C265" i="14" s="1"/>
  <c r="G265" i="14" s="1"/>
  <c r="F264" i="14"/>
  <c r="D274" i="17"/>
  <c r="O273" i="17"/>
  <c r="C216" i="16"/>
  <c r="G216" i="16" s="1"/>
  <c r="D293" i="19"/>
  <c r="O292" i="19"/>
  <c r="C296" i="3"/>
  <c r="H295" i="3"/>
  <c r="E265" i="14" l="1"/>
  <c r="H265" i="14" s="1"/>
  <c r="C274" i="17"/>
  <c r="G274" i="17" s="1"/>
  <c r="E274" i="17" s="1"/>
  <c r="F274" i="17" s="1"/>
  <c r="E216" i="16"/>
  <c r="H216" i="16" s="1"/>
  <c r="C293" i="19"/>
  <c r="G293" i="19" s="1"/>
  <c r="E293" i="19" s="1"/>
  <c r="F293" i="19" s="1"/>
  <c r="E296" i="3"/>
  <c r="D296" i="3" s="1"/>
  <c r="F296" i="3" s="1"/>
  <c r="G296" i="3" s="1"/>
  <c r="I296" i="3"/>
  <c r="F265" i="14" l="1"/>
  <c r="D266" i="14"/>
  <c r="C266" i="14" s="1"/>
  <c r="G266" i="14" s="1"/>
  <c r="E266" i="14" s="1"/>
  <c r="F266" i="14" s="1"/>
  <c r="O265" i="14"/>
  <c r="H274" i="17"/>
  <c r="O274" i="17" s="1"/>
  <c r="D217" i="16"/>
  <c r="O216" i="16"/>
  <c r="F216" i="16"/>
  <c r="H293" i="19"/>
  <c r="O293" i="19" s="1"/>
  <c r="H296" i="3"/>
  <c r="C297" i="3"/>
  <c r="D275" i="17" l="1"/>
  <c r="H266" i="14"/>
  <c r="O266" i="14" s="1"/>
  <c r="C217" i="16"/>
  <c r="G217" i="16" s="1"/>
  <c r="D294" i="19"/>
  <c r="C294" i="19" s="1"/>
  <c r="G294" i="19" s="1"/>
  <c r="E294" i="19" s="1"/>
  <c r="F294" i="19" s="1"/>
  <c r="E297" i="3"/>
  <c r="D297" i="3" s="1"/>
  <c r="F297" i="3" s="1"/>
  <c r="G297" i="3" s="1"/>
  <c r="I297" i="3"/>
  <c r="C275" i="17" l="1"/>
  <c r="G275" i="17" s="1"/>
  <c r="E275" i="17" s="1"/>
  <c r="F275" i="17" s="1"/>
  <c r="D267" i="14"/>
  <c r="C267" i="14" s="1"/>
  <c r="G267" i="14" s="1"/>
  <c r="E217" i="16"/>
  <c r="H217" i="16" s="1"/>
  <c r="H294" i="19"/>
  <c r="H297" i="3"/>
  <c r="C298" i="3"/>
  <c r="H275" i="17" l="1"/>
  <c r="E267" i="14"/>
  <c r="F267" i="14" s="1"/>
  <c r="O217" i="16"/>
  <c r="D218" i="16"/>
  <c r="F217" i="16"/>
  <c r="D295" i="19"/>
  <c r="O294" i="19"/>
  <c r="I298" i="3"/>
  <c r="E298" i="3"/>
  <c r="D298" i="3" s="1"/>
  <c r="F298" i="3" s="1"/>
  <c r="G298" i="3" s="1"/>
  <c r="O275" i="17" l="1"/>
  <c r="D276" i="17"/>
  <c r="C276" i="17" s="1"/>
  <c r="G276" i="17" s="1"/>
  <c r="E276" i="17" s="1"/>
  <c r="F276" i="17" s="1"/>
  <c r="H267" i="14"/>
  <c r="O267" i="14" s="1"/>
  <c r="C218" i="16"/>
  <c r="G218" i="16" s="1"/>
  <c r="C295" i="19"/>
  <c r="G295" i="19" s="1"/>
  <c r="E295" i="19" s="1"/>
  <c r="F295" i="19" s="1"/>
  <c r="C299" i="3"/>
  <c r="H298" i="3"/>
  <c r="H276" i="17" l="1"/>
  <c r="D277" i="17" s="1"/>
  <c r="D268" i="14"/>
  <c r="C268" i="14" s="1"/>
  <c r="G268" i="14" s="1"/>
  <c r="E268" i="14" s="1"/>
  <c r="F268" i="14" s="1"/>
  <c r="E218" i="16"/>
  <c r="H218" i="16" s="1"/>
  <c r="H295" i="19"/>
  <c r="I299" i="3"/>
  <c r="E299" i="3"/>
  <c r="D299" i="3" s="1"/>
  <c r="F299" i="3" s="1"/>
  <c r="G299" i="3" s="1"/>
  <c r="O276" i="17" l="1"/>
  <c r="H268" i="14"/>
  <c r="D269" i="14" s="1"/>
  <c r="C277" i="17"/>
  <c r="G277" i="17" s="1"/>
  <c r="E277" i="17" s="1"/>
  <c r="F277" i="17" s="1"/>
  <c r="O218" i="16"/>
  <c r="D219" i="16"/>
  <c r="F218" i="16"/>
  <c r="O295" i="19"/>
  <c r="D296" i="19"/>
  <c r="I295" i="19"/>
  <c r="H299" i="3"/>
  <c r="C300" i="3"/>
  <c r="H277" i="17" l="1"/>
  <c r="O277" i="17" s="1"/>
  <c r="O268" i="14"/>
  <c r="C269" i="14"/>
  <c r="G269" i="14" s="1"/>
  <c r="E269" i="14" s="1"/>
  <c r="F269" i="14" s="1"/>
  <c r="C219" i="16"/>
  <c r="G219" i="16" s="1"/>
  <c r="C296" i="19"/>
  <c r="G296" i="19" s="1"/>
  <c r="E296" i="19" s="1"/>
  <c r="F296" i="19" s="1"/>
  <c r="E300" i="3"/>
  <c r="D300" i="3" s="1"/>
  <c r="F300" i="3" s="1"/>
  <c r="G300" i="3" s="1"/>
  <c r="I300" i="3"/>
  <c r="D278" i="17" l="1"/>
  <c r="C278" i="17" s="1"/>
  <c r="G278" i="17" s="1"/>
  <c r="E278" i="17" s="1"/>
  <c r="F278" i="17" s="1"/>
  <c r="H269" i="14"/>
  <c r="D270" i="14" s="1"/>
  <c r="E219" i="16"/>
  <c r="H219" i="16" s="1"/>
  <c r="H296" i="19"/>
  <c r="O296" i="19" s="1"/>
  <c r="C301" i="3"/>
  <c r="H300" i="3"/>
  <c r="O269" i="14" l="1"/>
  <c r="C270" i="14"/>
  <c r="G270" i="14" s="1"/>
  <c r="E270" i="14" s="1"/>
  <c r="F270" i="14" s="1"/>
  <c r="H278" i="17"/>
  <c r="O219" i="16"/>
  <c r="D220" i="16"/>
  <c r="F219" i="16"/>
  <c r="D297" i="19"/>
  <c r="C297" i="19" s="1"/>
  <c r="G297" i="19" s="1"/>
  <c r="E297" i="19" s="1"/>
  <c r="F297" i="19" s="1"/>
  <c r="I301" i="3"/>
  <c r="E301" i="3"/>
  <c r="D301" i="3" s="1"/>
  <c r="F301" i="3" s="1"/>
  <c r="G301" i="3" s="1"/>
  <c r="H270" i="14" l="1"/>
  <c r="O278" i="17"/>
  <c r="D279" i="17"/>
  <c r="C220" i="16"/>
  <c r="G220" i="16" s="1"/>
  <c r="H297" i="19"/>
  <c r="O297" i="19" s="1"/>
  <c r="H301" i="3"/>
  <c r="C302" i="3"/>
  <c r="D271" i="14" l="1"/>
  <c r="C271" i="14" s="1"/>
  <c r="G271" i="14" s="1"/>
  <c r="E271" i="14" s="1"/>
  <c r="O270" i="14"/>
  <c r="C279" i="17"/>
  <c r="G279" i="17" s="1"/>
  <c r="E279" i="17" s="1"/>
  <c r="F279" i="17" s="1"/>
  <c r="E220" i="16"/>
  <c r="H220" i="16" s="1"/>
  <c r="D298" i="19"/>
  <c r="C298" i="19" s="1"/>
  <c r="G298" i="19" s="1"/>
  <c r="E298" i="19" s="1"/>
  <c r="F298" i="19" s="1"/>
  <c r="E302" i="3"/>
  <c r="D302" i="3" s="1"/>
  <c r="F302" i="3" s="1"/>
  <c r="G302" i="3" s="1"/>
  <c r="I302" i="3"/>
  <c r="H279" i="17" l="1"/>
  <c r="H271" i="14"/>
  <c r="F271" i="14"/>
  <c r="O279" i="17"/>
  <c r="D280" i="17"/>
  <c r="D221" i="16"/>
  <c r="O220" i="16"/>
  <c r="F220" i="16"/>
  <c r="H298" i="19"/>
  <c r="C303" i="3"/>
  <c r="H302" i="3"/>
  <c r="I271" i="14" l="1"/>
  <c r="O271" i="14"/>
  <c r="D272" i="14"/>
  <c r="C280" i="17"/>
  <c r="G280" i="17" s="1"/>
  <c r="E280" i="17" s="1"/>
  <c r="F280" i="17" s="1"/>
  <c r="C221" i="16"/>
  <c r="G221" i="16" s="1"/>
  <c r="D299" i="19"/>
  <c r="O298" i="19"/>
  <c r="I303" i="3"/>
  <c r="E303" i="3"/>
  <c r="D303" i="3" s="1"/>
  <c r="F303" i="3" s="1"/>
  <c r="G303" i="3" s="1"/>
  <c r="H280" i="17" l="1"/>
  <c r="O280" i="17" s="1"/>
  <c r="C272" i="14"/>
  <c r="G272" i="14" s="1"/>
  <c r="E221" i="16"/>
  <c r="H221" i="16" s="1"/>
  <c r="C299" i="19"/>
  <c r="G299" i="19" s="1"/>
  <c r="E299" i="19" s="1"/>
  <c r="F299" i="19" s="1"/>
  <c r="H303" i="3"/>
  <c r="C304" i="3"/>
  <c r="D281" i="17" l="1"/>
  <c r="E272" i="14"/>
  <c r="H272" i="14" s="1"/>
  <c r="C281" i="17"/>
  <c r="G281" i="17" s="1"/>
  <c r="E281" i="17" s="1"/>
  <c r="F281" i="17" s="1"/>
  <c r="D222" i="16"/>
  <c r="O221" i="16"/>
  <c r="F221" i="16"/>
  <c r="H299" i="19"/>
  <c r="E304" i="3"/>
  <c r="D304" i="3" s="1"/>
  <c r="F304" i="3" s="1"/>
  <c r="G304" i="3" s="1"/>
  <c r="I304" i="3"/>
  <c r="F272" i="14" l="1"/>
  <c r="D273" i="14"/>
  <c r="C273" i="14" s="1"/>
  <c r="G273" i="14" s="1"/>
  <c r="O272" i="14"/>
  <c r="H281" i="17"/>
  <c r="C222" i="16"/>
  <c r="G222" i="16" s="1"/>
  <c r="O299" i="19"/>
  <c r="D300" i="19"/>
  <c r="C305" i="3"/>
  <c r="H304" i="3"/>
  <c r="E273" i="14" l="1"/>
  <c r="F273" i="14" s="1"/>
  <c r="D282" i="17"/>
  <c r="O281" i="17"/>
  <c r="E222" i="16"/>
  <c r="H222" i="16" s="1"/>
  <c r="C300" i="19"/>
  <c r="G300" i="19" s="1"/>
  <c r="E300" i="19" s="1"/>
  <c r="F300" i="19" s="1"/>
  <c r="E305" i="3"/>
  <c r="D305" i="3" s="1"/>
  <c r="F305" i="3" s="1"/>
  <c r="G305" i="3" s="1"/>
  <c r="I305" i="3"/>
  <c r="H273" i="14" l="1"/>
  <c r="D274" i="14" s="1"/>
  <c r="C282" i="17"/>
  <c r="G282" i="17" s="1"/>
  <c r="E282" i="17" s="1"/>
  <c r="F282" i="17" s="1"/>
  <c r="O222" i="16"/>
  <c r="D223" i="16"/>
  <c r="F222" i="16"/>
  <c r="H300" i="19"/>
  <c r="C306" i="3"/>
  <c r="H305" i="3"/>
  <c r="O273" i="14" l="1"/>
  <c r="C274" i="14"/>
  <c r="G274" i="14" s="1"/>
  <c r="E274" i="14" s="1"/>
  <c r="F274" i="14" s="1"/>
  <c r="H282" i="17"/>
  <c r="C223" i="16"/>
  <c r="G223" i="16" s="1"/>
  <c r="O300" i="19"/>
  <c r="D301" i="19"/>
  <c r="I306" i="3"/>
  <c r="E306" i="3"/>
  <c r="D306" i="3" s="1"/>
  <c r="F306" i="3" s="1"/>
  <c r="G306" i="3" s="1"/>
  <c r="H274" i="14" l="1"/>
  <c r="O282" i="17"/>
  <c r="D283" i="17"/>
  <c r="E223" i="16"/>
  <c r="H223" i="16" s="1"/>
  <c r="C301" i="19"/>
  <c r="G301" i="19" s="1"/>
  <c r="E301" i="19" s="1"/>
  <c r="F301" i="19" s="1"/>
  <c r="H306" i="3"/>
  <c r="C307" i="3"/>
  <c r="D275" i="14" l="1"/>
  <c r="O274" i="14"/>
  <c r="C283" i="17"/>
  <c r="G283" i="17" s="1"/>
  <c r="E283" i="17" s="1"/>
  <c r="F283" i="17" s="1"/>
  <c r="O223" i="16"/>
  <c r="I223" i="16"/>
  <c r="D224" i="16"/>
  <c r="C224" i="16" s="1"/>
  <c r="G224" i="16" s="1"/>
  <c r="F223" i="16"/>
  <c r="H301" i="19"/>
  <c r="E307" i="3"/>
  <c r="D307" i="3" s="1"/>
  <c r="F307" i="3" s="1"/>
  <c r="G307" i="3" s="1"/>
  <c r="I307" i="3"/>
  <c r="H283" i="17" l="1"/>
  <c r="I283" i="17" s="1"/>
  <c r="C275" i="14"/>
  <c r="G275" i="14" s="1"/>
  <c r="E275" i="14" s="1"/>
  <c r="F275" i="14" s="1"/>
  <c r="D284" i="17"/>
  <c r="O283" i="17"/>
  <c r="E224" i="16"/>
  <c r="F224" i="16" s="1"/>
  <c r="O301" i="19"/>
  <c r="D302" i="19"/>
  <c r="C308" i="3"/>
  <c r="H307" i="3"/>
  <c r="H275" i="14" l="1"/>
  <c r="O275" i="14" s="1"/>
  <c r="C284" i="17"/>
  <c r="G284" i="17" s="1"/>
  <c r="E284" i="17" s="1"/>
  <c r="F284" i="17" s="1"/>
  <c r="H224" i="16"/>
  <c r="C302" i="19"/>
  <c r="G302" i="19" s="1"/>
  <c r="E302" i="19" s="1"/>
  <c r="F302" i="19" s="1"/>
  <c r="E308" i="3"/>
  <c r="D308" i="3" s="1"/>
  <c r="F308" i="3" s="1"/>
  <c r="G308" i="3" s="1"/>
  <c r="I308" i="3"/>
  <c r="D276" i="14" l="1"/>
  <c r="C276" i="14" s="1"/>
  <c r="G276" i="14" s="1"/>
  <c r="H284" i="17"/>
  <c r="D225" i="16"/>
  <c r="O224" i="16"/>
  <c r="H302" i="19"/>
  <c r="D303" i="19" s="1"/>
  <c r="C309" i="3"/>
  <c r="H308" i="3"/>
  <c r="E276" i="14" l="1"/>
  <c r="F276" i="14" s="1"/>
  <c r="D285" i="17"/>
  <c r="O284" i="17"/>
  <c r="C225" i="16"/>
  <c r="G225" i="16" s="1"/>
  <c r="O302" i="19"/>
  <c r="C303" i="19"/>
  <c r="G303" i="19" s="1"/>
  <c r="E303" i="19" s="1"/>
  <c r="F303" i="19" s="1"/>
  <c r="I309" i="3"/>
  <c r="E309" i="3"/>
  <c r="D309" i="3" s="1"/>
  <c r="F309" i="3" s="1"/>
  <c r="G309" i="3" s="1"/>
  <c r="H276" i="14" l="1"/>
  <c r="D277" i="14" s="1"/>
  <c r="C285" i="17"/>
  <c r="G285" i="17" s="1"/>
  <c r="E285" i="17" s="1"/>
  <c r="F285" i="17" s="1"/>
  <c r="E225" i="16"/>
  <c r="H225" i="16" s="1"/>
  <c r="H303" i="19"/>
  <c r="O303" i="19" s="1"/>
  <c r="H309" i="3"/>
  <c r="C310" i="3"/>
  <c r="O276" i="14" l="1"/>
  <c r="C277" i="14"/>
  <c r="G277" i="14" s="1"/>
  <c r="H285" i="17"/>
  <c r="D286" i="17" s="1"/>
  <c r="O225" i="16"/>
  <c r="D226" i="16"/>
  <c r="F225" i="16"/>
  <c r="D304" i="19"/>
  <c r="C304" i="19" s="1"/>
  <c r="G304" i="19" s="1"/>
  <c r="E310" i="3"/>
  <c r="D310" i="3" s="1"/>
  <c r="F310" i="3" s="1"/>
  <c r="G310" i="3" s="1"/>
  <c r="I310" i="3"/>
  <c r="O285" i="17" l="1"/>
  <c r="E277" i="14"/>
  <c r="F277" i="14" s="1"/>
  <c r="C286" i="17"/>
  <c r="G286" i="17" s="1"/>
  <c r="E286" i="17" s="1"/>
  <c r="F286" i="17" s="1"/>
  <c r="C226" i="16"/>
  <c r="G226" i="16" s="1"/>
  <c r="E304" i="19"/>
  <c r="F304" i="19" s="1"/>
  <c r="C311" i="3"/>
  <c r="H310" i="3"/>
  <c r="H277" i="14" l="1"/>
  <c r="O277" i="14" s="1"/>
  <c r="H286" i="17"/>
  <c r="D287" i="17" s="1"/>
  <c r="E226" i="16"/>
  <c r="H226" i="16" s="1"/>
  <c r="H304" i="19"/>
  <c r="D305" i="19" s="1"/>
  <c r="C305" i="19" s="1"/>
  <c r="G305" i="19" s="1"/>
  <c r="E305" i="19" s="1"/>
  <c r="F305" i="19" s="1"/>
  <c r="E311" i="3"/>
  <c r="D311" i="3" s="1"/>
  <c r="F311" i="3" s="1"/>
  <c r="G311" i="3" s="1"/>
  <c r="I311" i="3"/>
  <c r="D278" i="14" l="1"/>
  <c r="C278" i="14" s="1"/>
  <c r="G278" i="14" s="1"/>
  <c r="E278" i="14" s="1"/>
  <c r="F278" i="14" s="1"/>
  <c r="O286" i="17"/>
  <c r="C287" i="17"/>
  <c r="G287" i="17" s="1"/>
  <c r="E287" i="17" s="1"/>
  <c r="F287" i="17" s="1"/>
  <c r="D227" i="16"/>
  <c r="O226" i="16"/>
  <c r="F226" i="16"/>
  <c r="O304" i="19"/>
  <c r="H305" i="19"/>
  <c r="D306" i="19" s="1"/>
  <c r="C312" i="3"/>
  <c r="H311" i="3"/>
  <c r="H278" i="14" l="1"/>
  <c r="D279" i="14" s="1"/>
  <c r="H287" i="17"/>
  <c r="D288" i="17" s="1"/>
  <c r="C227" i="16"/>
  <c r="G227" i="16" s="1"/>
  <c r="O305" i="19"/>
  <c r="C306" i="19"/>
  <c r="G306" i="19" s="1"/>
  <c r="E306" i="19" s="1"/>
  <c r="F306" i="19" s="1"/>
  <c r="E312" i="3"/>
  <c r="D312" i="3" s="1"/>
  <c r="F312" i="3" s="1"/>
  <c r="G312" i="3" s="1"/>
  <c r="I312" i="3"/>
  <c r="O278" i="14" l="1"/>
  <c r="O287" i="17"/>
  <c r="C279" i="14"/>
  <c r="G279" i="14" s="1"/>
  <c r="C288" i="17"/>
  <c r="G288" i="17" s="1"/>
  <c r="E288" i="17" s="1"/>
  <c r="F288" i="17" s="1"/>
  <c r="E227" i="16"/>
  <c r="H227" i="16" s="1"/>
  <c r="H306" i="19"/>
  <c r="O306" i="19" s="1"/>
  <c r="H312" i="3"/>
  <c r="C313" i="3"/>
  <c r="H288" i="17" l="1"/>
  <c r="O288" i="17" s="1"/>
  <c r="E279" i="14"/>
  <c r="F279" i="14" s="1"/>
  <c r="D228" i="16"/>
  <c r="O227" i="16"/>
  <c r="F227" i="16"/>
  <c r="D307" i="19"/>
  <c r="C307" i="19" s="1"/>
  <c r="G307" i="19" s="1"/>
  <c r="E307" i="19" s="1"/>
  <c r="F307" i="19" s="1"/>
  <c r="E313" i="3"/>
  <c r="D313" i="3" s="1"/>
  <c r="F313" i="3" s="1"/>
  <c r="G313" i="3" s="1"/>
  <c r="I313" i="3"/>
  <c r="D289" i="17" l="1"/>
  <c r="C289" i="17" s="1"/>
  <c r="G289" i="17" s="1"/>
  <c r="E289" i="17" s="1"/>
  <c r="F289" i="17" s="1"/>
  <c r="H279" i="14"/>
  <c r="O279" i="14" s="1"/>
  <c r="C228" i="16"/>
  <c r="G228" i="16" s="1"/>
  <c r="H307" i="19"/>
  <c r="I307" i="19" s="1"/>
  <c r="C314" i="3"/>
  <c r="H313" i="3"/>
  <c r="D280" i="14" l="1"/>
  <c r="C280" i="14" s="1"/>
  <c r="G280" i="14" s="1"/>
  <c r="E280" i="14" s="1"/>
  <c r="F280" i="14" s="1"/>
  <c r="H289" i="17"/>
  <c r="O289" i="17" s="1"/>
  <c r="E228" i="16"/>
  <c r="H228" i="16" s="1"/>
  <c r="D308" i="19"/>
  <c r="C308" i="19" s="1"/>
  <c r="G308" i="19" s="1"/>
  <c r="E308" i="19" s="1"/>
  <c r="F308" i="19" s="1"/>
  <c r="O307" i="19"/>
  <c r="I314" i="3"/>
  <c r="E314" i="3"/>
  <c r="D314" i="3" s="1"/>
  <c r="F314" i="3" s="1"/>
  <c r="G314" i="3" s="1"/>
  <c r="D290" i="17" l="1"/>
  <c r="C290" i="17" s="1"/>
  <c r="G290" i="17" s="1"/>
  <c r="E290" i="17" s="1"/>
  <c r="F290" i="17" s="1"/>
  <c r="H280" i="14"/>
  <c r="D281" i="14" s="1"/>
  <c r="O228" i="16"/>
  <c r="D229" i="16"/>
  <c r="F228" i="16"/>
  <c r="H308" i="19"/>
  <c r="H314" i="3"/>
  <c r="C315" i="3"/>
  <c r="O280" i="14" l="1"/>
  <c r="H290" i="17"/>
  <c r="O290" i="17" s="1"/>
  <c r="C281" i="14"/>
  <c r="G281" i="14" s="1"/>
  <c r="C229" i="16"/>
  <c r="G229" i="16" s="1"/>
  <c r="O308" i="19"/>
  <c r="D309" i="19"/>
  <c r="I315" i="3"/>
  <c r="E315" i="3"/>
  <c r="D315" i="3" s="1"/>
  <c r="F315" i="3" s="1"/>
  <c r="G315" i="3" s="1"/>
  <c r="D291" i="17" l="1"/>
  <c r="E281" i="14"/>
  <c r="H281" i="14" s="1"/>
  <c r="C291" i="17"/>
  <c r="G291" i="17" s="1"/>
  <c r="E291" i="17" s="1"/>
  <c r="F291" i="17" s="1"/>
  <c r="E229" i="16"/>
  <c r="H229" i="16" s="1"/>
  <c r="C309" i="19"/>
  <c r="G309" i="19" s="1"/>
  <c r="E309" i="19" s="1"/>
  <c r="F309" i="19" s="1"/>
  <c r="H315" i="3"/>
  <c r="C316" i="3"/>
  <c r="F281" i="14" l="1"/>
  <c r="D282" i="14"/>
  <c r="C282" i="14" s="1"/>
  <c r="G282" i="14" s="1"/>
  <c r="O281" i="14"/>
  <c r="H291" i="17"/>
  <c r="O291" i="17" s="1"/>
  <c r="O229" i="16"/>
  <c r="D230" i="16"/>
  <c r="F229" i="16"/>
  <c r="H309" i="19"/>
  <c r="E316" i="3"/>
  <c r="D316" i="3" s="1"/>
  <c r="F316" i="3" s="1"/>
  <c r="G316" i="3" s="1"/>
  <c r="I316" i="3"/>
  <c r="D292" i="17" l="1"/>
  <c r="E282" i="14"/>
  <c r="F282" i="14" s="1"/>
  <c r="C292" i="17"/>
  <c r="G292" i="17" s="1"/>
  <c r="E292" i="17" s="1"/>
  <c r="F292" i="17" s="1"/>
  <c r="C230" i="16"/>
  <c r="G230" i="16" s="1"/>
  <c r="O309" i="19"/>
  <c r="D310" i="19"/>
  <c r="C317" i="3"/>
  <c r="H316" i="3"/>
  <c r="H282" i="14" l="1"/>
  <c r="O282" i="14" s="1"/>
  <c r="H292" i="17"/>
  <c r="O292" i="17" s="1"/>
  <c r="E230" i="16"/>
  <c r="H230" i="16" s="1"/>
  <c r="C310" i="19"/>
  <c r="G310" i="19" s="1"/>
  <c r="E310" i="19" s="1"/>
  <c r="F310" i="19" s="1"/>
  <c r="E317" i="3"/>
  <c r="D317" i="3" s="1"/>
  <c r="F317" i="3" s="1"/>
  <c r="G317" i="3" s="1"/>
  <c r="I317" i="3"/>
  <c r="D283" i="14" l="1"/>
  <c r="C283" i="14" s="1"/>
  <c r="G283" i="14" s="1"/>
  <c r="E283" i="14" s="1"/>
  <c r="F283" i="14" s="1"/>
  <c r="D293" i="17"/>
  <c r="C293" i="17" s="1"/>
  <c r="G293" i="17" s="1"/>
  <c r="E293" i="17" s="1"/>
  <c r="F293" i="17" s="1"/>
  <c r="O230" i="16"/>
  <c r="D231" i="16"/>
  <c r="F230" i="16"/>
  <c r="H310" i="19"/>
  <c r="C318" i="3"/>
  <c r="H317" i="3"/>
  <c r="H283" i="14" l="1"/>
  <c r="O283" i="14" s="1"/>
  <c r="H293" i="17"/>
  <c r="O293" i="17" s="1"/>
  <c r="C231" i="16"/>
  <c r="G231" i="16" s="1"/>
  <c r="D311" i="19"/>
  <c r="O310" i="19"/>
  <c r="I318" i="3"/>
  <c r="E318" i="3"/>
  <c r="D318" i="3" s="1"/>
  <c r="F318" i="3" s="1"/>
  <c r="G318" i="3" s="1"/>
  <c r="D294" i="17" l="1"/>
  <c r="C294" i="17" s="1"/>
  <c r="G294" i="17" s="1"/>
  <c r="E294" i="17" s="1"/>
  <c r="F294" i="17" s="1"/>
  <c r="D284" i="14"/>
  <c r="C284" i="14" s="1"/>
  <c r="G284" i="14" s="1"/>
  <c r="I283" i="14"/>
  <c r="E231" i="16"/>
  <c r="H231" i="16" s="1"/>
  <c r="C311" i="19"/>
  <c r="G311" i="19" s="1"/>
  <c r="E311" i="19" s="1"/>
  <c r="F311" i="19" s="1"/>
  <c r="H318" i="3"/>
  <c r="C319" i="3"/>
  <c r="H294" i="17" l="1"/>
  <c r="D295" i="17" s="1"/>
  <c r="E284" i="14"/>
  <c r="H284" i="14" s="1"/>
  <c r="O231" i="16"/>
  <c r="D232" i="16"/>
  <c r="F231" i="16"/>
  <c r="H311" i="19"/>
  <c r="O311" i="19" s="1"/>
  <c r="I319" i="3"/>
  <c r="E319" i="3"/>
  <c r="D319" i="3" s="1"/>
  <c r="F319" i="3" s="1"/>
  <c r="G319" i="3" s="1"/>
  <c r="O294" i="17" l="1"/>
  <c r="F284" i="14"/>
  <c r="O284" i="14"/>
  <c r="D285" i="14"/>
  <c r="C295" i="17"/>
  <c r="G295" i="17" s="1"/>
  <c r="E295" i="17" s="1"/>
  <c r="F295" i="17" s="1"/>
  <c r="C232" i="16"/>
  <c r="G232" i="16" s="1"/>
  <c r="D312" i="19"/>
  <c r="C312" i="19" s="1"/>
  <c r="G312" i="19" s="1"/>
  <c r="E312" i="19" s="1"/>
  <c r="F312" i="19" s="1"/>
  <c r="C320" i="3"/>
  <c r="H319" i="3"/>
  <c r="H295" i="17" l="1"/>
  <c r="I295" i="17" s="1"/>
  <c r="C285" i="14"/>
  <c r="G285" i="14" s="1"/>
  <c r="E285" i="14" s="1"/>
  <c r="F285" i="14" s="1"/>
  <c r="E232" i="16"/>
  <c r="H232" i="16" s="1"/>
  <c r="H312" i="19"/>
  <c r="O312" i="19" s="1"/>
  <c r="E320" i="3"/>
  <c r="D320" i="3" s="1"/>
  <c r="F320" i="3" s="1"/>
  <c r="G320" i="3" s="1"/>
  <c r="I320" i="3"/>
  <c r="O295" i="17" l="1"/>
  <c r="D296" i="17"/>
  <c r="C296" i="17" s="1"/>
  <c r="G296" i="17" s="1"/>
  <c r="E296" i="17" s="1"/>
  <c r="F296" i="17" s="1"/>
  <c r="H285" i="14"/>
  <c r="F232" i="16"/>
  <c r="O232" i="16"/>
  <c r="D233" i="16"/>
  <c r="D313" i="19"/>
  <c r="C313" i="19" s="1"/>
  <c r="G313" i="19" s="1"/>
  <c r="E313" i="19" s="1"/>
  <c r="F313" i="19" s="1"/>
  <c r="H320" i="3"/>
  <c r="C321" i="3"/>
  <c r="H296" i="17" l="1"/>
  <c r="O296" i="17" s="1"/>
  <c r="O285" i="14"/>
  <c r="D286" i="14"/>
  <c r="C233" i="16"/>
  <c r="G233" i="16" s="1"/>
  <c r="H313" i="19"/>
  <c r="D314" i="19" s="1"/>
  <c r="I321" i="3"/>
  <c r="E321" i="3"/>
  <c r="D321" i="3" s="1"/>
  <c r="F321" i="3" s="1"/>
  <c r="G321" i="3" s="1"/>
  <c r="D297" i="17" l="1"/>
  <c r="C286" i="14"/>
  <c r="G286" i="14" s="1"/>
  <c r="E286" i="14" s="1"/>
  <c r="F286" i="14" s="1"/>
  <c r="C297" i="17"/>
  <c r="G297" i="17" s="1"/>
  <c r="E297" i="17" s="1"/>
  <c r="F297" i="17" s="1"/>
  <c r="E233" i="16"/>
  <c r="H233" i="16" s="1"/>
  <c r="O313" i="19"/>
  <c r="C314" i="19"/>
  <c r="G314" i="19" s="1"/>
  <c r="E314" i="19" s="1"/>
  <c r="F314" i="19" s="1"/>
  <c r="H321" i="3"/>
  <c r="C322" i="3"/>
  <c r="H297" i="17" l="1"/>
  <c r="D298" i="17" s="1"/>
  <c r="H286" i="14"/>
  <c r="D287" i="14" s="1"/>
  <c r="O233" i="16"/>
  <c r="D234" i="16"/>
  <c r="F233" i="16"/>
  <c r="H314" i="19"/>
  <c r="I322" i="3"/>
  <c r="E322" i="3"/>
  <c r="D322" i="3" s="1"/>
  <c r="F322" i="3" s="1"/>
  <c r="G322" i="3" s="1"/>
  <c r="O297" i="17" l="1"/>
  <c r="O286" i="14"/>
  <c r="C287" i="14"/>
  <c r="G287" i="14" s="1"/>
  <c r="E287" i="14" s="1"/>
  <c r="F287" i="14" s="1"/>
  <c r="C298" i="17"/>
  <c r="G298" i="17" s="1"/>
  <c r="E298" i="17" s="1"/>
  <c r="F298" i="17" s="1"/>
  <c r="C234" i="16"/>
  <c r="G234" i="16" s="1"/>
  <c r="E234" i="16" s="1"/>
  <c r="F234" i="16" s="1"/>
  <c r="D315" i="19"/>
  <c r="O314" i="19"/>
  <c r="H322" i="3"/>
  <c r="C323" i="3"/>
  <c r="H298" i="17" l="1"/>
  <c r="O298" i="17" s="1"/>
  <c r="H287" i="14"/>
  <c r="O287" i="14" s="1"/>
  <c r="H234" i="16"/>
  <c r="O234" i="16" s="1"/>
  <c r="C315" i="19"/>
  <c r="G315" i="19" s="1"/>
  <c r="E315" i="19" s="1"/>
  <c r="F315" i="19" s="1"/>
  <c r="E323" i="3"/>
  <c r="D323" i="3" s="1"/>
  <c r="F323" i="3" s="1"/>
  <c r="G323" i="3" s="1"/>
  <c r="I323" i="3"/>
  <c r="D299" i="17" l="1"/>
  <c r="C299" i="17" s="1"/>
  <c r="G299" i="17" s="1"/>
  <c r="E299" i="17" s="1"/>
  <c r="F299" i="17" s="1"/>
  <c r="D288" i="14"/>
  <c r="C288" i="14" s="1"/>
  <c r="G288" i="14" s="1"/>
  <c r="E288" i="14" s="1"/>
  <c r="F288" i="14" s="1"/>
  <c r="D235" i="16"/>
  <c r="C235" i="16" s="1"/>
  <c r="G235" i="16" s="1"/>
  <c r="H315" i="19"/>
  <c r="H323" i="3"/>
  <c r="C324" i="3"/>
  <c r="H288" i="14" l="1"/>
  <c r="H299" i="17"/>
  <c r="O299" i="17"/>
  <c r="D300" i="17"/>
  <c r="E235" i="16"/>
  <c r="H235" i="16" s="1"/>
  <c r="D316" i="19"/>
  <c r="O315" i="19"/>
  <c r="I324" i="3"/>
  <c r="E324" i="3"/>
  <c r="D324" i="3" s="1"/>
  <c r="F324" i="3" s="1"/>
  <c r="G324" i="3" s="1"/>
  <c r="O288" i="14" l="1"/>
  <c r="D289" i="14"/>
  <c r="C300" i="17"/>
  <c r="G300" i="17" s="1"/>
  <c r="E300" i="17" s="1"/>
  <c r="F300" i="17" s="1"/>
  <c r="I235" i="16"/>
  <c r="D236" i="16"/>
  <c r="O235" i="16"/>
  <c r="F235" i="16"/>
  <c r="C316" i="19"/>
  <c r="G316" i="19" s="1"/>
  <c r="E316" i="19" s="1"/>
  <c r="F316" i="19" s="1"/>
  <c r="H324" i="3"/>
  <c r="C325" i="3"/>
  <c r="H300" i="17" l="1"/>
  <c r="O300" i="17" s="1"/>
  <c r="C289" i="14"/>
  <c r="G289" i="14" s="1"/>
  <c r="C236" i="16"/>
  <c r="G236" i="16" s="1"/>
  <c r="H316" i="19"/>
  <c r="I325" i="3"/>
  <c r="E325" i="3"/>
  <c r="D325" i="3" s="1"/>
  <c r="F325" i="3" s="1"/>
  <c r="G325" i="3" s="1"/>
  <c r="D301" i="17" l="1"/>
  <c r="C301" i="17" s="1"/>
  <c r="G301" i="17" s="1"/>
  <c r="E301" i="17" s="1"/>
  <c r="F301" i="17" s="1"/>
  <c r="E289" i="14"/>
  <c r="H289" i="14" s="1"/>
  <c r="E236" i="16"/>
  <c r="H236" i="16" s="1"/>
  <c r="D317" i="19"/>
  <c r="O316" i="19"/>
  <c r="C326" i="3"/>
  <c r="H325" i="3"/>
  <c r="O289" i="14" l="1"/>
  <c r="D290" i="14"/>
  <c r="C290" i="14" s="1"/>
  <c r="G290" i="14" s="1"/>
  <c r="E290" i="14" s="1"/>
  <c r="F290" i="14" s="1"/>
  <c r="F289" i="14"/>
  <c r="H301" i="17"/>
  <c r="O301" i="17" s="1"/>
  <c r="O236" i="16"/>
  <c r="D237" i="16"/>
  <c r="F236" i="16"/>
  <c r="C317" i="19"/>
  <c r="G317" i="19" s="1"/>
  <c r="E317" i="19" s="1"/>
  <c r="F317" i="19" s="1"/>
  <c r="E326" i="3"/>
  <c r="D326" i="3" s="1"/>
  <c r="F326" i="3" s="1"/>
  <c r="G326" i="3" s="1"/>
  <c r="I326" i="3"/>
  <c r="D302" i="17" l="1"/>
  <c r="H290" i="14"/>
  <c r="C302" i="17"/>
  <c r="G302" i="17" s="1"/>
  <c r="E302" i="17" s="1"/>
  <c r="F302" i="17" s="1"/>
  <c r="C237" i="16"/>
  <c r="G237" i="16" s="1"/>
  <c r="H317" i="19"/>
  <c r="H326" i="3"/>
  <c r="C327" i="3"/>
  <c r="D291" i="14" l="1"/>
  <c r="O290" i="14"/>
  <c r="H302" i="17"/>
  <c r="O302" i="17" s="1"/>
  <c r="E237" i="16"/>
  <c r="H237" i="16" s="1"/>
  <c r="D318" i="19"/>
  <c r="O317" i="19"/>
  <c r="E327" i="3"/>
  <c r="D327" i="3" s="1"/>
  <c r="F327" i="3" s="1"/>
  <c r="G327" i="3" s="1"/>
  <c r="I327" i="3"/>
  <c r="D303" i="17" l="1"/>
  <c r="C291" i="14"/>
  <c r="G291" i="14" s="1"/>
  <c r="E291" i="14" s="1"/>
  <c r="F291" i="14" s="1"/>
  <c r="C303" i="17"/>
  <c r="G303" i="17" s="1"/>
  <c r="E303" i="17" s="1"/>
  <c r="F303" i="17" s="1"/>
  <c r="O237" i="16"/>
  <c r="D238" i="16"/>
  <c r="F237" i="16"/>
  <c r="C318" i="19"/>
  <c r="G318" i="19" s="1"/>
  <c r="E318" i="19" s="1"/>
  <c r="F318" i="19" s="1"/>
  <c r="H327" i="3"/>
  <c r="C328" i="3"/>
  <c r="H303" i="17" l="1"/>
  <c r="D304" i="17" s="1"/>
  <c r="H291" i="14"/>
  <c r="C238" i="16"/>
  <c r="G238" i="16" s="1"/>
  <c r="E238" i="16" s="1"/>
  <c r="F238" i="16" s="1"/>
  <c r="H318" i="19"/>
  <c r="I328" i="3"/>
  <c r="E328" i="3"/>
  <c r="D328" i="3" s="1"/>
  <c r="F328" i="3" s="1"/>
  <c r="G328" i="3" s="1"/>
  <c r="O303" i="17" l="1"/>
  <c r="O291" i="14"/>
  <c r="D292" i="14"/>
  <c r="C304" i="17"/>
  <c r="G304" i="17" s="1"/>
  <c r="E304" i="17" s="1"/>
  <c r="F304" i="17" s="1"/>
  <c r="H238" i="16"/>
  <c r="O238" i="16" s="1"/>
  <c r="O318" i="19"/>
  <c r="D319" i="19"/>
  <c r="C329" i="3"/>
  <c r="H328" i="3"/>
  <c r="H304" i="17" l="1"/>
  <c r="D305" i="17" s="1"/>
  <c r="C292" i="14"/>
  <c r="G292" i="14" s="1"/>
  <c r="E292" i="14" s="1"/>
  <c r="F292" i="14" s="1"/>
  <c r="D239" i="16"/>
  <c r="C239" i="16" s="1"/>
  <c r="G239" i="16" s="1"/>
  <c r="E239" i="16" s="1"/>
  <c r="F239" i="16" s="1"/>
  <c r="C319" i="19"/>
  <c r="G319" i="19" s="1"/>
  <c r="E319" i="19" s="1"/>
  <c r="F319" i="19" s="1"/>
  <c r="I329" i="3"/>
  <c r="E329" i="3"/>
  <c r="D329" i="3" s="1"/>
  <c r="F329" i="3" s="1"/>
  <c r="G329" i="3" s="1"/>
  <c r="O304" i="17" l="1"/>
  <c r="H292" i="14"/>
  <c r="C305" i="17"/>
  <c r="G305" i="17" s="1"/>
  <c r="E305" i="17" s="1"/>
  <c r="F305" i="17" s="1"/>
  <c r="H239" i="16"/>
  <c r="O239" i="16" s="1"/>
  <c r="H319" i="19"/>
  <c r="H329" i="3"/>
  <c r="C330" i="3"/>
  <c r="D293" i="14" l="1"/>
  <c r="O292" i="14"/>
  <c r="H305" i="17"/>
  <c r="D240" i="16"/>
  <c r="C240" i="16" s="1"/>
  <c r="G240" i="16" s="1"/>
  <c r="E240" i="16" s="1"/>
  <c r="F240" i="16" s="1"/>
  <c r="D320" i="19"/>
  <c r="I319" i="19"/>
  <c r="O319" i="19"/>
  <c r="E330" i="3"/>
  <c r="D330" i="3" s="1"/>
  <c r="F330" i="3" s="1"/>
  <c r="G330" i="3" s="1"/>
  <c r="I330" i="3"/>
  <c r="C293" i="14" l="1"/>
  <c r="G293" i="14" s="1"/>
  <c r="E293" i="14" s="1"/>
  <c r="F293" i="14" s="1"/>
  <c r="D306" i="17"/>
  <c r="O305" i="17"/>
  <c r="H240" i="16"/>
  <c r="D241" i="16" s="1"/>
  <c r="C320" i="19"/>
  <c r="G320" i="19" s="1"/>
  <c r="E320" i="19" s="1"/>
  <c r="F320" i="19" s="1"/>
  <c r="H330" i="3"/>
  <c r="C331" i="3"/>
  <c r="H293" i="14" l="1"/>
  <c r="C306" i="17"/>
  <c r="G306" i="17" s="1"/>
  <c r="E306" i="17" s="1"/>
  <c r="F306" i="17" s="1"/>
  <c r="O240" i="16"/>
  <c r="C241" i="16"/>
  <c r="G241" i="16" s="1"/>
  <c r="H320" i="19"/>
  <c r="I331" i="3"/>
  <c r="E331" i="3"/>
  <c r="D331" i="3" s="1"/>
  <c r="F331" i="3" s="1"/>
  <c r="G331" i="3" s="1"/>
  <c r="D294" i="14" l="1"/>
  <c r="O293" i="14"/>
  <c r="H306" i="17"/>
  <c r="E241" i="16"/>
  <c r="H241" i="16" s="1"/>
  <c r="O320" i="19"/>
  <c r="D321" i="19"/>
  <c r="C332" i="3"/>
  <c r="H331" i="3"/>
  <c r="C294" i="14" l="1"/>
  <c r="G294" i="14" s="1"/>
  <c r="D307" i="17"/>
  <c r="O306" i="17"/>
  <c r="D242" i="16"/>
  <c r="O241" i="16"/>
  <c r="F241" i="16"/>
  <c r="C321" i="19"/>
  <c r="G321" i="19" s="1"/>
  <c r="E321" i="19" s="1"/>
  <c r="F321" i="19" s="1"/>
  <c r="I332" i="3"/>
  <c r="E332" i="3"/>
  <c r="D332" i="3" s="1"/>
  <c r="F332" i="3" s="1"/>
  <c r="G332" i="3" s="1"/>
  <c r="E294" i="14" l="1"/>
  <c r="F294" i="14" s="1"/>
  <c r="C307" i="17"/>
  <c r="G307" i="17" s="1"/>
  <c r="E307" i="17" s="1"/>
  <c r="F307" i="17" s="1"/>
  <c r="C242" i="16"/>
  <c r="G242" i="16" s="1"/>
  <c r="H321" i="19"/>
  <c r="O321" i="19" s="1"/>
  <c r="C333" i="3"/>
  <c r="H332" i="3"/>
  <c r="H294" i="14" l="1"/>
  <c r="D295" i="14" s="1"/>
  <c r="H307" i="17"/>
  <c r="D322" i="19"/>
  <c r="C322" i="19" s="1"/>
  <c r="G322" i="19" s="1"/>
  <c r="E322" i="19" s="1"/>
  <c r="F322" i="19" s="1"/>
  <c r="E242" i="16"/>
  <c r="H242" i="16" s="1"/>
  <c r="E333" i="3"/>
  <c r="D333" i="3" s="1"/>
  <c r="F333" i="3" s="1"/>
  <c r="G333" i="3" s="1"/>
  <c r="I333" i="3"/>
  <c r="O294" i="14" l="1"/>
  <c r="C295" i="14"/>
  <c r="G295" i="14" s="1"/>
  <c r="I307" i="17"/>
  <c r="D308" i="17"/>
  <c r="O307" i="17"/>
  <c r="D243" i="16"/>
  <c r="O242" i="16"/>
  <c r="F242" i="16"/>
  <c r="H322" i="19"/>
  <c r="H333" i="3"/>
  <c r="C334" i="3"/>
  <c r="E295" i="14" l="1"/>
  <c r="H295" i="14" s="1"/>
  <c r="C308" i="17"/>
  <c r="G308" i="17" s="1"/>
  <c r="E308" i="17" s="1"/>
  <c r="F308" i="17" s="1"/>
  <c r="C243" i="16"/>
  <c r="G243" i="16" s="1"/>
  <c r="O322" i="19"/>
  <c r="D323" i="19"/>
  <c r="I334" i="3"/>
  <c r="E334" i="3"/>
  <c r="D334" i="3" s="1"/>
  <c r="F334" i="3" s="1"/>
  <c r="G334" i="3" s="1"/>
  <c r="F295" i="14" l="1"/>
  <c r="O295" i="14"/>
  <c r="D296" i="14"/>
  <c r="C296" i="14" s="1"/>
  <c r="G296" i="14" s="1"/>
  <c r="E296" i="14" s="1"/>
  <c r="F296" i="14" s="1"/>
  <c r="I295" i="14"/>
  <c r="H308" i="17"/>
  <c r="E243" i="16"/>
  <c r="H243" i="16" s="1"/>
  <c r="C323" i="19"/>
  <c r="G323" i="19" s="1"/>
  <c r="E323" i="19" s="1"/>
  <c r="F323" i="19" s="1"/>
  <c r="H334" i="3"/>
  <c r="C335" i="3"/>
  <c r="H296" i="14" l="1"/>
  <c r="O308" i="17"/>
  <c r="D309" i="17"/>
  <c r="O243" i="16"/>
  <c r="D244" i="16"/>
  <c r="F243" i="16"/>
  <c r="H323" i="19"/>
  <c r="O323" i="19" s="1"/>
  <c r="E335" i="3"/>
  <c r="D335" i="3" s="1"/>
  <c r="F335" i="3" s="1"/>
  <c r="G335" i="3" s="1"/>
  <c r="I335" i="3"/>
  <c r="D297" i="14" l="1"/>
  <c r="O296" i="14"/>
  <c r="C309" i="17"/>
  <c r="G309" i="17" s="1"/>
  <c r="E309" i="17" s="1"/>
  <c r="F309" i="17" s="1"/>
  <c r="C244" i="16"/>
  <c r="G244" i="16" s="1"/>
  <c r="D324" i="19"/>
  <c r="C324" i="19" s="1"/>
  <c r="G324" i="19" s="1"/>
  <c r="E324" i="19" s="1"/>
  <c r="F324" i="19" s="1"/>
  <c r="C336" i="3"/>
  <c r="H335" i="3"/>
  <c r="H309" i="17" l="1"/>
  <c r="D310" i="17" s="1"/>
  <c r="C297" i="14"/>
  <c r="G297" i="14" s="1"/>
  <c r="E297" i="14" s="1"/>
  <c r="F297" i="14" s="1"/>
  <c r="E244" i="16"/>
  <c r="H244" i="16" s="1"/>
  <c r="H324" i="19"/>
  <c r="I336" i="3"/>
  <c r="E336" i="3"/>
  <c r="D336" i="3" s="1"/>
  <c r="F336" i="3" s="1"/>
  <c r="G336" i="3" s="1"/>
  <c r="O309" i="17" l="1"/>
  <c r="H297" i="14"/>
  <c r="C310" i="17"/>
  <c r="G310" i="17" s="1"/>
  <c r="E310" i="17" s="1"/>
  <c r="F310" i="17" s="1"/>
  <c r="D245" i="16"/>
  <c r="C245" i="16" s="1"/>
  <c r="G245" i="16" s="1"/>
  <c r="O244" i="16"/>
  <c r="F244" i="16"/>
  <c r="O324" i="19"/>
  <c r="D325" i="19"/>
  <c r="H336" i="3"/>
  <c r="C337" i="3"/>
  <c r="H310" i="17" l="1"/>
  <c r="O310" i="17" s="1"/>
  <c r="D298" i="14"/>
  <c r="O297" i="14"/>
  <c r="E245" i="16"/>
  <c r="F245" i="16" s="1"/>
  <c r="C325" i="19"/>
  <c r="G325" i="19" s="1"/>
  <c r="E325" i="19" s="1"/>
  <c r="F325" i="19" s="1"/>
  <c r="I337" i="3"/>
  <c r="E337" i="3"/>
  <c r="D337" i="3" s="1"/>
  <c r="F337" i="3" s="1"/>
  <c r="G337" i="3" s="1"/>
  <c r="D311" i="17" l="1"/>
  <c r="C311" i="17" s="1"/>
  <c r="G311" i="17" s="1"/>
  <c r="E311" i="17" s="1"/>
  <c r="F311" i="17" s="1"/>
  <c r="C298" i="14"/>
  <c r="G298" i="14" s="1"/>
  <c r="E298" i="14" s="1"/>
  <c r="F298" i="14" s="1"/>
  <c r="H245" i="16"/>
  <c r="H325" i="19"/>
  <c r="O325" i="19" s="1"/>
  <c r="C338" i="3"/>
  <c r="H337" i="3"/>
  <c r="H298" i="14" l="1"/>
  <c r="D299" i="14" s="1"/>
  <c r="H311" i="17"/>
  <c r="D246" i="16"/>
  <c r="O245" i="16"/>
  <c r="D326" i="19"/>
  <c r="C326" i="19" s="1"/>
  <c r="G326" i="19" s="1"/>
  <c r="E326" i="19" s="1"/>
  <c r="F326" i="19" s="1"/>
  <c r="I338" i="3"/>
  <c r="E338" i="3"/>
  <c r="D338" i="3" s="1"/>
  <c r="F338" i="3" s="1"/>
  <c r="G338" i="3" s="1"/>
  <c r="O298" i="14" l="1"/>
  <c r="C299" i="14"/>
  <c r="G299" i="14" s="1"/>
  <c r="E299" i="14" s="1"/>
  <c r="F299" i="14" s="1"/>
  <c r="D312" i="17"/>
  <c r="O311" i="17"/>
  <c r="C246" i="16"/>
  <c r="G246" i="16" s="1"/>
  <c r="H326" i="19"/>
  <c r="O326" i="19" s="1"/>
  <c r="H338" i="3"/>
  <c r="C339" i="3"/>
  <c r="H299" i="14" l="1"/>
  <c r="C312" i="17"/>
  <c r="G312" i="17" s="1"/>
  <c r="E312" i="17" s="1"/>
  <c r="F312" i="17" s="1"/>
  <c r="E246" i="16"/>
  <c r="H246" i="16" s="1"/>
  <c r="D327" i="19"/>
  <c r="C327" i="19" s="1"/>
  <c r="G327" i="19" s="1"/>
  <c r="E327" i="19" s="1"/>
  <c r="F327" i="19" s="1"/>
  <c r="E339" i="3"/>
  <c r="D339" i="3" s="1"/>
  <c r="F339" i="3" s="1"/>
  <c r="G339" i="3" s="1"/>
  <c r="I339" i="3"/>
  <c r="O299" i="14" l="1"/>
  <c r="D300" i="14"/>
  <c r="H312" i="17"/>
  <c r="O312" i="17" s="1"/>
  <c r="D247" i="16"/>
  <c r="O246" i="16"/>
  <c r="F246" i="16"/>
  <c r="H327" i="19"/>
  <c r="H339" i="3"/>
  <c r="C340" i="3"/>
  <c r="D313" i="17" l="1"/>
  <c r="C313" i="17" s="1"/>
  <c r="G313" i="17" s="1"/>
  <c r="E313" i="17" s="1"/>
  <c r="F313" i="17" s="1"/>
  <c r="C300" i="14"/>
  <c r="G300" i="14" s="1"/>
  <c r="C247" i="16"/>
  <c r="G247" i="16" s="1"/>
  <c r="D328" i="19"/>
  <c r="O327" i="19"/>
  <c r="E340" i="3"/>
  <c r="D340" i="3" s="1"/>
  <c r="F340" i="3" s="1"/>
  <c r="G340" i="3" s="1"/>
  <c r="I340" i="3"/>
  <c r="E300" i="14" l="1"/>
  <c r="F300" i="14" s="1"/>
  <c r="H313" i="17"/>
  <c r="E247" i="16"/>
  <c r="H247" i="16" s="1"/>
  <c r="C328" i="19"/>
  <c r="C341" i="3"/>
  <c r="H340" i="3"/>
  <c r="H300" i="14" l="1"/>
  <c r="D301" i="14" s="1"/>
  <c r="D314" i="17"/>
  <c r="O313" i="17"/>
  <c r="I247" i="16"/>
  <c r="D248" i="16"/>
  <c r="O247" i="16"/>
  <c r="F247" i="16"/>
  <c r="G328" i="19"/>
  <c r="I341" i="3"/>
  <c r="E341" i="3"/>
  <c r="D341" i="3" s="1"/>
  <c r="F341" i="3" s="1"/>
  <c r="G341" i="3" s="1"/>
  <c r="O300" i="14" l="1"/>
  <c r="C301" i="14"/>
  <c r="G301" i="14" s="1"/>
  <c r="E301" i="14" s="1"/>
  <c r="F301" i="14" s="1"/>
  <c r="C314" i="17"/>
  <c r="G314" i="17" s="1"/>
  <c r="E314" i="17" s="1"/>
  <c r="F314" i="17" s="1"/>
  <c r="C248" i="16"/>
  <c r="G248" i="16" s="1"/>
  <c r="E328" i="19"/>
  <c r="F328" i="19" s="1"/>
  <c r="H341" i="3"/>
  <c r="C342" i="3"/>
  <c r="H301" i="14" l="1"/>
  <c r="D302" i="14" s="1"/>
  <c r="H314" i="17"/>
  <c r="E248" i="16"/>
  <c r="H248" i="16" s="1"/>
  <c r="H328" i="19"/>
  <c r="D329" i="19" s="1"/>
  <c r="E342" i="3"/>
  <c r="D342" i="3" s="1"/>
  <c r="F342" i="3" s="1"/>
  <c r="G342" i="3" s="1"/>
  <c r="I342" i="3"/>
  <c r="O301" i="14" l="1"/>
  <c r="C302" i="14"/>
  <c r="G302" i="14" s="1"/>
  <c r="E302" i="14" s="1"/>
  <c r="F302" i="14" s="1"/>
  <c r="O314" i="17"/>
  <c r="D315" i="17"/>
  <c r="D249" i="16"/>
  <c r="O248" i="16"/>
  <c r="F248" i="16"/>
  <c r="O328" i="19"/>
  <c r="C329" i="19"/>
  <c r="C343" i="3"/>
  <c r="H342" i="3"/>
  <c r="H302" i="14" l="1"/>
  <c r="C315" i="17"/>
  <c r="G315" i="17" s="1"/>
  <c r="E315" i="17" s="1"/>
  <c r="F315" i="17" s="1"/>
  <c r="C249" i="16"/>
  <c r="G249" i="16" s="1"/>
  <c r="E249" i="16" s="1"/>
  <c r="F249" i="16" s="1"/>
  <c r="G329" i="19"/>
  <c r="I343" i="3"/>
  <c r="E343" i="3"/>
  <c r="D343" i="3" s="1"/>
  <c r="F343" i="3" s="1"/>
  <c r="G343" i="3" s="1"/>
  <c r="H315" i="17" l="1"/>
  <c r="D316" i="17" s="1"/>
  <c r="D303" i="14"/>
  <c r="O302" i="14"/>
  <c r="H249" i="16"/>
  <c r="O249" i="16" s="1"/>
  <c r="E329" i="19"/>
  <c r="F329" i="19" s="1"/>
  <c r="H343" i="3"/>
  <c r="C344" i="3"/>
  <c r="O315" i="17" l="1"/>
  <c r="C303" i="14"/>
  <c r="G303" i="14" s="1"/>
  <c r="E303" i="14" s="1"/>
  <c r="F303" i="14" s="1"/>
  <c r="C316" i="17"/>
  <c r="G316" i="17" s="1"/>
  <c r="E316" i="17" s="1"/>
  <c r="F316" i="17" s="1"/>
  <c r="D250" i="16"/>
  <c r="C250" i="16" s="1"/>
  <c r="G250" i="16" s="1"/>
  <c r="E250" i="16" s="1"/>
  <c r="H329" i="19"/>
  <c r="O329" i="19" s="1"/>
  <c r="I344" i="3"/>
  <c r="E344" i="3"/>
  <c r="D344" i="3" s="1"/>
  <c r="F344" i="3" s="1"/>
  <c r="G344" i="3" s="1"/>
  <c r="H303" i="14" l="1"/>
  <c r="H316" i="17"/>
  <c r="F250" i="16"/>
  <c r="H250" i="16"/>
  <c r="D330" i="19"/>
  <c r="C330" i="19" s="1"/>
  <c r="H344" i="3"/>
  <c r="C345" i="3"/>
  <c r="D304" i="14" l="1"/>
  <c r="O303" i="14"/>
  <c r="O316" i="17"/>
  <c r="D317" i="17"/>
  <c r="D251" i="16"/>
  <c r="O250" i="16"/>
  <c r="G330" i="19"/>
  <c r="E345" i="3"/>
  <c r="D345" i="3" s="1"/>
  <c r="F345" i="3" s="1"/>
  <c r="G345" i="3" s="1"/>
  <c r="I345" i="3"/>
  <c r="C304" i="14" l="1"/>
  <c r="G304" i="14" s="1"/>
  <c r="E304" i="14" s="1"/>
  <c r="F304" i="14" s="1"/>
  <c r="C317" i="17"/>
  <c r="G317" i="17" s="1"/>
  <c r="E317" i="17" s="1"/>
  <c r="F317" i="17" s="1"/>
  <c r="C251" i="16"/>
  <c r="G251" i="16" s="1"/>
  <c r="E330" i="19"/>
  <c r="F330" i="19" s="1"/>
  <c r="C346" i="3"/>
  <c r="H345" i="3"/>
  <c r="H304" i="14" l="1"/>
  <c r="D305" i="14" s="1"/>
  <c r="H317" i="17"/>
  <c r="D318" i="17" s="1"/>
  <c r="E251" i="16"/>
  <c r="H251" i="16" s="1"/>
  <c r="H330" i="19"/>
  <c r="O330" i="19" s="1"/>
  <c r="E346" i="3"/>
  <c r="D346" i="3" s="1"/>
  <c r="F346" i="3" s="1"/>
  <c r="G346" i="3" s="1"/>
  <c r="I346" i="3"/>
  <c r="O317" i="17" l="1"/>
  <c r="O304" i="14"/>
  <c r="C305" i="14"/>
  <c r="G305" i="14" s="1"/>
  <c r="E305" i="14" s="1"/>
  <c r="F305" i="14" s="1"/>
  <c r="C318" i="17"/>
  <c r="G318" i="17" s="1"/>
  <c r="E318" i="17" s="1"/>
  <c r="F318" i="17" s="1"/>
  <c r="D252" i="16"/>
  <c r="O251" i="16"/>
  <c r="F251" i="16"/>
  <c r="D331" i="19"/>
  <c r="C331" i="19" s="1"/>
  <c r="H346" i="3"/>
  <c r="C347" i="3"/>
  <c r="H318" i="17" l="1"/>
  <c r="H305" i="14"/>
  <c r="O318" i="17"/>
  <c r="D319" i="17"/>
  <c r="C252" i="16"/>
  <c r="G252" i="16" s="1"/>
  <c r="E252" i="16" s="1"/>
  <c r="F252" i="16" s="1"/>
  <c r="G331" i="19"/>
  <c r="E347" i="3"/>
  <c r="D347" i="3" s="1"/>
  <c r="F347" i="3" s="1"/>
  <c r="G347" i="3" s="1"/>
  <c r="I347" i="3"/>
  <c r="D306" i="14" l="1"/>
  <c r="O305" i="14"/>
  <c r="C319" i="17"/>
  <c r="G319" i="17" s="1"/>
  <c r="E319" i="17" s="1"/>
  <c r="F319" i="17" s="1"/>
  <c r="H252" i="16"/>
  <c r="O252" i="16" s="1"/>
  <c r="E331" i="19"/>
  <c r="F331" i="19" s="1"/>
  <c r="C348" i="3"/>
  <c r="H347" i="3"/>
  <c r="H319" i="17" l="1"/>
  <c r="D320" i="17" s="1"/>
  <c r="C306" i="14"/>
  <c r="G306" i="14" s="1"/>
  <c r="E306" i="14" s="1"/>
  <c r="F306" i="14" s="1"/>
  <c r="D253" i="16"/>
  <c r="C253" i="16" s="1"/>
  <c r="G253" i="16" s="1"/>
  <c r="H331" i="19"/>
  <c r="I331" i="19" s="1"/>
  <c r="E348" i="3"/>
  <c r="D348" i="3" s="1"/>
  <c r="F348" i="3" s="1"/>
  <c r="G348" i="3" s="1"/>
  <c r="I348" i="3"/>
  <c r="I319" i="17" l="1"/>
  <c r="O319" i="17"/>
  <c r="H306" i="14"/>
  <c r="C320" i="17"/>
  <c r="G320" i="17" s="1"/>
  <c r="E320" i="17" s="1"/>
  <c r="F320" i="17" s="1"/>
  <c r="E253" i="16"/>
  <c r="H253" i="16" s="1"/>
  <c r="D332" i="19"/>
  <c r="C332" i="19" s="1"/>
  <c r="O331" i="19"/>
  <c r="H348" i="3"/>
  <c r="C349" i="3"/>
  <c r="O306" i="14" l="1"/>
  <c r="D307" i="14"/>
  <c r="H320" i="17"/>
  <c r="O320" i="17" s="1"/>
  <c r="O253" i="16"/>
  <c r="D254" i="16"/>
  <c r="F253" i="16"/>
  <c r="G332" i="19"/>
  <c r="I349" i="3"/>
  <c r="E349" i="3"/>
  <c r="D349" i="3" s="1"/>
  <c r="F349" i="3" s="1"/>
  <c r="G349" i="3" s="1"/>
  <c r="D321" i="17" l="1"/>
  <c r="C307" i="14"/>
  <c r="G307" i="14" s="1"/>
  <c r="E307" i="14" s="1"/>
  <c r="F307" i="14" s="1"/>
  <c r="C321" i="17"/>
  <c r="G321" i="17" s="1"/>
  <c r="E321" i="17" s="1"/>
  <c r="F321" i="17" s="1"/>
  <c r="C254" i="16"/>
  <c r="G254" i="16" s="1"/>
  <c r="E254" i="16" s="1"/>
  <c r="F254" i="16" s="1"/>
  <c r="E332" i="19"/>
  <c r="F332" i="19" s="1"/>
  <c r="H349" i="3"/>
  <c r="C350" i="3"/>
  <c r="H321" i="17" l="1"/>
  <c r="D322" i="17" s="1"/>
  <c r="H307" i="14"/>
  <c r="O307" i="14" s="1"/>
  <c r="H332" i="19"/>
  <c r="D333" i="19" s="1"/>
  <c r="H254" i="16"/>
  <c r="O254" i="16" s="1"/>
  <c r="E350" i="3"/>
  <c r="D350" i="3" s="1"/>
  <c r="F350" i="3" s="1"/>
  <c r="G350" i="3" s="1"/>
  <c r="I350" i="3"/>
  <c r="O321" i="17" l="1"/>
  <c r="O332" i="19"/>
  <c r="D308" i="14"/>
  <c r="C308" i="14" s="1"/>
  <c r="G308" i="14" s="1"/>
  <c r="E308" i="14" s="1"/>
  <c r="F308" i="14" s="1"/>
  <c r="I307" i="14"/>
  <c r="C322" i="17"/>
  <c r="G322" i="17" s="1"/>
  <c r="E322" i="17" s="1"/>
  <c r="F322" i="17" s="1"/>
  <c r="D255" i="16"/>
  <c r="C255" i="16" s="1"/>
  <c r="G255" i="16" s="1"/>
  <c r="C333" i="19"/>
  <c r="G333" i="19" s="1"/>
  <c r="E333" i="19" s="1"/>
  <c r="F333" i="19" s="1"/>
  <c r="C351" i="3"/>
  <c r="H350" i="3"/>
  <c r="H308" i="14" l="1"/>
  <c r="H322" i="17"/>
  <c r="D323" i="17" s="1"/>
  <c r="E255" i="16"/>
  <c r="H255" i="16" s="1"/>
  <c r="H333" i="19"/>
  <c r="I351" i="3"/>
  <c r="E351" i="3"/>
  <c r="D351" i="3" s="1"/>
  <c r="F351" i="3" s="1"/>
  <c r="G351" i="3" s="1"/>
  <c r="O322" i="17" l="1"/>
  <c r="D309" i="14"/>
  <c r="O308" i="14"/>
  <c r="C323" i="17"/>
  <c r="G323" i="17" s="1"/>
  <c r="E323" i="17" s="1"/>
  <c r="F323" i="17" s="1"/>
  <c r="O255" i="16"/>
  <c r="D256" i="16"/>
  <c r="F255" i="16"/>
  <c r="O333" i="19"/>
  <c r="D334" i="19"/>
  <c r="H351" i="3"/>
  <c r="C352" i="3"/>
  <c r="C309" i="14" l="1"/>
  <c r="G309" i="14" s="1"/>
  <c r="E309" i="14" s="1"/>
  <c r="F309" i="14" s="1"/>
  <c r="H323" i="17"/>
  <c r="O323" i="17" s="1"/>
  <c r="C256" i="16"/>
  <c r="G256" i="16" s="1"/>
  <c r="C334" i="19"/>
  <c r="G334" i="19" s="1"/>
  <c r="E334" i="19" s="1"/>
  <c r="F334" i="19" s="1"/>
  <c r="I352" i="3"/>
  <c r="E352" i="3"/>
  <c r="D352" i="3" s="1"/>
  <c r="F352" i="3" s="1"/>
  <c r="G352" i="3" s="1"/>
  <c r="H309" i="14" l="1"/>
  <c r="D310" i="14" s="1"/>
  <c r="D324" i="17"/>
  <c r="C324" i="17" s="1"/>
  <c r="G324" i="17" s="1"/>
  <c r="E324" i="17" s="1"/>
  <c r="F324" i="17" s="1"/>
  <c r="E256" i="16"/>
  <c r="H256" i="16" s="1"/>
  <c r="H334" i="19"/>
  <c r="D335" i="19" s="1"/>
  <c r="H352" i="3"/>
  <c r="C353" i="3"/>
  <c r="H324" i="17" l="1"/>
  <c r="O309" i="14"/>
  <c r="C310" i="14"/>
  <c r="G310" i="14" s="1"/>
  <c r="E310" i="14" s="1"/>
  <c r="F310" i="14" s="1"/>
  <c r="O324" i="17"/>
  <c r="D325" i="17"/>
  <c r="D257" i="16"/>
  <c r="O256" i="16"/>
  <c r="F256" i="16"/>
  <c r="O334" i="19"/>
  <c r="C335" i="19"/>
  <c r="G335" i="19" s="1"/>
  <c r="E335" i="19" s="1"/>
  <c r="F335" i="19" s="1"/>
  <c r="E353" i="3"/>
  <c r="D353" i="3" s="1"/>
  <c r="F353" i="3" s="1"/>
  <c r="G353" i="3" s="1"/>
  <c r="I353" i="3"/>
  <c r="H310" i="14" l="1"/>
  <c r="C325" i="17"/>
  <c r="G325" i="17" s="1"/>
  <c r="E325" i="17" s="1"/>
  <c r="F325" i="17" s="1"/>
  <c r="C257" i="16"/>
  <c r="G257" i="16" s="1"/>
  <c r="H335" i="19"/>
  <c r="O335" i="19" s="1"/>
  <c r="C354" i="3"/>
  <c r="H353" i="3"/>
  <c r="H325" i="17" l="1"/>
  <c r="D311" i="14"/>
  <c r="O310" i="14"/>
  <c r="D326" i="17"/>
  <c r="O325" i="17"/>
  <c r="E257" i="16"/>
  <c r="H257" i="16" s="1"/>
  <c r="D336" i="19"/>
  <c r="C336" i="19" s="1"/>
  <c r="G336" i="19" s="1"/>
  <c r="E336" i="19" s="1"/>
  <c r="F336" i="19" s="1"/>
  <c r="E354" i="3"/>
  <c r="D354" i="3" s="1"/>
  <c r="F354" i="3" s="1"/>
  <c r="G354" i="3" s="1"/>
  <c r="I354" i="3"/>
  <c r="C311" i="14" l="1"/>
  <c r="G311" i="14" s="1"/>
  <c r="E311" i="14" s="1"/>
  <c r="F311" i="14" s="1"/>
  <c r="C326" i="17"/>
  <c r="G326" i="17" s="1"/>
  <c r="E326" i="17" s="1"/>
  <c r="F326" i="17" s="1"/>
  <c r="D258" i="16"/>
  <c r="O257" i="16"/>
  <c r="F257" i="16"/>
  <c r="H336" i="19"/>
  <c r="D337" i="19" s="1"/>
  <c r="C355" i="3"/>
  <c r="H354" i="3"/>
  <c r="H326" i="17" l="1"/>
  <c r="O326" i="17" s="1"/>
  <c r="H311" i="14"/>
  <c r="D327" i="17"/>
  <c r="O336" i="19"/>
  <c r="C258" i="16"/>
  <c r="G258" i="16" s="1"/>
  <c r="C337" i="19"/>
  <c r="G337" i="19" s="1"/>
  <c r="E337" i="19" s="1"/>
  <c r="F337" i="19" s="1"/>
  <c r="E355" i="3"/>
  <c r="D355" i="3" s="1"/>
  <c r="F355" i="3" s="1"/>
  <c r="G355" i="3" s="1"/>
  <c r="I355" i="3"/>
  <c r="D312" i="14" l="1"/>
  <c r="O311" i="14"/>
  <c r="C327" i="17"/>
  <c r="G327" i="17" s="1"/>
  <c r="E327" i="17" s="1"/>
  <c r="F327" i="17" s="1"/>
  <c r="E258" i="16"/>
  <c r="H258" i="16" s="1"/>
  <c r="H337" i="19"/>
  <c r="O337" i="19" s="1"/>
  <c r="C356" i="3"/>
  <c r="H355" i="3"/>
  <c r="C312" i="14" l="1"/>
  <c r="G312" i="14" s="1"/>
  <c r="E312" i="14" s="1"/>
  <c r="F312" i="14" s="1"/>
  <c r="H327" i="17"/>
  <c r="D328" i="17" s="1"/>
  <c r="D338" i="19"/>
  <c r="C338" i="19" s="1"/>
  <c r="G338" i="19" s="1"/>
  <c r="E338" i="19" s="1"/>
  <c r="F338" i="19" s="1"/>
  <c r="D259" i="16"/>
  <c r="O258" i="16"/>
  <c r="F258" i="16"/>
  <c r="I356" i="3"/>
  <c r="E356" i="3"/>
  <c r="D356" i="3" s="1"/>
  <c r="F356" i="3" s="1"/>
  <c r="G356" i="3" s="1"/>
  <c r="O327" i="17" l="1"/>
  <c r="H312" i="14"/>
  <c r="O312" i="14" s="1"/>
  <c r="C328" i="17"/>
  <c r="G328" i="17" s="1"/>
  <c r="E328" i="17" s="1"/>
  <c r="F328" i="17" s="1"/>
  <c r="C259" i="16"/>
  <c r="G259" i="16" s="1"/>
  <c r="H338" i="19"/>
  <c r="O338" i="19" s="1"/>
  <c r="C357" i="3"/>
  <c r="H356" i="3"/>
  <c r="D313" i="14" l="1"/>
  <c r="C313" i="14" s="1"/>
  <c r="G313" i="14" s="1"/>
  <c r="E313" i="14" s="1"/>
  <c r="F313" i="14" s="1"/>
  <c r="H328" i="17"/>
  <c r="D329" i="17" s="1"/>
  <c r="E259" i="16"/>
  <c r="H259" i="16" s="1"/>
  <c r="D339" i="19"/>
  <c r="C339" i="19" s="1"/>
  <c r="G339" i="19" s="1"/>
  <c r="E339" i="19" s="1"/>
  <c r="F339" i="19" s="1"/>
  <c r="E357" i="3"/>
  <c r="D357" i="3" s="1"/>
  <c r="F357" i="3" s="1"/>
  <c r="G357" i="3" s="1"/>
  <c r="I357" i="3"/>
  <c r="O328" i="17" l="1"/>
  <c r="H313" i="14"/>
  <c r="C329" i="17"/>
  <c r="G329" i="17" s="1"/>
  <c r="E329" i="17" s="1"/>
  <c r="F329" i="17" s="1"/>
  <c r="O259" i="16"/>
  <c r="D260" i="16"/>
  <c r="I259" i="16"/>
  <c r="F259" i="16"/>
  <c r="H339" i="19"/>
  <c r="D340" i="19" s="1"/>
  <c r="C358" i="3"/>
  <c r="H357" i="3"/>
  <c r="D314" i="14" l="1"/>
  <c r="O313" i="14"/>
  <c r="H329" i="17"/>
  <c r="D330" i="17" s="1"/>
  <c r="O339" i="19"/>
  <c r="C260" i="16"/>
  <c r="G260" i="16" s="1"/>
  <c r="C340" i="19"/>
  <c r="G340" i="19" s="1"/>
  <c r="E340" i="19" s="1"/>
  <c r="F340" i="19" s="1"/>
  <c r="E358" i="3"/>
  <c r="D358" i="3" s="1"/>
  <c r="F358" i="3" s="1"/>
  <c r="G358" i="3" s="1"/>
  <c r="I358" i="3"/>
  <c r="O329" i="17" l="1"/>
  <c r="C314" i="14"/>
  <c r="G314" i="14" s="1"/>
  <c r="E314" i="14" s="1"/>
  <c r="F314" i="14" s="1"/>
  <c r="C330" i="17"/>
  <c r="G330" i="17" s="1"/>
  <c r="E330" i="17" s="1"/>
  <c r="F330" i="17" s="1"/>
  <c r="E260" i="16"/>
  <c r="H260" i="16" s="1"/>
  <c r="H340" i="19"/>
  <c r="O340" i="19" s="1"/>
  <c r="H358" i="3"/>
  <c r="C359" i="3"/>
  <c r="H314" i="14" l="1"/>
  <c r="O314" i="14" s="1"/>
  <c r="H330" i="17"/>
  <c r="D341" i="19"/>
  <c r="D261" i="16"/>
  <c r="O260" i="16"/>
  <c r="F260" i="16"/>
  <c r="C341" i="19"/>
  <c r="G341" i="19" s="1"/>
  <c r="E341" i="19" s="1"/>
  <c r="F341" i="19" s="1"/>
  <c r="E359" i="3"/>
  <c r="D359" i="3" s="1"/>
  <c r="F359" i="3" s="1"/>
  <c r="G359" i="3" s="1"/>
  <c r="I359" i="3"/>
  <c r="D315" i="14" l="1"/>
  <c r="C315" i="14" s="1"/>
  <c r="G315" i="14" s="1"/>
  <c r="E315" i="14" s="1"/>
  <c r="F315" i="14" s="1"/>
  <c r="O330" i="17"/>
  <c r="D331" i="17"/>
  <c r="C261" i="16"/>
  <c r="G261" i="16" s="1"/>
  <c r="H341" i="19"/>
  <c r="D342" i="19" s="1"/>
  <c r="H359" i="3"/>
  <c r="C360" i="3"/>
  <c r="H315" i="14" l="1"/>
  <c r="O315" i="14" s="1"/>
  <c r="C331" i="17"/>
  <c r="G331" i="17" s="1"/>
  <c r="E331" i="17" s="1"/>
  <c r="F331" i="17" s="1"/>
  <c r="E261" i="16"/>
  <c r="H261" i="16" s="1"/>
  <c r="O341" i="19"/>
  <c r="C342" i="19"/>
  <c r="G342" i="19" s="1"/>
  <c r="E342" i="19" s="1"/>
  <c r="F342" i="19" s="1"/>
  <c r="E360" i="3"/>
  <c r="D360" i="3" s="1"/>
  <c r="F360" i="3" s="1"/>
  <c r="G360" i="3" s="1"/>
  <c r="I360" i="3"/>
  <c r="D316" i="14" l="1"/>
  <c r="C316" i="14" s="1"/>
  <c r="G316" i="14" s="1"/>
  <c r="E316" i="14" s="1"/>
  <c r="F316" i="14" s="1"/>
  <c r="H331" i="17"/>
  <c r="D262" i="16"/>
  <c r="O261" i="16"/>
  <c r="F261" i="16"/>
  <c r="H342" i="19"/>
  <c r="H360" i="3"/>
  <c r="C361" i="3"/>
  <c r="H316" i="14" l="1"/>
  <c r="I331" i="17"/>
  <c r="D332" i="17"/>
  <c r="O331" i="17"/>
  <c r="C262" i="16"/>
  <c r="G262" i="16" s="1"/>
  <c r="E262" i="16" s="1"/>
  <c r="F262" i="16" s="1"/>
  <c r="O342" i="19"/>
  <c r="D343" i="19"/>
  <c r="I361" i="3"/>
  <c r="E361" i="3"/>
  <c r="D361" i="3" s="1"/>
  <c r="F361" i="3" s="1"/>
  <c r="G361" i="3" s="1"/>
  <c r="D317" i="14" l="1"/>
  <c r="O316" i="14"/>
  <c r="C332" i="17"/>
  <c r="G332" i="17" s="1"/>
  <c r="E332" i="17" s="1"/>
  <c r="F332" i="17" s="1"/>
  <c r="H262" i="16"/>
  <c r="O262" i="16" s="1"/>
  <c r="C343" i="19"/>
  <c r="G343" i="19" s="1"/>
  <c r="E343" i="19" s="1"/>
  <c r="F343" i="19" s="1"/>
  <c r="H361" i="3"/>
  <c r="C362" i="3"/>
  <c r="C317" i="14" l="1"/>
  <c r="G317" i="14" s="1"/>
  <c r="E317" i="14" s="1"/>
  <c r="F317" i="14" s="1"/>
  <c r="H332" i="17"/>
  <c r="O332" i="17" s="1"/>
  <c r="D263" i="16"/>
  <c r="C263" i="16" s="1"/>
  <c r="G263" i="16" s="1"/>
  <c r="H343" i="19"/>
  <c r="E362" i="3"/>
  <c r="D362" i="3" s="1"/>
  <c r="F362" i="3" s="1"/>
  <c r="G362" i="3" s="1"/>
  <c r="I362" i="3"/>
  <c r="D333" i="17" l="1"/>
  <c r="C333" i="17" s="1"/>
  <c r="G333" i="17" s="1"/>
  <c r="E333" i="17" s="1"/>
  <c r="F333" i="17" s="1"/>
  <c r="H317" i="14"/>
  <c r="E263" i="16"/>
  <c r="H263" i="16" s="1"/>
  <c r="I343" i="19"/>
  <c r="D344" i="19"/>
  <c r="O343" i="19"/>
  <c r="H362" i="3"/>
  <c r="C363" i="3"/>
  <c r="O317" i="14" l="1"/>
  <c r="D318" i="14"/>
  <c r="H333" i="17"/>
  <c r="D334" i="17" s="1"/>
  <c r="D264" i="16"/>
  <c r="O263" i="16"/>
  <c r="F263" i="16"/>
  <c r="C344" i="19"/>
  <c r="G344" i="19" s="1"/>
  <c r="E344" i="19" s="1"/>
  <c r="F344" i="19" s="1"/>
  <c r="E363" i="3"/>
  <c r="D363" i="3" s="1"/>
  <c r="F363" i="3" s="1"/>
  <c r="G363" i="3" s="1"/>
  <c r="I363" i="3"/>
  <c r="C318" i="14" l="1"/>
  <c r="G318" i="14" s="1"/>
  <c r="E318" i="14" s="1"/>
  <c r="F318" i="14" s="1"/>
  <c r="O333" i="17"/>
  <c r="C334" i="17"/>
  <c r="G334" i="17" s="1"/>
  <c r="E334" i="17" s="1"/>
  <c r="F334" i="17" s="1"/>
  <c r="C264" i="16"/>
  <c r="G264" i="16" s="1"/>
  <c r="E264" i="16" s="1"/>
  <c r="F264" i="16" s="1"/>
  <c r="H344" i="19"/>
  <c r="H363" i="3"/>
  <c r="C364" i="3"/>
  <c r="H334" i="17" l="1"/>
  <c r="O334" i="17" s="1"/>
  <c r="H318" i="14"/>
  <c r="H264" i="16"/>
  <c r="O264" i="16" s="1"/>
  <c r="O344" i="19"/>
  <c r="D345" i="19"/>
  <c r="E364" i="3"/>
  <c r="D364" i="3" s="1"/>
  <c r="F364" i="3" s="1"/>
  <c r="G364" i="3" s="1"/>
  <c r="I364" i="3"/>
  <c r="D335" i="17" l="1"/>
  <c r="O318" i="14"/>
  <c r="D319" i="14"/>
  <c r="C335" i="17"/>
  <c r="G335" i="17" s="1"/>
  <c r="E335" i="17" s="1"/>
  <c r="F335" i="17" s="1"/>
  <c r="D265" i="16"/>
  <c r="C265" i="16" s="1"/>
  <c r="G265" i="16" s="1"/>
  <c r="E265" i="16" s="1"/>
  <c r="C345" i="19"/>
  <c r="G345" i="19" s="1"/>
  <c r="E345" i="19" s="1"/>
  <c r="F345" i="19" s="1"/>
  <c r="C365" i="3"/>
  <c r="H364" i="3"/>
  <c r="H335" i="17" l="1"/>
  <c r="D336" i="17" s="1"/>
  <c r="C319" i="14"/>
  <c r="G319" i="14" s="1"/>
  <c r="E319" i="14" s="1"/>
  <c r="F319" i="14" s="1"/>
  <c r="F265" i="16"/>
  <c r="H265" i="16"/>
  <c r="H345" i="19"/>
  <c r="D346" i="19" s="1"/>
  <c r="E365" i="3"/>
  <c r="D365" i="3" s="1"/>
  <c r="F365" i="3" s="1"/>
  <c r="G365" i="3" s="1"/>
  <c r="I365" i="3"/>
  <c r="O335" i="17" l="1"/>
  <c r="H319" i="14"/>
  <c r="C336" i="17"/>
  <c r="G336" i="17" s="1"/>
  <c r="E336" i="17" s="1"/>
  <c r="F336" i="17" s="1"/>
  <c r="D266" i="16"/>
  <c r="O265" i="16"/>
  <c r="O345" i="19"/>
  <c r="C346" i="19"/>
  <c r="G346" i="19" s="1"/>
  <c r="E346" i="19" s="1"/>
  <c r="F346" i="19" s="1"/>
  <c r="C366" i="3"/>
  <c r="H365" i="3"/>
  <c r="I319" i="14" l="1"/>
  <c r="D320" i="14"/>
  <c r="O319" i="14"/>
  <c r="H336" i="17"/>
  <c r="O336" i="17" s="1"/>
  <c r="C266" i="16"/>
  <c r="G266" i="16" s="1"/>
  <c r="E266" i="16" s="1"/>
  <c r="F266" i="16" s="1"/>
  <c r="H346" i="19"/>
  <c r="O346" i="19" s="1"/>
  <c r="E366" i="3"/>
  <c r="D366" i="3" s="1"/>
  <c r="F366" i="3" s="1"/>
  <c r="G366" i="3" s="1"/>
  <c r="I366" i="3"/>
  <c r="D337" i="17" l="1"/>
  <c r="C337" i="17" s="1"/>
  <c r="G337" i="17" s="1"/>
  <c r="E337" i="17" s="1"/>
  <c r="F337" i="17" s="1"/>
  <c r="C320" i="14"/>
  <c r="G320" i="14" s="1"/>
  <c r="E320" i="14" s="1"/>
  <c r="F320" i="14" s="1"/>
  <c r="H266" i="16"/>
  <c r="D267" i="16" s="1"/>
  <c r="D347" i="19"/>
  <c r="C347" i="19" s="1"/>
  <c r="G347" i="19" s="1"/>
  <c r="E347" i="19" s="1"/>
  <c r="F347" i="19" s="1"/>
  <c r="C367" i="3"/>
  <c r="H366" i="3"/>
  <c r="H320" i="14" l="1"/>
  <c r="O320" i="14" s="1"/>
  <c r="H337" i="17"/>
  <c r="D338" i="17" s="1"/>
  <c r="O266" i="16"/>
  <c r="C267" i="16"/>
  <c r="G267" i="16" s="1"/>
  <c r="E267" i="16" s="1"/>
  <c r="F267" i="16" s="1"/>
  <c r="H347" i="19"/>
  <c r="O347" i="19" s="1"/>
  <c r="E367" i="3"/>
  <c r="D367" i="3" s="1"/>
  <c r="F367" i="3" s="1"/>
  <c r="G367" i="3" s="1"/>
  <c r="I367" i="3"/>
  <c r="O337" i="17" l="1"/>
  <c r="D321" i="14"/>
  <c r="C321" i="14" s="1"/>
  <c r="G321" i="14" s="1"/>
  <c r="E321" i="14" s="1"/>
  <c r="F321" i="14" s="1"/>
  <c r="C338" i="17"/>
  <c r="G338" i="17" s="1"/>
  <c r="E338" i="17" s="1"/>
  <c r="F338" i="17" s="1"/>
  <c r="H267" i="16"/>
  <c r="O267" i="16" s="1"/>
  <c r="D348" i="19"/>
  <c r="C348" i="19" s="1"/>
  <c r="G348" i="19" s="1"/>
  <c r="E348" i="19" s="1"/>
  <c r="F348" i="19" s="1"/>
  <c r="C368" i="3"/>
  <c r="H367" i="3"/>
  <c r="H321" i="14" l="1"/>
  <c r="H338" i="17"/>
  <c r="D268" i="16"/>
  <c r="C268" i="16" s="1"/>
  <c r="G268" i="16" s="1"/>
  <c r="E268" i="16" s="1"/>
  <c r="F268" i="16" s="1"/>
  <c r="H348" i="19"/>
  <c r="I368" i="3"/>
  <c r="E368" i="3"/>
  <c r="D368" i="3" s="1"/>
  <c r="F368" i="3" s="1"/>
  <c r="G368" i="3" s="1"/>
  <c r="D322" i="14" l="1"/>
  <c r="O321" i="14"/>
  <c r="O338" i="17"/>
  <c r="D339" i="17"/>
  <c r="H268" i="16"/>
  <c r="D269" i="16" s="1"/>
  <c r="D349" i="19"/>
  <c r="O348" i="19"/>
  <c r="C369" i="3"/>
  <c r="H368" i="3"/>
  <c r="C322" i="14" l="1"/>
  <c r="G322" i="14" s="1"/>
  <c r="E322" i="14" s="1"/>
  <c r="F322" i="14" s="1"/>
  <c r="C339" i="17"/>
  <c r="G339" i="17" s="1"/>
  <c r="E339" i="17" s="1"/>
  <c r="F339" i="17" s="1"/>
  <c r="O268" i="16"/>
  <c r="C269" i="16"/>
  <c r="G269" i="16" s="1"/>
  <c r="E269" i="16" s="1"/>
  <c r="F269" i="16" s="1"/>
  <c r="C349" i="19"/>
  <c r="G349" i="19" s="1"/>
  <c r="E349" i="19" s="1"/>
  <c r="F349" i="19" s="1"/>
  <c r="I369" i="3"/>
  <c r="E369" i="3"/>
  <c r="D369" i="3" s="1"/>
  <c r="F369" i="3" s="1"/>
  <c r="G369" i="3" s="1"/>
  <c r="H322" i="14" l="1"/>
  <c r="D323" i="14" s="1"/>
  <c r="H339" i="17"/>
  <c r="D340" i="17" s="1"/>
  <c r="H269" i="16"/>
  <c r="H349" i="19"/>
  <c r="H369" i="3"/>
  <c r="C370" i="3"/>
  <c r="O322" i="14" l="1"/>
  <c r="O339" i="17"/>
  <c r="C323" i="14"/>
  <c r="G323" i="14" s="1"/>
  <c r="E323" i="14" s="1"/>
  <c r="F323" i="14" s="1"/>
  <c r="C340" i="17"/>
  <c r="G340" i="17" s="1"/>
  <c r="E340" i="17" s="1"/>
  <c r="F340" i="17" s="1"/>
  <c r="O269" i="16"/>
  <c r="D270" i="16"/>
  <c r="O349" i="19"/>
  <c r="D350" i="19"/>
  <c r="I370" i="3"/>
  <c r="E370" i="3"/>
  <c r="D370" i="3" s="1"/>
  <c r="F370" i="3" s="1"/>
  <c r="G370" i="3" s="1"/>
  <c r="H340" i="17" l="1"/>
  <c r="D341" i="17" s="1"/>
  <c r="H323" i="14"/>
  <c r="D324" i="14" s="1"/>
  <c r="C270" i="16"/>
  <c r="G270" i="16" s="1"/>
  <c r="E270" i="16" s="1"/>
  <c r="F270" i="16" s="1"/>
  <c r="C350" i="19"/>
  <c r="G350" i="19" s="1"/>
  <c r="E350" i="19" s="1"/>
  <c r="F350" i="19" s="1"/>
  <c r="H370" i="3"/>
  <c r="C371" i="3"/>
  <c r="O340" i="17" l="1"/>
  <c r="O323" i="14"/>
  <c r="C324" i="14"/>
  <c r="G324" i="14" s="1"/>
  <c r="E324" i="14" s="1"/>
  <c r="F324" i="14" s="1"/>
  <c r="C341" i="17"/>
  <c r="G341" i="17" s="1"/>
  <c r="E341" i="17" s="1"/>
  <c r="F341" i="17" s="1"/>
  <c r="H270" i="16"/>
  <c r="H350" i="19"/>
  <c r="E371" i="3"/>
  <c r="D371" i="3" s="1"/>
  <c r="F371" i="3" s="1"/>
  <c r="G371" i="3" s="1"/>
  <c r="I371" i="3"/>
  <c r="H324" i="14" l="1"/>
  <c r="H341" i="17"/>
  <c r="O341" i="17" s="1"/>
  <c r="O270" i="16"/>
  <c r="D271" i="16"/>
  <c r="D351" i="19"/>
  <c r="O350" i="19"/>
  <c r="C372" i="3"/>
  <c r="H371" i="3"/>
  <c r="O324" i="14" l="1"/>
  <c r="D325" i="14"/>
  <c r="D342" i="17"/>
  <c r="C342" i="17" s="1"/>
  <c r="G342" i="17" s="1"/>
  <c r="E342" i="17" s="1"/>
  <c r="F342" i="17" s="1"/>
  <c r="C271" i="16"/>
  <c r="G271" i="16" s="1"/>
  <c r="E271" i="16" s="1"/>
  <c r="F271" i="16" s="1"/>
  <c r="C351" i="19"/>
  <c r="G351" i="19" s="1"/>
  <c r="E351" i="19" s="1"/>
  <c r="F351" i="19" s="1"/>
  <c r="E372" i="3"/>
  <c r="D372" i="3" s="1"/>
  <c r="F372" i="3" s="1"/>
  <c r="G372" i="3" s="1"/>
  <c r="I372" i="3"/>
  <c r="C325" i="14" l="1"/>
  <c r="G325" i="14" s="1"/>
  <c r="E325" i="14" s="1"/>
  <c r="F325" i="14" s="1"/>
  <c r="H342" i="17"/>
  <c r="O342" i="17" s="1"/>
  <c r="H271" i="16"/>
  <c r="I271" i="16" s="1"/>
  <c r="H351" i="19"/>
  <c r="H372" i="3"/>
  <c r="C373" i="3"/>
  <c r="H325" i="14" l="1"/>
  <c r="D343" i="17"/>
  <c r="C343" i="17" s="1"/>
  <c r="G343" i="17" s="1"/>
  <c r="E343" i="17" s="1"/>
  <c r="F343" i="17" s="1"/>
  <c r="O271" i="16"/>
  <c r="D272" i="16"/>
  <c r="C272" i="16" s="1"/>
  <c r="G272" i="16" s="1"/>
  <c r="E272" i="16" s="1"/>
  <c r="F272" i="16" s="1"/>
  <c r="D352" i="19"/>
  <c r="O351" i="19"/>
  <c r="I373" i="3"/>
  <c r="E373" i="3"/>
  <c r="D373" i="3" s="1"/>
  <c r="F373" i="3" s="1"/>
  <c r="G373" i="3" s="1"/>
  <c r="O325" i="14" l="1"/>
  <c r="D326" i="14"/>
  <c r="H343" i="17"/>
  <c r="O343" i="17" s="1"/>
  <c r="H272" i="16"/>
  <c r="O272" i="16" s="1"/>
  <c r="C352" i="19"/>
  <c r="G352" i="19" s="1"/>
  <c r="E352" i="19" s="1"/>
  <c r="F352" i="19" s="1"/>
  <c r="H373" i="3"/>
  <c r="C374" i="3"/>
  <c r="D344" i="17" l="1"/>
  <c r="I343" i="17"/>
  <c r="C326" i="14"/>
  <c r="G326" i="14" s="1"/>
  <c r="E326" i="14" s="1"/>
  <c r="F326" i="14" s="1"/>
  <c r="C344" i="17"/>
  <c r="G344" i="17" s="1"/>
  <c r="E344" i="17" s="1"/>
  <c r="F344" i="17" s="1"/>
  <c r="D273" i="16"/>
  <c r="C273" i="16" s="1"/>
  <c r="G273" i="16" s="1"/>
  <c r="E273" i="16" s="1"/>
  <c r="F273" i="16" s="1"/>
  <c r="H352" i="19"/>
  <c r="O352" i="19" s="1"/>
  <c r="E374" i="3"/>
  <c r="D374" i="3" s="1"/>
  <c r="F374" i="3" s="1"/>
  <c r="G374" i="3" s="1"/>
  <c r="I374" i="3"/>
  <c r="H326" i="14" l="1"/>
  <c r="H344" i="17"/>
  <c r="D345" i="17" s="1"/>
  <c r="D353" i="19"/>
  <c r="C353" i="19" s="1"/>
  <c r="G353" i="19" s="1"/>
  <c r="E353" i="19" s="1"/>
  <c r="F353" i="19" s="1"/>
  <c r="H273" i="16"/>
  <c r="O273" i="16" s="1"/>
  <c r="C375" i="3"/>
  <c r="H374" i="3"/>
  <c r="O344" i="17" l="1"/>
  <c r="D327" i="14"/>
  <c r="O326" i="14"/>
  <c r="C345" i="17"/>
  <c r="G345" i="17" s="1"/>
  <c r="E345" i="17" s="1"/>
  <c r="F345" i="17" s="1"/>
  <c r="D274" i="16"/>
  <c r="C274" i="16" s="1"/>
  <c r="G274" i="16" s="1"/>
  <c r="E274" i="16" s="1"/>
  <c r="F274" i="16" s="1"/>
  <c r="H353" i="19"/>
  <c r="E375" i="3"/>
  <c r="D375" i="3" s="1"/>
  <c r="F375" i="3" s="1"/>
  <c r="G375" i="3" s="1"/>
  <c r="I375" i="3"/>
  <c r="C327" i="14" l="1"/>
  <c r="G327" i="14" s="1"/>
  <c r="E327" i="14" s="1"/>
  <c r="F327" i="14" s="1"/>
  <c r="H345" i="17"/>
  <c r="O345" i="17" s="1"/>
  <c r="H274" i="16"/>
  <c r="D275" i="16" s="1"/>
  <c r="O353" i="19"/>
  <c r="D354" i="19"/>
  <c r="C376" i="3"/>
  <c r="H375" i="3"/>
  <c r="H327" i="14" l="1"/>
  <c r="O327" i="14" s="1"/>
  <c r="D346" i="17"/>
  <c r="C346" i="17" s="1"/>
  <c r="G346" i="17" s="1"/>
  <c r="E346" i="17" s="1"/>
  <c r="F346" i="17" s="1"/>
  <c r="O274" i="16"/>
  <c r="C275" i="16"/>
  <c r="G275" i="16" s="1"/>
  <c r="E275" i="16" s="1"/>
  <c r="F275" i="16" s="1"/>
  <c r="C354" i="19"/>
  <c r="G354" i="19" s="1"/>
  <c r="E354" i="19" s="1"/>
  <c r="F354" i="19" s="1"/>
  <c r="I376" i="3"/>
  <c r="E376" i="3"/>
  <c r="D376" i="3" s="1"/>
  <c r="F376" i="3" s="1"/>
  <c r="G376" i="3" s="1"/>
  <c r="D328" i="14" l="1"/>
  <c r="C328" i="14" s="1"/>
  <c r="G328" i="14" s="1"/>
  <c r="E328" i="14" s="1"/>
  <c r="F328" i="14" s="1"/>
  <c r="H346" i="17"/>
  <c r="D347" i="17" s="1"/>
  <c r="H275" i="16"/>
  <c r="D276" i="16" s="1"/>
  <c r="H354" i="19"/>
  <c r="C377" i="3"/>
  <c r="H376" i="3"/>
  <c r="H328" i="14" l="1"/>
  <c r="O346" i="17"/>
  <c r="C347" i="17"/>
  <c r="G347" i="17" s="1"/>
  <c r="E347" i="17" s="1"/>
  <c r="F347" i="17" s="1"/>
  <c r="O275" i="16"/>
  <c r="C276" i="16"/>
  <c r="G276" i="16" s="1"/>
  <c r="E276" i="16" s="1"/>
  <c r="F276" i="16" s="1"/>
  <c r="D355" i="19"/>
  <c r="O354" i="19"/>
  <c r="E377" i="3"/>
  <c r="D377" i="3" s="1"/>
  <c r="F377" i="3" s="1"/>
  <c r="G377" i="3" s="1"/>
  <c r="I377" i="3"/>
  <c r="O328" i="14" l="1"/>
  <c r="D329" i="14"/>
  <c r="H347" i="17"/>
  <c r="O347" i="17" s="1"/>
  <c r="H276" i="16"/>
  <c r="O276" i="16" s="1"/>
  <c r="C355" i="19"/>
  <c r="G355" i="19" s="1"/>
  <c r="E355" i="19" s="1"/>
  <c r="F355" i="19" s="1"/>
  <c r="C378" i="3"/>
  <c r="H377" i="3"/>
  <c r="C329" i="14" l="1"/>
  <c r="G329" i="14" s="1"/>
  <c r="E329" i="14" s="1"/>
  <c r="F329" i="14" s="1"/>
  <c r="D348" i="17"/>
  <c r="C348" i="17" s="1"/>
  <c r="G348" i="17" s="1"/>
  <c r="D277" i="16"/>
  <c r="C277" i="16" s="1"/>
  <c r="G277" i="16" s="1"/>
  <c r="E277" i="16" s="1"/>
  <c r="F277" i="16" s="1"/>
  <c r="H355" i="19"/>
  <c r="E378" i="3"/>
  <c r="D378" i="3" s="1"/>
  <c r="F378" i="3" s="1"/>
  <c r="G378" i="3" s="1"/>
  <c r="I378" i="3"/>
  <c r="E348" i="17" l="1"/>
  <c r="F348" i="17" s="1"/>
  <c r="H329" i="14"/>
  <c r="H277" i="16"/>
  <c r="O277" i="16" s="1"/>
  <c r="D356" i="19"/>
  <c r="O355" i="19"/>
  <c r="I355" i="19"/>
  <c r="C379" i="3"/>
  <c r="H378" i="3"/>
  <c r="H348" i="17" l="1"/>
  <c r="O329" i="14"/>
  <c r="D330" i="14"/>
  <c r="D278" i="16"/>
  <c r="C278" i="16" s="1"/>
  <c r="G278" i="16" s="1"/>
  <c r="E278" i="16" s="1"/>
  <c r="F278" i="16" s="1"/>
  <c r="C356" i="19"/>
  <c r="G356" i="19" s="1"/>
  <c r="E356" i="19" s="1"/>
  <c r="F356" i="19" s="1"/>
  <c r="I379" i="3"/>
  <c r="E379" i="3"/>
  <c r="D379" i="3" s="1"/>
  <c r="F379" i="3" s="1"/>
  <c r="G379" i="3" s="1"/>
  <c r="O348" i="17" l="1"/>
  <c r="D349" i="17"/>
  <c r="C349" i="17" s="1"/>
  <c r="G349" i="17" s="1"/>
  <c r="E349" i="17" s="1"/>
  <c r="F349" i="17" s="1"/>
  <c r="C330" i="14"/>
  <c r="G330" i="14" s="1"/>
  <c r="E330" i="14" s="1"/>
  <c r="F330" i="14" s="1"/>
  <c r="H278" i="16"/>
  <c r="O278" i="16" s="1"/>
  <c r="H356" i="19"/>
  <c r="H379" i="3"/>
  <c r="C380" i="3"/>
  <c r="H349" i="17" l="1"/>
  <c r="H330" i="14"/>
  <c r="O330" i="14" s="1"/>
  <c r="D279" i="16"/>
  <c r="C279" i="16" s="1"/>
  <c r="G279" i="16" s="1"/>
  <c r="E279" i="16" s="1"/>
  <c r="F279" i="16" s="1"/>
  <c r="O356" i="19"/>
  <c r="D357" i="19"/>
  <c r="I380" i="3"/>
  <c r="E380" i="3"/>
  <c r="D380" i="3" s="1"/>
  <c r="F380" i="3" s="1"/>
  <c r="G380" i="3" s="1"/>
  <c r="D350" i="17" l="1"/>
  <c r="C350" i="17" s="1"/>
  <c r="G350" i="17" s="1"/>
  <c r="E350" i="17" s="1"/>
  <c r="F350" i="17" s="1"/>
  <c r="O349" i="17"/>
  <c r="D331" i="14"/>
  <c r="C331" i="14" s="1"/>
  <c r="G331" i="14" s="1"/>
  <c r="E331" i="14" s="1"/>
  <c r="F331" i="14" s="1"/>
  <c r="H279" i="16"/>
  <c r="D280" i="16" s="1"/>
  <c r="C357" i="19"/>
  <c r="G357" i="19" s="1"/>
  <c r="E357" i="19" s="1"/>
  <c r="F357" i="19" s="1"/>
  <c r="C381" i="3"/>
  <c r="H380" i="3"/>
  <c r="H350" i="17" l="1"/>
  <c r="O350" i="17" s="1"/>
  <c r="H331" i="14"/>
  <c r="D351" i="17"/>
  <c r="C351" i="17" s="1"/>
  <c r="G351" i="17" s="1"/>
  <c r="E351" i="17" s="1"/>
  <c r="F351" i="17" s="1"/>
  <c r="O279" i="16"/>
  <c r="C280" i="16"/>
  <c r="G280" i="16" s="1"/>
  <c r="E280" i="16" s="1"/>
  <c r="F280" i="16" s="1"/>
  <c r="H357" i="19"/>
  <c r="I381" i="3"/>
  <c r="E381" i="3"/>
  <c r="D381" i="3" s="1"/>
  <c r="F381" i="3" s="1"/>
  <c r="G381" i="3" s="1"/>
  <c r="D332" i="14" l="1"/>
  <c r="I331" i="14"/>
  <c r="O331" i="14"/>
  <c r="H351" i="17"/>
  <c r="O351" i="17" s="1"/>
  <c r="H280" i="16"/>
  <c r="O280" i="16" s="1"/>
  <c r="O357" i="19"/>
  <c r="D358" i="19"/>
  <c r="C382" i="3"/>
  <c r="H381" i="3"/>
  <c r="D352" i="17" l="1"/>
  <c r="C332" i="14"/>
  <c r="G332" i="14" s="1"/>
  <c r="E332" i="14" s="1"/>
  <c r="F332" i="14" s="1"/>
  <c r="C352" i="17"/>
  <c r="G352" i="17" s="1"/>
  <c r="E352" i="17" s="1"/>
  <c r="F352" i="17" s="1"/>
  <c r="D281" i="16"/>
  <c r="C281" i="16" s="1"/>
  <c r="G281" i="16" s="1"/>
  <c r="E281" i="16" s="1"/>
  <c r="F281" i="16" s="1"/>
  <c r="C358" i="19"/>
  <c r="G358" i="19" s="1"/>
  <c r="E358" i="19" s="1"/>
  <c r="F358" i="19" s="1"/>
  <c r="I382" i="3"/>
  <c r="E382" i="3"/>
  <c r="D382" i="3" s="1"/>
  <c r="F382" i="3" s="1"/>
  <c r="G382" i="3" s="1"/>
  <c r="H332" i="14" l="1"/>
  <c r="H352" i="17"/>
  <c r="H281" i="16"/>
  <c r="O281" i="16" s="1"/>
  <c r="H358" i="19"/>
  <c r="H382" i="3"/>
  <c r="C383" i="3"/>
  <c r="D333" i="14" l="1"/>
  <c r="O332" i="14"/>
  <c r="O352" i="17"/>
  <c r="D353" i="17"/>
  <c r="D282" i="16"/>
  <c r="C282" i="16" s="1"/>
  <c r="G282" i="16" s="1"/>
  <c r="E282" i="16" s="1"/>
  <c r="F282" i="16" s="1"/>
  <c r="O358" i="19"/>
  <c r="D359" i="19"/>
  <c r="E383" i="3"/>
  <c r="D383" i="3" s="1"/>
  <c r="F383" i="3" s="1"/>
  <c r="G383" i="3" s="1"/>
  <c r="I383" i="3"/>
  <c r="C333" i="14" l="1"/>
  <c r="G333" i="14" s="1"/>
  <c r="E333" i="14" s="1"/>
  <c r="F333" i="14" s="1"/>
  <c r="C353" i="17"/>
  <c r="G353" i="17" s="1"/>
  <c r="E353" i="17" s="1"/>
  <c r="F353" i="17" s="1"/>
  <c r="H282" i="16"/>
  <c r="O282" i="16" s="1"/>
  <c r="C359" i="19"/>
  <c r="G359" i="19" s="1"/>
  <c r="E359" i="19" s="1"/>
  <c r="F359" i="19" s="1"/>
  <c r="C384" i="3"/>
  <c r="H383" i="3"/>
  <c r="H333" i="14" l="1"/>
  <c r="H353" i="17"/>
  <c r="O353" i="17" s="1"/>
  <c r="D283" i="16"/>
  <c r="C283" i="16" s="1"/>
  <c r="G283" i="16" s="1"/>
  <c r="E283" i="16" s="1"/>
  <c r="F283" i="16" s="1"/>
  <c r="H359" i="19"/>
  <c r="E384" i="3"/>
  <c r="D384" i="3" s="1"/>
  <c r="F384" i="3" s="1"/>
  <c r="G384" i="3" s="1"/>
  <c r="I384" i="3"/>
  <c r="O333" i="14" l="1"/>
  <c r="D334" i="14"/>
  <c r="D354" i="17"/>
  <c r="C354" i="17" s="1"/>
  <c r="G354" i="17" s="1"/>
  <c r="H283" i="16"/>
  <c r="D284" i="16" s="1"/>
  <c r="D360" i="19"/>
  <c r="O359" i="19"/>
  <c r="C385" i="3"/>
  <c r="H384" i="3"/>
  <c r="C334" i="14" l="1"/>
  <c r="G334" i="14" s="1"/>
  <c r="E334" i="14" s="1"/>
  <c r="F334" i="14" s="1"/>
  <c r="E354" i="17"/>
  <c r="F354" i="17" s="1"/>
  <c r="O283" i="16"/>
  <c r="I283" i="16"/>
  <c r="C284" i="16"/>
  <c r="G284" i="16" s="1"/>
  <c r="E284" i="16" s="1"/>
  <c r="F284" i="16" s="1"/>
  <c r="C360" i="19"/>
  <c r="G360" i="19" s="1"/>
  <c r="E360" i="19" s="1"/>
  <c r="F360" i="19" s="1"/>
  <c r="I385" i="3"/>
  <c r="E385" i="3"/>
  <c r="D385" i="3" s="1"/>
  <c r="F385" i="3" s="1"/>
  <c r="G385" i="3" s="1"/>
  <c r="H334" i="14" l="1"/>
  <c r="D335" i="14" s="1"/>
  <c r="H354" i="17"/>
  <c r="H284" i="16"/>
  <c r="O284" i="16" s="1"/>
  <c r="H360" i="19"/>
  <c r="H385" i="3"/>
  <c r="C386" i="3"/>
  <c r="O334" i="14" l="1"/>
  <c r="C335" i="14"/>
  <c r="G335" i="14" s="1"/>
  <c r="E335" i="14" s="1"/>
  <c r="F335" i="14" s="1"/>
  <c r="D355" i="17"/>
  <c r="O354" i="17"/>
  <c r="D285" i="16"/>
  <c r="C285" i="16" s="1"/>
  <c r="G285" i="16" s="1"/>
  <c r="E285" i="16" s="1"/>
  <c r="F285" i="16" s="1"/>
  <c r="D361" i="19"/>
  <c r="O360" i="19"/>
  <c r="E386" i="3"/>
  <c r="D386" i="3" s="1"/>
  <c r="F386" i="3" s="1"/>
  <c r="G386" i="3" s="1"/>
  <c r="I386" i="3"/>
  <c r="H335" i="14" l="1"/>
  <c r="C355" i="17"/>
  <c r="G355" i="17" s="1"/>
  <c r="E355" i="17" s="1"/>
  <c r="F355" i="17" s="1"/>
  <c r="H285" i="16"/>
  <c r="O285" i="16" s="1"/>
  <c r="C361" i="19"/>
  <c r="G361" i="19" s="1"/>
  <c r="E361" i="19" s="1"/>
  <c r="F361" i="19" s="1"/>
  <c r="C387" i="3"/>
  <c r="H386" i="3"/>
  <c r="O335" i="14" l="1"/>
  <c r="D336" i="14"/>
  <c r="H355" i="17"/>
  <c r="D286" i="16"/>
  <c r="C286" i="16" s="1"/>
  <c r="G286" i="16" s="1"/>
  <c r="E286" i="16" s="1"/>
  <c r="F286" i="16" s="1"/>
  <c r="H361" i="19"/>
  <c r="D362" i="19" s="1"/>
  <c r="E387" i="3"/>
  <c r="D387" i="3" s="1"/>
  <c r="F387" i="3" s="1"/>
  <c r="G387" i="3" s="1"/>
  <c r="I387" i="3"/>
  <c r="C336" i="14" l="1"/>
  <c r="G336" i="14" s="1"/>
  <c r="E336" i="14" s="1"/>
  <c r="F336" i="14" s="1"/>
  <c r="I355" i="17"/>
  <c r="O355" i="17"/>
  <c r="D356" i="17"/>
  <c r="H286" i="16"/>
  <c r="D287" i="16" s="1"/>
  <c r="O361" i="19"/>
  <c r="C362" i="19"/>
  <c r="G362" i="19" s="1"/>
  <c r="E362" i="19" s="1"/>
  <c r="F362" i="19" s="1"/>
  <c r="C388" i="3"/>
  <c r="H387" i="3"/>
  <c r="H336" i="14" l="1"/>
  <c r="C356" i="17"/>
  <c r="G356" i="17" s="1"/>
  <c r="E356" i="17" s="1"/>
  <c r="F356" i="17" s="1"/>
  <c r="O286" i="16"/>
  <c r="C287" i="16"/>
  <c r="G287" i="16" s="1"/>
  <c r="E287" i="16" s="1"/>
  <c r="F287" i="16" s="1"/>
  <c r="H362" i="19"/>
  <c r="I388" i="3"/>
  <c r="E388" i="3"/>
  <c r="D388" i="3" s="1"/>
  <c r="F388" i="3" s="1"/>
  <c r="G388" i="3" s="1"/>
  <c r="D337" i="14" l="1"/>
  <c r="O336" i="14"/>
  <c r="H356" i="17"/>
  <c r="O356" i="17" s="1"/>
  <c r="H287" i="16"/>
  <c r="O287" i="16" s="1"/>
  <c r="D363" i="19"/>
  <c r="O362" i="19"/>
  <c r="H388" i="3"/>
  <c r="C389" i="3"/>
  <c r="D357" i="17" l="1"/>
  <c r="C357" i="17" s="1"/>
  <c r="G357" i="17" s="1"/>
  <c r="E357" i="17" s="1"/>
  <c r="F357" i="17" s="1"/>
  <c r="C337" i="14"/>
  <c r="G337" i="14" s="1"/>
  <c r="E337" i="14" s="1"/>
  <c r="F337" i="14" s="1"/>
  <c r="D288" i="16"/>
  <c r="C288" i="16" s="1"/>
  <c r="G288" i="16" s="1"/>
  <c r="E288" i="16" s="1"/>
  <c r="F288" i="16" s="1"/>
  <c r="C363" i="19"/>
  <c r="G363" i="19" s="1"/>
  <c r="E363" i="19" s="1"/>
  <c r="F363" i="19" s="1"/>
  <c r="I389" i="3"/>
  <c r="E389" i="3"/>
  <c r="D389" i="3" s="1"/>
  <c r="F389" i="3" s="1"/>
  <c r="G389" i="3" s="1"/>
  <c r="H357" i="17" l="1"/>
  <c r="D358" i="17" s="1"/>
  <c r="H337" i="14"/>
  <c r="H288" i="16"/>
  <c r="O288" i="16" s="1"/>
  <c r="H363" i="19"/>
  <c r="D364" i="19" s="1"/>
  <c r="C390" i="3"/>
  <c r="H389" i="3"/>
  <c r="O357" i="17" l="1"/>
  <c r="D338" i="14"/>
  <c r="O337" i="14"/>
  <c r="C358" i="17"/>
  <c r="G358" i="17" s="1"/>
  <c r="E358" i="17" s="1"/>
  <c r="F358" i="17" s="1"/>
  <c r="O363" i="19"/>
  <c r="D289" i="16"/>
  <c r="C289" i="16" s="1"/>
  <c r="G289" i="16" s="1"/>
  <c r="C364" i="19"/>
  <c r="G364" i="19" s="1"/>
  <c r="E364" i="19" s="1"/>
  <c r="F364" i="19" s="1"/>
  <c r="I390" i="3"/>
  <c r="E390" i="3"/>
  <c r="D390" i="3" s="1"/>
  <c r="F390" i="3" s="1"/>
  <c r="G390" i="3" s="1"/>
  <c r="C338" i="14" l="1"/>
  <c r="G338" i="14" s="1"/>
  <c r="E338" i="14" s="1"/>
  <c r="F338" i="14" s="1"/>
  <c r="H358" i="17"/>
  <c r="E289" i="16"/>
  <c r="F289" i="16" s="1"/>
  <c r="H364" i="19"/>
  <c r="C391" i="3"/>
  <c r="H390" i="3"/>
  <c r="H338" i="14" l="1"/>
  <c r="D339" i="14" s="1"/>
  <c r="D359" i="17"/>
  <c r="O358" i="17"/>
  <c r="H289" i="16"/>
  <c r="O364" i="19"/>
  <c r="D365" i="19"/>
  <c r="I391" i="3"/>
  <c r="E391" i="3"/>
  <c r="D391" i="3" s="1"/>
  <c r="F391" i="3" s="1"/>
  <c r="G391" i="3" s="1"/>
  <c r="O338" i="14" l="1"/>
  <c r="C339" i="14"/>
  <c r="G339" i="14" s="1"/>
  <c r="E339" i="14" s="1"/>
  <c r="F339" i="14" s="1"/>
  <c r="C359" i="17"/>
  <c r="G359" i="17" s="1"/>
  <c r="E359" i="17" s="1"/>
  <c r="F359" i="17" s="1"/>
  <c r="D290" i="16"/>
  <c r="C290" i="16" s="1"/>
  <c r="G290" i="16" s="1"/>
  <c r="E290" i="16" s="1"/>
  <c r="F290" i="16" s="1"/>
  <c r="O289" i="16"/>
  <c r="C365" i="19"/>
  <c r="G365" i="19" s="1"/>
  <c r="E365" i="19" s="1"/>
  <c r="F365" i="19" s="1"/>
  <c r="H391" i="3"/>
  <c r="C392" i="3"/>
  <c r="H339" i="14" l="1"/>
  <c r="H359" i="17"/>
  <c r="D360" i="17" s="1"/>
  <c r="H290" i="16"/>
  <c r="O290" i="16" s="1"/>
  <c r="H365" i="19"/>
  <c r="I392" i="3"/>
  <c r="E392" i="3"/>
  <c r="D392" i="3" s="1"/>
  <c r="F392" i="3" s="1"/>
  <c r="G392" i="3" s="1"/>
  <c r="O359" i="17" l="1"/>
  <c r="D340" i="14"/>
  <c r="O339" i="14"/>
  <c r="C360" i="17"/>
  <c r="G360" i="17" s="1"/>
  <c r="E360" i="17" s="1"/>
  <c r="F360" i="17" s="1"/>
  <c r="D291" i="16"/>
  <c r="C291" i="16" s="1"/>
  <c r="G291" i="16" s="1"/>
  <c r="E291" i="16" s="1"/>
  <c r="F291" i="16" s="1"/>
  <c r="D366" i="19"/>
  <c r="O365" i="19"/>
  <c r="C393" i="3"/>
  <c r="H392" i="3"/>
  <c r="H360" i="17" l="1"/>
  <c r="C340" i="14"/>
  <c r="G340" i="14" s="1"/>
  <c r="E340" i="14" s="1"/>
  <c r="F340" i="14" s="1"/>
  <c r="D361" i="17"/>
  <c r="O360" i="17"/>
  <c r="H291" i="16"/>
  <c r="O291" i="16" s="1"/>
  <c r="C366" i="19"/>
  <c r="G366" i="19" s="1"/>
  <c r="E366" i="19" s="1"/>
  <c r="F366" i="19" s="1"/>
  <c r="E393" i="3"/>
  <c r="D393" i="3" s="1"/>
  <c r="F393" i="3" s="1"/>
  <c r="G393" i="3" s="1"/>
  <c r="I393" i="3"/>
  <c r="H340" i="14" l="1"/>
  <c r="C361" i="17"/>
  <c r="G361" i="17" s="1"/>
  <c r="E361" i="17" s="1"/>
  <c r="F361" i="17" s="1"/>
  <c r="D292" i="16"/>
  <c r="C292" i="16" s="1"/>
  <c r="G292" i="16" s="1"/>
  <c r="E292" i="16" s="1"/>
  <c r="F292" i="16" s="1"/>
  <c r="H366" i="19"/>
  <c r="C394" i="3"/>
  <c r="H393" i="3"/>
  <c r="O340" i="14" l="1"/>
  <c r="D341" i="14"/>
  <c r="H361" i="17"/>
  <c r="H292" i="16"/>
  <c r="O292" i="16" s="1"/>
  <c r="O366" i="19"/>
  <c r="D367" i="19"/>
  <c r="I394" i="3"/>
  <c r="E394" i="3"/>
  <c r="D394" i="3" s="1"/>
  <c r="F394" i="3" s="1"/>
  <c r="G394" i="3" s="1"/>
  <c r="C341" i="14" l="1"/>
  <c r="G341" i="14" s="1"/>
  <c r="E341" i="14" s="1"/>
  <c r="F341" i="14" s="1"/>
  <c r="O361" i="17"/>
  <c r="D362" i="17"/>
  <c r="D293" i="16"/>
  <c r="C293" i="16" s="1"/>
  <c r="G293" i="16" s="1"/>
  <c r="E293" i="16" s="1"/>
  <c r="F293" i="16" s="1"/>
  <c r="C367" i="19"/>
  <c r="G367" i="19" s="1"/>
  <c r="E367" i="19" s="1"/>
  <c r="F367" i="19" s="1"/>
  <c r="H394" i="3"/>
  <c r="C395" i="3"/>
  <c r="H341" i="14" l="1"/>
  <c r="C362" i="17"/>
  <c r="G362" i="17" s="1"/>
  <c r="E362" i="17" s="1"/>
  <c r="F362" i="17" s="1"/>
  <c r="H293" i="16"/>
  <c r="D294" i="16" s="1"/>
  <c r="C294" i="16" s="1"/>
  <c r="G294" i="16" s="1"/>
  <c r="E294" i="16" s="1"/>
  <c r="F294" i="16" s="1"/>
  <c r="H367" i="19"/>
  <c r="D368" i="19" s="1"/>
  <c r="I395" i="3"/>
  <c r="E395" i="3"/>
  <c r="D395" i="3" s="1"/>
  <c r="F395" i="3" s="1"/>
  <c r="G395" i="3" s="1"/>
  <c r="H362" i="17" l="1"/>
  <c r="D363" i="17" s="1"/>
  <c r="O341" i="14"/>
  <c r="D342" i="14"/>
  <c r="O362" i="17"/>
  <c r="O293" i="16"/>
  <c r="I367" i="19"/>
  <c r="O367" i="19"/>
  <c r="H294" i="16"/>
  <c r="D295" i="16" s="1"/>
  <c r="C368" i="19"/>
  <c r="G368" i="19" s="1"/>
  <c r="E368" i="19" s="1"/>
  <c r="F368" i="19" s="1"/>
  <c r="C396" i="3"/>
  <c r="H395" i="3"/>
  <c r="C342" i="14" l="1"/>
  <c r="G342" i="14" s="1"/>
  <c r="E342" i="14" s="1"/>
  <c r="F342" i="14" s="1"/>
  <c r="C363" i="17"/>
  <c r="G363" i="17" s="1"/>
  <c r="E363" i="17" s="1"/>
  <c r="F363" i="17" s="1"/>
  <c r="O294" i="16"/>
  <c r="C295" i="16"/>
  <c r="G295" i="16" s="1"/>
  <c r="E295" i="16" s="1"/>
  <c r="F295" i="16" s="1"/>
  <c r="H368" i="19"/>
  <c r="E396" i="3"/>
  <c r="D396" i="3" s="1"/>
  <c r="F396" i="3" s="1"/>
  <c r="G396" i="3" s="1"/>
  <c r="I396" i="3"/>
  <c r="H342" i="14" l="1"/>
  <c r="H363" i="17"/>
  <c r="H295" i="16"/>
  <c r="O295" i="16" s="1"/>
  <c r="O368" i="19"/>
  <c r="D369" i="19"/>
  <c r="C397" i="3"/>
  <c r="H396" i="3"/>
  <c r="O342" i="14" l="1"/>
  <c r="D343" i="14"/>
  <c r="D364" i="17"/>
  <c r="O363" i="17"/>
  <c r="D296" i="16"/>
  <c r="C296" i="16" s="1"/>
  <c r="G296" i="16" s="1"/>
  <c r="E296" i="16" s="1"/>
  <c r="F296" i="16" s="1"/>
  <c r="I295" i="16"/>
  <c r="C369" i="19"/>
  <c r="G369" i="19" s="1"/>
  <c r="E369" i="19" s="1"/>
  <c r="F369" i="19" s="1"/>
  <c r="I397" i="3"/>
  <c r="E397" i="3"/>
  <c r="D397" i="3" s="1"/>
  <c r="F397" i="3" s="1"/>
  <c r="G397" i="3" s="1"/>
  <c r="C343" i="14" l="1"/>
  <c r="G343" i="14" s="1"/>
  <c r="E343" i="14" s="1"/>
  <c r="F343" i="14" s="1"/>
  <c r="C364" i="17"/>
  <c r="G364" i="17" s="1"/>
  <c r="E364" i="17" s="1"/>
  <c r="F364" i="17" s="1"/>
  <c r="H296" i="16"/>
  <c r="O296" i="16" s="1"/>
  <c r="H369" i="19"/>
  <c r="C398" i="3"/>
  <c r="H397" i="3"/>
  <c r="H364" i="17" l="1"/>
  <c r="D365" i="17" s="1"/>
  <c r="H343" i="14"/>
  <c r="D297" i="16"/>
  <c r="C297" i="16" s="1"/>
  <c r="G297" i="16" s="1"/>
  <c r="E297" i="16" s="1"/>
  <c r="F297" i="16" s="1"/>
  <c r="O369" i="19"/>
  <c r="D370" i="19"/>
  <c r="E398" i="3"/>
  <c r="D398" i="3" s="1"/>
  <c r="F398" i="3" s="1"/>
  <c r="G398" i="3" s="1"/>
  <c r="I398" i="3"/>
  <c r="O364" i="17" l="1"/>
  <c r="O343" i="14"/>
  <c r="I343" i="14"/>
  <c r="D344" i="14"/>
  <c r="C365" i="17"/>
  <c r="G365" i="17" s="1"/>
  <c r="E365" i="17" s="1"/>
  <c r="F365" i="17" s="1"/>
  <c r="H297" i="16"/>
  <c r="D298" i="16" s="1"/>
  <c r="C370" i="19"/>
  <c r="G370" i="19" s="1"/>
  <c r="E370" i="19" s="1"/>
  <c r="F370" i="19" s="1"/>
  <c r="C399" i="3"/>
  <c r="H398" i="3"/>
  <c r="C344" i="14" l="1"/>
  <c r="G344" i="14" s="1"/>
  <c r="E344" i="14" s="1"/>
  <c r="F344" i="14" s="1"/>
  <c r="H365" i="17"/>
  <c r="O297" i="16"/>
  <c r="C298" i="16"/>
  <c r="G298" i="16" s="1"/>
  <c r="E298" i="16" s="1"/>
  <c r="F298" i="16" s="1"/>
  <c r="H370" i="19"/>
  <c r="D371" i="19" s="1"/>
  <c r="E399" i="3"/>
  <c r="D399" i="3" s="1"/>
  <c r="F399" i="3" s="1"/>
  <c r="G399" i="3" s="1"/>
  <c r="I399" i="3"/>
  <c r="H344" i="14" l="1"/>
  <c r="D366" i="17"/>
  <c r="O365" i="17"/>
  <c r="H298" i="16"/>
  <c r="D299" i="16" s="1"/>
  <c r="O370" i="19"/>
  <c r="C371" i="19"/>
  <c r="G371" i="19" s="1"/>
  <c r="E371" i="19" s="1"/>
  <c r="F371" i="19" s="1"/>
  <c r="C400" i="3"/>
  <c r="H399" i="3"/>
  <c r="D345" i="14" l="1"/>
  <c r="O344" i="14"/>
  <c r="C366" i="17"/>
  <c r="G366" i="17" s="1"/>
  <c r="E366" i="17" s="1"/>
  <c r="F366" i="17" s="1"/>
  <c r="O298" i="16"/>
  <c r="C299" i="16"/>
  <c r="G299" i="16" s="1"/>
  <c r="E299" i="16" s="1"/>
  <c r="F299" i="16" s="1"/>
  <c r="H371" i="19"/>
  <c r="E400" i="3"/>
  <c r="D400" i="3" s="1"/>
  <c r="F400" i="3" s="1"/>
  <c r="G400" i="3" s="1"/>
  <c r="I400" i="3"/>
  <c r="H366" i="17" l="1"/>
  <c r="C345" i="14"/>
  <c r="G345" i="14" s="1"/>
  <c r="E345" i="14" s="1"/>
  <c r="F345" i="14" s="1"/>
  <c r="O366" i="17"/>
  <c r="D367" i="17"/>
  <c r="H299" i="16"/>
  <c r="O299" i="16" s="1"/>
  <c r="O371" i="19"/>
  <c r="D372" i="19"/>
  <c r="C401" i="3"/>
  <c r="H400" i="3"/>
  <c r="H345" i="14" l="1"/>
  <c r="O345" i="14" s="1"/>
  <c r="C367" i="17"/>
  <c r="G367" i="17" s="1"/>
  <c r="E367" i="17" s="1"/>
  <c r="F367" i="17" s="1"/>
  <c r="D300" i="16"/>
  <c r="C300" i="16" s="1"/>
  <c r="G300" i="16" s="1"/>
  <c r="E300" i="16" s="1"/>
  <c r="F300" i="16" s="1"/>
  <c r="C372" i="19"/>
  <c r="G372" i="19" s="1"/>
  <c r="E372" i="19" s="1"/>
  <c r="F372" i="19" s="1"/>
  <c r="I401" i="3"/>
  <c r="E401" i="3"/>
  <c r="D401" i="3" s="1"/>
  <c r="F401" i="3" s="1"/>
  <c r="G401" i="3" s="1"/>
  <c r="H367" i="17" l="1"/>
  <c r="D346" i="14"/>
  <c r="C346" i="14" s="1"/>
  <c r="G346" i="14" s="1"/>
  <c r="E346" i="14" s="1"/>
  <c r="F346" i="14" s="1"/>
  <c r="I367" i="17"/>
  <c r="O367" i="17"/>
  <c r="D368" i="17"/>
  <c r="H300" i="16"/>
  <c r="O300" i="16" s="1"/>
  <c r="H372" i="19"/>
  <c r="D373" i="19" s="1"/>
  <c r="C402" i="3"/>
  <c r="H401" i="3"/>
  <c r="H346" i="14" l="1"/>
  <c r="C368" i="17"/>
  <c r="G368" i="17" s="1"/>
  <c r="E368" i="17" s="1"/>
  <c r="F368" i="17" s="1"/>
  <c r="D301" i="16"/>
  <c r="C301" i="16" s="1"/>
  <c r="G301" i="16" s="1"/>
  <c r="E301" i="16" s="1"/>
  <c r="F301" i="16" s="1"/>
  <c r="O372" i="19"/>
  <c r="C373" i="19"/>
  <c r="G373" i="19" s="1"/>
  <c r="E373" i="19" s="1"/>
  <c r="F373" i="19" s="1"/>
  <c r="E402" i="3"/>
  <c r="D402" i="3" s="1"/>
  <c r="F402" i="3" s="1"/>
  <c r="G402" i="3" s="1"/>
  <c r="I402" i="3"/>
  <c r="H368" i="17" l="1"/>
  <c r="D347" i="14"/>
  <c r="O346" i="14"/>
  <c r="O368" i="17"/>
  <c r="D369" i="17"/>
  <c r="H301" i="16"/>
  <c r="O301" i="16" s="1"/>
  <c r="H373" i="19"/>
  <c r="C403" i="3"/>
  <c r="H402" i="3"/>
  <c r="C347" i="14" l="1"/>
  <c r="G347" i="14" s="1"/>
  <c r="E347" i="14" s="1"/>
  <c r="F347" i="14" s="1"/>
  <c r="C369" i="17"/>
  <c r="G369" i="17" s="1"/>
  <c r="E369" i="17" s="1"/>
  <c r="F369" i="17" s="1"/>
  <c r="D302" i="16"/>
  <c r="C302" i="16" s="1"/>
  <c r="G302" i="16" s="1"/>
  <c r="E302" i="16" s="1"/>
  <c r="F302" i="16" s="1"/>
  <c r="O373" i="19"/>
  <c r="D374" i="19"/>
  <c r="I403" i="3"/>
  <c r="E403" i="3"/>
  <c r="D403" i="3" s="1"/>
  <c r="F403" i="3" s="1"/>
  <c r="G403" i="3" s="1"/>
  <c r="H369" i="17" l="1"/>
  <c r="O369" i="17" s="1"/>
  <c r="H347" i="14"/>
  <c r="D370" i="17"/>
  <c r="H302" i="16"/>
  <c r="D303" i="16" s="1"/>
  <c r="C374" i="19"/>
  <c r="G374" i="19" s="1"/>
  <c r="E374" i="19" s="1"/>
  <c r="F374" i="19" s="1"/>
  <c r="H403" i="3"/>
  <c r="C404" i="3"/>
  <c r="D348" i="14" l="1"/>
  <c r="O347" i="14"/>
  <c r="C370" i="17"/>
  <c r="G370" i="17" s="1"/>
  <c r="E370" i="17" s="1"/>
  <c r="F370" i="17" s="1"/>
  <c r="O302" i="16"/>
  <c r="C303" i="16"/>
  <c r="G303" i="16" s="1"/>
  <c r="E303" i="16" s="1"/>
  <c r="F303" i="16" s="1"/>
  <c r="H374" i="19"/>
  <c r="I404" i="3"/>
  <c r="E404" i="3"/>
  <c r="D404" i="3" s="1"/>
  <c r="F404" i="3" s="1"/>
  <c r="G404" i="3" s="1"/>
  <c r="H370" i="17" l="1"/>
  <c r="C348" i="14"/>
  <c r="G348" i="14" s="1"/>
  <c r="E348" i="14" s="1"/>
  <c r="F348" i="14" s="1"/>
  <c r="O370" i="17"/>
  <c r="D371" i="17"/>
  <c r="H303" i="16"/>
  <c r="O303" i="16" s="1"/>
  <c r="D375" i="19"/>
  <c r="O374" i="19"/>
  <c r="C405" i="3"/>
  <c r="H404" i="3"/>
  <c r="H348" i="14" l="1"/>
  <c r="D349" i="14" s="1"/>
  <c r="C371" i="17"/>
  <c r="G371" i="17" s="1"/>
  <c r="E371" i="17" s="1"/>
  <c r="F371" i="17" s="1"/>
  <c r="D304" i="16"/>
  <c r="C304" i="16" s="1"/>
  <c r="G304" i="16" s="1"/>
  <c r="E304" i="16" s="1"/>
  <c r="F304" i="16" s="1"/>
  <c r="C375" i="19"/>
  <c r="G375" i="19" s="1"/>
  <c r="E375" i="19" s="1"/>
  <c r="F375" i="19" s="1"/>
  <c r="E405" i="3"/>
  <c r="D405" i="3" s="1"/>
  <c r="F405" i="3" s="1"/>
  <c r="G405" i="3" s="1"/>
  <c r="I405" i="3"/>
  <c r="H371" i="17" l="1"/>
  <c r="D372" i="17" s="1"/>
  <c r="O348" i="14"/>
  <c r="C349" i="14"/>
  <c r="G349" i="14" s="1"/>
  <c r="E349" i="14" s="1"/>
  <c r="F349" i="14" s="1"/>
  <c r="H304" i="16"/>
  <c r="O304" i="16" s="1"/>
  <c r="H375" i="19"/>
  <c r="C406" i="3"/>
  <c r="H405" i="3"/>
  <c r="O371" i="17" l="1"/>
  <c r="H349" i="14"/>
  <c r="C372" i="17"/>
  <c r="G372" i="17" s="1"/>
  <c r="E372" i="17" s="1"/>
  <c r="F372" i="17" s="1"/>
  <c r="D305" i="16"/>
  <c r="C305" i="16" s="1"/>
  <c r="G305" i="16" s="1"/>
  <c r="E305" i="16" s="1"/>
  <c r="F305" i="16" s="1"/>
  <c r="D376" i="19"/>
  <c r="O375" i="19"/>
  <c r="E406" i="3"/>
  <c r="D406" i="3" s="1"/>
  <c r="F406" i="3" s="1"/>
  <c r="G406" i="3" s="1"/>
  <c r="I406" i="3"/>
  <c r="O349" i="14" l="1"/>
  <c r="D350" i="14"/>
  <c r="H372" i="17"/>
  <c r="D373" i="17" s="1"/>
  <c r="H305" i="16"/>
  <c r="O305" i="16" s="1"/>
  <c r="C376" i="19"/>
  <c r="G376" i="19" s="1"/>
  <c r="E376" i="19" s="1"/>
  <c r="F376" i="19" s="1"/>
  <c r="C407" i="3"/>
  <c r="H406" i="3"/>
  <c r="O372" i="17" l="1"/>
  <c r="C350" i="14"/>
  <c r="G350" i="14" s="1"/>
  <c r="E350" i="14" s="1"/>
  <c r="F350" i="14" s="1"/>
  <c r="C373" i="17"/>
  <c r="G373" i="17" s="1"/>
  <c r="E373" i="17" s="1"/>
  <c r="F373" i="17" s="1"/>
  <c r="D306" i="16"/>
  <c r="C306" i="16" s="1"/>
  <c r="G306" i="16" s="1"/>
  <c r="E306" i="16" s="1"/>
  <c r="F306" i="16" s="1"/>
  <c r="H376" i="19"/>
  <c r="O376" i="19" s="1"/>
  <c r="I407" i="3"/>
  <c r="E407" i="3"/>
  <c r="D407" i="3" s="1"/>
  <c r="F407" i="3" s="1"/>
  <c r="G407" i="3" s="1"/>
  <c r="H350" i="14" l="1"/>
  <c r="H373" i="17"/>
  <c r="D374" i="17" s="1"/>
  <c r="H306" i="16"/>
  <c r="D307" i="16" s="1"/>
  <c r="D377" i="19"/>
  <c r="C377" i="19" s="1"/>
  <c r="G377" i="19" s="1"/>
  <c r="E377" i="19" s="1"/>
  <c r="F377" i="19" s="1"/>
  <c r="H407" i="3"/>
  <c r="C408" i="3"/>
  <c r="O373" i="17" l="1"/>
  <c r="D351" i="14"/>
  <c r="O350" i="14"/>
  <c r="C374" i="17"/>
  <c r="G374" i="17" s="1"/>
  <c r="E374" i="17" s="1"/>
  <c r="F374" i="17" s="1"/>
  <c r="O306" i="16"/>
  <c r="C307" i="16"/>
  <c r="G307" i="16" s="1"/>
  <c r="E307" i="16" s="1"/>
  <c r="F307" i="16" s="1"/>
  <c r="H377" i="19"/>
  <c r="D378" i="19" s="1"/>
  <c r="E408" i="3"/>
  <c r="D408" i="3" s="1"/>
  <c r="F408" i="3" s="1"/>
  <c r="G408" i="3" s="1"/>
  <c r="I408" i="3"/>
  <c r="H374" i="17" l="1"/>
  <c r="D375" i="17" s="1"/>
  <c r="C351" i="14"/>
  <c r="G351" i="14" s="1"/>
  <c r="E351" i="14" s="1"/>
  <c r="F351" i="14" s="1"/>
  <c r="H307" i="16"/>
  <c r="O307" i="16" s="1"/>
  <c r="O377" i="19"/>
  <c r="C378" i="19"/>
  <c r="G378" i="19" s="1"/>
  <c r="E378" i="19" s="1"/>
  <c r="F378" i="19" s="1"/>
  <c r="H408" i="3"/>
  <c r="C409" i="3"/>
  <c r="O374" i="17" l="1"/>
  <c r="H351" i="14"/>
  <c r="O351" i="14" s="1"/>
  <c r="C375" i="17"/>
  <c r="G375" i="17" s="1"/>
  <c r="E375" i="17" s="1"/>
  <c r="F375" i="17" s="1"/>
  <c r="D308" i="16"/>
  <c r="C308" i="16" s="1"/>
  <c r="G308" i="16" s="1"/>
  <c r="E308" i="16" s="1"/>
  <c r="F308" i="16" s="1"/>
  <c r="I307" i="16"/>
  <c r="H378" i="19"/>
  <c r="I409" i="3"/>
  <c r="E409" i="3"/>
  <c r="D409" i="3" s="1"/>
  <c r="F409" i="3" s="1"/>
  <c r="G409" i="3" s="1"/>
  <c r="D352" i="14" l="1"/>
  <c r="C352" i="14" s="1"/>
  <c r="G352" i="14" s="1"/>
  <c r="E352" i="14" s="1"/>
  <c r="F352" i="14" s="1"/>
  <c r="H375" i="17"/>
  <c r="D376" i="17" s="1"/>
  <c r="H308" i="16"/>
  <c r="O308" i="16" s="1"/>
  <c r="D379" i="19"/>
  <c r="O378" i="19"/>
  <c r="H409" i="3"/>
  <c r="C410" i="3"/>
  <c r="C376" i="17" l="1"/>
  <c r="G376" i="17" s="1"/>
  <c r="E376" i="17" s="1"/>
  <c r="F376" i="17" s="1"/>
  <c r="O375" i="17"/>
  <c r="H352" i="14"/>
  <c r="D309" i="16"/>
  <c r="C309" i="16" s="1"/>
  <c r="G309" i="16" s="1"/>
  <c r="E309" i="16" s="1"/>
  <c r="F309" i="16" s="1"/>
  <c r="C379" i="19"/>
  <c r="H14" i="19"/>
  <c r="I410" i="3"/>
  <c r="E410" i="3"/>
  <c r="D410" i="3" s="1"/>
  <c r="F410" i="3" s="1"/>
  <c r="G410" i="3" s="1"/>
  <c r="H376" i="17" l="1"/>
  <c r="O352" i="14"/>
  <c r="D353" i="14"/>
  <c r="H309" i="16"/>
  <c r="O309" i="16" s="1"/>
  <c r="G379" i="19"/>
  <c r="H17" i="19"/>
  <c r="C411" i="3"/>
  <c r="H410" i="3"/>
  <c r="O376" i="17" l="1"/>
  <c r="D377" i="17"/>
  <c r="C377" i="17" s="1"/>
  <c r="G377" i="17" s="1"/>
  <c r="C353" i="14"/>
  <c r="G353" i="14" s="1"/>
  <c r="E353" i="14" s="1"/>
  <c r="F353" i="14" s="1"/>
  <c r="D310" i="16"/>
  <c r="C310" i="16" s="1"/>
  <c r="G310" i="16" s="1"/>
  <c r="E310" i="16" s="1"/>
  <c r="F310" i="16" s="1"/>
  <c r="H13" i="19"/>
  <c r="H15" i="19" s="1"/>
  <c r="E379" i="19"/>
  <c r="F379" i="19" s="1"/>
  <c r="E411" i="3"/>
  <c r="D411" i="3" s="1"/>
  <c r="F411" i="3" s="1"/>
  <c r="G411" i="3" s="1"/>
  <c r="I411" i="3"/>
  <c r="H353" i="14" l="1"/>
  <c r="E377" i="17"/>
  <c r="F377" i="17" s="1"/>
  <c r="H310" i="16"/>
  <c r="O310" i="16" s="1"/>
  <c r="H379" i="19"/>
  <c r="O379" i="19" s="1"/>
  <c r="C412" i="3"/>
  <c r="H411" i="3"/>
  <c r="O353" i="14" l="1"/>
  <c r="D354" i="14"/>
  <c r="H377" i="17"/>
  <c r="D378" i="17" s="1"/>
  <c r="D311" i="16"/>
  <c r="C311" i="16" s="1"/>
  <c r="G311" i="16" s="1"/>
  <c r="E311" i="16" s="1"/>
  <c r="F311" i="16" s="1"/>
  <c r="D380" i="19"/>
  <c r="C380" i="19" s="1"/>
  <c r="G380" i="19" s="1"/>
  <c r="E380" i="19" s="1"/>
  <c r="F380" i="19" s="1"/>
  <c r="I379" i="19"/>
  <c r="I412" i="3"/>
  <c r="E412" i="3"/>
  <c r="D412" i="3" s="1"/>
  <c r="F412" i="3" s="1"/>
  <c r="G412" i="3" s="1"/>
  <c r="O377" i="17" l="1"/>
  <c r="C354" i="14"/>
  <c r="G354" i="14" s="1"/>
  <c r="E354" i="14" s="1"/>
  <c r="F354" i="14" s="1"/>
  <c r="C378" i="17"/>
  <c r="H311" i="16"/>
  <c r="O311" i="16" s="1"/>
  <c r="H380" i="19"/>
  <c r="D381" i="19" s="1"/>
  <c r="H412" i="3"/>
  <c r="C413" i="3"/>
  <c r="H354" i="14" l="1"/>
  <c r="G378" i="17"/>
  <c r="D312" i="16"/>
  <c r="C312" i="16" s="1"/>
  <c r="G312" i="16" s="1"/>
  <c r="E312" i="16" s="1"/>
  <c r="F312" i="16" s="1"/>
  <c r="C381" i="19"/>
  <c r="G381" i="19" s="1"/>
  <c r="E381" i="19" s="1"/>
  <c r="F381" i="19" s="1"/>
  <c r="E413" i="3"/>
  <c r="D413" i="3" s="1"/>
  <c r="F413" i="3" s="1"/>
  <c r="G413" i="3" s="1"/>
  <c r="I413" i="3"/>
  <c r="O354" i="14" l="1"/>
  <c r="D355" i="14"/>
  <c r="E378" i="17"/>
  <c r="F378" i="17" s="1"/>
  <c r="H312" i="16"/>
  <c r="D313" i="16" s="1"/>
  <c r="H381" i="19"/>
  <c r="D382" i="19" s="1"/>
  <c r="C382" i="19" s="1"/>
  <c r="G382" i="19" s="1"/>
  <c r="E382" i="19" s="1"/>
  <c r="F382" i="19" s="1"/>
  <c r="H413" i="3"/>
  <c r="C414" i="3"/>
  <c r="C355" i="14" l="1"/>
  <c r="G355" i="14" s="1"/>
  <c r="E355" i="14" s="1"/>
  <c r="F355" i="14" s="1"/>
  <c r="H378" i="17"/>
  <c r="D379" i="17" s="1"/>
  <c r="O312" i="16"/>
  <c r="C313" i="16"/>
  <c r="G313" i="16" s="1"/>
  <c r="E313" i="16" s="1"/>
  <c r="F313" i="16" s="1"/>
  <c r="H382" i="19"/>
  <c r="D383" i="19" s="1"/>
  <c r="E414" i="3"/>
  <c r="D414" i="3" s="1"/>
  <c r="F414" i="3" s="1"/>
  <c r="G414" i="3" s="1"/>
  <c r="I414" i="3"/>
  <c r="O378" i="17" l="1"/>
  <c r="H355" i="14"/>
  <c r="C379" i="17"/>
  <c r="H14" i="17"/>
  <c r="H313" i="16"/>
  <c r="O313" i="16" s="1"/>
  <c r="C383" i="19"/>
  <c r="G383" i="19" s="1"/>
  <c r="E383" i="19" s="1"/>
  <c r="F383" i="19" s="1"/>
  <c r="C415" i="3"/>
  <c r="H414" i="3"/>
  <c r="O355" i="14" l="1"/>
  <c r="I355" i="14"/>
  <c r="D356" i="14"/>
  <c r="G379" i="17"/>
  <c r="H17" i="17"/>
  <c r="D314" i="16"/>
  <c r="C314" i="16" s="1"/>
  <c r="G314" i="16" s="1"/>
  <c r="E314" i="16" s="1"/>
  <c r="F314" i="16" s="1"/>
  <c r="H383" i="19"/>
  <c r="D384" i="19" s="1"/>
  <c r="I415" i="3"/>
  <c r="E415" i="3"/>
  <c r="D415" i="3" s="1"/>
  <c r="F415" i="3" s="1"/>
  <c r="G415" i="3" s="1"/>
  <c r="C356" i="14" l="1"/>
  <c r="G356" i="14" s="1"/>
  <c r="E356" i="14" s="1"/>
  <c r="F356" i="14" s="1"/>
  <c r="H13" i="17"/>
  <c r="H15" i="17" s="1"/>
  <c r="E379" i="17"/>
  <c r="F379" i="17" s="1"/>
  <c r="H314" i="16"/>
  <c r="C384" i="19"/>
  <c r="G384" i="19" s="1"/>
  <c r="E384" i="19" s="1"/>
  <c r="F384" i="19" s="1"/>
  <c r="H415" i="3"/>
  <c r="C416" i="3"/>
  <c r="H356" i="14" l="1"/>
  <c r="O356" i="14" s="1"/>
  <c r="H379" i="17"/>
  <c r="O314" i="16"/>
  <c r="D315" i="16"/>
  <c r="H384" i="19"/>
  <c r="D385" i="19" s="1"/>
  <c r="I416" i="3"/>
  <c r="E416" i="3"/>
  <c r="D416" i="3" s="1"/>
  <c r="F416" i="3" s="1"/>
  <c r="G416" i="3" s="1"/>
  <c r="D357" i="14" l="1"/>
  <c r="C357" i="14" s="1"/>
  <c r="G357" i="14" s="1"/>
  <c r="E357" i="14" s="1"/>
  <c r="F357" i="14" s="1"/>
  <c r="D380" i="17"/>
  <c r="O379" i="17"/>
  <c r="I379" i="17"/>
  <c r="C315" i="16"/>
  <c r="G315" i="16" s="1"/>
  <c r="E315" i="16" s="1"/>
  <c r="F315" i="16" s="1"/>
  <c r="C385" i="19"/>
  <c r="G385" i="19" s="1"/>
  <c r="E385" i="19" s="1"/>
  <c r="F385" i="19" s="1"/>
  <c r="C417" i="3"/>
  <c r="H416" i="3"/>
  <c r="H357" i="14" l="1"/>
  <c r="O357" i="14" s="1"/>
  <c r="C380" i="17"/>
  <c r="G380" i="17" s="1"/>
  <c r="E380" i="17" s="1"/>
  <c r="F380" i="17" s="1"/>
  <c r="H315" i="16"/>
  <c r="O315" i="16" s="1"/>
  <c r="H385" i="19"/>
  <c r="D386" i="19" s="1"/>
  <c r="C386" i="19" s="1"/>
  <c r="G386" i="19" s="1"/>
  <c r="E386" i="19" s="1"/>
  <c r="F386" i="19" s="1"/>
  <c r="E417" i="3"/>
  <c r="D417" i="3" s="1"/>
  <c r="F417" i="3" s="1"/>
  <c r="G417" i="3" s="1"/>
  <c r="I417" i="3"/>
  <c r="H380" i="17" l="1"/>
  <c r="D381" i="17" s="1"/>
  <c r="C381" i="17" s="1"/>
  <c r="G381" i="17" s="1"/>
  <c r="E381" i="17" s="1"/>
  <c r="F381" i="17" s="1"/>
  <c r="D358" i="14"/>
  <c r="C358" i="14" s="1"/>
  <c r="G358" i="14" s="1"/>
  <c r="E358" i="14" s="1"/>
  <c r="F358" i="14" s="1"/>
  <c r="D316" i="16"/>
  <c r="C316" i="16" s="1"/>
  <c r="G316" i="16" s="1"/>
  <c r="E316" i="16" s="1"/>
  <c r="F316" i="16" s="1"/>
  <c r="H386" i="19"/>
  <c r="D387" i="19" s="1"/>
  <c r="C418" i="3"/>
  <c r="H417" i="3"/>
  <c r="H381" i="17" l="1"/>
  <c r="D382" i="17" s="1"/>
  <c r="C382" i="17" s="1"/>
  <c r="G382" i="17" s="1"/>
  <c r="E382" i="17" s="1"/>
  <c r="F382" i="17" s="1"/>
  <c r="H358" i="14"/>
  <c r="D359" i="14" s="1"/>
  <c r="H316" i="16"/>
  <c r="O316" i="16" s="1"/>
  <c r="C387" i="19"/>
  <c r="G387" i="19" s="1"/>
  <c r="E387" i="19" s="1"/>
  <c r="F387" i="19" s="1"/>
  <c r="I418" i="3"/>
  <c r="E418" i="3"/>
  <c r="D418" i="3" s="1"/>
  <c r="F418" i="3" s="1"/>
  <c r="G418" i="3" s="1"/>
  <c r="O358" i="14" l="1"/>
  <c r="C359" i="14"/>
  <c r="G359" i="14" s="1"/>
  <c r="E359" i="14" s="1"/>
  <c r="F359" i="14" s="1"/>
  <c r="H382" i="17"/>
  <c r="D383" i="17" s="1"/>
  <c r="C383" i="17" s="1"/>
  <c r="G383" i="17" s="1"/>
  <c r="E383" i="17" s="1"/>
  <c r="F383" i="17" s="1"/>
  <c r="D317" i="16"/>
  <c r="C317" i="16" s="1"/>
  <c r="G317" i="16" s="1"/>
  <c r="E317" i="16" s="1"/>
  <c r="F317" i="16" s="1"/>
  <c r="H387" i="19"/>
  <c r="D388" i="19" s="1"/>
  <c r="H418" i="3"/>
  <c r="C419" i="3"/>
  <c r="H359" i="14" l="1"/>
  <c r="H383" i="17"/>
  <c r="D384" i="17" s="1"/>
  <c r="H317" i="16"/>
  <c r="O317" i="16" s="1"/>
  <c r="C388" i="19"/>
  <c r="G388" i="19" s="1"/>
  <c r="E388" i="19" s="1"/>
  <c r="F388" i="19" s="1"/>
  <c r="I419" i="3"/>
  <c r="E419" i="3"/>
  <c r="D419" i="3" s="1"/>
  <c r="F419" i="3" s="1"/>
  <c r="G419" i="3" s="1"/>
  <c r="D360" i="14" l="1"/>
  <c r="O359" i="14"/>
  <c r="C384" i="17"/>
  <c r="G384" i="17" s="1"/>
  <c r="E384" i="17" s="1"/>
  <c r="F384" i="17" s="1"/>
  <c r="D318" i="16"/>
  <c r="C318" i="16" s="1"/>
  <c r="G318" i="16" s="1"/>
  <c r="E318" i="16" s="1"/>
  <c r="F318" i="16" s="1"/>
  <c r="H388" i="19"/>
  <c r="D389" i="19" s="1"/>
  <c r="C389" i="19" s="1"/>
  <c r="G389" i="19" s="1"/>
  <c r="E389" i="19" s="1"/>
  <c r="F389" i="19" s="1"/>
  <c r="C420" i="3"/>
  <c r="H419" i="3"/>
  <c r="C360" i="14" l="1"/>
  <c r="G360" i="14" s="1"/>
  <c r="E360" i="14" s="1"/>
  <c r="F360" i="14" s="1"/>
  <c r="H384" i="17"/>
  <c r="D385" i="17" s="1"/>
  <c r="H318" i="16"/>
  <c r="D319" i="16" s="1"/>
  <c r="H389" i="19"/>
  <c r="D390" i="19" s="1"/>
  <c r="I420" i="3"/>
  <c r="E420" i="3"/>
  <c r="D420" i="3" s="1"/>
  <c r="F420" i="3" s="1"/>
  <c r="G420" i="3" s="1"/>
  <c r="H360" i="14" l="1"/>
  <c r="C385" i="17"/>
  <c r="G385" i="17" s="1"/>
  <c r="E385" i="17" s="1"/>
  <c r="F385" i="17" s="1"/>
  <c r="O318" i="16"/>
  <c r="C319" i="16"/>
  <c r="G319" i="16" s="1"/>
  <c r="E319" i="16" s="1"/>
  <c r="F319" i="16" s="1"/>
  <c r="C390" i="19"/>
  <c r="G390" i="19" s="1"/>
  <c r="E390" i="19" s="1"/>
  <c r="F390" i="19" s="1"/>
  <c r="H420" i="3"/>
  <c r="C421" i="3"/>
  <c r="D361" i="14" l="1"/>
  <c r="O360" i="14"/>
  <c r="H385" i="17"/>
  <c r="D386" i="17" s="1"/>
  <c r="C386" i="17" s="1"/>
  <c r="G386" i="17" s="1"/>
  <c r="E386" i="17" s="1"/>
  <c r="F386" i="17" s="1"/>
  <c r="H319" i="16"/>
  <c r="D320" i="16" s="1"/>
  <c r="H390" i="19"/>
  <c r="D391" i="19" s="1"/>
  <c r="C391" i="19" s="1"/>
  <c r="G391" i="19" s="1"/>
  <c r="E391" i="19" s="1"/>
  <c r="F391" i="19" s="1"/>
  <c r="I421" i="3"/>
  <c r="E421" i="3"/>
  <c r="D421" i="3" s="1"/>
  <c r="F421" i="3" s="1"/>
  <c r="G421" i="3" s="1"/>
  <c r="C361" i="14" l="1"/>
  <c r="G361" i="14" s="1"/>
  <c r="E361" i="14" s="1"/>
  <c r="F361" i="14" s="1"/>
  <c r="H386" i="17"/>
  <c r="D387" i="17" s="1"/>
  <c r="C387" i="17" s="1"/>
  <c r="G387" i="17" s="1"/>
  <c r="E387" i="17" s="1"/>
  <c r="F387" i="17" s="1"/>
  <c r="O319" i="16"/>
  <c r="I319" i="16"/>
  <c r="C320" i="16"/>
  <c r="G320" i="16" s="1"/>
  <c r="E320" i="16" s="1"/>
  <c r="F320" i="16" s="1"/>
  <c r="H391" i="19"/>
  <c r="D392" i="19" s="1"/>
  <c r="H421" i="3"/>
  <c r="C422" i="3"/>
  <c r="H361" i="14" l="1"/>
  <c r="D362" i="14" s="1"/>
  <c r="H387" i="17"/>
  <c r="D388" i="17" s="1"/>
  <c r="C388" i="17" s="1"/>
  <c r="G388" i="17" s="1"/>
  <c r="E388" i="17" s="1"/>
  <c r="F388" i="17" s="1"/>
  <c r="H320" i="16"/>
  <c r="D321" i="16" s="1"/>
  <c r="C392" i="19"/>
  <c r="G392" i="19" s="1"/>
  <c r="E392" i="19" s="1"/>
  <c r="F392" i="19" s="1"/>
  <c r="I422" i="3"/>
  <c r="E422" i="3"/>
  <c r="D422" i="3" s="1"/>
  <c r="F422" i="3" s="1"/>
  <c r="G422" i="3" s="1"/>
  <c r="O361" i="14" l="1"/>
  <c r="C362" i="14"/>
  <c r="G362" i="14" s="1"/>
  <c r="H388" i="17"/>
  <c r="D389" i="17" s="1"/>
  <c r="C389" i="17" s="1"/>
  <c r="G389" i="17" s="1"/>
  <c r="O320" i="16"/>
  <c r="C321" i="16"/>
  <c r="G321" i="16" s="1"/>
  <c r="E321" i="16" s="1"/>
  <c r="F321" i="16" s="1"/>
  <c r="H392" i="19"/>
  <c r="D393" i="19" s="1"/>
  <c r="C423" i="3"/>
  <c r="H422" i="3"/>
  <c r="E362" i="14" l="1"/>
  <c r="F362" i="14" s="1"/>
  <c r="E389" i="17"/>
  <c r="F389" i="17" s="1"/>
  <c r="H321" i="16"/>
  <c r="O321" i="16" s="1"/>
  <c r="C393" i="19"/>
  <c r="G393" i="19" s="1"/>
  <c r="E393" i="19" s="1"/>
  <c r="F393" i="19" s="1"/>
  <c r="E423" i="3"/>
  <c r="D423" i="3" s="1"/>
  <c r="F423" i="3" s="1"/>
  <c r="G423" i="3" s="1"/>
  <c r="I423" i="3"/>
  <c r="H389" i="17" l="1"/>
  <c r="D390" i="17" s="1"/>
  <c r="C390" i="17" s="1"/>
  <c r="G390" i="17" s="1"/>
  <c r="H362" i="14"/>
  <c r="D363" i="14" s="1"/>
  <c r="D322" i="16"/>
  <c r="C322" i="16" s="1"/>
  <c r="G322" i="16" s="1"/>
  <c r="E322" i="16" s="1"/>
  <c r="F322" i="16" s="1"/>
  <c r="H393" i="19"/>
  <c r="D394" i="19" s="1"/>
  <c r="C424" i="3"/>
  <c r="H423" i="3"/>
  <c r="E390" i="17" l="1"/>
  <c r="F390" i="17" s="1"/>
  <c r="O362" i="14"/>
  <c r="C363" i="14"/>
  <c r="G363" i="14" s="1"/>
  <c r="H322" i="16"/>
  <c r="O322" i="16" s="1"/>
  <c r="C394" i="19"/>
  <c r="G394" i="19" s="1"/>
  <c r="E394" i="19" s="1"/>
  <c r="F394" i="19" s="1"/>
  <c r="E424" i="3"/>
  <c r="D424" i="3" s="1"/>
  <c r="F424" i="3" s="1"/>
  <c r="G424" i="3" s="1"/>
  <c r="I424" i="3"/>
  <c r="H390" i="17" l="1"/>
  <c r="D391" i="17" s="1"/>
  <c r="C391" i="17" s="1"/>
  <c r="G391" i="17" s="1"/>
  <c r="E391" i="17" s="1"/>
  <c r="F391" i="17" s="1"/>
  <c r="E363" i="14"/>
  <c r="H363" i="14" s="1"/>
  <c r="D323" i="16"/>
  <c r="C323" i="16" s="1"/>
  <c r="G323" i="16" s="1"/>
  <c r="E323" i="16" s="1"/>
  <c r="F323" i="16" s="1"/>
  <c r="H394" i="19"/>
  <c r="D395" i="19" s="1"/>
  <c r="C395" i="19" s="1"/>
  <c r="G395" i="19" s="1"/>
  <c r="E395" i="19" s="1"/>
  <c r="F395" i="19" s="1"/>
  <c r="C425" i="3"/>
  <c r="H424" i="3"/>
  <c r="H391" i="17" l="1"/>
  <c r="D392" i="17" s="1"/>
  <c r="C392" i="17" s="1"/>
  <c r="G392" i="17" s="1"/>
  <c r="E392" i="17" s="1"/>
  <c r="F392" i="17" s="1"/>
  <c r="D364" i="14"/>
  <c r="C364" i="14" s="1"/>
  <c r="O363" i="14"/>
  <c r="F363" i="14"/>
  <c r="H323" i="16"/>
  <c r="D324" i="16" s="1"/>
  <c r="H395" i="19"/>
  <c r="D396" i="19" s="1"/>
  <c r="E425" i="3"/>
  <c r="D425" i="3" s="1"/>
  <c r="F425" i="3" s="1"/>
  <c r="G425" i="3" s="1"/>
  <c r="I425" i="3"/>
  <c r="H392" i="17" l="1"/>
  <c r="D393" i="17" s="1"/>
  <c r="C393" i="17" s="1"/>
  <c r="G393" i="17" s="1"/>
  <c r="E393" i="17" s="1"/>
  <c r="F393" i="17" s="1"/>
  <c r="G364" i="14"/>
  <c r="O323" i="16"/>
  <c r="C324" i="16"/>
  <c r="G324" i="16" s="1"/>
  <c r="E324" i="16" s="1"/>
  <c r="F324" i="16" s="1"/>
  <c r="C396" i="19"/>
  <c r="G396" i="19" s="1"/>
  <c r="E396" i="19" s="1"/>
  <c r="F396" i="19" s="1"/>
  <c r="C426" i="3"/>
  <c r="H425" i="3"/>
  <c r="H393" i="17" l="1"/>
  <c r="D394" i="17" s="1"/>
  <c r="C394" i="17" s="1"/>
  <c r="G394" i="17" s="1"/>
  <c r="E394" i="17" s="1"/>
  <c r="F394" i="17" s="1"/>
  <c r="H394" i="17"/>
  <c r="D395" i="17" s="1"/>
  <c r="C395" i="17" s="1"/>
  <c r="G395" i="17" s="1"/>
  <c r="E395" i="17" s="1"/>
  <c r="F395" i="17" s="1"/>
  <c r="E364" i="14"/>
  <c r="H364" i="14" s="1"/>
  <c r="D365" i="14" s="1"/>
  <c r="H324" i="16"/>
  <c r="O324" i="16" s="1"/>
  <c r="H396" i="19"/>
  <c r="D397" i="19" s="1"/>
  <c r="E426" i="3"/>
  <c r="D426" i="3" s="1"/>
  <c r="F426" i="3" s="1"/>
  <c r="G426" i="3" s="1"/>
  <c r="I426" i="3"/>
  <c r="H395" i="17" l="1"/>
  <c r="D396" i="17" s="1"/>
  <c r="C396" i="17" s="1"/>
  <c r="G396" i="17" s="1"/>
  <c r="E396" i="17" s="1"/>
  <c r="F396" i="17" s="1"/>
  <c r="O364" i="14"/>
  <c r="F364" i="14"/>
  <c r="C365" i="14"/>
  <c r="D325" i="16"/>
  <c r="C325" i="16" s="1"/>
  <c r="G325" i="16" s="1"/>
  <c r="E325" i="16" s="1"/>
  <c r="F325" i="16" s="1"/>
  <c r="C397" i="19"/>
  <c r="G397" i="19" s="1"/>
  <c r="E397" i="19" s="1"/>
  <c r="F397" i="19" s="1"/>
  <c r="C427" i="3"/>
  <c r="H426" i="3"/>
  <c r="H396" i="17" l="1"/>
  <c r="G365" i="14"/>
  <c r="D397" i="17"/>
  <c r="H325" i="16"/>
  <c r="O325" i="16" s="1"/>
  <c r="H397" i="19"/>
  <c r="D398" i="19" s="1"/>
  <c r="C398" i="19" s="1"/>
  <c r="G398" i="19" s="1"/>
  <c r="E398" i="19" s="1"/>
  <c r="F398" i="19" s="1"/>
  <c r="I427" i="3"/>
  <c r="E427" i="3"/>
  <c r="D427" i="3" s="1"/>
  <c r="F427" i="3" s="1"/>
  <c r="G427" i="3" s="1"/>
  <c r="E365" i="14" l="1"/>
  <c r="H365" i="14" s="1"/>
  <c r="C397" i="17"/>
  <c r="G397" i="17" s="1"/>
  <c r="E397" i="17" s="1"/>
  <c r="F397" i="17" s="1"/>
  <c r="D326" i="16"/>
  <c r="C326" i="16" s="1"/>
  <c r="G326" i="16" s="1"/>
  <c r="E326" i="16" s="1"/>
  <c r="F326" i="16" s="1"/>
  <c r="H398" i="19"/>
  <c r="D399" i="19" s="1"/>
  <c r="C428" i="3"/>
  <c r="H427" i="3"/>
  <c r="D366" i="14" l="1"/>
  <c r="O365" i="14"/>
  <c r="F365" i="14"/>
  <c r="H397" i="17"/>
  <c r="D398" i="17" s="1"/>
  <c r="C398" i="17" s="1"/>
  <c r="G398" i="17" s="1"/>
  <c r="E398" i="17" s="1"/>
  <c r="F398" i="17" s="1"/>
  <c r="H326" i="16"/>
  <c r="D327" i="16" s="1"/>
  <c r="C399" i="19"/>
  <c r="G399" i="19" s="1"/>
  <c r="E399" i="19" s="1"/>
  <c r="F399" i="19" s="1"/>
  <c r="E428" i="3"/>
  <c r="D428" i="3" s="1"/>
  <c r="F428" i="3" s="1"/>
  <c r="G428" i="3" s="1"/>
  <c r="I428" i="3"/>
  <c r="C366" i="14" l="1"/>
  <c r="H398" i="17"/>
  <c r="D399" i="17" s="1"/>
  <c r="O326" i="16"/>
  <c r="C327" i="16"/>
  <c r="G327" i="16" s="1"/>
  <c r="E327" i="16" s="1"/>
  <c r="F327" i="16" s="1"/>
  <c r="H399" i="19"/>
  <c r="D400" i="19" s="1"/>
  <c r="H428" i="3"/>
  <c r="C429" i="3"/>
  <c r="G366" i="14" l="1"/>
  <c r="C399" i="17"/>
  <c r="G399" i="17" s="1"/>
  <c r="E399" i="17" s="1"/>
  <c r="F399" i="17" s="1"/>
  <c r="H327" i="16"/>
  <c r="C400" i="19"/>
  <c r="G400" i="19" s="1"/>
  <c r="E400" i="19" s="1"/>
  <c r="F400" i="19" s="1"/>
  <c r="E429" i="3"/>
  <c r="D429" i="3" s="1"/>
  <c r="F429" i="3" s="1"/>
  <c r="G429" i="3" s="1"/>
  <c r="I429" i="3"/>
  <c r="H399" i="17" l="1"/>
  <c r="D400" i="17" s="1"/>
  <c r="E366" i="14"/>
  <c r="F366" i="14" s="1"/>
  <c r="C400" i="17"/>
  <c r="G400" i="17" s="1"/>
  <c r="E400" i="17" s="1"/>
  <c r="F400" i="17" s="1"/>
  <c r="O327" i="16"/>
  <c r="D328" i="16"/>
  <c r="H400" i="19"/>
  <c r="D401" i="19" s="1"/>
  <c r="C430" i="3"/>
  <c r="H429" i="3"/>
  <c r="H400" i="17" l="1"/>
  <c r="D401" i="17" s="1"/>
  <c r="C401" i="17" s="1"/>
  <c r="G401" i="17" s="1"/>
  <c r="E401" i="17" s="1"/>
  <c r="F401" i="17" s="1"/>
  <c r="H366" i="14"/>
  <c r="C328" i="16"/>
  <c r="G328" i="16" s="1"/>
  <c r="E328" i="16" s="1"/>
  <c r="F328" i="16" s="1"/>
  <c r="C401" i="19"/>
  <c r="G401" i="19" s="1"/>
  <c r="E401" i="19" s="1"/>
  <c r="F401" i="19" s="1"/>
  <c r="I430" i="3"/>
  <c r="E430" i="3"/>
  <c r="D430" i="3" s="1"/>
  <c r="F430" i="3" s="1"/>
  <c r="G430" i="3" s="1"/>
  <c r="H401" i="17" l="1"/>
  <c r="D402" i="17" s="1"/>
  <c r="D367" i="14"/>
  <c r="O366" i="14"/>
  <c r="H328" i="16"/>
  <c r="D329" i="16" s="1"/>
  <c r="H401" i="19"/>
  <c r="D402" i="19" s="1"/>
  <c r="C402" i="19" s="1"/>
  <c r="G402" i="19" s="1"/>
  <c r="E402" i="19" s="1"/>
  <c r="F402" i="19" s="1"/>
  <c r="H430" i="3"/>
  <c r="C431" i="3"/>
  <c r="C367" i="14" l="1"/>
  <c r="C402" i="17"/>
  <c r="G402" i="17" s="1"/>
  <c r="E402" i="17" s="1"/>
  <c r="F402" i="17" s="1"/>
  <c r="O328" i="16"/>
  <c r="C329" i="16"/>
  <c r="G329" i="16" s="1"/>
  <c r="E329" i="16" s="1"/>
  <c r="F329" i="16" s="1"/>
  <c r="H402" i="19"/>
  <c r="D403" i="19" s="1"/>
  <c r="C403" i="19" s="1"/>
  <c r="G403" i="19" s="1"/>
  <c r="E403" i="19" s="1"/>
  <c r="F403" i="19" s="1"/>
  <c r="I431" i="3"/>
  <c r="E431" i="3"/>
  <c r="D431" i="3" s="1"/>
  <c r="F431" i="3" s="1"/>
  <c r="G431" i="3" s="1"/>
  <c r="G367" i="14" l="1"/>
  <c r="H402" i="17"/>
  <c r="D403" i="17" s="1"/>
  <c r="C403" i="17"/>
  <c r="G403" i="17" s="1"/>
  <c r="E403" i="17" s="1"/>
  <c r="F403" i="17" s="1"/>
  <c r="H329" i="16"/>
  <c r="O329" i="16" s="1"/>
  <c r="H403" i="19"/>
  <c r="D404" i="19" s="1"/>
  <c r="C404" i="19" s="1"/>
  <c r="G404" i="19" s="1"/>
  <c r="E404" i="19" s="1"/>
  <c r="F404" i="19" s="1"/>
  <c r="H431" i="3"/>
  <c r="C432" i="3"/>
  <c r="E367" i="14" l="1"/>
  <c r="F367" i="14" s="1"/>
  <c r="H403" i="17"/>
  <c r="D404" i="17" s="1"/>
  <c r="D330" i="16"/>
  <c r="C330" i="16" s="1"/>
  <c r="G330" i="16" s="1"/>
  <c r="E330" i="16" s="1"/>
  <c r="F330" i="16" s="1"/>
  <c r="H404" i="19"/>
  <c r="D405" i="19" s="1"/>
  <c r="I432" i="3"/>
  <c r="E432" i="3"/>
  <c r="D432" i="3" s="1"/>
  <c r="F432" i="3" s="1"/>
  <c r="G432" i="3" s="1"/>
  <c r="H367" i="14" l="1"/>
  <c r="D368" i="14" s="1"/>
  <c r="C404" i="17"/>
  <c r="G404" i="17" s="1"/>
  <c r="E404" i="17" s="1"/>
  <c r="F404" i="17" s="1"/>
  <c r="H330" i="16"/>
  <c r="D331" i="16" s="1"/>
  <c r="C405" i="19"/>
  <c r="G405" i="19" s="1"/>
  <c r="E405" i="19" s="1"/>
  <c r="F405" i="19" s="1"/>
  <c r="C433" i="3"/>
  <c r="H432" i="3"/>
  <c r="O367" i="14" l="1"/>
  <c r="I367" i="14"/>
  <c r="C368" i="14"/>
  <c r="H404" i="17"/>
  <c r="D405" i="17" s="1"/>
  <c r="C405" i="17" s="1"/>
  <c r="G405" i="17" s="1"/>
  <c r="E405" i="17" s="1"/>
  <c r="F405" i="17" s="1"/>
  <c r="O330" i="16"/>
  <c r="C331" i="16"/>
  <c r="G331" i="16" s="1"/>
  <c r="E331" i="16" s="1"/>
  <c r="F331" i="16" s="1"/>
  <c r="H405" i="19"/>
  <c r="D406" i="19" s="1"/>
  <c r="I433" i="3"/>
  <c r="E433" i="3"/>
  <c r="D433" i="3" s="1"/>
  <c r="F433" i="3" s="1"/>
  <c r="G433" i="3" s="1"/>
  <c r="G368" i="14" l="1"/>
  <c r="H405" i="17"/>
  <c r="D406" i="17" s="1"/>
  <c r="C406" i="17" s="1"/>
  <c r="G406" i="17" s="1"/>
  <c r="E406" i="17" s="1"/>
  <c r="F406" i="17" s="1"/>
  <c r="H331" i="16"/>
  <c r="C406" i="19"/>
  <c r="G406" i="19" s="1"/>
  <c r="E406" i="19" s="1"/>
  <c r="F406" i="19" s="1"/>
  <c r="H433" i="3"/>
  <c r="C434" i="3"/>
  <c r="E368" i="14" l="1"/>
  <c r="F368" i="14" s="1"/>
  <c r="H406" i="17"/>
  <c r="I331" i="16"/>
  <c r="D332" i="16"/>
  <c r="O331" i="16"/>
  <c r="H406" i="19"/>
  <c r="D407" i="19" s="1"/>
  <c r="C407" i="19" s="1"/>
  <c r="G407" i="19" s="1"/>
  <c r="E407" i="19" s="1"/>
  <c r="F407" i="19" s="1"/>
  <c r="E434" i="3"/>
  <c r="D434" i="3" s="1"/>
  <c r="F434" i="3" s="1"/>
  <c r="G434" i="3" s="1"/>
  <c r="I434" i="3"/>
  <c r="H368" i="14" l="1"/>
  <c r="O368" i="14" s="1"/>
  <c r="D407" i="17"/>
  <c r="C332" i="16"/>
  <c r="G332" i="16" s="1"/>
  <c r="E332" i="16" s="1"/>
  <c r="F332" i="16" s="1"/>
  <c r="H407" i="19"/>
  <c r="D408" i="19" s="1"/>
  <c r="H434" i="3"/>
  <c r="C435" i="3"/>
  <c r="D369" i="14" l="1"/>
  <c r="C369" i="14" s="1"/>
  <c r="G369" i="14" s="1"/>
  <c r="E369" i="14" s="1"/>
  <c r="F369" i="14" s="1"/>
  <c r="C407" i="17"/>
  <c r="G407" i="17" s="1"/>
  <c r="E407" i="17" s="1"/>
  <c r="F407" i="17" s="1"/>
  <c r="H332" i="16"/>
  <c r="D333" i="16" s="1"/>
  <c r="C408" i="19"/>
  <c r="G408" i="19" s="1"/>
  <c r="E408" i="19" s="1"/>
  <c r="F408" i="19" s="1"/>
  <c r="E435" i="3"/>
  <c r="D435" i="3" s="1"/>
  <c r="F435" i="3" s="1"/>
  <c r="G435" i="3" s="1"/>
  <c r="I435" i="3"/>
  <c r="H369" i="14" l="1"/>
  <c r="O369" i="14" s="1"/>
  <c r="H407" i="17"/>
  <c r="D408" i="17" s="1"/>
  <c r="C408" i="17" s="1"/>
  <c r="G408" i="17" s="1"/>
  <c r="E408" i="17" s="1"/>
  <c r="F408" i="17" s="1"/>
  <c r="O332" i="16"/>
  <c r="C333" i="16"/>
  <c r="G333" i="16" s="1"/>
  <c r="E333" i="16" s="1"/>
  <c r="F333" i="16" s="1"/>
  <c r="H408" i="19"/>
  <c r="D409" i="19" s="1"/>
  <c r="C409" i="19" s="1"/>
  <c r="G409" i="19" s="1"/>
  <c r="E409" i="19" s="1"/>
  <c r="F409" i="19" s="1"/>
  <c r="C436" i="3"/>
  <c r="H435" i="3"/>
  <c r="D370" i="14" l="1"/>
  <c r="C370" i="14" s="1"/>
  <c r="G370" i="14" s="1"/>
  <c r="E370" i="14" s="1"/>
  <c r="F370" i="14" s="1"/>
  <c r="H408" i="17"/>
  <c r="D409" i="17" s="1"/>
  <c r="C409" i="17" s="1"/>
  <c r="G409" i="17" s="1"/>
  <c r="E409" i="17" s="1"/>
  <c r="F409" i="17" s="1"/>
  <c r="H333" i="16"/>
  <c r="D334" i="16" s="1"/>
  <c r="H409" i="19"/>
  <c r="D410" i="19" s="1"/>
  <c r="C410" i="19" s="1"/>
  <c r="G410" i="19" s="1"/>
  <c r="E436" i="3"/>
  <c r="D436" i="3" s="1"/>
  <c r="F436" i="3" s="1"/>
  <c r="G436" i="3" s="1"/>
  <c r="I436" i="3"/>
  <c r="H370" i="14" l="1"/>
  <c r="D371" i="14" s="1"/>
  <c r="H409" i="17"/>
  <c r="D410" i="17" s="1"/>
  <c r="O333" i="16"/>
  <c r="C334" i="16"/>
  <c r="G334" i="16" s="1"/>
  <c r="E334" i="16" s="1"/>
  <c r="F334" i="16" s="1"/>
  <c r="E410" i="19"/>
  <c r="F410" i="19" s="1"/>
  <c r="H436" i="3"/>
  <c r="C437" i="3"/>
  <c r="O370" i="14" l="1"/>
  <c r="C371" i="14"/>
  <c r="G371" i="14" s="1"/>
  <c r="E371" i="14" s="1"/>
  <c r="F371" i="14" s="1"/>
  <c r="C410" i="17"/>
  <c r="G410" i="17" s="1"/>
  <c r="E410" i="17" s="1"/>
  <c r="F410" i="17" s="1"/>
  <c r="H334" i="16"/>
  <c r="O334" i="16" s="1"/>
  <c r="H410" i="19"/>
  <c r="D411" i="19" s="1"/>
  <c r="C411" i="19" s="1"/>
  <c r="G411" i="19" s="1"/>
  <c r="E411" i="19" s="1"/>
  <c r="F411" i="19" s="1"/>
  <c r="I437" i="3"/>
  <c r="E437" i="3"/>
  <c r="D437" i="3" s="1"/>
  <c r="F437" i="3" s="1"/>
  <c r="G437" i="3" s="1"/>
  <c r="H371" i="14" l="1"/>
  <c r="D372" i="14" s="1"/>
  <c r="H410" i="17"/>
  <c r="D411" i="17" s="1"/>
  <c r="D335" i="16"/>
  <c r="C335" i="16" s="1"/>
  <c r="G335" i="16" s="1"/>
  <c r="E335" i="16" s="1"/>
  <c r="F335" i="16" s="1"/>
  <c r="H411" i="19"/>
  <c r="D412" i="19" s="1"/>
  <c r="C412" i="19" s="1"/>
  <c r="G412" i="19" s="1"/>
  <c r="E412" i="19" s="1"/>
  <c r="F412" i="19" s="1"/>
  <c r="H437" i="3"/>
  <c r="C438" i="3"/>
  <c r="O371" i="14" l="1"/>
  <c r="C372" i="14"/>
  <c r="G372" i="14" s="1"/>
  <c r="E372" i="14" s="1"/>
  <c r="F372" i="14" s="1"/>
  <c r="C411" i="17"/>
  <c r="G411" i="17" s="1"/>
  <c r="E411" i="17" s="1"/>
  <c r="F411" i="17" s="1"/>
  <c r="H335" i="16"/>
  <c r="D336" i="16" s="1"/>
  <c r="H412" i="19"/>
  <c r="D413" i="19" s="1"/>
  <c r="E438" i="3"/>
  <c r="D438" i="3" s="1"/>
  <c r="F438" i="3" s="1"/>
  <c r="G438" i="3" s="1"/>
  <c r="I438" i="3"/>
  <c r="H372" i="14" l="1"/>
  <c r="D373" i="14" s="1"/>
  <c r="H411" i="17"/>
  <c r="D412" i="17" s="1"/>
  <c r="C412" i="17" s="1"/>
  <c r="G412" i="17" s="1"/>
  <c r="E412" i="17" s="1"/>
  <c r="F412" i="17" s="1"/>
  <c r="O335" i="16"/>
  <c r="C336" i="16"/>
  <c r="G336" i="16" s="1"/>
  <c r="E336" i="16" s="1"/>
  <c r="F336" i="16" s="1"/>
  <c r="C413" i="19"/>
  <c r="G413" i="19" s="1"/>
  <c r="E413" i="19" s="1"/>
  <c r="F413" i="19" s="1"/>
  <c r="C439" i="3"/>
  <c r="H438" i="3"/>
  <c r="O372" i="14" l="1"/>
  <c r="C373" i="14"/>
  <c r="G373" i="14" s="1"/>
  <c r="E373" i="14" s="1"/>
  <c r="F373" i="14" s="1"/>
  <c r="H412" i="17"/>
  <c r="D413" i="17" s="1"/>
  <c r="H336" i="16"/>
  <c r="D337" i="16" s="1"/>
  <c r="H413" i="19"/>
  <c r="D414" i="19" s="1"/>
  <c r="I439" i="3"/>
  <c r="E439" i="3"/>
  <c r="D439" i="3" s="1"/>
  <c r="F439" i="3" s="1"/>
  <c r="G439" i="3" s="1"/>
  <c r="H373" i="14" l="1"/>
  <c r="D374" i="14" s="1"/>
  <c r="C413" i="17"/>
  <c r="G413" i="17" s="1"/>
  <c r="E413" i="17" s="1"/>
  <c r="F413" i="17" s="1"/>
  <c r="O336" i="16"/>
  <c r="C337" i="16"/>
  <c r="G337" i="16" s="1"/>
  <c r="E337" i="16" s="1"/>
  <c r="F337" i="16" s="1"/>
  <c r="C414" i="19"/>
  <c r="G414" i="19" s="1"/>
  <c r="E414" i="19" s="1"/>
  <c r="F414" i="19" s="1"/>
  <c r="H439" i="3"/>
  <c r="C440" i="3"/>
  <c r="O373" i="14" l="1"/>
  <c r="C374" i="14"/>
  <c r="G374" i="14" s="1"/>
  <c r="E374" i="14" s="1"/>
  <c r="F374" i="14" s="1"/>
  <c r="H413" i="17"/>
  <c r="D414" i="17" s="1"/>
  <c r="C414" i="17" s="1"/>
  <c r="G414" i="17" s="1"/>
  <c r="E414" i="17" s="1"/>
  <c r="F414" i="17" s="1"/>
  <c r="H337" i="16"/>
  <c r="O337" i="16" s="1"/>
  <c r="H414" i="19"/>
  <c r="D415" i="19" s="1"/>
  <c r="C415" i="19" s="1"/>
  <c r="G415" i="19" s="1"/>
  <c r="E415" i="19" s="1"/>
  <c r="F415" i="19" s="1"/>
  <c r="E440" i="3"/>
  <c r="D440" i="3" s="1"/>
  <c r="F440" i="3" s="1"/>
  <c r="G440" i="3" s="1"/>
  <c r="I440" i="3"/>
  <c r="H374" i="14" l="1"/>
  <c r="D375" i="14" s="1"/>
  <c r="H414" i="17"/>
  <c r="D415" i="17" s="1"/>
  <c r="C415" i="17" s="1"/>
  <c r="G415" i="17" s="1"/>
  <c r="D338" i="16"/>
  <c r="C338" i="16" s="1"/>
  <c r="G338" i="16" s="1"/>
  <c r="E338" i="16" s="1"/>
  <c r="F338" i="16" s="1"/>
  <c r="H415" i="19"/>
  <c r="D416" i="19" s="1"/>
  <c r="H440" i="3"/>
  <c r="C441" i="3"/>
  <c r="E415" i="17" l="1"/>
  <c r="F415" i="17" s="1"/>
  <c r="O374" i="14"/>
  <c r="C375" i="14"/>
  <c r="G375" i="14" s="1"/>
  <c r="E375" i="14" s="1"/>
  <c r="F375" i="14" s="1"/>
  <c r="H338" i="16"/>
  <c r="O338" i="16" s="1"/>
  <c r="C416" i="19"/>
  <c r="G416" i="19" s="1"/>
  <c r="E416" i="19" s="1"/>
  <c r="F416" i="19" s="1"/>
  <c r="E441" i="3"/>
  <c r="D441" i="3" s="1"/>
  <c r="F441" i="3" s="1"/>
  <c r="G441" i="3" s="1"/>
  <c r="I441" i="3"/>
  <c r="H415" i="17" l="1"/>
  <c r="D416" i="17" s="1"/>
  <c r="C416" i="17" s="1"/>
  <c r="G416" i="17" s="1"/>
  <c r="E416" i="17" s="1"/>
  <c r="F416" i="17" s="1"/>
  <c r="H375" i="14"/>
  <c r="D376" i="14" s="1"/>
  <c r="D339" i="16"/>
  <c r="C339" i="16" s="1"/>
  <c r="G339" i="16" s="1"/>
  <c r="E339" i="16" s="1"/>
  <c r="F339" i="16" s="1"/>
  <c r="H416" i="19"/>
  <c r="D417" i="19" s="1"/>
  <c r="C417" i="19" s="1"/>
  <c r="G417" i="19" s="1"/>
  <c r="E417" i="19" s="1"/>
  <c r="F417" i="19" s="1"/>
  <c r="H441" i="3"/>
  <c r="C442" i="3"/>
  <c r="O375" i="14" l="1"/>
  <c r="H416" i="17"/>
  <c r="D417" i="17" s="1"/>
  <c r="C417" i="17" s="1"/>
  <c r="G417" i="17" s="1"/>
  <c r="E417" i="17" s="1"/>
  <c r="F417" i="17" s="1"/>
  <c r="C376" i="14"/>
  <c r="G376" i="14" s="1"/>
  <c r="E376" i="14" s="1"/>
  <c r="F376" i="14" s="1"/>
  <c r="H339" i="16"/>
  <c r="D340" i="16" s="1"/>
  <c r="H417" i="19"/>
  <c r="D418" i="19" s="1"/>
  <c r="C418" i="19" s="1"/>
  <c r="G418" i="19" s="1"/>
  <c r="E418" i="19" s="1"/>
  <c r="F418" i="19" s="1"/>
  <c r="I442" i="3"/>
  <c r="E442" i="3"/>
  <c r="D442" i="3" s="1"/>
  <c r="F442" i="3" s="1"/>
  <c r="G442" i="3" s="1"/>
  <c r="H417" i="17" l="1"/>
  <c r="D418" i="17" s="1"/>
  <c r="C418" i="17" s="1"/>
  <c r="G418" i="17" s="1"/>
  <c r="E418" i="17" s="1"/>
  <c r="F418" i="17" s="1"/>
  <c r="H376" i="14"/>
  <c r="D377" i="14" s="1"/>
  <c r="C377" i="14" s="1"/>
  <c r="G377" i="14" s="1"/>
  <c r="E377" i="14" s="1"/>
  <c r="F377" i="14" s="1"/>
  <c r="O339" i="16"/>
  <c r="C340" i="16"/>
  <c r="G340" i="16" s="1"/>
  <c r="E340" i="16" s="1"/>
  <c r="F340" i="16" s="1"/>
  <c r="H418" i="19"/>
  <c r="D419" i="19" s="1"/>
  <c r="C419" i="19" s="1"/>
  <c r="G419" i="19" s="1"/>
  <c r="E419" i="19" s="1"/>
  <c r="F419" i="19" s="1"/>
  <c r="H442" i="3"/>
  <c r="C443" i="3"/>
  <c r="O376" i="14" l="1"/>
  <c r="H377" i="14"/>
  <c r="D378" i="14" s="1"/>
  <c r="H418" i="17"/>
  <c r="D419" i="17" s="1"/>
  <c r="H340" i="16"/>
  <c r="O340" i="16" s="1"/>
  <c r="H419" i="19"/>
  <c r="D420" i="19" s="1"/>
  <c r="C420" i="19" s="1"/>
  <c r="G420" i="19" s="1"/>
  <c r="E420" i="19" s="1"/>
  <c r="F420" i="19" s="1"/>
  <c r="I443" i="3"/>
  <c r="E443" i="3"/>
  <c r="D443" i="3" s="1"/>
  <c r="F443" i="3" s="1"/>
  <c r="G443" i="3" s="1"/>
  <c r="O377" i="14" l="1"/>
  <c r="C378" i="14"/>
  <c r="G378" i="14" s="1"/>
  <c r="E378" i="14" s="1"/>
  <c r="F378" i="14" s="1"/>
  <c r="C419" i="17"/>
  <c r="G419" i="17" s="1"/>
  <c r="E419" i="17" s="1"/>
  <c r="F419" i="17" s="1"/>
  <c r="D341" i="16"/>
  <c r="C341" i="16" s="1"/>
  <c r="G341" i="16" s="1"/>
  <c r="E341" i="16" s="1"/>
  <c r="F341" i="16" s="1"/>
  <c r="H420" i="19"/>
  <c r="D421" i="19" s="1"/>
  <c r="C444" i="3"/>
  <c r="H443" i="3"/>
  <c r="H419" i="17" l="1"/>
  <c r="D420" i="17" s="1"/>
  <c r="C420" i="17" s="1"/>
  <c r="G420" i="17" s="1"/>
  <c r="E420" i="17" s="1"/>
  <c r="F420" i="17" s="1"/>
  <c r="H378" i="14"/>
  <c r="D379" i="14" s="1"/>
  <c r="H14" i="14" s="1"/>
  <c r="H341" i="16"/>
  <c r="O341" i="16" s="1"/>
  <c r="C421" i="19"/>
  <c r="G421" i="19" s="1"/>
  <c r="E421" i="19" s="1"/>
  <c r="F421" i="19" s="1"/>
  <c r="I444" i="3"/>
  <c r="E444" i="3"/>
  <c r="D444" i="3" s="1"/>
  <c r="F444" i="3" s="1"/>
  <c r="G444" i="3" s="1"/>
  <c r="O378" i="14" l="1"/>
  <c r="C379" i="14"/>
  <c r="H420" i="17"/>
  <c r="D421" i="17" s="1"/>
  <c r="C421" i="17" s="1"/>
  <c r="G421" i="17" s="1"/>
  <c r="E421" i="17" s="1"/>
  <c r="F421" i="17" s="1"/>
  <c r="D342" i="16"/>
  <c r="C342" i="16" s="1"/>
  <c r="G342" i="16" s="1"/>
  <c r="H421" i="19"/>
  <c r="D422" i="19" s="1"/>
  <c r="H444" i="3"/>
  <c r="C445" i="3"/>
  <c r="G379" i="14" l="1"/>
  <c r="H17" i="14"/>
  <c r="H421" i="17"/>
  <c r="D422" i="17" s="1"/>
  <c r="E342" i="16"/>
  <c r="H342" i="16" s="1"/>
  <c r="C422" i="19"/>
  <c r="G422" i="19" s="1"/>
  <c r="E422" i="19" s="1"/>
  <c r="F422" i="19" s="1"/>
  <c r="I445" i="3"/>
  <c r="E445" i="3"/>
  <c r="D445" i="3" s="1"/>
  <c r="F445" i="3" s="1"/>
  <c r="G445" i="3" s="1"/>
  <c r="H13" i="14" l="1"/>
  <c r="H15" i="14" s="1"/>
  <c r="E379" i="14"/>
  <c r="H379" i="14" s="1"/>
  <c r="I379" i="14" s="1"/>
  <c r="C422" i="17"/>
  <c r="G422" i="17" s="1"/>
  <c r="E422" i="17" s="1"/>
  <c r="F422" i="17" s="1"/>
  <c r="D343" i="16"/>
  <c r="O342" i="16"/>
  <c r="F342" i="16"/>
  <c r="H422" i="19"/>
  <c r="D423" i="19" s="1"/>
  <c r="C423" i="19" s="1"/>
  <c r="G423" i="19" s="1"/>
  <c r="E423" i="19" s="1"/>
  <c r="F423" i="19" s="1"/>
  <c r="C446" i="3"/>
  <c r="H445" i="3"/>
  <c r="H422" i="17" l="1"/>
  <c r="D423" i="17" s="1"/>
  <c r="C423" i="17" s="1"/>
  <c r="G423" i="17" s="1"/>
  <c r="E423" i="17" s="1"/>
  <c r="F423" i="17" s="1"/>
  <c r="O379" i="14"/>
  <c r="D380" i="14"/>
  <c r="C380" i="14" s="1"/>
  <c r="G380" i="14" s="1"/>
  <c r="E380" i="14" s="1"/>
  <c r="F380" i="14" s="1"/>
  <c r="F379" i="14"/>
  <c r="C343" i="16"/>
  <c r="G343" i="16" s="1"/>
  <c r="H423" i="19"/>
  <c r="D424" i="19" s="1"/>
  <c r="E446" i="3"/>
  <c r="D446" i="3" s="1"/>
  <c r="F446" i="3" s="1"/>
  <c r="G446" i="3" s="1"/>
  <c r="I446" i="3"/>
  <c r="H380" i="14" l="1"/>
  <c r="D381" i="14" s="1"/>
  <c r="C381" i="14" s="1"/>
  <c r="G381" i="14" s="1"/>
  <c r="E381" i="14" s="1"/>
  <c r="F381" i="14" s="1"/>
  <c r="H423" i="17"/>
  <c r="D424" i="17" s="1"/>
  <c r="C424" i="17" s="1"/>
  <c r="G424" i="17" s="1"/>
  <c r="E424" i="17" s="1"/>
  <c r="F424" i="17" s="1"/>
  <c r="E343" i="16"/>
  <c r="H343" i="16" s="1"/>
  <c r="C424" i="19"/>
  <c r="G424" i="19" s="1"/>
  <c r="E424" i="19" s="1"/>
  <c r="F424" i="19" s="1"/>
  <c r="C447" i="3"/>
  <c r="H446" i="3"/>
  <c r="H424" i="17" l="1"/>
  <c r="D425" i="17" s="1"/>
  <c r="C425" i="17" s="1"/>
  <c r="G425" i="17" s="1"/>
  <c r="E425" i="17" s="1"/>
  <c r="F425" i="17" s="1"/>
  <c r="H381" i="14"/>
  <c r="D382" i="14" s="1"/>
  <c r="I343" i="16"/>
  <c r="O343" i="16"/>
  <c r="D344" i="16"/>
  <c r="F343" i="16"/>
  <c r="H424" i="19"/>
  <c r="D425" i="19" s="1"/>
  <c r="I447" i="3"/>
  <c r="E447" i="3"/>
  <c r="D447" i="3" s="1"/>
  <c r="F447" i="3" s="1"/>
  <c r="G447" i="3" s="1"/>
  <c r="H425" i="17" l="1"/>
  <c r="D426" i="17" s="1"/>
  <c r="C426" i="17" s="1"/>
  <c r="G426" i="17" s="1"/>
  <c r="E426" i="17" s="1"/>
  <c r="F426" i="17" s="1"/>
  <c r="C382" i="14"/>
  <c r="G382" i="14" s="1"/>
  <c r="E382" i="14" s="1"/>
  <c r="F382" i="14" s="1"/>
  <c r="C344" i="16"/>
  <c r="G344" i="16" s="1"/>
  <c r="C425" i="19"/>
  <c r="G425" i="19" s="1"/>
  <c r="E425" i="19" s="1"/>
  <c r="F425" i="19" s="1"/>
  <c r="C448" i="3"/>
  <c r="H447" i="3"/>
  <c r="H426" i="17" l="1"/>
  <c r="D427" i="17" s="1"/>
  <c r="C427" i="17" s="1"/>
  <c r="G427" i="17" s="1"/>
  <c r="E427" i="17" s="1"/>
  <c r="F427" i="17" s="1"/>
  <c r="H382" i="14"/>
  <c r="D383" i="14" s="1"/>
  <c r="E344" i="16"/>
  <c r="H344" i="16" s="1"/>
  <c r="H425" i="19"/>
  <c r="D426" i="19" s="1"/>
  <c r="C426" i="19" s="1"/>
  <c r="G426" i="19" s="1"/>
  <c r="E426" i="19" s="1"/>
  <c r="F426" i="19" s="1"/>
  <c r="I448" i="3"/>
  <c r="E448" i="3"/>
  <c r="D448" i="3" s="1"/>
  <c r="F448" i="3" s="1"/>
  <c r="G448" i="3" s="1"/>
  <c r="C383" i="14" l="1"/>
  <c r="G383" i="14" s="1"/>
  <c r="E383" i="14" s="1"/>
  <c r="F383" i="14" s="1"/>
  <c r="H427" i="17"/>
  <c r="D428" i="17" s="1"/>
  <c r="O344" i="16"/>
  <c r="D345" i="16"/>
  <c r="F344" i="16"/>
  <c r="H426" i="19"/>
  <c r="D427" i="19" s="1"/>
  <c r="H448" i="3"/>
  <c r="C449" i="3"/>
  <c r="H383" i="14" l="1"/>
  <c r="D384" i="14" s="1"/>
  <c r="C428" i="17"/>
  <c r="G428" i="17" s="1"/>
  <c r="E428" i="17" s="1"/>
  <c r="F428" i="17" s="1"/>
  <c r="C345" i="16"/>
  <c r="G345" i="16" s="1"/>
  <c r="C427" i="19"/>
  <c r="G427" i="19" s="1"/>
  <c r="E427" i="19" s="1"/>
  <c r="F427" i="19" s="1"/>
  <c r="I449" i="3"/>
  <c r="E449" i="3"/>
  <c r="D449" i="3" s="1"/>
  <c r="F449" i="3" s="1"/>
  <c r="G449" i="3" s="1"/>
  <c r="H428" i="17" l="1"/>
  <c r="D429" i="17" s="1"/>
  <c r="C429" i="17" s="1"/>
  <c r="G429" i="17" s="1"/>
  <c r="E429" i="17" s="1"/>
  <c r="F429" i="17" s="1"/>
  <c r="C384" i="14"/>
  <c r="G384" i="14" s="1"/>
  <c r="E384" i="14" s="1"/>
  <c r="F384" i="14" s="1"/>
  <c r="E345" i="16"/>
  <c r="H345" i="16" s="1"/>
  <c r="H427" i="19"/>
  <c r="D428" i="19" s="1"/>
  <c r="C450" i="3"/>
  <c r="H449" i="3"/>
  <c r="H384" i="14" l="1"/>
  <c r="D385" i="14" s="1"/>
  <c r="H429" i="17"/>
  <c r="D430" i="17" s="1"/>
  <c r="C430" i="17" s="1"/>
  <c r="G430" i="17" s="1"/>
  <c r="O345" i="16"/>
  <c r="D346" i="16"/>
  <c r="F345" i="16"/>
  <c r="C428" i="19"/>
  <c r="G428" i="19" s="1"/>
  <c r="E428" i="19" s="1"/>
  <c r="F428" i="19" s="1"/>
  <c r="E450" i="3"/>
  <c r="D450" i="3" s="1"/>
  <c r="F450" i="3" s="1"/>
  <c r="G450" i="3" s="1"/>
  <c r="I450" i="3"/>
  <c r="C385" i="14" l="1"/>
  <c r="G385" i="14" s="1"/>
  <c r="E385" i="14" s="1"/>
  <c r="F385" i="14" s="1"/>
  <c r="E430" i="17"/>
  <c r="F430" i="17" s="1"/>
  <c r="C346" i="16"/>
  <c r="G346" i="16" s="1"/>
  <c r="H428" i="19"/>
  <c r="D429" i="19" s="1"/>
  <c r="C429" i="19" s="1"/>
  <c r="G429" i="19" s="1"/>
  <c r="E429" i="19" s="1"/>
  <c r="F429" i="19" s="1"/>
  <c r="H450" i="3"/>
  <c r="C451" i="3"/>
  <c r="H385" i="14" l="1"/>
  <c r="D386" i="14" s="1"/>
  <c r="H430" i="17"/>
  <c r="D431" i="17" s="1"/>
  <c r="C431" i="17" s="1"/>
  <c r="G431" i="17" s="1"/>
  <c r="E346" i="16"/>
  <c r="F346" i="16" s="1"/>
  <c r="H429" i="19"/>
  <c r="D430" i="19" s="1"/>
  <c r="C430" i="19" s="1"/>
  <c r="G430" i="19" s="1"/>
  <c r="E430" i="19" s="1"/>
  <c r="F430" i="19" s="1"/>
  <c r="E451" i="3"/>
  <c r="D451" i="3" s="1"/>
  <c r="F451" i="3" s="1"/>
  <c r="G451" i="3" s="1"/>
  <c r="I451" i="3"/>
  <c r="E431" i="17" l="1"/>
  <c r="F431" i="17" s="1"/>
  <c r="C386" i="14"/>
  <c r="G386" i="14" s="1"/>
  <c r="H346" i="16"/>
  <c r="H430" i="19"/>
  <c r="D431" i="19" s="1"/>
  <c r="C431" i="19" s="1"/>
  <c r="G431" i="19" s="1"/>
  <c r="E431" i="19" s="1"/>
  <c r="F431" i="19" s="1"/>
  <c r="H451" i="3"/>
  <c r="C452" i="3"/>
  <c r="H431" i="17" l="1"/>
  <c r="D432" i="17" s="1"/>
  <c r="G432" i="17" s="1"/>
  <c r="E432" i="17" s="1"/>
  <c r="F432" i="17" s="1"/>
  <c r="E386" i="14"/>
  <c r="F386" i="14" s="1"/>
  <c r="D347" i="16"/>
  <c r="O346" i="16"/>
  <c r="H431" i="19"/>
  <c r="D432" i="19" s="1"/>
  <c r="I452" i="3"/>
  <c r="E452" i="3"/>
  <c r="D452" i="3" s="1"/>
  <c r="F452" i="3" s="1"/>
  <c r="G452" i="3" s="1"/>
  <c r="H432" i="17" l="1"/>
  <c r="D433" i="17" s="1"/>
  <c r="C433" i="17" s="1"/>
  <c r="G433" i="17" s="1"/>
  <c r="E433" i="17" s="1"/>
  <c r="F433" i="17" s="1"/>
  <c r="H386" i="14"/>
  <c r="D387" i="14" s="1"/>
  <c r="C387" i="14" s="1"/>
  <c r="G387" i="14" s="1"/>
  <c r="E387" i="14" s="1"/>
  <c r="F387" i="14" s="1"/>
  <c r="C347" i="16"/>
  <c r="G347" i="16" s="1"/>
  <c r="E347" i="16" s="1"/>
  <c r="F347" i="16" s="1"/>
  <c r="G432" i="19"/>
  <c r="E432" i="19" s="1"/>
  <c r="F432" i="19" s="1"/>
  <c r="H452" i="3"/>
  <c r="C453" i="3"/>
  <c r="H433" i="17" l="1"/>
  <c r="D434" i="17" s="1"/>
  <c r="C434" i="17" s="1"/>
  <c r="G434" i="17" s="1"/>
  <c r="E434" i="17" s="1"/>
  <c r="F434" i="17" s="1"/>
  <c r="H387" i="14"/>
  <c r="D388" i="14" s="1"/>
  <c r="H347" i="16"/>
  <c r="O347" i="16" s="1"/>
  <c r="H432" i="19"/>
  <c r="D433" i="19" s="1"/>
  <c r="C433" i="19" s="1"/>
  <c r="G433" i="19" s="1"/>
  <c r="E453" i="3"/>
  <c r="D453" i="3" s="1"/>
  <c r="F453" i="3" s="1"/>
  <c r="G453" i="3" s="1"/>
  <c r="I453" i="3"/>
  <c r="H434" i="17" l="1"/>
  <c r="D435" i="17" s="1"/>
  <c r="C435" i="17" s="1"/>
  <c r="G435" i="17" s="1"/>
  <c r="E435" i="17" s="1"/>
  <c r="F435" i="17" s="1"/>
  <c r="C388" i="14"/>
  <c r="G388" i="14" s="1"/>
  <c r="E388" i="14" s="1"/>
  <c r="F388" i="14" s="1"/>
  <c r="D348" i="16"/>
  <c r="C348" i="16" s="1"/>
  <c r="G348" i="16" s="1"/>
  <c r="E348" i="16" s="1"/>
  <c r="F348" i="16" s="1"/>
  <c r="E433" i="19"/>
  <c r="F433" i="19" s="1"/>
  <c r="C454" i="3"/>
  <c r="H453" i="3"/>
  <c r="H435" i="17" l="1"/>
  <c r="D436" i="17" s="1"/>
  <c r="C436" i="17" s="1"/>
  <c r="G436" i="17" s="1"/>
  <c r="E436" i="17" s="1"/>
  <c r="F436" i="17" s="1"/>
  <c r="H388" i="14"/>
  <c r="D389" i="14" s="1"/>
  <c r="C389" i="14" s="1"/>
  <c r="G389" i="14" s="1"/>
  <c r="E389" i="14" s="1"/>
  <c r="F389" i="14" s="1"/>
  <c r="H348" i="16"/>
  <c r="O348" i="16" s="1"/>
  <c r="H433" i="19"/>
  <c r="D434" i="19" s="1"/>
  <c r="I454" i="3"/>
  <c r="E454" i="3"/>
  <c r="D454" i="3" s="1"/>
  <c r="F454" i="3" s="1"/>
  <c r="G454" i="3" s="1"/>
  <c r="H436" i="17" l="1"/>
  <c r="D437" i="17" s="1"/>
  <c r="C437" i="17" s="1"/>
  <c r="G437" i="17" s="1"/>
  <c r="E437" i="17" s="1"/>
  <c r="F437" i="17" s="1"/>
  <c r="H389" i="14"/>
  <c r="D390" i="14" s="1"/>
  <c r="D349" i="16"/>
  <c r="C349" i="16" s="1"/>
  <c r="G349" i="16" s="1"/>
  <c r="E349" i="16" s="1"/>
  <c r="F349" i="16" s="1"/>
  <c r="C434" i="19"/>
  <c r="G434" i="19" s="1"/>
  <c r="E434" i="19" s="1"/>
  <c r="F434" i="19" s="1"/>
  <c r="H454" i="3"/>
  <c r="C455" i="3"/>
  <c r="H437" i="17" l="1"/>
  <c r="D438" i="17" s="1"/>
  <c r="C438" i="17" s="1"/>
  <c r="G438" i="17" s="1"/>
  <c r="E438" i="17" s="1"/>
  <c r="F438" i="17" s="1"/>
  <c r="C390" i="14"/>
  <c r="G390" i="14" s="1"/>
  <c r="E390" i="14" s="1"/>
  <c r="F390" i="14" s="1"/>
  <c r="H349" i="16"/>
  <c r="O349" i="16" s="1"/>
  <c r="H434" i="19"/>
  <c r="D435" i="19" s="1"/>
  <c r="I455" i="3"/>
  <c r="E455" i="3"/>
  <c r="D455" i="3" s="1"/>
  <c r="F455" i="3" s="1"/>
  <c r="G455" i="3" s="1"/>
  <c r="H438" i="17" l="1"/>
  <c r="D439" i="17" s="1"/>
  <c r="C439" i="17" s="1"/>
  <c r="G439" i="17" s="1"/>
  <c r="E439" i="17" s="1"/>
  <c r="F439" i="17" s="1"/>
  <c r="H439" i="17"/>
  <c r="H390" i="14"/>
  <c r="D391" i="14" s="1"/>
  <c r="C391" i="14" s="1"/>
  <c r="G391" i="14" s="1"/>
  <c r="E391" i="14" s="1"/>
  <c r="F391" i="14" s="1"/>
  <c r="D350" i="16"/>
  <c r="C350" i="16" s="1"/>
  <c r="G350" i="16" s="1"/>
  <c r="E350" i="16" s="1"/>
  <c r="F350" i="16" s="1"/>
  <c r="C435" i="19"/>
  <c r="G435" i="19" s="1"/>
  <c r="E435" i="19" s="1"/>
  <c r="F435" i="19" s="1"/>
  <c r="C456" i="3"/>
  <c r="H455" i="3"/>
  <c r="H391" i="14" l="1"/>
  <c r="D392" i="14" s="1"/>
  <c r="H350" i="16"/>
  <c r="O350" i="16" s="1"/>
  <c r="H435" i="19"/>
  <c r="D436" i="19" s="1"/>
  <c r="C436" i="19" s="1"/>
  <c r="G436" i="19" s="1"/>
  <c r="E436" i="19" s="1"/>
  <c r="F436" i="19" s="1"/>
  <c r="I456" i="3"/>
  <c r="E456" i="3"/>
  <c r="D456" i="3" s="1"/>
  <c r="F456" i="3" s="1"/>
  <c r="G456" i="3" s="1"/>
  <c r="C392" i="14" l="1"/>
  <c r="G392" i="14" s="1"/>
  <c r="E392" i="14" s="1"/>
  <c r="F392" i="14" s="1"/>
  <c r="D351" i="16"/>
  <c r="C351" i="16" s="1"/>
  <c r="G351" i="16" s="1"/>
  <c r="E351" i="16" s="1"/>
  <c r="F351" i="16" s="1"/>
  <c r="H436" i="19"/>
  <c r="D437" i="19" s="1"/>
  <c r="C437" i="19" s="1"/>
  <c r="G437" i="19" s="1"/>
  <c r="E437" i="19" s="1"/>
  <c r="F437" i="19" s="1"/>
  <c r="H456" i="3"/>
  <c r="C457" i="3"/>
  <c r="H392" i="14" l="1"/>
  <c r="D393" i="14" s="1"/>
  <c r="H351" i="16"/>
  <c r="O351" i="16" s="1"/>
  <c r="H437" i="19"/>
  <c r="D438" i="19" s="1"/>
  <c r="C438" i="19" s="1"/>
  <c r="G438" i="19" s="1"/>
  <c r="E438" i="19" s="1"/>
  <c r="F438" i="19" s="1"/>
  <c r="E457" i="3"/>
  <c r="D457" i="3" s="1"/>
  <c r="F457" i="3" s="1"/>
  <c r="G457" i="3" s="1"/>
  <c r="I457" i="3"/>
  <c r="C393" i="14" l="1"/>
  <c r="G393" i="14" s="1"/>
  <c r="E393" i="14" s="1"/>
  <c r="F393" i="14" s="1"/>
  <c r="D352" i="16"/>
  <c r="C352" i="16" s="1"/>
  <c r="G352" i="16" s="1"/>
  <c r="E352" i="16" s="1"/>
  <c r="F352" i="16" s="1"/>
  <c r="H438" i="19"/>
  <c r="D439" i="19" s="1"/>
  <c r="C439" i="19" s="1"/>
  <c r="G439" i="19" s="1"/>
  <c r="E439" i="19" s="1"/>
  <c r="F439" i="19" s="1"/>
  <c r="C458" i="3"/>
  <c r="H457" i="3"/>
  <c r="H393" i="14" l="1"/>
  <c r="D394" i="14" s="1"/>
  <c r="H352" i="16"/>
  <c r="O352" i="16" s="1"/>
  <c r="H439" i="19"/>
  <c r="I458" i="3"/>
  <c r="E458" i="3"/>
  <c r="D458" i="3" s="1"/>
  <c r="F458" i="3" s="1"/>
  <c r="G458" i="3" s="1"/>
  <c r="C394" i="14" l="1"/>
  <c r="G394" i="14" s="1"/>
  <c r="E394" i="14" s="1"/>
  <c r="F394" i="14" s="1"/>
  <c r="D353" i="16"/>
  <c r="C353" i="16" s="1"/>
  <c r="G353" i="16" s="1"/>
  <c r="C459" i="3"/>
  <c r="H458" i="3"/>
  <c r="H394" i="14" l="1"/>
  <c r="D395" i="14" s="1"/>
  <c r="E353" i="16"/>
  <c r="F353" i="16" s="1"/>
  <c r="I459" i="3"/>
  <c r="E459" i="3"/>
  <c r="D459" i="3" s="1"/>
  <c r="F459" i="3" s="1"/>
  <c r="G459" i="3" s="1"/>
  <c r="C395" i="14" l="1"/>
  <c r="G395" i="14" s="1"/>
  <c r="E395" i="14" s="1"/>
  <c r="F395" i="14" s="1"/>
  <c r="H353" i="16"/>
  <c r="O353" i="16" s="1"/>
  <c r="C460" i="3"/>
  <c r="H459" i="3"/>
  <c r="H395" i="14" l="1"/>
  <c r="D396" i="14" s="1"/>
  <c r="D354" i="16"/>
  <c r="C354" i="16" s="1"/>
  <c r="G354" i="16" s="1"/>
  <c r="E354" i="16" s="1"/>
  <c r="F354" i="16" s="1"/>
  <c r="I460" i="3"/>
  <c r="E460" i="3"/>
  <c r="D460" i="3" s="1"/>
  <c r="F460" i="3" s="1"/>
  <c r="G460" i="3" s="1"/>
  <c r="C396" i="14" l="1"/>
  <c r="G396" i="14" s="1"/>
  <c r="H354" i="16"/>
  <c r="O354" i="16" s="1"/>
  <c r="H460" i="3"/>
  <c r="C461" i="3"/>
  <c r="E396" i="14" l="1"/>
  <c r="F396" i="14" s="1"/>
  <c r="D355" i="16"/>
  <c r="C355" i="16" s="1"/>
  <c r="G355" i="16" s="1"/>
  <c r="E355" i="16" s="1"/>
  <c r="F355" i="16" s="1"/>
  <c r="E461" i="3"/>
  <c r="D461" i="3" s="1"/>
  <c r="F461" i="3" s="1"/>
  <c r="G461" i="3" s="1"/>
  <c r="I461" i="3"/>
  <c r="H396" i="14" l="1"/>
  <c r="D397" i="14" s="1"/>
  <c r="C397" i="14" s="1"/>
  <c r="G397" i="14" s="1"/>
  <c r="E397" i="14" s="1"/>
  <c r="F397" i="14" s="1"/>
  <c r="H355" i="16"/>
  <c r="O355" i="16" s="1"/>
  <c r="C462" i="3"/>
  <c r="H461" i="3"/>
  <c r="H397" i="14" l="1"/>
  <c r="D398" i="14" s="1"/>
  <c r="C398" i="14" s="1"/>
  <c r="G398" i="14" s="1"/>
  <c r="E398" i="14" s="1"/>
  <c r="F398" i="14" s="1"/>
  <c r="D356" i="16"/>
  <c r="C356" i="16" s="1"/>
  <c r="G356" i="16" s="1"/>
  <c r="E356" i="16" s="1"/>
  <c r="F356" i="16" s="1"/>
  <c r="I355" i="16"/>
  <c r="E462" i="3"/>
  <c r="D462" i="3" s="1"/>
  <c r="F462" i="3" s="1"/>
  <c r="G462" i="3" s="1"/>
  <c r="I462" i="3"/>
  <c r="H356" i="16" l="1"/>
  <c r="D357" i="16" s="1"/>
  <c r="C357" i="16" s="1"/>
  <c r="G357" i="16" s="1"/>
  <c r="E357" i="16" s="1"/>
  <c r="F357" i="16" s="1"/>
  <c r="H398" i="14"/>
  <c r="D399" i="14" s="1"/>
  <c r="C399" i="14" s="1"/>
  <c r="G399" i="14" s="1"/>
  <c r="E399" i="14" s="1"/>
  <c r="F399" i="14" s="1"/>
  <c r="C463" i="3"/>
  <c r="H462" i="3"/>
  <c r="O356" i="16" l="1"/>
  <c r="H399" i="14"/>
  <c r="D400" i="14" s="1"/>
  <c r="H357" i="16"/>
  <c r="D358" i="16" s="1"/>
  <c r="I463" i="3"/>
  <c r="E463" i="3"/>
  <c r="D463" i="3" s="1"/>
  <c r="F463" i="3" s="1"/>
  <c r="G463" i="3" s="1"/>
  <c r="C400" i="14" l="1"/>
  <c r="G400" i="14" s="1"/>
  <c r="E400" i="14" s="1"/>
  <c r="F400" i="14" s="1"/>
  <c r="O357" i="16"/>
  <c r="C358" i="16"/>
  <c r="G358" i="16" s="1"/>
  <c r="E358" i="16" s="1"/>
  <c r="F358" i="16" s="1"/>
  <c r="C464" i="3"/>
  <c r="H463" i="3"/>
  <c r="H400" i="14" l="1"/>
  <c r="D401" i="14" s="1"/>
  <c r="C401" i="14" s="1"/>
  <c r="G401" i="14" s="1"/>
  <c r="E401" i="14" s="1"/>
  <c r="F401" i="14" s="1"/>
  <c r="H358" i="16"/>
  <c r="O358" i="16" s="1"/>
  <c r="I464" i="3"/>
  <c r="E464" i="3"/>
  <c r="D464" i="3" s="1"/>
  <c r="F464" i="3" s="1"/>
  <c r="G464" i="3" s="1"/>
  <c r="H401" i="14" l="1"/>
  <c r="D402" i="14" s="1"/>
  <c r="D359" i="16"/>
  <c r="C359" i="16" s="1"/>
  <c r="G359" i="16" s="1"/>
  <c r="C465" i="3"/>
  <c r="H464" i="3"/>
  <c r="C402" i="14" l="1"/>
  <c r="G402" i="14" s="1"/>
  <c r="E402" i="14" s="1"/>
  <c r="F402" i="14" s="1"/>
  <c r="E359" i="16"/>
  <c r="F359" i="16" s="1"/>
  <c r="I465" i="3"/>
  <c r="E465" i="3"/>
  <c r="D465" i="3" s="1"/>
  <c r="F465" i="3" s="1"/>
  <c r="G465" i="3" s="1"/>
  <c r="H402" i="14" l="1"/>
  <c r="D403" i="14" s="1"/>
  <c r="H359" i="16"/>
  <c r="C466" i="3"/>
  <c r="H465" i="3"/>
  <c r="C403" i="14" l="1"/>
  <c r="G403" i="14" s="1"/>
  <c r="E403" i="14" s="1"/>
  <c r="F403" i="14" s="1"/>
  <c r="D360" i="16"/>
  <c r="C360" i="16" s="1"/>
  <c r="G360" i="16" s="1"/>
  <c r="E360" i="16" s="1"/>
  <c r="F360" i="16" s="1"/>
  <c r="O359" i="16"/>
  <c r="I466" i="3"/>
  <c r="E466" i="3"/>
  <c r="D466" i="3" s="1"/>
  <c r="F466" i="3" s="1"/>
  <c r="G466" i="3" s="1"/>
  <c r="H403" i="14" l="1"/>
  <c r="D404" i="14" s="1"/>
  <c r="H360" i="16"/>
  <c r="C467" i="3"/>
  <c r="H466" i="3"/>
  <c r="C404" i="14" l="1"/>
  <c r="G404" i="14" s="1"/>
  <c r="E404" i="14" s="1"/>
  <c r="F404" i="14" s="1"/>
  <c r="D361" i="16"/>
  <c r="C361" i="16" s="1"/>
  <c r="G361" i="16" s="1"/>
  <c r="E361" i="16" s="1"/>
  <c r="F361" i="16" s="1"/>
  <c r="O360" i="16"/>
  <c r="I467" i="3"/>
  <c r="E467" i="3"/>
  <c r="D467" i="3" s="1"/>
  <c r="F467" i="3" s="1"/>
  <c r="G467" i="3" s="1"/>
  <c r="H404" i="14" l="1"/>
  <c r="D405" i="14" s="1"/>
  <c r="C405" i="14" s="1"/>
  <c r="G405" i="14" s="1"/>
  <c r="E405" i="14" s="1"/>
  <c r="F405" i="14" s="1"/>
  <c r="H361" i="16"/>
  <c r="D362" i="16" s="1"/>
  <c r="C362" i="16" s="1"/>
  <c r="G362" i="16" s="1"/>
  <c r="E362" i="16" s="1"/>
  <c r="F362" i="16" s="1"/>
  <c r="H467" i="3"/>
  <c r="C468" i="3"/>
  <c r="H405" i="14" l="1"/>
  <c r="D406" i="14" s="1"/>
  <c r="O361" i="16"/>
  <c r="H362" i="16"/>
  <c r="D363" i="16" s="1"/>
  <c r="I468" i="3"/>
  <c r="E468" i="3"/>
  <c r="D468" i="3" s="1"/>
  <c r="F468" i="3" s="1"/>
  <c r="G468" i="3" s="1"/>
  <c r="C406" i="14" l="1"/>
  <c r="G406" i="14" s="1"/>
  <c r="E406" i="14" s="1"/>
  <c r="F406" i="14" s="1"/>
  <c r="O362" i="16"/>
  <c r="C363" i="16"/>
  <c r="G363" i="16" s="1"/>
  <c r="E363" i="16" s="1"/>
  <c r="F363" i="16" s="1"/>
  <c r="H468" i="3"/>
  <c r="C469" i="3"/>
  <c r="H406" i="14" l="1"/>
  <c r="D407" i="14" s="1"/>
  <c r="C407" i="14" s="1"/>
  <c r="G407" i="14" s="1"/>
  <c r="E407" i="14" s="1"/>
  <c r="F407" i="14" s="1"/>
  <c r="H363" i="16"/>
  <c r="D364" i="16" s="1"/>
  <c r="I469" i="3"/>
  <c r="E469" i="3"/>
  <c r="D469" i="3" s="1"/>
  <c r="F469" i="3" s="1"/>
  <c r="G469" i="3" s="1"/>
  <c r="H407" i="14" l="1"/>
  <c r="D408" i="14" s="1"/>
  <c r="O363" i="16"/>
  <c r="C364" i="16"/>
  <c r="G364" i="16" s="1"/>
  <c r="E364" i="16" s="1"/>
  <c r="F364" i="16" s="1"/>
  <c r="H469" i="3"/>
  <c r="C470" i="3"/>
  <c r="C408" i="14" l="1"/>
  <c r="G408" i="14" s="1"/>
  <c r="E408" i="14" s="1"/>
  <c r="F408" i="14" s="1"/>
  <c r="H364" i="16"/>
  <c r="D365" i="16" s="1"/>
  <c r="I470" i="3"/>
  <c r="E470" i="3"/>
  <c r="D470" i="3" s="1"/>
  <c r="F470" i="3" s="1"/>
  <c r="G470" i="3" s="1"/>
  <c r="H408" i="14" l="1"/>
  <c r="D409" i="14" s="1"/>
  <c r="C409" i="14" s="1"/>
  <c r="G409" i="14" s="1"/>
  <c r="E409" i="14" s="1"/>
  <c r="F409" i="14" s="1"/>
  <c r="O364" i="16"/>
  <c r="C365" i="16"/>
  <c r="G365" i="16" s="1"/>
  <c r="E365" i="16" s="1"/>
  <c r="F365" i="16" s="1"/>
  <c r="H470" i="3"/>
  <c r="C471" i="3"/>
  <c r="H409" i="14" l="1"/>
  <c r="D410" i="14" s="1"/>
  <c r="C410" i="14" s="1"/>
  <c r="G410" i="14" s="1"/>
  <c r="E410" i="14" s="1"/>
  <c r="F410" i="14" s="1"/>
  <c r="H365" i="16"/>
  <c r="D366" i="16" s="1"/>
  <c r="I471" i="3"/>
  <c r="E471" i="3"/>
  <c r="D471" i="3" s="1"/>
  <c r="F471" i="3" s="1"/>
  <c r="G471" i="3" s="1"/>
  <c r="H410" i="14" l="1"/>
  <c r="D411" i="14" s="1"/>
  <c r="O365" i="16"/>
  <c r="C366" i="16"/>
  <c r="G366" i="16" s="1"/>
  <c r="E366" i="16" s="1"/>
  <c r="F366" i="16" s="1"/>
  <c r="C472" i="3"/>
  <c r="H471" i="3"/>
  <c r="C411" i="14" l="1"/>
  <c r="G411" i="14" s="1"/>
  <c r="E411" i="14" s="1"/>
  <c r="F411" i="14" s="1"/>
  <c r="H366" i="16"/>
  <c r="D367" i="16" s="1"/>
  <c r="I472" i="3"/>
  <c r="E472" i="3"/>
  <c r="D472" i="3" s="1"/>
  <c r="F472" i="3" s="1"/>
  <c r="G472" i="3" s="1"/>
  <c r="H411" i="14" l="1"/>
  <c r="D412" i="14" s="1"/>
  <c r="C412" i="14" s="1"/>
  <c r="G412" i="14" s="1"/>
  <c r="E412" i="14" s="1"/>
  <c r="F412" i="14" s="1"/>
  <c r="O366" i="16"/>
  <c r="C367" i="16"/>
  <c r="G367" i="16" s="1"/>
  <c r="E367" i="16" s="1"/>
  <c r="F367" i="16" s="1"/>
  <c r="H472" i="3"/>
  <c r="C473" i="3"/>
  <c r="H412" i="14" l="1"/>
  <c r="D413" i="14" s="1"/>
  <c r="H367" i="16"/>
  <c r="I367" i="16" s="1"/>
  <c r="I473" i="3"/>
  <c r="E473" i="3"/>
  <c r="D473" i="3" s="1"/>
  <c r="F473" i="3" s="1"/>
  <c r="G473" i="3" s="1"/>
  <c r="C413" i="14" l="1"/>
  <c r="G413" i="14" s="1"/>
  <c r="E413" i="14" s="1"/>
  <c r="F413" i="14" s="1"/>
  <c r="D368" i="16"/>
  <c r="C368" i="16" s="1"/>
  <c r="G368" i="16" s="1"/>
  <c r="E368" i="16" s="1"/>
  <c r="F368" i="16" s="1"/>
  <c r="O367" i="16"/>
  <c r="C474" i="3"/>
  <c r="H473" i="3"/>
  <c r="H413" i="14" l="1"/>
  <c r="D414" i="14" s="1"/>
  <c r="C414" i="14" s="1"/>
  <c r="G414" i="14" s="1"/>
  <c r="E414" i="14" s="1"/>
  <c r="F414" i="14" s="1"/>
  <c r="H368" i="16"/>
  <c r="O368" i="16" s="1"/>
  <c r="E474" i="3"/>
  <c r="D474" i="3" s="1"/>
  <c r="F474" i="3" s="1"/>
  <c r="G474" i="3" s="1"/>
  <c r="I474" i="3"/>
  <c r="H414" i="14" l="1"/>
  <c r="D415" i="14" s="1"/>
  <c r="D369" i="16"/>
  <c r="C369" i="16" s="1"/>
  <c r="G369" i="16" s="1"/>
  <c r="E369" i="16" s="1"/>
  <c r="F369" i="16" s="1"/>
  <c r="C475" i="3"/>
  <c r="H474" i="3"/>
  <c r="C415" i="14" l="1"/>
  <c r="G415" i="14" s="1"/>
  <c r="E415" i="14" s="1"/>
  <c r="F415" i="14" s="1"/>
  <c r="H369" i="16"/>
  <c r="O369" i="16" s="1"/>
  <c r="E475" i="3"/>
  <c r="D475" i="3" s="1"/>
  <c r="F475" i="3" s="1"/>
  <c r="G475" i="3" s="1"/>
  <c r="I475" i="3"/>
  <c r="H415" i="14" l="1"/>
  <c r="D416" i="14" s="1"/>
  <c r="D370" i="16"/>
  <c r="C370" i="16" s="1"/>
  <c r="G370" i="16" s="1"/>
  <c r="E370" i="16" s="1"/>
  <c r="F370" i="16" s="1"/>
  <c r="H475" i="3"/>
  <c r="C476" i="3"/>
  <c r="C416" i="14" l="1"/>
  <c r="G416" i="14" s="1"/>
  <c r="E416" i="14" s="1"/>
  <c r="F416" i="14" s="1"/>
  <c r="H370" i="16"/>
  <c r="D371" i="16" s="1"/>
  <c r="I476" i="3"/>
  <c r="E476" i="3"/>
  <c r="D476" i="3" s="1"/>
  <c r="F476" i="3" s="1"/>
  <c r="G476" i="3" s="1"/>
  <c r="H416" i="14" l="1"/>
  <c r="D417" i="14" s="1"/>
  <c r="C417" i="14" s="1"/>
  <c r="G417" i="14" s="1"/>
  <c r="E417" i="14" s="1"/>
  <c r="F417" i="14" s="1"/>
  <c r="O370" i="16"/>
  <c r="C371" i="16"/>
  <c r="C477" i="3"/>
  <c r="H476" i="3"/>
  <c r="H417" i="14" l="1"/>
  <c r="D418" i="14" s="1"/>
  <c r="C418" i="14" s="1"/>
  <c r="G418" i="14" s="1"/>
  <c r="E418" i="14" s="1"/>
  <c r="F418" i="14" s="1"/>
  <c r="G371" i="16"/>
  <c r="E477" i="3"/>
  <c r="D477" i="3" s="1"/>
  <c r="F477" i="3" s="1"/>
  <c r="G477" i="3" s="1"/>
  <c r="I477" i="3"/>
  <c r="H418" i="14" l="1"/>
  <c r="D419" i="14" s="1"/>
  <c r="C419" i="14" s="1"/>
  <c r="G419" i="14" s="1"/>
  <c r="E419" i="14" s="1"/>
  <c r="F419" i="14" s="1"/>
  <c r="E371" i="16"/>
  <c r="F371" i="16" s="1"/>
  <c r="C478" i="3"/>
  <c r="H477" i="3"/>
  <c r="H419" i="14" l="1"/>
  <c r="D420" i="14" s="1"/>
  <c r="H371" i="16"/>
  <c r="D372" i="16" s="1"/>
  <c r="E478" i="3"/>
  <c r="D478" i="3" s="1"/>
  <c r="F478" i="3" s="1"/>
  <c r="G478" i="3" s="1"/>
  <c r="I478" i="3"/>
  <c r="C420" i="14" l="1"/>
  <c r="G420" i="14" s="1"/>
  <c r="E420" i="14" s="1"/>
  <c r="F420" i="14" s="1"/>
  <c r="O371" i="16"/>
  <c r="C372" i="16"/>
  <c r="H478" i="3"/>
  <c r="C479" i="3"/>
  <c r="H420" i="14" l="1"/>
  <c r="D421" i="14" s="1"/>
  <c r="C421" i="14" s="1"/>
  <c r="G421" i="14" s="1"/>
  <c r="E421" i="14" s="1"/>
  <c r="F421" i="14" s="1"/>
  <c r="G372" i="16"/>
  <c r="I479" i="3"/>
  <c r="E479" i="3"/>
  <c r="D479" i="3" s="1"/>
  <c r="F479" i="3" s="1"/>
  <c r="G479" i="3" s="1"/>
  <c r="H421" i="14" l="1"/>
  <c r="D422" i="14" s="1"/>
  <c r="C422" i="14" s="1"/>
  <c r="G422" i="14" s="1"/>
  <c r="E422" i="14" s="1"/>
  <c r="F422" i="14" s="1"/>
  <c r="E372" i="16"/>
  <c r="F372" i="16" s="1"/>
  <c r="C480" i="3"/>
  <c r="H479" i="3"/>
  <c r="H422" i="14" l="1"/>
  <c r="D423" i="14" s="1"/>
  <c r="H372" i="16"/>
  <c r="O372" i="16" s="1"/>
  <c r="E480" i="3"/>
  <c r="D480" i="3" s="1"/>
  <c r="F480" i="3" s="1"/>
  <c r="G480" i="3" s="1"/>
  <c r="I480" i="3"/>
  <c r="C423" i="14" l="1"/>
  <c r="G423" i="14" s="1"/>
  <c r="E423" i="14" s="1"/>
  <c r="F423" i="14" s="1"/>
  <c r="D373" i="16"/>
  <c r="C373" i="16" s="1"/>
  <c r="C481" i="3"/>
  <c r="H480" i="3"/>
  <c r="H423" i="14" l="1"/>
  <c r="D424" i="14" s="1"/>
  <c r="G373" i="16"/>
  <c r="I481" i="3"/>
  <c r="E481" i="3"/>
  <c r="D481" i="3" s="1"/>
  <c r="F481" i="3" s="1"/>
  <c r="G481" i="3" s="1"/>
  <c r="C424" i="14" l="1"/>
  <c r="G424" i="14" s="1"/>
  <c r="E424" i="14" s="1"/>
  <c r="F424" i="14" s="1"/>
  <c r="E373" i="16"/>
  <c r="F373" i="16" s="1"/>
  <c r="H481" i="3"/>
  <c r="C482" i="3"/>
  <c r="H424" i="14" l="1"/>
  <c r="D425" i="14" s="1"/>
  <c r="H373" i="16"/>
  <c r="D374" i="16" s="1"/>
  <c r="I482" i="3"/>
  <c r="E482" i="3"/>
  <c r="D482" i="3" s="1"/>
  <c r="F482" i="3" s="1"/>
  <c r="G482" i="3" s="1"/>
  <c r="C425" i="14" l="1"/>
  <c r="G425" i="14" s="1"/>
  <c r="E425" i="14" s="1"/>
  <c r="F425" i="14" s="1"/>
  <c r="O373" i="16"/>
  <c r="C374" i="16"/>
  <c r="C483" i="3"/>
  <c r="H482" i="3"/>
  <c r="H425" i="14" l="1"/>
  <c r="G374" i="16"/>
  <c r="E483" i="3"/>
  <c r="D483" i="3" s="1"/>
  <c r="F483" i="3" s="1"/>
  <c r="G483" i="3" s="1"/>
  <c r="I483" i="3"/>
  <c r="D426" i="14" l="1"/>
  <c r="E374" i="16"/>
  <c r="F374" i="16" s="1"/>
  <c r="C484" i="3"/>
  <c r="H483" i="3"/>
  <c r="C426" i="14" l="1"/>
  <c r="G426" i="14" s="1"/>
  <c r="H374" i="16"/>
  <c r="D375" i="16" s="1"/>
  <c r="I484" i="3"/>
  <c r="E484" i="3"/>
  <c r="D484" i="3" s="1"/>
  <c r="F484" i="3" s="1"/>
  <c r="G484" i="3" s="1"/>
  <c r="E426" i="14" l="1"/>
  <c r="F426" i="14" s="1"/>
  <c r="O374" i="16"/>
  <c r="C375" i="16"/>
  <c r="C485" i="3"/>
  <c r="H484" i="3"/>
  <c r="H426" i="14" l="1"/>
  <c r="D427" i="14" s="1"/>
  <c r="C427" i="14" s="1"/>
  <c r="G427" i="14" s="1"/>
  <c r="E427" i="14" s="1"/>
  <c r="F427" i="14" s="1"/>
  <c r="G375" i="16"/>
  <c r="I485" i="3"/>
  <c r="E485" i="3"/>
  <c r="D485" i="3" s="1"/>
  <c r="F485" i="3" s="1"/>
  <c r="G485" i="3" s="1"/>
  <c r="H427" i="14" l="1"/>
  <c r="D428" i="14" s="1"/>
  <c r="E375" i="16"/>
  <c r="F375" i="16" s="1"/>
  <c r="H485" i="3"/>
  <c r="C486" i="3"/>
  <c r="C428" i="14" l="1"/>
  <c r="G428" i="14" s="1"/>
  <c r="E428" i="14" s="1"/>
  <c r="F428" i="14" s="1"/>
  <c r="H375" i="16"/>
  <c r="O375" i="16" s="1"/>
  <c r="E486" i="3"/>
  <c r="D486" i="3" s="1"/>
  <c r="F486" i="3" s="1"/>
  <c r="G486" i="3" s="1"/>
  <c r="I486" i="3"/>
  <c r="H428" i="14" l="1"/>
  <c r="D429" i="14" s="1"/>
  <c r="D376" i="16"/>
  <c r="C376" i="16" s="1"/>
  <c r="G376" i="16" s="1"/>
  <c r="E376" i="16" s="1"/>
  <c r="F376" i="16" s="1"/>
  <c r="C487" i="3"/>
  <c r="H486" i="3"/>
  <c r="C429" i="14" l="1"/>
  <c r="G429" i="14" s="1"/>
  <c r="H376" i="16"/>
  <c r="O376" i="16" s="1"/>
  <c r="I487" i="3"/>
  <c r="E487" i="3"/>
  <c r="D487" i="3" s="1"/>
  <c r="F487" i="3" s="1"/>
  <c r="G487" i="3" s="1"/>
  <c r="E429" i="14" l="1"/>
  <c r="H429" i="14" s="1"/>
  <c r="D430" i="14" s="1"/>
  <c r="C430" i="14" s="1"/>
  <c r="G430" i="14" s="1"/>
  <c r="E430" i="14" s="1"/>
  <c r="F430" i="14" s="1"/>
  <c r="D377" i="16"/>
  <c r="C377" i="16" s="1"/>
  <c r="G377" i="16" s="1"/>
  <c r="E377" i="16" s="1"/>
  <c r="F377" i="16" s="1"/>
  <c r="C488" i="3"/>
  <c r="H487" i="3"/>
  <c r="F429" i="14" l="1"/>
  <c r="H430" i="14"/>
  <c r="D431" i="14" s="1"/>
  <c r="H377" i="16"/>
  <c r="O377" i="16" s="1"/>
  <c r="E488" i="3"/>
  <c r="D488" i="3" s="1"/>
  <c r="F488" i="3" s="1"/>
  <c r="G488" i="3" s="1"/>
  <c r="I488" i="3"/>
  <c r="C431" i="14" l="1"/>
  <c r="G431" i="14" s="1"/>
  <c r="E431" i="14" s="1"/>
  <c r="F431" i="14" s="1"/>
  <c r="D378" i="16"/>
  <c r="C378" i="16" s="1"/>
  <c r="G378" i="16" s="1"/>
  <c r="E378" i="16" s="1"/>
  <c r="F378" i="16" s="1"/>
  <c r="C489" i="3"/>
  <c r="H488" i="3"/>
  <c r="H431" i="14" l="1"/>
  <c r="D432" i="14" s="1"/>
  <c r="H378" i="16"/>
  <c r="E489" i="3"/>
  <c r="D489" i="3" s="1"/>
  <c r="F489" i="3" s="1"/>
  <c r="G489" i="3" s="1"/>
  <c r="I489" i="3"/>
  <c r="G432" i="14" l="1"/>
  <c r="E432" i="14" s="1"/>
  <c r="F432" i="14" s="1"/>
  <c r="D379" i="16"/>
  <c r="O378" i="16"/>
  <c r="H489" i="3"/>
  <c r="C490" i="3"/>
  <c r="H432" i="14" l="1"/>
  <c r="D433" i="14" s="1"/>
  <c r="H14" i="16"/>
  <c r="C379" i="16"/>
  <c r="I490" i="3"/>
  <c r="E490" i="3"/>
  <c r="D490" i="3" s="1"/>
  <c r="F490" i="3" s="1"/>
  <c r="G490" i="3" s="1"/>
  <c r="C433" i="14" l="1"/>
  <c r="G433" i="14" s="1"/>
  <c r="E433" i="14" s="1"/>
  <c r="F433" i="14" s="1"/>
  <c r="G379" i="16"/>
  <c r="H17" i="16"/>
  <c r="H490" i="3"/>
  <c r="C491" i="3"/>
  <c r="H433" i="14" l="1"/>
  <c r="D434" i="14" s="1"/>
  <c r="H13" i="16"/>
  <c r="H15" i="16" s="1"/>
  <c r="E379" i="16"/>
  <c r="E491" i="3"/>
  <c r="D491" i="3" s="1"/>
  <c r="F491" i="3" s="1"/>
  <c r="G491" i="3" s="1"/>
  <c r="I491" i="3"/>
  <c r="C434" i="14" l="1"/>
  <c r="G434" i="14" s="1"/>
  <c r="E434" i="14" s="1"/>
  <c r="F434" i="14" s="1"/>
  <c r="H379" i="16"/>
  <c r="F379" i="16"/>
  <c r="H491" i="3"/>
  <c r="C492" i="3"/>
  <c r="H434" i="14" l="1"/>
  <c r="D435" i="14" s="1"/>
  <c r="C435" i="14" s="1"/>
  <c r="G435" i="14" s="1"/>
  <c r="E435" i="14" s="1"/>
  <c r="F435" i="14" s="1"/>
  <c r="D380" i="16"/>
  <c r="I379" i="16"/>
  <c r="O379" i="16"/>
  <c r="E492" i="3"/>
  <c r="D492" i="3" s="1"/>
  <c r="F492" i="3" s="1"/>
  <c r="G492" i="3" s="1"/>
  <c r="I492" i="3"/>
  <c r="H435" i="14" l="1"/>
  <c r="D436" i="14" s="1"/>
  <c r="C436" i="14" s="1"/>
  <c r="G436" i="14" s="1"/>
  <c r="E436" i="14" s="1"/>
  <c r="F436" i="14" s="1"/>
  <c r="C380" i="16"/>
  <c r="G380" i="16" s="1"/>
  <c r="E380" i="16" s="1"/>
  <c r="F380" i="16" s="1"/>
  <c r="C493" i="3"/>
  <c r="H492" i="3"/>
  <c r="H436" i="14" l="1"/>
  <c r="D437" i="14" s="1"/>
  <c r="C437" i="14" s="1"/>
  <c r="G437" i="14" s="1"/>
  <c r="E437" i="14" s="1"/>
  <c r="F437" i="14" s="1"/>
  <c r="H380" i="16"/>
  <c r="D381" i="16" s="1"/>
  <c r="C381" i="16" s="1"/>
  <c r="G381" i="16" s="1"/>
  <c r="E381" i="16" s="1"/>
  <c r="F381" i="16" s="1"/>
  <c r="I493" i="3"/>
  <c r="E493" i="3"/>
  <c r="D493" i="3" s="1"/>
  <c r="F493" i="3" s="1"/>
  <c r="G493" i="3" s="1"/>
  <c r="H493" i="3" s="1"/>
  <c r="E9" i="3" a="1"/>
  <c r="E9" i="3" s="1"/>
  <c r="H437" i="14" l="1"/>
  <c r="D438" i="14" s="1"/>
  <c r="C438" i="14" s="1"/>
  <c r="G438" i="14" s="1"/>
  <c r="E438" i="14" s="1"/>
  <c r="F438" i="14" s="1"/>
  <c r="H381" i="16"/>
  <c r="D382" i="16" s="1"/>
  <c r="C382" i="16" s="1"/>
  <c r="G382" i="16" s="1"/>
  <c r="AE13" i="1"/>
  <c r="AE12" i="1"/>
  <c r="H438" i="14" l="1"/>
  <c r="D439" i="14" s="1"/>
  <c r="C439" i="14" s="1"/>
  <c r="G439" i="14" s="1"/>
  <c r="E439" i="14" s="1"/>
  <c r="F439" i="14" s="1"/>
  <c r="E382" i="16"/>
  <c r="F382" i="16" s="1"/>
  <c r="AF10" i="2"/>
  <c r="AE10" i="2"/>
  <c r="AD10" i="2"/>
  <c r="AC10" i="2"/>
  <c r="AB10" i="2"/>
  <c r="AA10" i="2"/>
  <c r="Z10" i="2"/>
  <c r="Y10" i="2"/>
  <c r="W10" i="2"/>
  <c r="V10" i="2"/>
  <c r="AF9" i="2"/>
  <c r="AE9" i="2"/>
  <c r="AD9" i="2"/>
  <c r="AC9" i="2"/>
  <c r="AB9" i="2"/>
  <c r="AA9" i="2"/>
  <c r="Z9" i="2"/>
  <c r="Y9" i="2"/>
  <c r="W9" i="2"/>
  <c r="V9" i="2"/>
  <c r="AF8" i="2"/>
  <c r="AE8" i="2"/>
  <c r="AD8" i="2"/>
  <c r="AC8" i="2"/>
  <c r="AB8" i="2"/>
  <c r="AA8" i="2"/>
  <c r="Z8" i="2"/>
  <c r="Y8" i="2"/>
  <c r="W8" i="2"/>
  <c r="V8" i="2"/>
  <c r="AF7" i="2"/>
  <c r="AE7" i="2"/>
  <c r="AD7" i="2"/>
  <c r="AC7" i="2"/>
  <c r="AB7" i="2"/>
  <c r="AA7" i="2"/>
  <c r="Z7" i="2"/>
  <c r="Y7" i="2"/>
  <c r="W7" i="2"/>
  <c r="V7" i="2"/>
  <c r="AF6" i="2"/>
  <c r="AE6" i="2"/>
  <c r="AD6" i="2"/>
  <c r="AC6" i="2"/>
  <c r="AB6" i="2"/>
  <c r="AA6" i="2"/>
  <c r="Z6" i="2"/>
  <c r="Y6" i="2"/>
  <c r="W6" i="2"/>
  <c r="V6" i="2"/>
  <c r="H439" i="14" l="1"/>
  <c r="H382" i="16"/>
  <c r="AH24" i="1"/>
  <c r="AE17" i="1"/>
  <c r="Y19" i="1"/>
  <c r="X19" i="1"/>
  <c r="W19" i="1"/>
  <c r="V19" i="1"/>
  <c r="Y18" i="1"/>
  <c r="X18" i="1"/>
  <c r="W18" i="1"/>
  <c r="V18" i="1"/>
  <c r="Y16" i="1"/>
  <c r="X16" i="1"/>
  <c r="W16" i="1"/>
  <c r="V16" i="1"/>
  <c r="V21" i="2"/>
  <c r="V22" i="2" s="1"/>
  <c r="D383" i="16" l="1"/>
  <c r="P11" i="1"/>
  <c r="P13" i="1" s="1"/>
  <c r="C383" i="16" l="1"/>
  <c r="G383" i="16" s="1"/>
  <c r="E383" i="16" s="1"/>
  <c r="F383" i="16" s="1"/>
  <c r="O8" i="1"/>
  <c r="P8" i="1"/>
  <c r="P14" i="1"/>
  <c r="P17" i="1"/>
  <c r="R11" i="1"/>
  <c r="R13" i="1" s="1"/>
  <c r="H383" i="16" l="1"/>
  <c r="D384" i="16" s="1"/>
  <c r="R8" i="1"/>
  <c r="R14" i="1"/>
  <c r="S14" i="1"/>
  <c r="S8" i="1"/>
  <c r="Q8" i="1"/>
  <c r="Q14" i="1"/>
  <c r="P15" i="1"/>
  <c r="P20" i="1" s="1"/>
  <c r="O15" i="1"/>
  <c r="O20" i="1" s="1"/>
  <c r="S17" i="1"/>
  <c r="Q17" i="1"/>
  <c r="R17" i="1"/>
  <c r="C384" i="16" l="1"/>
  <c r="G384" i="16" s="1"/>
  <c r="E384" i="16" s="1"/>
  <c r="F384" i="16" s="1"/>
  <c r="R15" i="1"/>
  <c r="R20" i="1" s="1"/>
  <c r="Q15" i="1"/>
  <c r="Q20" i="1" s="1"/>
  <c r="S15" i="1"/>
  <c r="S20" i="1" s="1"/>
  <c r="H384" i="16" l="1"/>
  <c r="D385" i="16" s="1"/>
  <c r="C385" i="16" s="1"/>
  <c r="G385" i="16" s="1"/>
  <c r="E385" i="16" s="1"/>
  <c r="F385" i="16" s="1"/>
  <c r="Y22" i="2"/>
  <c r="X22" i="2"/>
  <c r="W22" i="2"/>
  <c r="H385" i="16" l="1"/>
  <c r="D386" i="16" s="1"/>
  <c r="C386" i="16" s="1"/>
  <c r="G386" i="16" s="1"/>
  <c r="V12" i="2"/>
  <c r="U19" i="1"/>
  <c r="I16" i="1"/>
  <c r="U16" i="1" s="1"/>
  <c r="E386" i="16" l="1"/>
  <c r="F386" i="16" s="1"/>
  <c r="AB16" i="1"/>
  <c r="AA16" i="1"/>
  <c r="AB19" i="1"/>
  <c r="AA19" i="1"/>
  <c r="J10" i="1"/>
  <c r="I10" i="1"/>
  <c r="H386" i="16" l="1"/>
  <c r="D387" i="16" s="1"/>
  <c r="C387" i="16" s="1"/>
  <c r="G387" i="16" s="1"/>
  <c r="E387" i="16" s="1"/>
  <c r="F387" i="16" s="1"/>
  <c r="W10" i="1"/>
  <c r="U10" i="1"/>
  <c r="X10" i="1"/>
  <c r="V10" i="1"/>
  <c r="J11" i="1"/>
  <c r="J13" i="1" s="1"/>
  <c r="I11" i="1"/>
  <c r="H387" i="16" l="1"/>
  <c r="D388" i="16" s="1"/>
  <c r="C388" i="16" s="1"/>
  <c r="G388" i="16" s="1"/>
  <c r="E388" i="16" s="1"/>
  <c r="F388" i="16" s="1"/>
  <c r="I17" i="1"/>
  <c r="U17" i="1" s="1"/>
  <c r="I13" i="1"/>
  <c r="U13" i="1" s="1"/>
  <c r="J17" i="1"/>
  <c r="V17" i="1" s="1"/>
  <c r="V13" i="1"/>
  <c r="M11" i="1"/>
  <c r="M13" i="1" s="1"/>
  <c r="L11" i="1"/>
  <c r="L13" i="1" s="1"/>
  <c r="K11" i="1"/>
  <c r="K13" i="1" s="1"/>
  <c r="W13" i="1" s="1"/>
  <c r="V11" i="1"/>
  <c r="U11" i="1"/>
  <c r="I8" i="1"/>
  <c r="J8" i="1"/>
  <c r="U18" i="1"/>
  <c r="I14" i="1"/>
  <c r="U14" i="1" s="1"/>
  <c r="J14" i="1"/>
  <c r="V14" i="1" s="1"/>
  <c r="H388" i="16" l="1"/>
  <c r="D389" i="16" s="1"/>
  <c r="C389" i="16" s="1"/>
  <c r="G389" i="16" s="1"/>
  <c r="E389" i="16" s="1"/>
  <c r="F389" i="16" s="1"/>
  <c r="K14" i="1"/>
  <c r="W14" i="1" s="1"/>
  <c r="AA14" i="1" s="1"/>
  <c r="K17" i="1"/>
  <c r="W17" i="1" s="1"/>
  <c r="AA17" i="1" s="1"/>
  <c r="X11" i="1"/>
  <c r="L17" i="1"/>
  <c r="X17" i="1" s="1"/>
  <c r="M14" i="1"/>
  <c r="Y14" i="1" s="1"/>
  <c r="M17" i="1"/>
  <c r="Y17" i="1" s="1"/>
  <c r="AA13" i="1"/>
  <c r="Y10" i="1"/>
  <c r="K8" i="1"/>
  <c r="W11" i="1"/>
  <c r="L14" i="1"/>
  <c r="X14" i="1" s="1"/>
  <c r="L8" i="1"/>
  <c r="X13" i="1"/>
  <c r="Y13" i="1"/>
  <c r="M8" i="1"/>
  <c r="Y11" i="1"/>
  <c r="AB18" i="1"/>
  <c r="AA18" i="1"/>
  <c r="I15" i="1"/>
  <c r="I20" i="1" s="1"/>
  <c r="J15" i="1"/>
  <c r="J20" i="1" s="1"/>
  <c r="H389" i="16" l="1"/>
  <c r="D390" i="16" s="1"/>
  <c r="C390" i="16" s="1"/>
  <c r="G390" i="16" s="1"/>
  <c r="AB14" i="1"/>
  <c r="K15" i="1"/>
  <c r="AB13" i="1"/>
  <c r="AB17" i="1"/>
  <c r="L15" i="1"/>
  <c r="M15" i="1"/>
  <c r="U20" i="1"/>
  <c r="U15" i="1"/>
  <c r="V20" i="1"/>
  <c r="V15" i="1"/>
  <c r="E390" i="16" l="1"/>
  <c r="F390" i="16" s="1"/>
  <c r="M20" i="1"/>
  <c r="Y20" i="1" s="1"/>
  <c r="L20" i="1"/>
  <c r="X20" i="1" s="1"/>
  <c r="K20" i="1"/>
  <c r="W20" i="1" s="1"/>
  <c r="W15" i="1"/>
  <c r="AA15" i="1" s="1"/>
  <c r="X15" i="1"/>
  <c r="Y15" i="1"/>
  <c r="H390" i="16" l="1"/>
  <c r="D391" i="16" s="1"/>
  <c r="C391" i="16" s="1"/>
  <c r="G391" i="16" s="1"/>
  <c r="E391" i="16" s="1"/>
  <c r="F391" i="16" s="1"/>
  <c r="K4" i="1"/>
  <c r="AB20" i="1"/>
  <c r="AB22" i="1" s="1"/>
  <c r="J4" i="1"/>
  <c r="AA20" i="1"/>
  <c r="AA22" i="1" s="1"/>
  <c r="AD10" i="1" s="1"/>
  <c r="I4" i="1" s="1"/>
  <c r="AB15" i="1"/>
  <c r="H391" i="16" l="1"/>
  <c r="D392" i="16" s="1"/>
  <c r="AD9" i="1"/>
  <c r="E41" i="1"/>
  <c r="C392" i="16" l="1"/>
  <c r="G392" i="16" s="1"/>
  <c r="E392" i="16" s="1"/>
  <c r="F392" i="16" s="1"/>
  <c r="H392" i="16" l="1"/>
  <c r="D393" i="16" s="1"/>
  <c r="C393" i="16" l="1"/>
  <c r="G393" i="16" s="1"/>
  <c r="E393" i="16" s="1"/>
  <c r="F393" i="16" s="1"/>
  <c r="H393" i="16" l="1"/>
  <c r="D394" i="16" s="1"/>
  <c r="C394" i="16" l="1"/>
  <c r="G394" i="16" s="1"/>
  <c r="E394" i="16" s="1"/>
  <c r="F394" i="16" s="1"/>
  <c r="H394" i="16" l="1"/>
  <c r="D395" i="16" s="1"/>
  <c r="C395" i="16" l="1"/>
  <c r="G395" i="16" s="1"/>
  <c r="E395" i="16" s="1"/>
  <c r="F395" i="16" s="1"/>
  <c r="H395" i="16" l="1"/>
  <c r="D396" i="16" s="1"/>
  <c r="C396" i="16" s="1"/>
  <c r="G396" i="16" s="1"/>
  <c r="E396" i="16" s="1"/>
  <c r="F396" i="16" s="1"/>
  <c r="H396" i="16" l="1"/>
  <c r="D397" i="16" s="1"/>
  <c r="C397" i="16" s="1"/>
  <c r="G397" i="16" s="1"/>
  <c r="E397" i="16" s="1"/>
  <c r="F397" i="16" s="1"/>
  <c r="H397" i="16" l="1"/>
  <c r="D398" i="16" s="1"/>
  <c r="C398" i="16" s="1"/>
  <c r="G398" i="16" s="1"/>
  <c r="E398" i="16" s="1"/>
  <c r="F398" i="16" s="1"/>
  <c r="H398" i="16" l="1"/>
  <c r="D399" i="16" s="1"/>
  <c r="C399" i="16" s="1"/>
  <c r="G399" i="16" s="1"/>
  <c r="E399" i="16" s="1"/>
  <c r="F399" i="16" s="1"/>
  <c r="H399" i="16" l="1"/>
  <c r="D400" i="16" s="1"/>
  <c r="C400" i="16" s="1"/>
  <c r="G400" i="16" s="1"/>
  <c r="E400" i="16" s="1"/>
  <c r="F400" i="16" s="1"/>
  <c r="H400" i="16" l="1"/>
  <c r="D401" i="16" s="1"/>
  <c r="C401" i="16" s="1"/>
  <c r="G401" i="16" s="1"/>
  <c r="E401" i="16" s="1"/>
  <c r="F401" i="16" s="1"/>
  <c r="H401" i="16" l="1"/>
  <c r="D402" i="16" s="1"/>
  <c r="C402" i="16" s="1"/>
  <c r="G402" i="16" s="1"/>
  <c r="E402" i="16" s="1"/>
  <c r="F402" i="16" s="1"/>
  <c r="H402" i="16" l="1"/>
  <c r="D403" i="16" s="1"/>
  <c r="C403" i="16" s="1"/>
  <c r="G403" i="16" s="1"/>
  <c r="E403" i="16" s="1"/>
  <c r="F403" i="16" s="1"/>
  <c r="H403" i="16" l="1"/>
  <c r="D404" i="16" s="1"/>
  <c r="C404" i="16" s="1"/>
  <c r="G404" i="16" s="1"/>
  <c r="E404" i="16" s="1"/>
  <c r="F404" i="16" s="1"/>
  <c r="H404" i="16" l="1"/>
  <c r="D405" i="16" s="1"/>
  <c r="C405" i="16" s="1"/>
  <c r="G405" i="16" s="1"/>
  <c r="E405" i="16" l="1"/>
  <c r="F405" i="16" s="1"/>
  <c r="H405" i="16" l="1"/>
  <c r="D406" i="16" s="1"/>
  <c r="C406" i="16" s="1"/>
  <c r="G406" i="16" s="1"/>
  <c r="E406" i="16" s="1"/>
  <c r="F406" i="16" s="1"/>
  <c r="H406" i="16" l="1"/>
  <c r="D407" i="16" s="1"/>
  <c r="C407" i="16" s="1"/>
  <c r="G407" i="16" s="1"/>
  <c r="E407" i="16" s="1"/>
  <c r="F407" i="16" s="1"/>
  <c r="H407" i="16" l="1"/>
  <c r="D408" i="16" s="1"/>
  <c r="C408" i="16" s="1"/>
  <c r="G408" i="16" s="1"/>
  <c r="E408" i="16" l="1"/>
  <c r="F408" i="16" s="1"/>
  <c r="H408" i="16" l="1"/>
  <c r="D409" i="16" s="1"/>
  <c r="C409" i="16" s="1"/>
  <c r="G409" i="16" s="1"/>
  <c r="E409" i="16" s="1"/>
  <c r="F409" i="16" s="1"/>
  <c r="H409" i="16" l="1"/>
  <c r="D410" i="16" s="1"/>
  <c r="C410" i="16" s="1"/>
  <c r="G410" i="16" s="1"/>
  <c r="E410" i="16" s="1"/>
  <c r="F410" i="16" s="1"/>
  <c r="H410" i="16" l="1"/>
  <c r="D411" i="16" s="1"/>
  <c r="C411" i="16" s="1"/>
  <c r="G411" i="16" s="1"/>
  <c r="E411" i="16" s="1"/>
  <c r="F411" i="16" s="1"/>
  <c r="H411" i="16" l="1"/>
  <c r="D412" i="16" s="1"/>
  <c r="C412" i="16" s="1"/>
  <c r="G412" i="16" s="1"/>
  <c r="E412" i="16" s="1"/>
  <c r="F412" i="16" s="1"/>
  <c r="H412" i="16" l="1"/>
  <c r="D413" i="16" s="1"/>
  <c r="C413" i="16" s="1"/>
  <c r="G413" i="16" s="1"/>
  <c r="E413" i="16" s="1"/>
  <c r="F413" i="16" s="1"/>
  <c r="H413" i="16" l="1"/>
  <c r="D414" i="16" s="1"/>
  <c r="C414" i="16" s="1"/>
  <c r="G414" i="16" s="1"/>
  <c r="E414" i="16" s="1"/>
  <c r="F414" i="16" s="1"/>
  <c r="H414" i="16" l="1"/>
  <c r="D415" i="16" s="1"/>
  <c r="C415" i="16" l="1"/>
  <c r="G415" i="16" s="1"/>
  <c r="E415" i="16" s="1"/>
  <c r="F415" i="16" s="1"/>
  <c r="H415" i="16" l="1"/>
  <c r="D416" i="16" s="1"/>
  <c r="C416" i="16" s="1"/>
  <c r="G416" i="16" s="1"/>
  <c r="E416" i="16" s="1"/>
  <c r="F416" i="16" s="1"/>
  <c r="H416" i="16" l="1"/>
  <c r="D417" i="16" s="1"/>
  <c r="C417" i="16" s="1"/>
  <c r="G417" i="16" s="1"/>
  <c r="E417" i="16" s="1"/>
  <c r="F417" i="16" s="1"/>
  <c r="H417" i="16" l="1"/>
  <c r="D418" i="16" s="1"/>
  <c r="C418" i="16" s="1"/>
  <c r="G418" i="16" s="1"/>
  <c r="E418" i="16" l="1"/>
  <c r="F418" i="16" l="1"/>
  <c r="H418" i="16"/>
  <c r="D419" i="16" s="1"/>
  <c r="C419" i="16" l="1"/>
  <c r="G419" i="16" s="1"/>
  <c r="E419" i="16" s="1"/>
  <c r="F419" i="16" s="1"/>
  <c r="H419" i="16" l="1"/>
  <c r="D420" i="16" l="1"/>
  <c r="C420" i="16" l="1"/>
  <c r="G420" i="16" s="1"/>
  <c r="E420" i="16" s="1"/>
  <c r="F420" i="16" s="1"/>
  <c r="H420" i="16" l="1"/>
  <c r="D421" i="16" s="1"/>
  <c r="C421" i="16" l="1"/>
  <c r="G421" i="16" s="1"/>
  <c r="E421" i="16" s="1"/>
  <c r="F421" i="16" s="1"/>
  <c r="H421" i="16" l="1"/>
  <c r="D422" i="16" s="1"/>
  <c r="C422" i="16" l="1"/>
  <c r="G422" i="16" s="1"/>
  <c r="E422" i="16" s="1"/>
  <c r="F422" i="16" s="1"/>
  <c r="H422" i="16" l="1"/>
  <c r="D423" i="16" s="1"/>
  <c r="C423" i="16" l="1"/>
  <c r="G423" i="16" s="1"/>
  <c r="E423" i="16" s="1"/>
  <c r="F423" i="16" s="1"/>
  <c r="H423" i="16" l="1"/>
  <c r="D424" i="16" s="1"/>
  <c r="C424" i="16" s="1"/>
  <c r="G424" i="16" s="1"/>
  <c r="E424" i="16" s="1"/>
  <c r="F424" i="16" s="1"/>
  <c r="H424" i="16" l="1"/>
  <c r="D425" i="16" s="1"/>
  <c r="C425" i="16" s="1"/>
  <c r="G425" i="16" s="1"/>
  <c r="E425" i="16" s="1"/>
  <c r="F425" i="16" s="1"/>
  <c r="H425" i="16" l="1"/>
  <c r="D426" i="16" s="1"/>
  <c r="C426" i="16" s="1"/>
  <c r="G426" i="16" s="1"/>
  <c r="E426" i="16" s="1"/>
  <c r="F426" i="16" s="1"/>
  <c r="H426" i="16" l="1"/>
  <c r="D427" i="16" s="1"/>
  <c r="C427" i="16" s="1"/>
  <c r="G427" i="16" s="1"/>
  <c r="E427" i="16" s="1"/>
  <c r="F427" i="16" s="1"/>
  <c r="H427" i="16" l="1"/>
  <c r="D428" i="16" s="1"/>
  <c r="C428" i="16" s="1"/>
  <c r="G428" i="16" s="1"/>
  <c r="E428" i="16" l="1"/>
  <c r="F428" i="16" s="1"/>
  <c r="H428" i="16" l="1"/>
  <c r="D429" i="16" s="1"/>
  <c r="C429" i="16" s="1"/>
  <c r="G429" i="16" s="1"/>
  <c r="E429" i="16" s="1"/>
  <c r="F429" i="16" s="1"/>
  <c r="H429" i="16" l="1"/>
  <c r="D430" i="16" s="1"/>
  <c r="C430" i="16" s="1"/>
  <c r="G430" i="16" s="1"/>
  <c r="E430" i="16" s="1"/>
  <c r="F430" i="16" s="1"/>
  <c r="H430" i="16" l="1"/>
  <c r="D431" i="16" s="1"/>
  <c r="C431" i="16" s="1"/>
  <c r="G431" i="16" s="1"/>
  <c r="E431" i="16" s="1"/>
  <c r="F431" i="16" s="1"/>
  <c r="H431" i="16" l="1"/>
  <c r="D432" i="16" s="1"/>
  <c r="G432" i="16" s="1"/>
  <c r="E432" i="16" l="1"/>
  <c r="F432" i="16" s="1"/>
  <c r="H432" i="16" l="1"/>
  <c r="D433" i="16" s="1"/>
  <c r="C433" i="16" s="1"/>
  <c r="G433" i="16" s="1"/>
  <c r="E433" i="16" s="1"/>
  <c r="F433" i="16" s="1"/>
  <c r="H433" i="16" l="1"/>
  <c r="D434" i="16" s="1"/>
  <c r="C434" i="16" s="1"/>
  <c r="G434" i="16" s="1"/>
  <c r="E434" i="16" s="1"/>
  <c r="F434" i="16" s="1"/>
  <c r="H434" i="16" l="1"/>
  <c r="D435" i="16" s="1"/>
  <c r="C435" i="16" s="1"/>
  <c r="G435" i="16" s="1"/>
  <c r="E435" i="16" s="1"/>
  <c r="F435" i="16" s="1"/>
  <c r="H435" i="16" l="1"/>
  <c r="D436" i="16" s="1"/>
  <c r="C436" i="16" s="1"/>
  <c r="G436" i="16" s="1"/>
  <c r="E436" i="16" s="1"/>
  <c r="F436" i="16" s="1"/>
  <c r="H436" i="16" l="1"/>
  <c r="D437" i="16" s="1"/>
  <c r="C437" i="16" s="1"/>
  <c r="G437" i="16" s="1"/>
  <c r="E437" i="16" l="1"/>
  <c r="F437" i="16" s="1"/>
  <c r="H437" i="16" l="1"/>
  <c r="D438" i="16" s="1"/>
  <c r="C438" i="16" l="1"/>
  <c r="G438" i="16" s="1"/>
  <c r="E438" i="16" s="1"/>
  <c r="F438" i="16" s="1"/>
  <c r="H438" i="16" l="1"/>
  <c r="D439" i="16" l="1"/>
  <c r="C439" i="16" l="1"/>
  <c r="G439" i="16" s="1"/>
  <c r="E439" i="16" s="1"/>
  <c r="F439" i="16" s="1"/>
  <c r="H439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Tamsak Suppaiboon</author>
  </authors>
  <commentList>
    <comment ref="B1" authorId="0" shapeId="0" xr:uid="{8191E436-526D-4D91-9745-14AE697231D7}">
      <text>
        <r>
          <rPr>
            <b/>
            <sz val="9"/>
            <color indexed="81"/>
            <rFont val="Tahoma"/>
            <family val="2"/>
          </rPr>
          <t>Parameter Input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2880746E-EF68-4AF8-81AE-057A0C3E3405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2" authorId="0" shapeId="0" xr:uid="{517A7034-87A5-4BF8-B02E-876A6D80CAC3}">
      <text>
        <r>
          <rPr>
            <sz val="9"/>
            <color indexed="81"/>
            <rFont val="Tahoma"/>
            <family val="2"/>
          </rPr>
          <t>Calculate Year * 12</t>
        </r>
      </text>
    </comment>
    <comment ref="C2" authorId="0" shapeId="0" xr:uid="{37C89849-D628-4C85-869C-D018AD28BEBE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5" authorId="0" shapeId="0" xr:uid="{3940ADAC-566C-4072-AB10-9C425D657990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6" authorId="0" shapeId="0" xr:uid="{394D6959-4C65-41F4-8824-E9DFA8753E8B}">
      <text>
        <r>
          <rPr>
            <sz val="9"/>
            <color indexed="81"/>
            <rFont val="Tahoma"/>
            <family val="2"/>
          </rPr>
          <t>Special Rate = Special Rate Approved - Normal Buffer Rate</t>
        </r>
      </text>
    </comment>
    <comment ref="A9" authorId="0" shapeId="0" xr:uid="{FF1E541B-DA6C-4B51-9291-C6AC02767D8D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9" authorId="0" shapeId="0" xr:uid="{8CFC26CE-8A89-413B-BA25-532880885B69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C9" authorId="0" shapeId="0" xr:uid="{8C590D15-527B-4938-9A7E-60E9F5F5F4AA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I9" authorId="0" shapeId="0" xr:uid="{1DD05819-4E6A-4EE0-B4FA-AEC276B4A7EA}">
      <text>
        <r>
          <rPr>
            <sz val="9"/>
            <color indexed="81"/>
            <rFont val="Tahoma"/>
            <family val="2"/>
          </rPr>
          <t>System Calculate</t>
        </r>
      </text>
    </comment>
    <comment ref="J9" authorId="0" shapeId="0" xr:uid="{7AF30470-8002-4474-8576-FAD06C97F2E8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K9" authorId="0" shapeId="0" xr:uid="{9B7DE4D0-4513-4AA4-B25A-D229102E010C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J10" authorId="0" shapeId="0" xr:uid="{AF3F7660-22BA-40D9-903A-246F3A7F6BAC}">
      <text>
        <r>
          <rPr>
            <sz val="9"/>
            <color indexed="81"/>
            <rFont val="Tahoma"/>
            <family val="2"/>
          </rPr>
          <t xml:space="preserve">Rate = Facility rate + Normol Buffer rate + Special rate
</t>
        </r>
      </text>
    </comment>
    <comment ref="L10" authorId="0" shapeId="0" xr:uid="{D29A0394-A5A4-4824-9083-429A868CB219}">
      <text>
        <r>
          <rPr>
            <sz val="9"/>
            <color indexed="81"/>
            <rFont val="Tahoma"/>
            <family val="2"/>
          </rPr>
          <t xml:space="preserve">Installment = Prnincipal Bal. * Rate/12
</t>
        </r>
      </text>
    </comment>
    <comment ref="N10" authorId="0" shapeId="0" xr:uid="{F71D41BF-F989-4BB4-BC7D-3478A47425BE}">
      <text>
        <r>
          <rPr>
            <sz val="9"/>
            <color indexed="81"/>
            <rFont val="Tahoma"/>
            <family val="2"/>
          </rPr>
          <t>Rate = Facility Pacage</t>
        </r>
      </text>
    </comment>
    <comment ref="P10" authorId="0" shapeId="0" xr:uid="{F3F6655A-9742-4356-9E28-08F8B9376D1D}">
      <text>
        <r>
          <rPr>
            <sz val="9"/>
            <color indexed="81"/>
            <rFont val="Tahoma"/>
            <family val="2"/>
          </rPr>
          <t>Installment = Prnincipal Bal. * Rate/12</t>
        </r>
      </text>
    </comment>
    <comment ref="N11" authorId="0" shapeId="0" xr:uid="{900C35D6-D3EB-45FC-9F48-CACEC6996DA5}">
      <text>
        <r>
          <rPr>
            <b/>
            <sz val="9"/>
            <color indexed="81"/>
            <rFont val="Tahoma"/>
            <family val="2"/>
          </rPr>
          <t>Rate = Facility + Normol Buffer rate + Special rate: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87E5769D-4131-453D-A2C5-0F8535E5F1B1}">
      <text>
        <r>
          <rPr>
            <b/>
            <sz val="9"/>
            <color indexed="81"/>
            <rFont val="Tahoma"/>
            <family val="2"/>
          </rPr>
          <t>Rate = ((no of term Y4*Rate Y4 + no ofterm Y5) /(no of term4 + no of term5))/ Normal Buffer Rate</t>
        </r>
        <r>
          <rPr>
            <sz val="9"/>
            <color indexed="81"/>
            <rFont val="Tahoma"/>
            <family val="2"/>
          </rPr>
          <t xml:space="preserve">
=&gt; 7Sep2021 change to Last tier rate + normal buffer</t>
        </r>
      </text>
    </comment>
    <comment ref="L13" authorId="0" shapeId="0" xr:uid="{794FE835-ABD4-46DB-8A8A-0C83F4B0A665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  <comment ref="N14" authorId="0" shapeId="0" xr:uid="{BD7D96F9-755A-4BC3-8649-1A962549EB17}">
      <text>
        <r>
          <rPr>
            <sz val="9"/>
            <color indexed="81"/>
            <rFont val="Tahoma"/>
            <family val="2"/>
          </rPr>
          <t xml:space="preserve">Rate = ((no of term Y4*Rate Y4 + no ofterm Y5) /(no of term4 + no of term5))/ Normal Buffer Rate
</t>
        </r>
      </text>
    </comment>
    <comment ref="P14" authorId="0" shapeId="0" xr:uid="{E5E78B09-C626-43C3-9DFE-B515304E987F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Tamsak Suppaiboon</author>
  </authors>
  <commentList>
    <comment ref="B1" authorId="0" shapeId="0" xr:uid="{3332AB23-C1F4-4BF3-B579-AC7B8078BCAD}">
      <text>
        <r>
          <rPr>
            <b/>
            <sz val="9"/>
            <color indexed="81"/>
            <rFont val="Tahoma"/>
            <family val="2"/>
          </rPr>
          <t>Parameter Input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48F607F2-A67C-43B6-8AD2-87F5A6C6B4D8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2" authorId="0" shapeId="0" xr:uid="{8027622B-E84B-474E-8CD4-64A39DBDA495}">
      <text>
        <r>
          <rPr>
            <sz val="9"/>
            <color indexed="81"/>
            <rFont val="Tahoma"/>
            <family val="2"/>
          </rPr>
          <t>Calculate Year * 12</t>
        </r>
      </text>
    </comment>
    <comment ref="C2" authorId="0" shapeId="0" xr:uid="{DC0BC99E-0457-4350-86CF-51EDC6E64901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5" authorId="0" shapeId="0" xr:uid="{726D81A0-1C69-414B-849C-A3E4384BD828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6" authorId="0" shapeId="0" xr:uid="{75061F39-6C11-42F3-BEE1-8E307717AE5F}">
      <text>
        <r>
          <rPr>
            <sz val="9"/>
            <color indexed="81"/>
            <rFont val="Tahoma"/>
            <family val="2"/>
          </rPr>
          <t>Special Rate = Special Rate Approved - Normal Buffer Rate</t>
        </r>
      </text>
    </comment>
    <comment ref="A9" authorId="0" shapeId="0" xr:uid="{29B8DE82-5244-48F0-BFFC-739A155E5AC1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9" authorId="0" shapeId="0" xr:uid="{07DF5411-1D19-4A64-A45E-D4B79A2B54D2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C9" authorId="0" shapeId="0" xr:uid="{68C824AF-2C4A-4FC0-BD21-2E803DE5D96A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I9" authorId="0" shapeId="0" xr:uid="{6BAAC7C7-D25A-4167-97A6-3649FC7A75E6}">
      <text>
        <r>
          <rPr>
            <sz val="9"/>
            <color indexed="81"/>
            <rFont val="Tahoma"/>
            <family val="2"/>
          </rPr>
          <t>System Calculate</t>
        </r>
      </text>
    </comment>
    <comment ref="J9" authorId="0" shapeId="0" xr:uid="{19B469F2-A758-4E5C-8DEB-5EA78B7D07D0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K9" authorId="0" shapeId="0" xr:uid="{9C0B1886-01C0-4AB2-A8EE-CBAF86923FA7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J10" authorId="0" shapeId="0" xr:uid="{0445579A-C91E-46A6-8E30-31260F31F872}">
      <text>
        <r>
          <rPr>
            <sz val="9"/>
            <color indexed="81"/>
            <rFont val="Tahoma"/>
            <family val="2"/>
          </rPr>
          <t xml:space="preserve">Rate = Facility rate + Normol Buffer rate + Special rate
</t>
        </r>
      </text>
    </comment>
    <comment ref="L10" authorId="0" shapeId="0" xr:uid="{03A78345-6406-48B4-990A-8E58B2849ED0}">
      <text>
        <r>
          <rPr>
            <sz val="9"/>
            <color indexed="81"/>
            <rFont val="Tahoma"/>
            <family val="2"/>
          </rPr>
          <t xml:space="preserve">Installment = Prnincipal Bal. * Rate/12
</t>
        </r>
      </text>
    </comment>
    <comment ref="N10" authorId="0" shapeId="0" xr:uid="{507030B5-5F7C-49A4-A4E4-0764165E6905}">
      <text>
        <r>
          <rPr>
            <sz val="9"/>
            <color indexed="81"/>
            <rFont val="Tahoma"/>
            <family val="2"/>
          </rPr>
          <t>Rate = Facility Pacage</t>
        </r>
      </text>
    </comment>
    <comment ref="P10" authorId="0" shapeId="0" xr:uid="{6F3CD5F9-6E51-4329-B782-741439BE89BD}">
      <text>
        <r>
          <rPr>
            <sz val="9"/>
            <color indexed="81"/>
            <rFont val="Tahoma"/>
            <family val="2"/>
          </rPr>
          <t>Installment = Prnincipal Bal. * Rate/12</t>
        </r>
      </text>
    </comment>
    <comment ref="N11" authorId="0" shapeId="0" xr:uid="{6FEA888C-029B-4BF7-A1C6-CF4C6863D993}">
      <text>
        <r>
          <rPr>
            <b/>
            <sz val="9"/>
            <color indexed="81"/>
            <rFont val="Tahoma"/>
            <family val="2"/>
          </rPr>
          <t>Rate = Facility + Normol Buffer rate + Special rate: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E512B669-D240-4A05-AE02-B2371613AA23}">
      <text>
        <r>
          <rPr>
            <b/>
            <sz val="9"/>
            <color indexed="81"/>
            <rFont val="Tahoma"/>
            <family val="2"/>
          </rPr>
          <t>Rate = ((no of term Y4*Rate Y4 + no ofterm Y5) /(no of term4 + no of term5))/ Normal Buffer Rate</t>
        </r>
        <r>
          <rPr>
            <sz val="9"/>
            <color indexed="81"/>
            <rFont val="Tahoma"/>
            <family val="2"/>
          </rPr>
          <t xml:space="preserve">
=&gt; 7Sep2021 change to Last tier rate + normal buffer</t>
        </r>
      </text>
    </comment>
    <comment ref="L13" authorId="0" shapeId="0" xr:uid="{32209A6A-2445-4D1E-88AE-4C0FFA785FA5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  <comment ref="N14" authorId="0" shapeId="0" xr:uid="{80014C1F-F49B-4C90-975F-7B50A38DFDBF}">
      <text>
        <r>
          <rPr>
            <sz val="9"/>
            <color indexed="81"/>
            <rFont val="Tahoma"/>
            <family val="2"/>
          </rPr>
          <t xml:space="preserve">Rate = ((no of term Y4*Rate Y4 + no ofterm Y5) /(no of term4 + no of term5))/ Normal Buffer Rate
</t>
        </r>
      </text>
    </comment>
    <comment ref="P14" authorId="0" shapeId="0" xr:uid="{D0CC0696-7080-4A6B-89B0-D8D1200F6856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<sst xmlns="http://schemas.openxmlformats.org/spreadsheetml/2006/main" count="1643" uniqueCount="1286">
  <si>
    <t>COF</t>
  </si>
  <si>
    <t>Y1</t>
  </si>
  <si>
    <t>Y2</t>
  </si>
  <si>
    <t>Y3</t>
  </si>
  <si>
    <t>NII</t>
  </si>
  <si>
    <t>Revenue</t>
  </si>
  <si>
    <t>ENR</t>
  </si>
  <si>
    <t>ANR</t>
  </si>
  <si>
    <t>NOII</t>
  </si>
  <si>
    <t>OPEX</t>
  </si>
  <si>
    <t>PBT</t>
  </si>
  <si>
    <t>For 3Y</t>
  </si>
  <si>
    <t>Y4</t>
  </si>
  <si>
    <t>Y5</t>
  </si>
  <si>
    <t>For 5Y</t>
  </si>
  <si>
    <t>Lock 3Y</t>
  </si>
  <si>
    <t>Lock 5Y</t>
  </si>
  <si>
    <t>None</t>
  </si>
  <si>
    <t>CC</t>
  </si>
  <si>
    <t>Commission</t>
  </si>
  <si>
    <t>BT</t>
  </si>
  <si>
    <t>Focus</t>
  </si>
  <si>
    <t>RBP</t>
  </si>
  <si>
    <t>PVL</t>
  </si>
  <si>
    <t>Project</t>
  </si>
  <si>
    <t>MP</t>
  </si>
  <si>
    <t>PP</t>
  </si>
  <si>
    <t>Other</t>
  </si>
  <si>
    <t>Total</t>
  </si>
  <si>
    <t>Low</t>
  </si>
  <si>
    <t>High</t>
  </si>
  <si>
    <t>%CC confirm by Adrian 12-Nov-24</t>
  </si>
  <si>
    <t>Score Grade</t>
  </si>
  <si>
    <t>E-Lending</t>
  </si>
  <si>
    <t>Index</t>
  </si>
  <si>
    <t>HL</t>
  </si>
  <si>
    <t>&gt;&gt; can submit Pricing Deviation</t>
  </si>
  <si>
    <t>&gt;&gt; cannot submit Pricing Deviation</t>
  </si>
  <si>
    <t>Yes</t>
  </si>
  <si>
    <t>No</t>
  </si>
  <si>
    <t xml:space="preserve"> -------</t>
  </si>
  <si>
    <t>Cumulative</t>
  </si>
  <si>
    <t xml:space="preserve">Total Y24 </t>
  </si>
  <si>
    <t xml:space="preserve"> CLD </t>
  </si>
  <si>
    <t xml:space="preserve"> DSA </t>
  </si>
  <si>
    <t xml:space="preserve"> E-lending </t>
  </si>
  <si>
    <t>Salary Base</t>
  </si>
  <si>
    <t>Staff Incentive</t>
  </si>
  <si>
    <t>Agent Commission</t>
  </si>
  <si>
    <t xml:space="preserve">                        -   </t>
  </si>
  <si>
    <t>%CPL</t>
  </si>
  <si>
    <t>FY24 Loan Vol.</t>
  </si>
  <si>
    <t>MP/PP</t>
  </si>
  <si>
    <t>MP %CC</t>
  </si>
  <si>
    <t>HL Facility</t>
  </si>
  <si>
    <t>MP/PP Facility</t>
  </si>
  <si>
    <t>All Facility</t>
  </si>
  <si>
    <t>วงเงิน</t>
  </si>
  <si>
    <t>ดอกเบี้ย (เฉลี่ย 3 ปี)</t>
  </si>
  <si>
    <t>ปีที่ 1</t>
  </si>
  <si>
    <t>ปีที่ 2</t>
  </si>
  <si>
    <t>ปีที่ 3</t>
  </si>
  <si>
    <t>ปีที่ 4</t>
  </si>
  <si>
    <t>ยกเว้นค่าจดจำนอง</t>
  </si>
  <si>
    <t>ช่องทางขาย</t>
  </si>
  <si>
    <t>แคมเปญ</t>
  </si>
  <si>
    <t>ผูกสัญญา</t>
  </si>
  <si>
    <t>Check Value</t>
  </si>
  <si>
    <t>ไม่สามารถนำเสนอลดดอกเบี้ยได้</t>
  </si>
  <si>
    <t>สามารถนำเสนอลดดอกเบี้ยได้</t>
  </si>
  <si>
    <t>ชื่อลูกค้า</t>
  </si>
  <si>
    <t>เลข App.</t>
  </si>
  <si>
    <t>* กรอกเฉพาะช่องสีเหลือง</t>
  </si>
  <si>
    <t>ตารางพิจารณาขอลดดอกเบี้ย</t>
  </si>
  <si>
    <t>Cap Min Rate</t>
  </si>
  <si>
    <t>3Y</t>
  </si>
  <si>
    <t>5Y</t>
  </si>
  <si>
    <t>เบี้ยประกัน MRTA/MLTA</t>
  </si>
  <si>
    <t>หมายเหตุ</t>
  </si>
  <si>
    <t xml:space="preserve"> - ดอกเบี้ยที่ขออนุมัติ ต้องไม่มีปีไหน</t>
  </si>
  <si>
    <t xml:space="preserve">   มากกว่าดอกเบี้ยตามแคมเปญ</t>
  </si>
  <si>
    <t xml:space="preserve">   อาจจะส่งผลให้ ค่างวดไม่พอตัด</t>
  </si>
  <si>
    <t xml:space="preserve">   ชำระยอดดอกเบี้ย</t>
  </si>
  <si>
    <t xml:space="preserve">      ผลการพิจารณา</t>
  </si>
  <si>
    <t xml:space="preserve"> - ตารางคำนวณนี้เพื่อเป็นแนวทาง</t>
  </si>
  <si>
    <t xml:space="preserve">   การนำเสนอดอกเบี้ยเท่านั้น</t>
  </si>
  <si>
    <t xml:space="preserve">    Product ขอสงวนสิทธิ์ในการ</t>
  </si>
  <si>
    <t xml:space="preserve">   พิจารณาอนุมัติดอกเบี้ยที่เสนอขอ</t>
  </si>
  <si>
    <t>Cap Max Loss</t>
  </si>
  <si>
    <t>No Ins</t>
  </si>
  <si>
    <t>Ins</t>
  </si>
  <si>
    <t>BaseLine</t>
  </si>
  <si>
    <t>Fix Rate</t>
  </si>
  <si>
    <t>Float Rate</t>
  </si>
  <si>
    <t>To be hide</t>
  </si>
  <si>
    <t>Loan</t>
  </si>
  <si>
    <t>Y4+</t>
  </si>
  <si>
    <t>Tenor</t>
  </si>
  <si>
    <t>Insurance</t>
  </si>
  <si>
    <t>Interest 1</t>
  </si>
  <si>
    <t>No Insurance</t>
  </si>
  <si>
    <t>Interest 2</t>
  </si>
  <si>
    <t>Interest 3</t>
  </si>
  <si>
    <t>Interest 4+</t>
  </si>
  <si>
    <t>Buffer (+1%)</t>
  </si>
  <si>
    <t>Bal 0 in mth</t>
  </si>
  <si>
    <t>%COF</t>
  </si>
  <si>
    <t>Installment</t>
  </si>
  <si>
    <t>No.</t>
  </si>
  <si>
    <t>Int Rate</t>
  </si>
  <si>
    <t>Beg.OS</t>
  </si>
  <si>
    <t>Mthy Pay</t>
  </si>
  <si>
    <t>Int Paid</t>
  </si>
  <si>
    <t>OS Paid</t>
  </si>
  <si>
    <t>End.OS</t>
  </si>
  <si>
    <t>LTV</t>
  </si>
  <si>
    <t>%Comm</t>
  </si>
  <si>
    <t>Limit</t>
  </si>
  <si>
    <t>no of Year</t>
  </si>
  <si>
    <t>Term(month)</t>
  </si>
  <si>
    <t>Special Approved</t>
  </si>
  <si>
    <t>Period</t>
  </si>
  <si>
    <t>BufferRate</t>
  </si>
  <si>
    <t>Normal</t>
  </si>
  <si>
    <t>First 3 years</t>
  </si>
  <si>
    <t>Facility Package for Option5.1</t>
  </si>
  <si>
    <t>แบบดอกเบี้ยจริง&amp;เงินต้นคงเหลือ</t>
  </si>
  <si>
    <t>แบบดอกเบี้ยจริง+BufferRate&amp;เงินต้นคงเหลือ</t>
  </si>
  <si>
    <t>แบบดอกเบี้ยจริง+BufferRate&amp;เงินต้นคงเหลือ Grace Period</t>
  </si>
  <si>
    <t>Start term</t>
  </si>
  <si>
    <t>Term</t>
  </si>
  <si>
    <t>Rete</t>
  </si>
  <si>
    <t>Year</t>
  </si>
  <si>
    <t>Principal</t>
  </si>
  <si>
    <t>Rate</t>
  </si>
  <si>
    <t>5+</t>
  </si>
  <si>
    <t>Total Term</t>
  </si>
  <si>
    <t>Paid_Month</t>
  </si>
  <si>
    <t>Payment</t>
  </si>
  <si>
    <t>IRR</t>
  </si>
  <si>
    <t>แบบดอกเบี้ยจริง &amp; เงินต้นคงเหลือ</t>
  </si>
  <si>
    <t>แบบดอกเบี้ยจริง+เผื่อดอกเบี้ยขาขึ้น &amp; เงินต้นคงเหลือ</t>
  </si>
  <si>
    <t>ค่างวดคงที่</t>
  </si>
  <si>
    <t>ค่างวดจริง</t>
  </si>
  <si>
    <t>Annual rate</t>
  </si>
  <si>
    <t>Monthly rate</t>
  </si>
  <si>
    <t>Month</t>
  </si>
  <si>
    <t>เงินต้นคงเหลือ</t>
  </si>
  <si>
    <t>ดอกเบี้ยผ่อนชำระ</t>
  </si>
  <si>
    <t>เงินต้นผ่อนชำระ</t>
  </si>
  <si>
    <t>เงินงวด</t>
  </si>
  <si>
    <t>ผ่อนชำระ (ปี)</t>
  </si>
  <si>
    <t>Medium</t>
  </si>
  <si>
    <t>Very High</t>
  </si>
  <si>
    <t>Base</t>
  </si>
  <si>
    <t>LP</t>
  </si>
  <si>
    <t>asof 01.04.26</t>
  </si>
  <si>
    <t>com.variance</t>
  </si>
  <si>
    <t>com variance</t>
  </si>
  <si>
    <t>Consent 1.1</t>
  </si>
  <si>
    <t>%Comm (after var)</t>
  </si>
  <si>
    <t>Retention ปีที่ 4</t>
  </si>
  <si>
    <t>Retention ปีที่ 5</t>
  </si>
  <si>
    <t>MP %Comm</t>
  </si>
  <si>
    <t>asof 31.03.26</t>
  </si>
  <si>
    <t>FX</t>
  </si>
  <si>
    <t>FL</t>
  </si>
  <si>
    <t>FXFLFL</t>
  </si>
  <si>
    <t>FXFXFL</t>
  </si>
  <si>
    <t>FXFXFX</t>
  </si>
  <si>
    <t>FLFLFL</t>
  </si>
  <si>
    <t>O/N</t>
  </si>
  <si>
    <t>FTP</t>
  </si>
  <si>
    <t>FLFLFX</t>
  </si>
  <si>
    <t>FLFXFX</t>
  </si>
  <si>
    <t>FLFXFL</t>
  </si>
  <si>
    <t>FXFLFX</t>
  </si>
  <si>
    <t>บาท</t>
  </si>
  <si>
    <t>ตามมติ</t>
  </si>
  <si>
    <t>ขออนุมัติในครั้งนี้</t>
  </si>
  <si>
    <t>ส่วนต่าง</t>
  </si>
  <si>
    <t>ดอกเบี้ยคู่แข่ง</t>
  </si>
  <si>
    <t>-</t>
  </si>
  <si>
    <t>For the rest</t>
  </si>
  <si>
    <t>App No.</t>
  </si>
  <si>
    <t>ช่องทางการขาย</t>
  </si>
  <si>
    <t>Application Status</t>
  </si>
  <si>
    <t>ชื่อโครงการ / ชื่อ Developer</t>
  </si>
  <si>
    <t>ประเภทหลักประกัน</t>
  </si>
  <si>
    <t>จังหวัดที่ตั้งหลักประกัน</t>
  </si>
  <si>
    <t>อำเภอของหลักประกัน</t>
  </si>
  <si>
    <t>ผ่อนชำระ</t>
  </si>
  <si>
    <t>ปี</t>
  </si>
  <si>
    <t>วงเงินสินเชื่อ</t>
  </si>
  <si>
    <t>วงเงิน HL</t>
  </si>
  <si>
    <t>ประวัติลูกค้า</t>
  </si>
  <si>
    <t>ผู้กู้หลัก ทำงานที่... ตำแหน่ง... รายได้รวม… อายุงาน...
ผู้กู้ร่วม ทำงานที่... ตำแหน่ง... รายได้รวม… อายุงาน...</t>
  </si>
  <si>
    <t>DSR</t>
  </si>
  <si>
    <t>Grade</t>
  </si>
  <si>
    <t>Not Pre-Recommend</t>
  </si>
  <si>
    <t>Pre-Recommend</t>
  </si>
  <si>
    <t>Final Approve</t>
  </si>
  <si>
    <t>วงเงิน MP</t>
  </si>
  <si>
    <t>แคมเปญสินเชื่อ</t>
  </si>
  <si>
    <t>กรุงเทพมหานคร</t>
  </si>
  <si>
    <t>เฉลี่ย 3 ปี</t>
  </si>
  <si>
    <t>อัตราดอกเบี้ย MRR</t>
  </si>
  <si>
    <t>MRR =</t>
  </si>
  <si>
    <t>อัตราดอกเบี้ย</t>
  </si>
  <si>
    <t>บ้านเดี่ยว</t>
  </si>
  <si>
    <t>ทาวน์เฮ้าส์</t>
  </si>
  <si>
    <t>ทาวน์โฮม</t>
  </si>
  <si>
    <t>บ้านแฝด</t>
  </si>
  <si>
    <t>คอนโด</t>
  </si>
  <si>
    <t>Shop House</t>
  </si>
  <si>
    <t>โกดัง</t>
  </si>
  <si>
    <t>โรงงาน</t>
  </si>
  <si>
    <t>ออฟฟิส</t>
  </si>
  <si>
    <t>อพาร์ทเม้นท์</t>
  </si>
  <si>
    <t>อื่นๆ</t>
  </si>
  <si>
    <t>คลองสาน</t>
  </si>
  <si>
    <t>คลองเตย</t>
  </si>
  <si>
    <t>จอมทอง</t>
  </si>
  <si>
    <t>จตุจักร</t>
  </si>
  <si>
    <t>ดุสิต</t>
  </si>
  <si>
    <t>ดอนเมือง</t>
  </si>
  <si>
    <t>ตลิ่งชัน</t>
  </si>
  <si>
    <t>ธนบุรี</t>
  </si>
  <si>
    <t>บางกอกน้อย</t>
  </si>
  <si>
    <t>บางกอกใหญ่</t>
  </si>
  <si>
    <t>บางกะปิ</t>
  </si>
  <si>
    <t>บางขุนเทียน</t>
  </si>
  <si>
    <t>บางเขน</t>
  </si>
  <si>
    <t>บางคอแหลม</t>
  </si>
  <si>
    <t>บางซื่อ</t>
  </si>
  <si>
    <t>บางพลัด</t>
  </si>
  <si>
    <t>บางรัก</t>
  </si>
  <si>
    <t>บึงกุ่ม</t>
  </si>
  <si>
    <t>ประเวศ</t>
  </si>
  <si>
    <t>ปทุมวัน</t>
  </si>
  <si>
    <t>ป้อมปราบศัตรูพ่าย</t>
  </si>
  <si>
    <t>พญาไท</t>
  </si>
  <si>
    <t>พระโขนง</t>
  </si>
  <si>
    <t>พระนคร</t>
  </si>
  <si>
    <t>ภาษีเจริญ</t>
  </si>
  <si>
    <t>มีนบุรี</t>
  </si>
  <si>
    <t>ยานนาวา</t>
  </si>
  <si>
    <t>ราชเทวี</t>
  </si>
  <si>
    <t>ราษฎร์บูรณะ</t>
  </si>
  <si>
    <t>ลาดกระบัง</t>
  </si>
  <si>
    <t>ลาดพร้าว</t>
  </si>
  <si>
    <t>สาทร</t>
  </si>
  <si>
    <t>สัมพันธวงศ์</t>
  </si>
  <si>
    <t>หนองแขม</t>
  </si>
  <si>
    <t>หนองจอก</t>
  </si>
  <si>
    <t>ห้วยขวาง</t>
  </si>
  <si>
    <t>สวนหลวง</t>
  </si>
  <si>
    <t>ดินแดง</t>
  </si>
  <si>
    <t>หลักสี่</t>
  </si>
  <si>
    <t>สายไหม</t>
  </si>
  <si>
    <t>คันนายาว</t>
  </si>
  <si>
    <t>สะพานสูง</t>
  </si>
  <si>
    <t>วังทองหลาง</t>
  </si>
  <si>
    <t>คลองสามวา</t>
  </si>
  <si>
    <t>วัฒนา</t>
  </si>
  <si>
    <t>บางนา</t>
  </si>
  <si>
    <t>ทวีวัฒนา</t>
  </si>
  <si>
    <t>บางแค</t>
  </si>
  <si>
    <t>ทุ่งครุ</t>
  </si>
  <si>
    <t>บางบอน</t>
  </si>
  <si>
    <t>กระบี่</t>
  </si>
  <si>
    <t>เมืองกระบี่</t>
  </si>
  <si>
    <t>เกาะลันตา</t>
  </si>
  <si>
    <t>เขาพนม</t>
  </si>
  <si>
    <t>คลองท่อม</t>
  </si>
  <si>
    <t>ปลายพระยา</t>
  </si>
  <si>
    <t>ลำทับ</t>
  </si>
  <si>
    <t>เหนือคลอง</t>
  </si>
  <si>
    <t>อ่าวลึก</t>
  </si>
  <si>
    <t>กาญจนบุรี</t>
  </si>
  <si>
    <t>เมืองกาญจนบุรี</t>
  </si>
  <si>
    <t>ด่านมะขามเตี้ย</t>
  </si>
  <si>
    <t>ทองผาภูมิ</t>
  </si>
  <si>
    <t>ท่าม่วง</t>
  </si>
  <si>
    <t>ท่ามะกา</t>
  </si>
  <si>
    <t>ไทรโยค</t>
  </si>
  <si>
    <t>บ่อพลอย</t>
  </si>
  <si>
    <t>พนมทวน</t>
  </si>
  <si>
    <t>เลาขวัญ</t>
  </si>
  <si>
    <t>ศรีสวัสดิ์</t>
  </si>
  <si>
    <t>สังขละบุรี</t>
  </si>
  <si>
    <t>หนองปรือ</t>
  </si>
  <si>
    <t>ห้วยกระเจา</t>
  </si>
  <si>
    <t>กาฬสินธุ์</t>
  </si>
  <si>
    <t>เมืองกาฬสินธุ์</t>
  </si>
  <si>
    <t>กมลาไสย</t>
  </si>
  <si>
    <t>กุฉินารายณ์</t>
  </si>
  <si>
    <t>เขาวง</t>
  </si>
  <si>
    <t>คำม่วง</t>
  </si>
  <si>
    <t>ท่าคันโท</t>
  </si>
  <si>
    <t>นามน</t>
  </si>
  <si>
    <t>ยางตลาด</t>
  </si>
  <si>
    <t>ร่องคำ</t>
  </si>
  <si>
    <t>สมเด็จ</t>
  </si>
  <si>
    <t>สหัสขันธ์</t>
  </si>
  <si>
    <t>หนองกุงศรี</t>
  </si>
  <si>
    <t>ห้วยผึ้ง</t>
  </si>
  <si>
    <t>ห้วยเม็ก</t>
  </si>
  <si>
    <t>นาคู</t>
  </si>
  <si>
    <t>สามชัย</t>
  </si>
  <si>
    <t>ดอนจาน</t>
  </si>
  <si>
    <t>ฆ้องชัย</t>
  </si>
  <si>
    <t>กำแพงเพชร</t>
  </si>
  <si>
    <t>เมืองกำแพงเพชร</t>
  </si>
  <si>
    <t>ขาณุวรลักษบุรี</t>
  </si>
  <si>
    <t>คลองขลุง</t>
  </si>
  <si>
    <t>คลองลาน</t>
  </si>
  <si>
    <t>ทรายทองวัฒนา</t>
  </si>
  <si>
    <t>ไทรงาม</t>
  </si>
  <si>
    <t>ปางศิลาทอง</t>
  </si>
  <si>
    <t>พรานกระต่าย</t>
  </si>
  <si>
    <t>ลานกระบือ</t>
  </si>
  <si>
    <t>บึงสามัคคี</t>
  </si>
  <si>
    <t>โกสัมพีนคร</t>
  </si>
  <si>
    <t>ขอนแก่น</t>
  </si>
  <si>
    <t>เมืองขอนแก่น</t>
  </si>
  <si>
    <t>กระนวน</t>
  </si>
  <si>
    <t>เขาสวนกวาง</t>
  </si>
  <si>
    <t>โคกโพธิ์ไชย</t>
  </si>
  <si>
    <t>ชำสูง</t>
  </si>
  <si>
    <t>ชนบท</t>
  </si>
  <si>
    <t>ชุมแพ</t>
  </si>
  <si>
    <t>น้ำพอง</t>
  </si>
  <si>
    <t>บ้านไผ่</t>
  </si>
  <si>
    <t>บ้านฝาง</t>
  </si>
  <si>
    <t>เปือยน้อย</t>
  </si>
  <si>
    <t>พล</t>
  </si>
  <si>
    <t>พระยืน</t>
  </si>
  <si>
    <t>ภูเวียง</t>
  </si>
  <si>
    <t>ภูผาม่าน</t>
  </si>
  <si>
    <t>มัญจาคีรี</t>
  </si>
  <si>
    <t>แวงน้อย</t>
  </si>
  <si>
    <t>แวงใหญ่</t>
  </si>
  <si>
    <t>สีชมพู</t>
  </si>
  <si>
    <t>หนองสองห้อง</t>
  </si>
  <si>
    <t>หนองเรือ</t>
  </si>
  <si>
    <t>หนองนาคำ</t>
  </si>
  <si>
    <t>อุบลรัตน์</t>
  </si>
  <si>
    <t>โนนศิลา</t>
  </si>
  <si>
    <t>บ้านแฮด</t>
  </si>
  <si>
    <t>จันทบุรี</t>
  </si>
  <si>
    <t>เมืองจันทบุรี</t>
  </si>
  <si>
    <t>แก่งหางแมว</t>
  </si>
  <si>
    <t>ขลุง</t>
  </si>
  <si>
    <t>ท่าใหม่</t>
  </si>
  <si>
    <t>นายายอาม</t>
  </si>
  <si>
    <t>โป่งน้ำร้อน</t>
  </si>
  <si>
    <t>มะขาม</t>
  </si>
  <si>
    <t>สอยดาว</t>
  </si>
  <si>
    <t>แหลมสิงห์</t>
  </si>
  <si>
    <t>เขาคิชฌกูฏ</t>
  </si>
  <si>
    <t>ฉะเชิงเทรา</t>
  </si>
  <si>
    <t>เมืองฉะเชิงเทรา</t>
  </si>
  <si>
    <t>บางคล้า</t>
  </si>
  <si>
    <t>บางน้ำเปรี้ยว</t>
  </si>
  <si>
    <t>บางปะกง</t>
  </si>
  <si>
    <t>บ้านโพธิ์</t>
  </si>
  <si>
    <t>แปลงยาว</t>
  </si>
  <si>
    <t>พนมสารคาม</t>
  </si>
  <si>
    <t>ราชสาส์น</t>
  </si>
  <si>
    <t>สนามชัยเขต</t>
  </si>
  <si>
    <t>ท่าตะเกียบ</t>
  </si>
  <si>
    <t>คลองเขื่อน</t>
  </si>
  <si>
    <t>ชลบุรี</t>
  </si>
  <si>
    <t>เมืองชลบุรี</t>
  </si>
  <si>
    <t>เกาะสีชัง</t>
  </si>
  <si>
    <t>บ่อทอง</t>
  </si>
  <si>
    <t>บางละมุง</t>
  </si>
  <si>
    <t>บ้านบึง</t>
  </si>
  <si>
    <t>พานทอง</t>
  </si>
  <si>
    <t>พนัสนิคม</t>
  </si>
  <si>
    <t>ศรีราชา</t>
  </si>
  <si>
    <t>สัตหีบ</t>
  </si>
  <si>
    <t>หนองใหญ่</t>
  </si>
  <si>
    <t>เกาะจันทร์</t>
  </si>
  <si>
    <t>ชัยนาท</t>
  </si>
  <si>
    <t>เมืองชัยนาท</t>
  </si>
  <si>
    <t>มโนรมย์</t>
  </si>
  <si>
    <t>วัดสิงห์</t>
  </si>
  <si>
    <t>สรรคบุรี</t>
  </si>
  <si>
    <t>สรรพยา</t>
  </si>
  <si>
    <t>หันคา</t>
  </si>
  <si>
    <t>หนองมะโมง</t>
  </si>
  <si>
    <t>เนินขาม</t>
  </si>
  <si>
    <t>ชัยภูมิ</t>
  </si>
  <si>
    <t>เมืองชัยภูมิ</t>
  </si>
  <si>
    <t>เกษตรสมบูรณ์</t>
  </si>
  <si>
    <t>แก้งคร้อ</t>
  </si>
  <si>
    <t>คอนสวรรค์</t>
  </si>
  <si>
    <t>คอนสาร</t>
  </si>
  <si>
    <t>จัตุรัส</t>
  </si>
  <si>
    <t>เทพสถิต</t>
  </si>
  <si>
    <t>เนินสง่า</t>
  </si>
  <si>
    <t>บ้านเขว้า</t>
  </si>
  <si>
    <t>บ้านแท่น</t>
  </si>
  <si>
    <t>บำเหน็จณรงค์</t>
  </si>
  <si>
    <t>ภูเขียว</t>
  </si>
  <si>
    <t>ภักดีชุมพล</t>
  </si>
  <si>
    <t>หนองบัวแดง</t>
  </si>
  <si>
    <t>หนองบัวระเหว</t>
  </si>
  <si>
    <t>ซับใหญ่</t>
  </si>
  <si>
    <t>ชุมพร</t>
  </si>
  <si>
    <t>เมืองชุมพร</t>
  </si>
  <si>
    <t>ท่าแซะ</t>
  </si>
  <si>
    <t>ทุ่งตะโก</t>
  </si>
  <si>
    <t>ปะทิว</t>
  </si>
  <si>
    <t>พะโต๊ะ</t>
  </si>
  <si>
    <t>ละแม</t>
  </si>
  <si>
    <t>สวี</t>
  </si>
  <si>
    <t>หลังสวน</t>
  </si>
  <si>
    <t>เชียงราย</t>
  </si>
  <si>
    <t>เมืองเชียงราย</t>
  </si>
  <si>
    <t>ขุนตาล</t>
  </si>
  <si>
    <t>เชียงของ</t>
  </si>
  <si>
    <t>เชียงแสน</t>
  </si>
  <si>
    <t>เทิง</t>
  </si>
  <si>
    <t>ป่าแดด</t>
  </si>
  <si>
    <t>พาน</t>
  </si>
  <si>
    <t>แม่จัน</t>
  </si>
  <si>
    <t>แม่ฟ้าหลวง</t>
  </si>
  <si>
    <t>แม่สรวย</t>
  </si>
  <si>
    <t>แม่สาย</t>
  </si>
  <si>
    <t>เวียงแก่น</t>
  </si>
  <si>
    <t>เวียงชัย</t>
  </si>
  <si>
    <t>เวียงป่าเป้า</t>
  </si>
  <si>
    <t>พญาเม็งราย</t>
  </si>
  <si>
    <t>แม่ลาว</t>
  </si>
  <si>
    <t>ดอยหลวง</t>
  </si>
  <si>
    <t>เวียงเชียงรุ้ง</t>
  </si>
  <si>
    <t>เชียงใหม่</t>
  </si>
  <si>
    <t>เมืองเชียงใหม่</t>
  </si>
  <si>
    <t>เชียงดาว</t>
  </si>
  <si>
    <t>ไชยปราการ</t>
  </si>
  <si>
    <t>ดอยเต่า</t>
  </si>
  <si>
    <t>ดอยหล่อ</t>
  </si>
  <si>
    <t>ดอยสะเก็ด</t>
  </si>
  <si>
    <t>ฝาง</t>
  </si>
  <si>
    <t>พร้าว</t>
  </si>
  <si>
    <t>แม่แจ่ม</t>
  </si>
  <si>
    <t>แม่แตง</t>
  </si>
  <si>
    <t>แม่ริม</t>
  </si>
  <si>
    <t>แม่วาง</t>
  </si>
  <si>
    <t>แม่อาย</t>
  </si>
  <si>
    <t>แม่ออน</t>
  </si>
  <si>
    <t>เวียงแหง</t>
  </si>
  <si>
    <t>สะเมิง</t>
  </si>
  <si>
    <t>สันกำแพง</t>
  </si>
  <si>
    <t>สันทราย</t>
  </si>
  <si>
    <t>สันป่าตอง</t>
  </si>
  <si>
    <t>สารภี</t>
  </si>
  <si>
    <t>หางดง</t>
  </si>
  <si>
    <t>อมก๋อย</t>
  </si>
  <si>
    <t>ฮอด</t>
  </si>
  <si>
    <t>ตรัง</t>
  </si>
  <si>
    <t>เมืองตรัง</t>
  </si>
  <si>
    <t>กันตัง</t>
  </si>
  <si>
    <t>ปะเหลียน</t>
  </si>
  <si>
    <t>ย่านตาขาว</t>
  </si>
  <si>
    <t>รัษฎา</t>
  </si>
  <si>
    <t>สิเกา</t>
  </si>
  <si>
    <t>ห้วยยอด</t>
  </si>
  <si>
    <t>วังวิเศษ</t>
  </si>
  <si>
    <t>หาดสำราญ</t>
  </si>
  <si>
    <t>นาโยง</t>
  </si>
  <si>
    <t>ตราด</t>
  </si>
  <si>
    <t>เมืองตราด</t>
  </si>
  <si>
    <t>เกาะช้าง</t>
  </si>
  <si>
    <t>เขาสมิง</t>
  </si>
  <si>
    <t>คลองใหญ่</t>
  </si>
  <si>
    <t>บ่อไร่</t>
  </si>
  <si>
    <t>แหลมงอบ</t>
  </si>
  <si>
    <t>เกาะกูด</t>
  </si>
  <si>
    <t>ตาก</t>
  </si>
  <si>
    <t>เมืองตาก</t>
  </si>
  <si>
    <t>ท่าสองยาง</t>
  </si>
  <si>
    <t>บ้านตาก</t>
  </si>
  <si>
    <t>พบพระ</t>
  </si>
  <si>
    <t>แม่ระมาด</t>
  </si>
  <si>
    <t>แม่สอด</t>
  </si>
  <si>
    <t>สามเงา</t>
  </si>
  <si>
    <t>อุ้มผาง</t>
  </si>
  <si>
    <t>วังเจ้า</t>
  </si>
  <si>
    <t>นครนายก</t>
  </si>
  <si>
    <t>เมืองนครนายก</t>
  </si>
  <si>
    <t>บ้านนา</t>
  </si>
  <si>
    <t>ปากพลี</t>
  </si>
  <si>
    <t>องครักษ์</t>
  </si>
  <si>
    <t>นครปฐม</t>
  </si>
  <si>
    <t>เมืองนครปฐม</t>
  </si>
  <si>
    <t>กำแพงแสน</t>
  </si>
  <si>
    <t>ดอนตูม</t>
  </si>
  <si>
    <t>นครชัยศรี</t>
  </si>
  <si>
    <t>บางเลน</t>
  </si>
  <si>
    <t>พุทธมณฑล</t>
  </si>
  <si>
    <t>สามพราน</t>
  </si>
  <si>
    <t>นครพนม</t>
  </si>
  <si>
    <t>เมืองนครพนม</t>
  </si>
  <si>
    <t>ท่าอุเทน</t>
  </si>
  <si>
    <t>ธาตุพนม</t>
  </si>
  <si>
    <t>นาแก</t>
  </si>
  <si>
    <t>นาหว้า</t>
  </si>
  <si>
    <t>บ้านแพง</t>
  </si>
  <si>
    <t>ปลาปาก</t>
  </si>
  <si>
    <t>โพนสวรรค์</t>
  </si>
  <si>
    <t>เรณูนคร</t>
  </si>
  <si>
    <t>ศรีสงคราม</t>
  </si>
  <si>
    <t>วังยาง</t>
  </si>
  <si>
    <t>นาทม</t>
  </si>
  <si>
    <t>นครราชสีมา</t>
  </si>
  <si>
    <t>เมืองนครราชสีมา</t>
  </si>
  <si>
    <t>แก้งสนามนาง</t>
  </si>
  <si>
    <t>ขามทะเลสอ</t>
  </si>
  <si>
    <t>ขามสะแกแสง</t>
  </si>
  <si>
    <t>คง</t>
  </si>
  <si>
    <t>ครบุรี</t>
  </si>
  <si>
    <t>จักราช</t>
  </si>
  <si>
    <t>ชุมพวง</t>
  </si>
  <si>
    <t>โชคชัย</t>
  </si>
  <si>
    <t>ด่านขุนทด</t>
  </si>
  <si>
    <t>โนนแดง</t>
  </si>
  <si>
    <t>โนนไทย</t>
  </si>
  <si>
    <t>โนนสูง</t>
  </si>
  <si>
    <t>บัวใหญ่</t>
  </si>
  <si>
    <t>บ้านเหลื่อม</t>
  </si>
  <si>
    <t>ประทาย</t>
  </si>
  <si>
    <t>ปักธงชัย</t>
  </si>
  <si>
    <t>ปากช่อง</t>
  </si>
  <si>
    <t>พิมาย</t>
  </si>
  <si>
    <t>วังน้ำเขียว</t>
  </si>
  <si>
    <t>สีคิ้ว</t>
  </si>
  <si>
    <t>สูงเนิน</t>
  </si>
  <si>
    <t>เสิงสาง</t>
  </si>
  <si>
    <t>ห้วยแถลง</t>
  </si>
  <si>
    <t>หนองบุนนาก</t>
  </si>
  <si>
    <t>เทพารักษ์</t>
  </si>
  <si>
    <t>เมืองยาง</t>
  </si>
  <si>
    <t>พระทองคำ</t>
  </si>
  <si>
    <t>ลำทะเมนชัย</t>
  </si>
  <si>
    <t>เฉลิมพระเกียรติ</t>
  </si>
  <si>
    <t>สีดา</t>
  </si>
  <si>
    <t>บัวลาย</t>
  </si>
  <si>
    <t>นครศรีธรรมราช</t>
  </si>
  <si>
    <t>เมืองนครศรีธรรมราช</t>
  </si>
  <si>
    <t>ขนอม</t>
  </si>
  <si>
    <t>ฉวาง</t>
  </si>
  <si>
    <t>ชะอวด</t>
  </si>
  <si>
    <t>เชียรใหญ่</t>
  </si>
  <si>
    <t>ท่าศาลา</t>
  </si>
  <si>
    <t>ทุ่งใหญ่</t>
  </si>
  <si>
    <t>ทุ่งสง</t>
  </si>
  <si>
    <t>พระพรหม</t>
  </si>
  <si>
    <t>นาบอน</t>
  </si>
  <si>
    <t>บางขัน</t>
  </si>
  <si>
    <t>ปากพนัง</t>
  </si>
  <si>
    <t>พรหมคีรี</t>
  </si>
  <si>
    <t>พิปูน</t>
  </si>
  <si>
    <t>ร่อนพิบูลย์</t>
  </si>
  <si>
    <t>ลานสะกา</t>
  </si>
  <si>
    <t>สิชล</t>
  </si>
  <si>
    <t>หัวไทร</t>
  </si>
  <si>
    <t>จุฬาภรณ์</t>
  </si>
  <si>
    <t>นบพิตำ</t>
  </si>
  <si>
    <t>ช้างกลาง</t>
  </si>
  <si>
    <t>ถ้ำพรรณรา</t>
  </si>
  <si>
    <t>นครสวรรค์</t>
  </si>
  <si>
    <t>เมืองนครสวรรค์</t>
  </si>
  <si>
    <t>เก้าเลี้ยว</t>
  </si>
  <si>
    <t>โกรกพระ</t>
  </si>
  <si>
    <t>ชุมแสง</t>
  </si>
  <si>
    <t>ตากฟ้า</t>
  </si>
  <si>
    <t>ตาคลี</t>
  </si>
  <si>
    <t>ท่าตะโก</t>
  </si>
  <si>
    <t>บรรพตพิสัย</t>
  </si>
  <si>
    <t>พยุหคีรี</t>
  </si>
  <si>
    <t>ไพศาลี</t>
  </si>
  <si>
    <t>แม่วงก์</t>
  </si>
  <si>
    <t>ลาดยาว</t>
  </si>
  <si>
    <t>หนองบัว</t>
  </si>
  <si>
    <t>แม่เปิน</t>
  </si>
  <si>
    <t>ชุมตาบง</t>
  </si>
  <si>
    <t>นนทบุรี</t>
  </si>
  <si>
    <t>เมืองนนทบุรี</t>
  </si>
  <si>
    <t>ไทรน้อย</t>
  </si>
  <si>
    <t>บางกรวย</t>
  </si>
  <si>
    <t>บางบัวทอง</t>
  </si>
  <si>
    <t>บางใหญ่</t>
  </si>
  <si>
    <t>ปากเกร็ด</t>
  </si>
  <si>
    <t>นราธิวาส</t>
  </si>
  <si>
    <t>เมืองนราธิวาส</t>
  </si>
  <si>
    <t>จะแนะ</t>
  </si>
  <si>
    <t>ตากใบ</t>
  </si>
  <si>
    <t>บาเจาะ</t>
  </si>
  <si>
    <t>ยี่งอ</t>
  </si>
  <si>
    <t>ระแงะ</t>
  </si>
  <si>
    <t>รือเสาะ</t>
  </si>
  <si>
    <t>แว้ง</t>
  </si>
  <si>
    <t>ศรีสาคร</t>
  </si>
  <si>
    <t>สุคิริน</t>
  </si>
  <si>
    <t>สุไหงโกลก</t>
  </si>
  <si>
    <t>สุไหงปาดี</t>
  </si>
  <si>
    <t>เจาะไอร้อง</t>
  </si>
  <si>
    <t>น่าน</t>
  </si>
  <si>
    <t>เมืองน่าน</t>
  </si>
  <si>
    <t>เชียงกลาง</t>
  </si>
  <si>
    <t>ท่าวังผา</t>
  </si>
  <si>
    <t>ทุ่งช้าง</t>
  </si>
  <si>
    <t>นาน้อย</t>
  </si>
  <si>
    <t>นาหมื่น</t>
  </si>
  <si>
    <t>บ้านหลวง</t>
  </si>
  <si>
    <t>ปัว</t>
  </si>
  <si>
    <t>แม่จริม</t>
  </si>
  <si>
    <t>เวียงสา</t>
  </si>
  <si>
    <t>สันติสุข</t>
  </si>
  <si>
    <t>บ่อเกลือ</t>
  </si>
  <si>
    <t>สองแคว</t>
  </si>
  <si>
    <t>ภูเพียง</t>
  </si>
  <si>
    <t>บุรีรัมย์</t>
  </si>
  <si>
    <t>เมืองบุรีรัมย์</t>
  </si>
  <si>
    <t>กระสัง</t>
  </si>
  <si>
    <t>คูเมือง</t>
  </si>
  <si>
    <t>ชำนิ</t>
  </si>
  <si>
    <t>นาโพธิ์</t>
  </si>
  <si>
    <t>นางรอง</t>
  </si>
  <si>
    <t>โนนดินแดง</t>
  </si>
  <si>
    <t>โนนสุวรรณ</t>
  </si>
  <si>
    <t>บ้านกรวด</t>
  </si>
  <si>
    <t>พลับพลาชัย</t>
  </si>
  <si>
    <t>บ้านใหม่ไชยพจน์</t>
  </si>
  <si>
    <t>ประโคนชัย</t>
  </si>
  <si>
    <t>ปะคำ</t>
  </si>
  <si>
    <t>พุทไธสง</t>
  </si>
  <si>
    <t>ละหานทราย</t>
  </si>
  <si>
    <t>ลำปลายมาศ</t>
  </si>
  <si>
    <t>สตึก</t>
  </si>
  <si>
    <t>หนองกี่</t>
  </si>
  <si>
    <t>หนองหงส์</t>
  </si>
  <si>
    <t>ห้วยราช</t>
  </si>
  <si>
    <t>บ้านด่าน</t>
  </si>
  <si>
    <t>แคนดง</t>
  </si>
  <si>
    <t>ปทุมธานี</t>
  </si>
  <si>
    <t>เมืองปทุมธานี</t>
  </si>
  <si>
    <t>คลองหลวง</t>
  </si>
  <si>
    <t>ธัญบุรี</t>
  </si>
  <si>
    <t>ลาดหลุมแก้ว</t>
  </si>
  <si>
    <t>ลำลูกกา</t>
  </si>
  <si>
    <t>สามโคก</t>
  </si>
  <si>
    <t>หนองเสือ</t>
  </si>
  <si>
    <t>ประจวบคีรีขันธ์</t>
  </si>
  <si>
    <t>เมืองประจวบคีรีขันธ์</t>
  </si>
  <si>
    <t>กุยบุรี</t>
  </si>
  <si>
    <t>ทับสะแก</t>
  </si>
  <si>
    <t>บางสะพาน</t>
  </si>
  <si>
    <t>บางสะพานน้อย</t>
  </si>
  <si>
    <t>ปราณบุรี</t>
  </si>
  <si>
    <t>หัวหิน</t>
  </si>
  <si>
    <t>สามร้อยยอด</t>
  </si>
  <si>
    <t>ปราจีนบุรี</t>
  </si>
  <si>
    <t>เมืองปราจีนบุรี</t>
  </si>
  <si>
    <t>กบินทร์บุรี</t>
  </si>
  <si>
    <t>ศรีมโหสถ</t>
  </si>
  <si>
    <t>นาดี</t>
  </si>
  <si>
    <t>บ้านสร้าง</t>
  </si>
  <si>
    <t>ประจันตคาม</t>
  </si>
  <si>
    <t>ศรีมหาโพธิ</t>
  </si>
  <si>
    <t>ปัตตานี</t>
  </si>
  <si>
    <t>เมืองปัตตานี</t>
  </si>
  <si>
    <t>กะพ้อ</t>
  </si>
  <si>
    <t>โคกโพธิ์</t>
  </si>
  <si>
    <t>ทุ่งยางแดง</t>
  </si>
  <si>
    <t>ปะนาเระ</t>
  </si>
  <si>
    <t>มายอ</t>
  </si>
  <si>
    <t>ไม้แก่น</t>
  </si>
  <si>
    <t>ยะรัง</t>
  </si>
  <si>
    <t>ยะหริ่ง</t>
  </si>
  <si>
    <t>สายบุรี</t>
  </si>
  <si>
    <t>หนองจิก</t>
  </si>
  <si>
    <t>แม่ลาน</t>
  </si>
  <si>
    <t>พระนครศรีอยุธยา</t>
  </si>
  <si>
    <t>ท่าเรือ</t>
  </si>
  <si>
    <t>นครหลวง</t>
  </si>
  <si>
    <t>บางซ้าย</t>
  </si>
  <si>
    <t>บางไทร</t>
  </si>
  <si>
    <t>บางบาล</t>
  </si>
  <si>
    <t>บางปะหัน</t>
  </si>
  <si>
    <t>บางปะอิน</t>
  </si>
  <si>
    <t>บ้านแพรก</t>
  </si>
  <si>
    <t>ผักไห่</t>
  </si>
  <si>
    <t>ภาชี</t>
  </si>
  <si>
    <t>มหาราช</t>
  </si>
  <si>
    <t>ลาดบัวหลวง</t>
  </si>
  <si>
    <t>วังน้อย</t>
  </si>
  <si>
    <t>เสนา</t>
  </si>
  <si>
    <t>อุทัย</t>
  </si>
  <si>
    <t>พังงา</t>
  </si>
  <si>
    <t>เมืองพังงา</t>
  </si>
  <si>
    <t>กะปง</t>
  </si>
  <si>
    <t>เกาะยาว</t>
  </si>
  <si>
    <t>คุระบุรี</t>
  </si>
  <si>
    <t>ตะกั่วทุ่ง</t>
  </si>
  <si>
    <t>ตะกั่วป่า</t>
  </si>
  <si>
    <t>ทับปุด</t>
  </si>
  <si>
    <t>ท้ายเหมือง</t>
  </si>
  <si>
    <t>พัทลุง</t>
  </si>
  <si>
    <t>เมืองพัทลุง</t>
  </si>
  <si>
    <t>กงหรา</t>
  </si>
  <si>
    <t>เขาชัยสน</t>
  </si>
  <si>
    <t>ควนขนุน</t>
  </si>
  <si>
    <t>ตะโหมด</t>
  </si>
  <si>
    <t>ปากพะยูน</t>
  </si>
  <si>
    <t>ป่าบอน</t>
  </si>
  <si>
    <t>ป่าพะยอม</t>
  </si>
  <si>
    <t>ศรีบรรพต</t>
  </si>
  <si>
    <t>บางแก้ว</t>
  </si>
  <si>
    <t>ศรีนครินทร์</t>
  </si>
  <si>
    <t>พิจิตร</t>
  </si>
  <si>
    <t>เมืองพิจิตร</t>
  </si>
  <si>
    <t>ตะพานหิน</t>
  </si>
  <si>
    <t>ทับคล้อ</t>
  </si>
  <si>
    <t>บางมูลนาก</t>
  </si>
  <si>
    <t>โพทะเล</t>
  </si>
  <si>
    <t>โพธิ์ประทับช้าง</t>
  </si>
  <si>
    <t>สามง่าม</t>
  </si>
  <si>
    <t>วังทรายพูน</t>
  </si>
  <si>
    <t>สากเหล็ก</t>
  </si>
  <si>
    <t>บึงนาราง</t>
  </si>
  <si>
    <t>ดงเจริญ</t>
  </si>
  <si>
    <t>วชิรบารมี</t>
  </si>
  <si>
    <t>พิษณุโลก</t>
  </si>
  <si>
    <t>เมืองพิษณุโลก</t>
  </si>
  <si>
    <t>นครไทย</t>
  </si>
  <si>
    <t>ชาติตระการ</t>
  </si>
  <si>
    <t>เนินมะปราง</t>
  </si>
  <si>
    <t>บางกระทุ่ม</t>
  </si>
  <si>
    <t>บางระกำ</t>
  </si>
  <si>
    <t>พรหมพิราม</t>
  </si>
  <si>
    <t>วังทอง</t>
  </si>
  <si>
    <t>วัดโบสถ์</t>
  </si>
  <si>
    <t>เพชรบุรี</t>
  </si>
  <si>
    <t>เมืองเพชรบุรี</t>
  </si>
  <si>
    <t>แก่งกระจาน</t>
  </si>
  <si>
    <t>เขาย้อย</t>
  </si>
  <si>
    <t>ชะอำ</t>
  </si>
  <si>
    <t>ท่ายาง</t>
  </si>
  <si>
    <t>บ้านลาด</t>
  </si>
  <si>
    <t>บ้านแหลม</t>
  </si>
  <si>
    <t>หนองหญ้าปล้อง</t>
  </si>
  <si>
    <t>เพชรบูรณ์</t>
  </si>
  <si>
    <t>เมืองเพชรบูรณ์</t>
  </si>
  <si>
    <t>เขาค้อ</t>
  </si>
  <si>
    <t>ชนแดน</t>
  </si>
  <si>
    <t>น้ำหนาว</t>
  </si>
  <si>
    <t>บึงสามพัน</t>
  </si>
  <si>
    <t>วิเชียรบุรี</t>
  </si>
  <si>
    <t>ศรีเทพ</t>
  </si>
  <si>
    <t>หนองไผ่</t>
  </si>
  <si>
    <t>หล่มเก่า</t>
  </si>
  <si>
    <t>หล่มสัก</t>
  </si>
  <si>
    <t>วังโป่ง</t>
  </si>
  <si>
    <t>แพร่</t>
  </si>
  <si>
    <t>เมืองแพร่</t>
  </si>
  <si>
    <t>เด่นชัย</t>
  </si>
  <si>
    <t>ร้องกวาง</t>
  </si>
  <si>
    <t>ลอง</t>
  </si>
  <si>
    <t>วังชิ้น</t>
  </si>
  <si>
    <t>สอง</t>
  </si>
  <si>
    <t>หนองม่วงไข่</t>
  </si>
  <si>
    <t>สูงเม่น</t>
  </si>
  <si>
    <t>พะเยา</t>
  </si>
  <si>
    <t>เมืองพะเยา</t>
  </si>
  <si>
    <t>จุน</t>
  </si>
  <si>
    <t>เชียงคำ</t>
  </si>
  <si>
    <t>เชียงม่วน</t>
  </si>
  <si>
    <t>ดอกคำใต้</t>
  </si>
  <si>
    <t>ปง</t>
  </si>
  <si>
    <t>แม่ใจ</t>
  </si>
  <si>
    <t>ภูซาง</t>
  </si>
  <si>
    <t>ภูกามยาว</t>
  </si>
  <si>
    <t>ภูเก็ต</t>
  </si>
  <si>
    <t>เมืองภูเก็ต</t>
  </si>
  <si>
    <t>กะทู้</t>
  </si>
  <si>
    <t>ถลาง</t>
  </si>
  <si>
    <t>มหาสารคาม</t>
  </si>
  <si>
    <t>เมืองมหาสารคาม</t>
  </si>
  <si>
    <t>กันทรวิชัย</t>
  </si>
  <si>
    <t>แกดำ</t>
  </si>
  <si>
    <t>โกสุมพิสัย</t>
  </si>
  <si>
    <t>เชียงยืน</t>
  </si>
  <si>
    <t>นาเชือก</t>
  </si>
  <si>
    <t>นาดูน</t>
  </si>
  <si>
    <t>บรบือ</t>
  </si>
  <si>
    <t>พยัคฆภูมิพิสัย</t>
  </si>
  <si>
    <t>วาปีปทุม</t>
  </si>
  <si>
    <t>กุดรัง</t>
  </si>
  <si>
    <t>ยางสีสุราช</t>
  </si>
  <si>
    <t>ชื่นชม</t>
  </si>
  <si>
    <t>มุกดาหาร</t>
  </si>
  <si>
    <t>เมืองมุกดาหาร</t>
  </si>
  <si>
    <t>คำชะอี</t>
  </si>
  <si>
    <t>ดงหลวง</t>
  </si>
  <si>
    <t>ดอนตาล</t>
  </si>
  <si>
    <t>นิคมคำสร้อย</t>
  </si>
  <si>
    <t>หนองสูง</t>
  </si>
  <si>
    <t>หว้านใหญ่</t>
  </si>
  <si>
    <t>แม่ฮ่องสอน</t>
  </si>
  <si>
    <t>เมืองแม่ฮ่องสอน</t>
  </si>
  <si>
    <t>ขุนยวม</t>
  </si>
  <si>
    <t>ปางมะผ้า</t>
  </si>
  <si>
    <t>ปาย</t>
  </si>
  <si>
    <t>แม่ลาน้อย</t>
  </si>
  <si>
    <t>แม่สะเรียง</t>
  </si>
  <si>
    <t>สบเมย</t>
  </si>
  <si>
    <t>ยะลา</t>
  </si>
  <si>
    <t>เมืองยะลา</t>
  </si>
  <si>
    <t>กาบัง</t>
  </si>
  <si>
    <t>กรงปินัง</t>
  </si>
  <si>
    <t>ธารโต</t>
  </si>
  <si>
    <t>บันนังสตา</t>
  </si>
  <si>
    <t>เบตง</t>
  </si>
  <si>
    <t>ยะหา</t>
  </si>
  <si>
    <t>รามัน</t>
  </si>
  <si>
    <t>ยโสธร</t>
  </si>
  <si>
    <t>เมืองยโสธร</t>
  </si>
  <si>
    <t>กุดชุม</t>
  </si>
  <si>
    <t>ค้อวัง</t>
  </si>
  <si>
    <t>คำเขื่อนแก้ว</t>
  </si>
  <si>
    <t>ไทยเจริญ</t>
  </si>
  <si>
    <t>ทรายมูล</t>
  </si>
  <si>
    <t>ป่าติ้ว</t>
  </si>
  <si>
    <t>มหาชนะชัย</t>
  </si>
  <si>
    <t>เลิงนกทา</t>
  </si>
  <si>
    <t>ร้อยเอ็ด</t>
  </si>
  <si>
    <t>เมืองร้อยเอ็ด</t>
  </si>
  <si>
    <t>เกษตรวิสัย</t>
  </si>
  <si>
    <t>จตุรพักตร์พิมาน</t>
  </si>
  <si>
    <t>จังหาร</t>
  </si>
  <si>
    <t>ธวัชบุรี</t>
  </si>
  <si>
    <t>ปทุมรัตน์</t>
  </si>
  <si>
    <t>พนมไพร</t>
  </si>
  <si>
    <t>โพธิ์ชัย</t>
  </si>
  <si>
    <t>โพนทราย</t>
  </si>
  <si>
    <t>โพนทอง</t>
  </si>
  <si>
    <t>เมยวดี</t>
  </si>
  <si>
    <t>เมืองสรวง</t>
  </si>
  <si>
    <t>ศรีสมเด็จ</t>
  </si>
  <si>
    <t>เสลภูมิ</t>
  </si>
  <si>
    <t>สุวรรณภูมิ</t>
  </si>
  <si>
    <t>หนองพอก</t>
  </si>
  <si>
    <t>อาจสามารถ</t>
  </si>
  <si>
    <t>เชียงขวัญ</t>
  </si>
  <si>
    <t>หนองฮี</t>
  </si>
  <si>
    <t>ทุ่งเขาหลวง</t>
  </si>
  <si>
    <t>ระนอง</t>
  </si>
  <si>
    <t>เมืองระนอง</t>
  </si>
  <si>
    <t>กระบุรี</t>
  </si>
  <si>
    <t>กะเปอร์</t>
  </si>
  <si>
    <t>ละอุ่น</t>
  </si>
  <si>
    <t>สุขสำราญ</t>
  </si>
  <si>
    <t>ระยอง</t>
  </si>
  <si>
    <t>เมืองระยอง</t>
  </si>
  <si>
    <t>แกลง</t>
  </si>
  <si>
    <t>บ้านค่าย</t>
  </si>
  <si>
    <t>บ้านฉาง</t>
  </si>
  <si>
    <t>ปลวกแดง</t>
  </si>
  <si>
    <t>วังจันทร์</t>
  </si>
  <si>
    <t>เขาชะเมา</t>
  </si>
  <si>
    <t>นิคมพัฒนา</t>
  </si>
  <si>
    <t>ราชบุรี</t>
  </si>
  <si>
    <t>เมืองราชบุรี</t>
  </si>
  <si>
    <t>จอมบึง</t>
  </si>
  <si>
    <t>ดำเนินสะดวก</t>
  </si>
  <si>
    <t>บางแพ</t>
  </si>
  <si>
    <t>บ้านโป่ง</t>
  </si>
  <si>
    <t>ปากท่อ</t>
  </si>
  <si>
    <t>โพธาราม</t>
  </si>
  <si>
    <t>วัดเพลง</t>
  </si>
  <si>
    <t>สวนผึ้ง</t>
  </si>
  <si>
    <t>บ้านคา</t>
  </si>
  <si>
    <t>ลพบุรี</t>
  </si>
  <si>
    <t>เมืองลพบุรี</t>
  </si>
  <si>
    <t>โคกเจริญ</t>
  </si>
  <si>
    <t>โคกสำโรง</t>
  </si>
  <si>
    <t>ชัยบาดาล</t>
  </si>
  <si>
    <t>ท่าวุ้ง</t>
  </si>
  <si>
    <t>ท่าหลวง</t>
  </si>
  <si>
    <t>บ้านหมี่</t>
  </si>
  <si>
    <t>พัฒนานิคม</t>
  </si>
  <si>
    <t>ลำสนธิ</t>
  </si>
  <si>
    <t>สระโบถส์</t>
  </si>
  <si>
    <t>หนองม่วง</t>
  </si>
  <si>
    <t>ลำปาง</t>
  </si>
  <si>
    <t>เมืองลำปาง</t>
  </si>
  <si>
    <t>เกาะคา</t>
  </si>
  <si>
    <t>งาว</t>
  </si>
  <si>
    <t>แจ้ห่ม</t>
  </si>
  <si>
    <t>เถิน</t>
  </si>
  <si>
    <t>แม่ทะ</t>
  </si>
  <si>
    <t>แม่พริก</t>
  </si>
  <si>
    <t>เมืองปาน</t>
  </si>
  <si>
    <t>แม่เมาะ</t>
  </si>
  <si>
    <t>วังเหนือ</t>
  </si>
  <si>
    <t>สบปราบ</t>
  </si>
  <si>
    <t>เสริมงาม</t>
  </si>
  <si>
    <t>ห้างฉัตร</t>
  </si>
  <si>
    <t>ลำพูน</t>
  </si>
  <si>
    <t>เมืองลำพูน</t>
  </si>
  <si>
    <t>ทุ่งหัวช้าง</t>
  </si>
  <si>
    <t>บ้านโฮ่ง</t>
  </si>
  <si>
    <t>ป่าซาง</t>
  </si>
  <si>
    <t>แม่ทา</t>
  </si>
  <si>
    <t>ลี้</t>
  </si>
  <si>
    <t>บ้านธิ</t>
  </si>
  <si>
    <t>เวียงหนองล่อง</t>
  </si>
  <si>
    <t>เลย</t>
  </si>
  <si>
    <t>เมืองเลย</t>
  </si>
  <si>
    <t>เชียงคาน</t>
  </si>
  <si>
    <t>ด่านซ้าย</t>
  </si>
  <si>
    <t>ท่าลี่</t>
  </si>
  <si>
    <t>นาด้วง</t>
  </si>
  <si>
    <t>นาแห้ว</t>
  </si>
  <si>
    <t>ปากชม</t>
  </si>
  <si>
    <t>ผาขาว</t>
  </si>
  <si>
    <t>ภูกระดึง</t>
  </si>
  <si>
    <t>ภูเรือ</t>
  </si>
  <si>
    <t>ภูหลวง</t>
  </si>
  <si>
    <t>วังสะพุง</t>
  </si>
  <si>
    <t>เอราวัณ</t>
  </si>
  <si>
    <t>หนองหิน</t>
  </si>
  <si>
    <t>ศีรสะเกษ</t>
  </si>
  <si>
    <t>เมืองศีรสะเกษ</t>
  </si>
  <si>
    <t>กันทรลักษ์</t>
  </si>
  <si>
    <t>กันทรารมย์</t>
  </si>
  <si>
    <t>ขุขันธ์</t>
  </si>
  <si>
    <t>ขุนหาญ</t>
  </si>
  <si>
    <t>น้ำเกลี้ยง</t>
  </si>
  <si>
    <t>โนนคูณ</t>
  </si>
  <si>
    <t>บึงบูรพ์</t>
  </si>
  <si>
    <t>เบญจลักษณ์</t>
  </si>
  <si>
    <t>ปรางค์กู่</t>
  </si>
  <si>
    <t>พยุห์</t>
  </si>
  <si>
    <t>ไพรบึง</t>
  </si>
  <si>
    <t>โพธิ์ศรีสุวรรณ</t>
  </si>
  <si>
    <t>ภูสิงห์</t>
  </si>
  <si>
    <t>เมืองจันทร์</t>
  </si>
  <si>
    <t>ยางชุมน้อย</t>
  </si>
  <si>
    <t>ราษีไศล</t>
  </si>
  <si>
    <t>วังหิน</t>
  </si>
  <si>
    <t>ศรีรัตนะ</t>
  </si>
  <si>
    <t>ห้วยทับทัน</t>
  </si>
  <si>
    <t>อุทุมพรพิสัย</t>
  </si>
  <si>
    <t>ศิลาลาด</t>
  </si>
  <si>
    <t>สกลนคร</t>
  </si>
  <si>
    <t>เมืองสกลนคร</t>
  </si>
  <si>
    <t>กุดบาก</t>
  </si>
  <si>
    <t>กุสุมาลย์</t>
  </si>
  <si>
    <t>คำตากล้า</t>
  </si>
  <si>
    <t>เจริญศิลป์</t>
  </si>
  <si>
    <t>เต่างอย</t>
  </si>
  <si>
    <t>นิคมน้ำอูน</t>
  </si>
  <si>
    <t>บ้านม่วง</t>
  </si>
  <si>
    <t>พรรณานิคม</t>
  </si>
  <si>
    <t>พังโคน</t>
  </si>
  <si>
    <t>วานรนิวาส</t>
  </si>
  <si>
    <t>วาริชภูมิ</t>
  </si>
  <si>
    <t>โคกศรีสุพรรณ</t>
  </si>
  <si>
    <t>สว่างแดนดิน</t>
  </si>
  <si>
    <t>ส่องดาว</t>
  </si>
  <si>
    <t>อากาศอำนวย</t>
  </si>
  <si>
    <t>ภูพาน</t>
  </si>
  <si>
    <t>โพนนาแก้ว</t>
  </si>
  <si>
    <t>สงขลา</t>
  </si>
  <si>
    <t>เมืองสงขลา</t>
  </si>
  <si>
    <t>กระแสสินธุ์</t>
  </si>
  <si>
    <t>ควนเนียง</t>
  </si>
  <si>
    <t>จะนะ</t>
  </si>
  <si>
    <t>เทพา</t>
  </si>
  <si>
    <t>นาทวี</t>
  </si>
  <si>
    <t>นาหม่อม</t>
  </si>
  <si>
    <t>บางกล่ำ</t>
  </si>
  <si>
    <t>ระโนด</t>
  </si>
  <si>
    <t>รัตภูมิ</t>
  </si>
  <si>
    <t>สทิงพระ</t>
  </si>
  <si>
    <t>สะเดา</t>
  </si>
  <si>
    <t>สะบ้าย้อย</t>
  </si>
  <si>
    <t>สิงหนคร</t>
  </si>
  <si>
    <t>หาดใหญ่</t>
  </si>
  <si>
    <t>คลองหอยโข่ง</t>
  </si>
  <si>
    <t>สตูล</t>
  </si>
  <si>
    <t>เมืองสตูล</t>
  </si>
  <si>
    <t>ควนกาหลง</t>
  </si>
  <si>
    <t>ควนโดน</t>
  </si>
  <si>
    <t>ท่าแพ</t>
  </si>
  <si>
    <t>ทุ่งหว้า</t>
  </si>
  <si>
    <t>ละงู</t>
  </si>
  <si>
    <t>มะนัง</t>
  </si>
  <si>
    <t>สมุทรปราการ</t>
  </si>
  <si>
    <t>เมืองสมุทรปราการ</t>
  </si>
  <si>
    <t>บางบ่อ</t>
  </si>
  <si>
    <t>บางพลี</t>
  </si>
  <si>
    <t>พระประแดง</t>
  </si>
  <si>
    <t>พระสมุทรเจดีย์</t>
  </si>
  <si>
    <t>บางเสาธง</t>
  </si>
  <si>
    <t>สมุทรสงคราม</t>
  </si>
  <si>
    <t>เมืองสมุทรสงคราม</t>
  </si>
  <si>
    <t>บางคณที</t>
  </si>
  <si>
    <t>อัมพวา</t>
  </si>
  <si>
    <t>สมุทรสาคร</t>
  </si>
  <si>
    <t>เมืองสมุทรสาคร</t>
  </si>
  <si>
    <t>กระทุ่มแบน</t>
  </si>
  <si>
    <t>บ้านแพ้ว</t>
  </si>
  <si>
    <t>สระแก้ว</t>
  </si>
  <si>
    <t>เมืองสระแก้ว</t>
  </si>
  <si>
    <t>เขาฉกรรจ์</t>
  </si>
  <si>
    <t>คลองหาด</t>
  </si>
  <si>
    <t>ตาพระยา</t>
  </si>
  <si>
    <t>วังน้ำเย็น</t>
  </si>
  <si>
    <t>วัฒนานคร</t>
  </si>
  <si>
    <t>อรัญประเทศ</t>
  </si>
  <si>
    <t>โคกสูง</t>
  </si>
  <si>
    <t>วังสมบูรณ์</t>
  </si>
  <si>
    <t>สระบุรี</t>
  </si>
  <si>
    <t>เมืองสระบุรี</t>
  </si>
  <si>
    <t>แก่งคอย</t>
  </si>
  <si>
    <t>ดอนพุด</t>
  </si>
  <si>
    <t>บ้านหมอ</t>
  </si>
  <si>
    <t>พระพุทธบาท</t>
  </si>
  <si>
    <t>มวกเหล็ก</t>
  </si>
  <si>
    <t>วิหารแดง</t>
  </si>
  <si>
    <t>เสาไห้</t>
  </si>
  <si>
    <t>หนองแค</t>
  </si>
  <si>
    <t>หนองแซง</t>
  </si>
  <si>
    <t>หนองโดน</t>
  </si>
  <si>
    <t>วังม่วง</t>
  </si>
  <si>
    <t>สิงห์บุรี</t>
  </si>
  <si>
    <t>เมืองสิงห์บุรี</t>
  </si>
  <si>
    <t>ค่ายบางระจัน</t>
  </si>
  <si>
    <t>ท่าช้าง</t>
  </si>
  <si>
    <t>บางระจัน</t>
  </si>
  <si>
    <t>พรหมบุรี</t>
  </si>
  <si>
    <t>อินทร์บุรี</t>
  </si>
  <si>
    <t>สุโขทัย</t>
  </si>
  <si>
    <t>เมืองสุโขทัย</t>
  </si>
  <si>
    <t>กงไกรลาศ</t>
  </si>
  <si>
    <t>คีรีมาศ</t>
  </si>
  <si>
    <t>ทุ่งเสลี่ยม</t>
  </si>
  <si>
    <t>บ้านด่านลานหอย</t>
  </si>
  <si>
    <t>ศรีนคร</t>
  </si>
  <si>
    <t>ศรีสัชนาลัย</t>
  </si>
  <si>
    <t>ศรีสำโรง</t>
  </si>
  <si>
    <t>สวรรคโลก</t>
  </si>
  <si>
    <t>สุพรรณบุรี</t>
  </si>
  <si>
    <t>เมืองสุพรรณบุรี</t>
  </si>
  <si>
    <t>ดอนเจดีย์</t>
  </si>
  <si>
    <t>ด่านช้าง</t>
  </si>
  <si>
    <t>เดิมบางนางบวช</t>
  </si>
  <si>
    <t>บางปลาม้า</t>
  </si>
  <si>
    <t>ศรีประจันต์</t>
  </si>
  <si>
    <t>สองพี่น้อง</t>
  </si>
  <si>
    <t>สามชุก</t>
  </si>
  <si>
    <t>อู่ทอง</t>
  </si>
  <si>
    <t>หนองหญ้าไซ</t>
  </si>
  <si>
    <t>สุราษฎร์ธานี</t>
  </si>
  <si>
    <t>เมืองสุราษฎร์ธานี</t>
  </si>
  <si>
    <t>กาญจนดิษฐ์</t>
  </si>
  <si>
    <t>เกาะพะงัน</t>
  </si>
  <si>
    <t>เกาะสมุย</t>
  </si>
  <si>
    <t>คีรีรัฐนิคม</t>
  </si>
  <si>
    <t>เคียนซา</t>
  </si>
  <si>
    <t>ชัยบุรี</t>
  </si>
  <si>
    <t>ไชยา</t>
  </si>
  <si>
    <t>ดอนสัก</t>
  </si>
  <si>
    <t>ท่าฉาง</t>
  </si>
  <si>
    <t>ท่าชนะ</t>
  </si>
  <si>
    <t>บ้านตาขุน</t>
  </si>
  <si>
    <t>บ้านนาเดิม</t>
  </si>
  <si>
    <t>บ้านนาสาร</t>
  </si>
  <si>
    <t>พนม</t>
  </si>
  <si>
    <t>พระแสง</t>
  </si>
  <si>
    <t>พุนพิน</t>
  </si>
  <si>
    <t>วิภาวดี</t>
  </si>
  <si>
    <t>เวียงสระ</t>
  </si>
  <si>
    <t>สุรินทร์</t>
  </si>
  <si>
    <t>เมืองสุรินทร์</t>
  </si>
  <si>
    <t>กาบเชิง</t>
  </si>
  <si>
    <t>จอมพระ</t>
  </si>
  <si>
    <t>ชุมพลบุรี</t>
  </si>
  <si>
    <t>ท่าตูม</t>
  </si>
  <si>
    <t>บัวเชด</t>
  </si>
  <si>
    <t>ปราสาท</t>
  </si>
  <si>
    <t>รัตนบุรี</t>
  </si>
  <si>
    <t>ลำดวน</t>
  </si>
  <si>
    <t>ศีขรภูมิ</t>
  </si>
  <si>
    <t>สนม</t>
  </si>
  <si>
    <t>สังขะ</t>
  </si>
  <si>
    <t>สำโรงทาบ</t>
  </si>
  <si>
    <t>ศรีณรงค์</t>
  </si>
  <si>
    <t>พนมดงรัก</t>
  </si>
  <si>
    <t>เขวาสินรินทร์</t>
  </si>
  <si>
    <t>โนนนารายณ์</t>
  </si>
  <si>
    <t>หนองคาย</t>
  </si>
  <si>
    <t>เมืองหนองคาย</t>
  </si>
  <si>
    <t>เซกา</t>
  </si>
  <si>
    <t>โซ่พิสัย</t>
  </si>
  <si>
    <t>ท่าบ่อ</t>
  </si>
  <si>
    <t>บึงกาฬ</t>
  </si>
  <si>
    <t>บึงโขลงหลง</t>
  </si>
  <si>
    <t>ปากคาด</t>
  </si>
  <si>
    <t>พรเจริญ</t>
  </si>
  <si>
    <t>โพนพิสัย</t>
  </si>
  <si>
    <t>ศรีเชียงใหม่</t>
  </si>
  <si>
    <t>ศรีวิไล</t>
  </si>
  <si>
    <t>สังคม</t>
  </si>
  <si>
    <t>สระใคร่</t>
  </si>
  <si>
    <t>บุ่งคล้า</t>
  </si>
  <si>
    <t>รัตนวาปี</t>
  </si>
  <si>
    <t>เฝ้าไร่</t>
  </si>
  <si>
    <t>โพธิ์ตาก</t>
  </si>
  <si>
    <t>หนองบัวลำภู</t>
  </si>
  <si>
    <t>เมืองหนองบัวลำภู</t>
  </si>
  <si>
    <t>นากลาง</t>
  </si>
  <si>
    <t>โนนสัง</t>
  </si>
  <si>
    <t>ศรีบุญเรือง</t>
  </si>
  <si>
    <t>สุวรรณคูหา</t>
  </si>
  <si>
    <t>นาวัง</t>
  </si>
  <si>
    <t>อ่างทอง</t>
  </si>
  <si>
    <t>เมืองอ่างทอง</t>
  </si>
  <si>
    <t>ไชโย</t>
  </si>
  <si>
    <t>ป่าโมก</t>
  </si>
  <si>
    <t>โพธิ์ทอง</t>
  </si>
  <si>
    <t>วิเศษชัยชาญ</t>
  </si>
  <si>
    <t>สามโก้</t>
  </si>
  <si>
    <t>แสวงหา</t>
  </si>
  <si>
    <t>อุดรธานี</t>
  </si>
  <si>
    <t>เมืองอุดรธานี</t>
  </si>
  <si>
    <t>กู่แก้ว</t>
  </si>
  <si>
    <t>กุดจับ</t>
  </si>
  <si>
    <t>กุมภวาปี</t>
  </si>
  <si>
    <t>ไชยวาน</t>
  </si>
  <si>
    <t>ทุ่งฝน</t>
  </si>
  <si>
    <t>นายูง</t>
  </si>
  <si>
    <t>น้ำโสม</t>
  </si>
  <si>
    <t>โนนสะอาด</t>
  </si>
  <si>
    <t>บ้านดุง</t>
  </si>
  <si>
    <t>บ้านผือ</t>
  </si>
  <si>
    <t>พิบูลย์รักษ์</t>
  </si>
  <si>
    <t>เพ็ญ</t>
  </si>
  <si>
    <t>วังสามหมอ</t>
  </si>
  <si>
    <t>ศรีธาตุ</t>
  </si>
  <si>
    <t>สร้างคอม</t>
  </si>
  <si>
    <t>หนองวัวซอ</t>
  </si>
  <si>
    <t>หนองหาน</t>
  </si>
  <si>
    <t>หนองแสง</t>
  </si>
  <si>
    <t>ประจักษ์ศิลปาคาม</t>
  </si>
  <si>
    <t>อุทัยธานี</t>
  </si>
  <si>
    <t>เมืองอุทัยธานี</t>
  </si>
  <si>
    <t>ทัพทัน</t>
  </si>
  <si>
    <t>บ้านไร่</t>
  </si>
  <si>
    <t>ลานสัก</t>
  </si>
  <si>
    <t>สว่างอารมณ์</t>
  </si>
  <si>
    <t>หนองขาหย่าง</t>
  </si>
  <si>
    <t>หนองฉาง</t>
  </si>
  <si>
    <t>ห้วยคต</t>
  </si>
  <si>
    <t>อุตรดิตถ์</t>
  </si>
  <si>
    <t>เมืองอุตรดิตถ์</t>
  </si>
  <si>
    <t>ตรอน</t>
  </si>
  <si>
    <t>ทองแสนขัน</t>
  </si>
  <si>
    <t>ท่าปลา</t>
  </si>
  <si>
    <t>น้ำปาด</t>
  </si>
  <si>
    <t>บ้านโคก</t>
  </si>
  <si>
    <t>พิชัย</t>
  </si>
  <si>
    <t>ฟากท่า</t>
  </si>
  <si>
    <t>ลับแล</t>
  </si>
  <si>
    <t>อุบลราชธานี</t>
  </si>
  <si>
    <t>เมืองอุบลราชธานี</t>
  </si>
  <si>
    <t>กุดข้าวปุ้น</t>
  </si>
  <si>
    <t>เขมราฐ</t>
  </si>
  <si>
    <t>เขื่องใน</t>
  </si>
  <si>
    <t>โขงเจียม</t>
  </si>
  <si>
    <t>เดชอุดม</t>
  </si>
  <si>
    <t>ตระการพืชผล</t>
  </si>
  <si>
    <t>ตาลสุม</t>
  </si>
  <si>
    <t>ทุ่งศรีอุดม</t>
  </si>
  <si>
    <t>นาจะหลวย</t>
  </si>
  <si>
    <t>น้ำยืน</t>
  </si>
  <si>
    <t>บุณฑริก</t>
  </si>
  <si>
    <t>พิบูลมังสาหาร</t>
  </si>
  <si>
    <t>โพธิ์ไทร</t>
  </si>
  <si>
    <t>ม่วงสามสิบ</t>
  </si>
  <si>
    <t>เหล่าเสือโก้ก</t>
  </si>
  <si>
    <t>วารินชำราบ</t>
  </si>
  <si>
    <t>ศรีเมืองใหม่</t>
  </si>
  <si>
    <t>สำโรง</t>
  </si>
  <si>
    <t>สิรินธร</t>
  </si>
  <si>
    <t>นาเยีย</t>
  </si>
  <si>
    <t>นาตาล</t>
  </si>
  <si>
    <t>สว่างวีระวงศ์</t>
  </si>
  <si>
    <t>น้ำขุ่น</t>
  </si>
  <si>
    <t>ดอนมดแดง</t>
  </si>
  <si>
    <t>อำนาจเจริญ</t>
  </si>
  <si>
    <t>เมืองอำนาจเจริญ</t>
  </si>
  <si>
    <t>ชานุมาน</t>
  </si>
  <si>
    <t>ปทุมราชวงศา</t>
  </si>
  <si>
    <t>พนา</t>
  </si>
  <si>
    <t>เสนางคนิคม</t>
  </si>
  <si>
    <t>หัวตะพาน</t>
  </si>
  <si>
    <t>ลืออำนาจ</t>
  </si>
  <si>
    <t>เดือน</t>
  </si>
  <si>
    <t>ชื่อ</t>
  </si>
  <si>
    <t>ยอดผ่อนชำระ</t>
  </si>
  <si>
    <t>ยอดเงินต้น</t>
  </si>
  <si>
    <t>ยอดดอกเบี้ย</t>
  </si>
  <si>
    <t>เท่ากันทุกเดือน</t>
  </si>
  <si>
    <t>ขั้นบันได</t>
  </si>
  <si>
    <t>Buffer</t>
  </si>
  <si>
    <t>Int. Yr. 5+</t>
  </si>
  <si>
    <t>3 Yrs.</t>
  </si>
  <si>
    <t>5 Yrs.</t>
  </si>
  <si>
    <t>7 Yrs.</t>
  </si>
  <si>
    <t>10 Yrs.</t>
  </si>
  <si>
    <t>30 Yrs.</t>
  </si>
  <si>
    <t>15 Yrs</t>
  </si>
  <si>
    <t>Total Int.</t>
  </si>
  <si>
    <t>Average O/S</t>
  </si>
  <si>
    <t>EIR</t>
  </si>
  <si>
    <t>Average</t>
  </si>
  <si>
    <t>ระยะเวลา</t>
  </si>
  <si>
    <t xml:space="preserve"> บาท</t>
  </si>
  <si>
    <t xml:space="preserve"> ปี</t>
  </si>
  <si>
    <t>ยอดคงค้าง</t>
  </si>
  <si>
    <t>App No</t>
  </si>
  <si>
    <t>Mortgage Power / Property Power</t>
  </si>
  <si>
    <t>--------------------------------------------------------------------------------------------------------------------------------------------------------------------------------------------------------</t>
  </si>
  <si>
    <t>ตารางผ่อนชำระเบื้องต้น HL (อัตราดอกเบี้ยตามมติ)</t>
  </si>
  <si>
    <t>ตารางผ่อนชำระเบื้องต้น HL (อัตราดอกเบี้ยนำเสนอลด)</t>
  </si>
  <si>
    <t>วงเงิน Insurance</t>
  </si>
  <si>
    <t>วงเงิน MP/PP</t>
  </si>
  <si>
    <t>ตารางผ่อนชำระเบื้องต้น MP (อัตราดอกเบี้ยตามมติ)</t>
  </si>
  <si>
    <t>ตารางผ่อนชำระเบื้องต้น MP (อัตราดอกเบี้ยนำเสนอลด)</t>
  </si>
  <si>
    <t>ประเภทการผ่อน</t>
  </si>
  <si>
    <t>ค่างวดผ่อนชำระ</t>
  </si>
  <si>
    <t>ปีที่ 4 เป็นต้นไป</t>
  </si>
  <si>
    <t>ปีที่ 4+</t>
  </si>
  <si>
    <t>โปรดระบุอัตราดอกเบี้ยและโปรโมชั่นคู่แข่ง...</t>
  </si>
  <si>
    <t>MRTA &lt;2%</t>
  </si>
  <si>
    <t>MRTA &gt;=2%</t>
  </si>
  <si>
    <t xml:space="preserve">                                       ตารางนำเสนอดอกเบี้ย HL</t>
  </si>
  <si>
    <t xml:space="preserve">                                     ตารางนำเสนอดอกเบี้ย MP</t>
  </si>
  <si>
    <t>2ndHand</t>
  </si>
  <si>
    <t>Campaign</t>
  </si>
  <si>
    <t>Collateral</t>
  </si>
  <si>
    <t>Location</t>
  </si>
  <si>
    <t>Loan Size</t>
  </si>
  <si>
    <t>SingleHouse</t>
  </si>
  <si>
    <t>TwinHouse</t>
  </si>
  <si>
    <t>TownHouse</t>
  </si>
  <si>
    <t>Condo</t>
  </si>
  <si>
    <t>ShopHouse</t>
  </si>
  <si>
    <t>Commercial</t>
  </si>
  <si>
    <t>East</t>
  </si>
  <si>
    <t>North</t>
  </si>
  <si>
    <t>NorthEast</t>
  </si>
  <si>
    <t>South</t>
  </si>
  <si>
    <t>West</t>
  </si>
  <si>
    <t>หลักประกัน</t>
  </si>
  <si>
    <t>ที่ตั้งหลักประกัน</t>
  </si>
  <si>
    <t>BKK&amp;VIC</t>
  </si>
  <si>
    <t>LoanSize</t>
  </si>
  <si>
    <t>Total add-on</t>
  </si>
  <si>
    <t>Base line</t>
  </si>
  <si>
    <t>Income</t>
  </si>
  <si>
    <t>รายได้</t>
  </si>
  <si>
    <t>Final threshold</t>
  </si>
  <si>
    <t>DS1</t>
  </si>
  <si>
    <t>DS2</t>
  </si>
  <si>
    <t>%LTV (รวม MRTA/MLTA)</t>
  </si>
  <si>
    <t xml:space="preserve"> v.202608.01</t>
  </si>
  <si>
    <t xml:space="preserve"> - ปีที่ 1 ไม่สามารถขอต่ำกว่า 1.44%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</si>
</sst>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87" formatCode="#,##0.00,,"/>
    <numFmt numFmtId="188" formatCode="0.000%"/>
    <numFmt numFmtId="189" formatCode="#,##0.00_ ;[Red]\-#,##0.00\ "/>
    <numFmt numFmtId="190" formatCode="0.00000%"/>
    <numFmt numFmtId="191" formatCode="0.0"/>
    <numFmt numFmtId="192" formatCode="0.0%"/>
    <numFmt numFmtId="193" formatCode="_-* #,##0.000_-;\-* #,##0.000_-;_-* &quot;-&quot;??_-;_-@_-"/>
    <numFmt numFmtId="194" formatCode="_(* #,##0.00_);_(* \(#,##0.00\);_(* &quot;-&quot;??_);_(@_)"/>
    <numFmt numFmtId="195" formatCode="_(* #,##0_);_(* \(#,##0\);_(* &quot;-&quot;??_);_(@_)"/>
    <numFmt numFmtId="196" formatCode="_-* #,##0_-;\-* #,##0_-;_-* &quot;-&quot;??_-;_-@_-"/>
    <numFmt numFmtId="197" formatCode="0.000%;&quot;-&quot;"/>
    <numFmt numFmtId="198" formatCode="0.000%;\ \-"/>
  </numFmts>
  <fonts count="47">
    <font>
      <sz val="10"/>
      <color theme="1"/>
      <name val="Calibri"/>
      <family val="2"/>
      <charset val="222"/>
    </font>
    <font>
      <b/>
      <sz val="10"/>
      <color theme="1"/>
      <name val="Calibri"/>
      <family val="2"/>
    </font>
    <font>
      <sz val="10"/>
      <color theme="1"/>
      <name val="Calibri"/>
      <family val="2"/>
      <charset val="222"/>
    </font>
    <font>
      <b/>
      <sz val="10"/>
      <color theme="0"/>
      <name val="Calibri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EE0000"/>
      <name val="Calibri"/>
      <family val="2"/>
    </font>
    <font>
      <sz val="8"/>
      <color theme="1"/>
      <name val="Calibri"/>
      <family val="2"/>
      <charset val="222"/>
    </font>
    <font>
      <b/>
      <sz val="8"/>
      <color theme="0"/>
      <name val="Calibri"/>
      <family val="2"/>
    </font>
    <font>
      <sz val="10"/>
      <color rgb="FFFF0000"/>
      <name val="Calibri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CC"/>
      <name val="Calibri"/>
      <family val="2"/>
    </font>
    <font>
      <sz val="11"/>
      <color rgb="FF0000CC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sz val="14"/>
      <name val="CordiaUPC"/>
      <family val="2"/>
    </font>
    <font>
      <sz val="9"/>
      <name val="Tahoma"/>
      <family val="2"/>
      <scheme val="minor"/>
    </font>
    <font>
      <b/>
      <sz val="9"/>
      <name val="Tahoma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i/>
      <u/>
      <sz val="9"/>
      <name val="Tahoma"/>
      <family val="2"/>
      <scheme val="minor"/>
    </font>
    <font>
      <b/>
      <u/>
      <sz val="9"/>
      <name val="Tahoma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FFFFFF"/>
      <name val="Tahoma"/>
      <family val="2"/>
      <scheme val="minor"/>
    </font>
    <font>
      <sz val="9"/>
      <color theme="1"/>
      <name val="Tahoma"/>
      <family val="2"/>
      <scheme val="minor"/>
    </font>
    <font>
      <sz val="9"/>
      <color rgb="FF000000"/>
      <name val="Tahoma"/>
      <family val="2"/>
      <scheme val="minor"/>
    </font>
    <font>
      <sz val="8"/>
      <color rgb="FF000000"/>
      <name val="Tahoma"/>
      <family val="2"/>
      <scheme val="minor"/>
    </font>
    <font>
      <b/>
      <sz val="9"/>
      <color rgb="FF000000"/>
      <name val="Tahoma"/>
      <family val="2"/>
      <scheme val="minor"/>
    </font>
    <font>
      <sz val="6"/>
      <color rgb="FF000000"/>
      <name val="Tahoma"/>
      <family val="2"/>
      <scheme val="minor"/>
    </font>
    <font>
      <b/>
      <sz val="9"/>
      <color rgb="FFFF0000"/>
      <name val="Tahoma"/>
      <family val="2"/>
      <scheme val="minor"/>
    </font>
    <font>
      <sz val="9"/>
      <color rgb="FFFF0000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b/>
      <sz val="9"/>
      <color theme="0"/>
      <name val="Tahoma"/>
      <family val="2"/>
      <scheme val="minor"/>
    </font>
    <font>
      <sz val="9"/>
      <color theme="0"/>
      <name val="Tahoma"/>
      <family val="2"/>
      <scheme val="minor"/>
    </font>
    <font>
      <sz val="9"/>
      <color rgb="FF0070C0"/>
      <name val="Tahoma"/>
      <family val="2"/>
      <scheme val="minor"/>
    </font>
    <font>
      <b/>
      <sz val="9"/>
      <color rgb="FF0070C0"/>
      <name val="Tahoma"/>
      <family val="2"/>
      <scheme val="minor"/>
    </font>
    <font>
      <sz val="10"/>
      <name val="Calibri"/>
      <family val="2"/>
      <charset val="222"/>
    </font>
    <font>
      <sz val="10"/>
      <color theme="0"/>
      <name val="Calibri"/>
      <family val="2"/>
      <charset val="222"/>
    </font>
    <font>
      <b/>
      <sz val="8"/>
      <color rgb="FFFFFFFF"/>
      <name val="Tahoma"/>
      <family val="2"/>
      <scheme val="minor"/>
    </font>
    <font>
      <sz val="10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C74E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9" fontId="2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20" fillId="0" borderId="0"/>
    <xf numFmtId="0" fontId="23" fillId="0" borderId="0"/>
    <xf numFmtId="9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194" fontId="37" fillId="0" borderId="0" applyFont="0" applyFill="0" applyBorder="0" applyAlignment="0" applyProtection="0"/>
  </cellStyleXfs>
  <cellXfs count="487">
    <xf numFmtId="0" fontId="0" fillId="0" borderId="0" xfId="0"/>
    <xf numFmtId="3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0" fontId="0" fillId="0" borderId="2" xfId="1" applyNumberFormat="1" applyFont="1" applyBorder="1"/>
    <xf numFmtId="0" fontId="1" fillId="0" borderId="0" xfId="0" applyFont="1"/>
    <xf numFmtId="1" fontId="0" fillId="0" borderId="0" xfId="0" applyNumberFormat="1"/>
    <xf numFmtId="0" fontId="5" fillId="0" borderId="2" xfId="0" applyFont="1" applyBorder="1" applyAlignment="1">
      <alignment horizontal="right" vertical="center"/>
    </xf>
    <xf numFmtId="0" fontId="6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6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0" fontId="1" fillId="2" borderId="0" xfId="1" applyNumberFormat="1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0" fontId="7" fillId="0" borderId="0" xfId="1" applyNumberFormat="1" applyFont="1" applyProtection="1"/>
    <xf numFmtId="10" fontId="0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0" fontId="0" fillId="0" borderId="2" xfId="0" applyNumberFormat="1" applyBorder="1" applyAlignment="1">
      <alignment horizontal="right"/>
    </xf>
    <xf numFmtId="187" fontId="5" fillId="0" borderId="2" xfId="0" applyNumberFormat="1" applyFont="1" applyBorder="1" applyAlignment="1">
      <alignment vertical="center"/>
    </xf>
    <xf numFmtId="0" fontId="14" fillId="0" borderId="0" xfId="2" applyFont="1"/>
    <xf numFmtId="0" fontId="15" fillId="11" borderId="1" xfId="2" applyFont="1" applyFill="1" applyBorder="1"/>
    <xf numFmtId="3" fontId="14" fillId="0" borderId="1" xfId="2" applyNumberFormat="1" applyFont="1" applyBorder="1"/>
    <xf numFmtId="3" fontId="0" fillId="14" borderId="0" xfId="0" applyNumberFormat="1" applyFill="1"/>
    <xf numFmtId="0" fontId="15" fillId="11" borderId="5" xfId="2" applyFont="1" applyFill="1" applyBorder="1"/>
    <xf numFmtId="1" fontId="14" fillId="0" borderId="5" xfId="2" applyNumberFormat="1" applyFont="1" applyBorder="1"/>
    <xf numFmtId="188" fontId="0" fillId="0" borderId="0" xfId="0" applyNumberFormat="1"/>
    <xf numFmtId="188" fontId="14" fillId="0" borderId="5" xfId="3" applyNumberFormat="1" applyFont="1" applyBorder="1"/>
    <xf numFmtId="10" fontId="14" fillId="0" borderId="0" xfId="1" applyNumberFormat="1" applyFont="1"/>
    <xf numFmtId="0" fontId="15" fillId="11" borderId="6" xfId="2" applyFont="1" applyFill="1" applyBorder="1"/>
    <xf numFmtId="10" fontId="14" fillId="0" borderId="6" xfId="3" applyNumberFormat="1" applyFont="1" applyBorder="1"/>
    <xf numFmtId="0" fontId="15" fillId="0" borderId="0" xfId="2" applyFont="1"/>
    <xf numFmtId="188" fontId="14" fillId="0" borderId="0" xfId="1" applyNumberFormat="1" applyFont="1"/>
    <xf numFmtId="0" fontId="15" fillId="11" borderId="0" xfId="2" applyFont="1" applyFill="1"/>
    <xf numFmtId="10" fontId="14" fillId="0" borderId="0" xfId="3" applyNumberFormat="1" applyFont="1" applyBorder="1"/>
    <xf numFmtId="0" fontId="16" fillId="11" borderId="0" xfId="2" applyFont="1" applyFill="1"/>
    <xf numFmtId="10" fontId="17" fillId="11" borderId="0" xfId="3" applyNumberFormat="1" applyFont="1" applyFill="1" applyBorder="1"/>
    <xf numFmtId="0" fontId="14" fillId="0" borderId="7" xfId="2" applyFont="1" applyBorder="1" applyAlignment="1">
      <alignment horizontal="right"/>
    </xf>
    <xf numFmtId="3" fontId="14" fillId="2" borderId="8" xfId="2" applyNumberFormat="1" applyFont="1" applyFill="1" applyBorder="1"/>
    <xf numFmtId="0" fontId="14" fillId="0" borderId="0" xfId="2" applyFont="1" applyAlignment="1">
      <alignment horizontal="right"/>
    </xf>
    <xf numFmtId="4" fontId="14" fillId="0" borderId="0" xfId="2" applyNumberFormat="1" applyFont="1"/>
    <xf numFmtId="10" fontId="14" fillId="0" borderId="0" xfId="2" applyNumberFormat="1" applyFont="1"/>
    <xf numFmtId="0" fontId="18" fillId="15" borderId="0" xfId="2" applyFont="1" applyFill="1" applyAlignment="1">
      <alignment horizontal="center"/>
    </xf>
    <xf numFmtId="0" fontId="14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4" fontId="14" fillId="0" borderId="0" xfId="2" applyNumberFormat="1" applyFont="1" applyAlignment="1">
      <alignment horizontal="center"/>
    </xf>
    <xf numFmtId="188" fontId="14" fillId="0" borderId="0" xfId="2" applyNumberFormat="1" applyFont="1" applyAlignment="1">
      <alignment horizontal="center"/>
    </xf>
    <xf numFmtId="3" fontId="14" fillId="0" borderId="0" xfId="2" applyNumberFormat="1" applyFont="1"/>
    <xf numFmtId="10" fontId="14" fillId="0" borderId="0" xfId="3" applyNumberFormat="1" applyFont="1"/>
    <xf numFmtId="0" fontId="14" fillId="16" borderId="0" xfId="2" applyFont="1" applyFill="1" applyAlignment="1">
      <alignment horizontal="center"/>
    </xf>
    <xf numFmtId="188" fontId="14" fillId="16" borderId="0" xfId="2" applyNumberFormat="1" applyFont="1" applyFill="1" applyAlignment="1">
      <alignment horizontal="center"/>
    </xf>
    <xf numFmtId="3" fontId="14" fillId="16" borderId="0" xfId="2" applyNumberFormat="1" applyFont="1" applyFill="1"/>
    <xf numFmtId="10" fontId="14" fillId="16" borderId="0" xfId="3" applyNumberFormat="1" applyFont="1" applyFill="1"/>
    <xf numFmtId="10" fontId="19" fillId="0" borderId="0" xfId="3" applyNumberFormat="1" applyFont="1"/>
    <xf numFmtId="3" fontId="21" fillId="0" borderId="9" xfId="4" applyNumberFormat="1" applyFont="1" applyBorder="1" applyAlignment="1">
      <alignment vertical="center"/>
    </xf>
    <xf numFmtId="3" fontId="22" fillId="17" borderId="10" xfId="4" applyNumberFormat="1" applyFont="1" applyFill="1" applyBorder="1" applyAlignment="1">
      <alignment horizontal="center" vertical="center"/>
    </xf>
    <xf numFmtId="0" fontId="22" fillId="18" borderId="2" xfId="5" applyFont="1" applyFill="1" applyBorder="1" applyAlignment="1">
      <alignment horizontal="center"/>
    </xf>
    <xf numFmtId="3" fontId="21" fillId="0" borderId="0" xfId="4" applyNumberFormat="1" applyFont="1" applyAlignment="1">
      <alignment vertical="center"/>
    </xf>
    <xf numFmtId="3" fontId="21" fillId="0" borderId="11" xfId="4" applyNumberFormat="1" applyFont="1" applyBorder="1" applyAlignment="1">
      <alignment vertical="center"/>
    </xf>
    <xf numFmtId="3" fontId="22" fillId="17" borderId="12" xfId="4" applyNumberFormat="1" applyFont="1" applyFill="1" applyBorder="1" applyAlignment="1">
      <alignment horizontal="center" vertical="center"/>
    </xf>
    <xf numFmtId="3" fontId="22" fillId="17" borderId="2" xfId="5" applyNumberFormat="1" applyFont="1" applyFill="1" applyBorder="1" applyAlignment="1">
      <alignment horizontal="center"/>
    </xf>
    <xf numFmtId="3" fontId="22" fillId="0" borderId="0" xfId="4" applyNumberFormat="1" applyFont="1" applyAlignment="1">
      <alignment vertical="center"/>
    </xf>
    <xf numFmtId="3" fontId="22" fillId="19" borderId="0" xfId="4" applyNumberFormat="1" applyFont="1" applyFill="1" applyAlignment="1">
      <alignment vertical="center"/>
    </xf>
    <xf numFmtId="10" fontId="22" fillId="20" borderId="13" xfId="6" applyNumberFormat="1" applyFont="1" applyFill="1" applyBorder="1" applyAlignment="1">
      <alignment horizontal="center" vertical="center"/>
    </xf>
    <xf numFmtId="10" fontId="21" fillId="0" borderId="0" xfId="6" applyNumberFormat="1" applyFont="1" applyFill="1"/>
    <xf numFmtId="3" fontId="21" fillId="21" borderId="14" xfId="4" applyNumberFormat="1" applyFont="1" applyFill="1" applyBorder="1" applyAlignment="1">
      <alignment horizontal="center" vertical="top"/>
    </xf>
    <xf numFmtId="3" fontId="21" fillId="21" borderId="15" xfId="4" applyNumberFormat="1" applyFont="1" applyFill="1" applyBorder="1" applyAlignment="1">
      <alignment horizontal="center" vertical="top"/>
    </xf>
    <xf numFmtId="3" fontId="21" fillId="0" borderId="16" xfId="4" applyNumberFormat="1" applyFont="1" applyBorder="1" applyAlignment="1">
      <alignment vertical="center"/>
    </xf>
    <xf numFmtId="10" fontId="22" fillId="2" borderId="13" xfId="6" applyNumberFormat="1" applyFont="1" applyFill="1" applyBorder="1" applyAlignment="1">
      <alignment horizontal="center" vertical="center"/>
    </xf>
    <xf numFmtId="3" fontId="21" fillId="0" borderId="17" xfId="4" applyNumberFormat="1" applyFont="1" applyBorder="1" applyAlignment="1">
      <alignment vertical="center"/>
    </xf>
    <xf numFmtId="10" fontId="22" fillId="17" borderId="18" xfId="6" applyNumberFormat="1" applyFont="1" applyFill="1" applyBorder="1" applyAlignment="1">
      <alignment horizontal="center" vertical="center"/>
    </xf>
    <xf numFmtId="0" fontId="25" fillId="0" borderId="0" xfId="5" applyFont="1"/>
    <xf numFmtId="0" fontId="21" fillId="0" borderId="0" xfId="5" applyFont="1"/>
    <xf numFmtId="0" fontId="26" fillId="0" borderId="0" xfId="5" applyFont="1"/>
    <xf numFmtId="3" fontId="22" fillId="22" borderId="19" xfId="4" applyNumberFormat="1" applyFont="1" applyFill="1" applyBorder="1" applyAlignment="1">
      <alignment horizontal="centerContinuous" vertical="center"/>
    </xf>
    <xf numFmtId="3" fontId="22" fillId="22" borderId="20" xfId="4" applyNumberFormat="1" applyFont="1" applyFill="1" applyBorder="1" applyAlignment="1">
      <alignment horizontal="centerContinuous" vertical="center"/>
    </xf>
    <xf numFmtId="0" fontId="22" fillId="22" borderId="20" xfId="4" applyFont="1" applyFill="1" applyBorder="1" applyAlignment="1">
      <alignment horizontal="centerContinuous" vertical="center"/>
    </xf>
    <xf numFmtId="0" fontId="22" fillId="22" borderId="21" xfId="4" applyFont="1" applyFill="1" applyBorder="1" applyAlignment="1">
      <alignment horizontal="centerContinuous" vertical="center"/>
    </xf>
    <xf numFmtId="3" fontId="22" fillId="18" borderId="14" xfId="4" applyNumberFormat="1" applyFont="1" applyFill="1" applyBorder="1" applyAlignment="1">
      <alignment horizontal="center" vertical="center"/>
    </xf>
    <xf numFmtId="3" fontId="22" fillId="18" borderId="22" xfId="4" applyNumberFormat="1" applyFont="1" applyFill="1" applyBorder="1" applyAlignment="1">
      <alignment horizontal="center" vertical="center"/>
    </xf>
    <xf numFmtId="3" fontId="22" fillId="18" borderId="15" xfId="4" applyNumberFormat="1" applyFont="1" applyFill="1" applyBorder="1" applyAlignment="1">
      <alignment horizontal="center" vertical="center"/>
    </xf>
    <xf numFmtId="3" fontId="22" fillId="18" borderId="23" xfId="4" applyNumberFormat="1" applyFont="1" applyFill="1" applyBorder="1" applyAlignment="1">
      <alignment horizontal="center" vertical="center"/>
    </xf>
    <xf numFmtId="3" fontId="22" fillId="18" borderId="24" xfId="4" applyNumberFormat="1" applyFont="1" applyFill="1" applyBorder="1" applyAlignment="1">
      <alignment horizontal="center" vertical="center"/>
    </xf>
    <xf numFmtId="3" fontId="22" fillId="18" borderId="25" xfId="4" applyNumberFormat="1" applyFont="1" applyFill="1" applyBorder="1" applyAlignment="1">
      <alignment horizontal="center" vertical="center"/>
    </xf>
    <xf numFmtId="1" fontId="21" fillId="0" borderId="26" xfId="6" applyNumberFormat="1" applyFont="1" applyFill="1" applyBorder="1" applyAlignment="1">
      <alignment horizontal="center" vertical="center"/>
    </xf>
    <xf numFmtId="3" fontId="21" fillId="11" borderId="27" xfId="4" applyNumberFormat="1" applyFont="1" applyFill="1" applyBorder="1" applyAlignment="1">
      <alignment horizontal="center" vertical="center"/>
    </xf>
    <xf numFmtId="10" fontId="21" fillId="0" borderId="28" xfId="6" applyNumberFormat="1" applyFont="1" applyBorder="1" applyAlignment="1">
      <alignment horizontal="center" vertical="center"/>
    </xf>
    <xf numFmtId="3" fontId="21" fillId="0" borderId="29" xfId="4" applyNumberFormat="1" applyFont="1" applyBorder="1" applyAlignment="1">
      <alignment horizontal="center" vertical="center"/>
    </xf>
    <xf numFmtId="3" fontId="21" fillId="0" borderId="30" xfId="4" applyNumberFormat="1" applyFont="1" applyBorder="1" applyAlignment="1">
      <alignment horizontal="center" vertical="center"/>
    </xf>
    <xf numFmtId="10" fontId="21" fillId="0" borderId="31" xfId="6" applyNumberFormat="1" applyFont="1" applyBorder="1" applyAlignment="1">
      <alignment horizontal="center" vertical="center"/>
    </xf>
    <xf numFmtId="1" fontId="21" fillId="0" borderId="31" xfId="6" applyNumberFormat="1" applyFont="1" applyBorder="1" applyAlignment="1">
      <alignment horizontal="center" vertical="center"/>
    </xf>
    <xf numFmtId="4" fontId="22" fillId="0" borderId="32" xfId="4" applyNumberFormat="1" applyFont="1" applyBorder="1" applyAlignment="1">
      <alignment vertical="center"/>
    </xf>
    <xf numFmtId="10" fontId="21" fillId="2" borderId="31" xfId="6" applyNumberFormat="1" applyFont="1" applyFill="1" applyBorder="1" applyAlignment="1">
      <alignment horizontal="center" vertical="center"/>
    </xf>
    <xf numFmtId="4" fontId="22" fillId="23" borderId="32" xfId="4" applyNumberFormat="1" applyFont="1" applyFill="1" applyBorder="1" applyAlignment="1">
      <alignment vertical="center"/>
    </xf>
    <xf numFmtId="10" fontId="22" fillId="0" borderId="31" xfId="6" applyNumberFormat="1" applyFont="1" applyFill="1" applyBorder="1" applyAlignment="1">
      <alignment horizontal="center" vertical="center"/>
    </xf>
    <xf numFmtId="4" fontId="22" fillId="24" borderId="32" xfId="4" applyNumberFormat="1" applyFont="1" applyFill="1" applyBorder="1" applyAlignment="1">
      <alignment vertical="center"/>
    </xf>
    <xf numFmtId="1" fontId="21" fillId="0" borderId="33" xfId="6" applyNumberFormat="1" applyFont="1" applyFill="1" applyBorder="1" applyAlignment="1">
      <alignment horizontal="center" vertical="center"/>
    </xf>
    <xf numFmtId="3" fontId="21" fillId="11" borderId="28" xfId="4" applyNumberFormat="1" applyFont="1" applyFill="1" applyBorder="1" applyAlignment="1">
      <alignment horizontal="center" vertical="center"/>
    </xf>
    <xf numFmtId="3" fontId="21" fillId="0" borderId="34" xfId="4" applyNumberFormat="1" applyFont="1" applyBorder="1" applyAlignment="1">
      <alignment horizontal="center" vertical="center"/>
    </xf>
    <xf numFmtId="3" fontId="21" fillId="0" borderId="35" xfId="4" applyNumberFormat="1" applyFont="1" applyBorder="1" applyAlignment="1">
      <alignment horizontal="center" vertical="center"/>
    </xf>
    <xf numFmtId="10" fontId="21" fillId="0" borderId="36" xfId="6" applyNumberFormat="1" applyFont="1" applyBorder="1" applyAlignment="1">
      <alignment horizontal="center" vertical="center"/>
    </xf>
    <xf numFmtId="1" fontId="21" fillId="0" borderId="36" xfId="6" applyNumberFormat="1" applyFont="1" applyBorder="1" applyAlignment="1">
      <alignment horizontal="center" vertical="center"/>
    </xf>
    <xf numFmtId="4" fontId="22" fillId="0" borderId="37" xfId="4" applyNumberFormat="1" applyFont="1" applyBorder="1" applyAlignment="1">
      <alignment vertical="center"/>
    </xf>
    <xf numFmtId="10" fontId="21" fillId="2" borderId="36" xfId="6" applyNumberFormat="1" applyFont="1" applyFill="1" applyBorder="1" applyAlignment="1">
      <alignment horizontal="center" vertical="center"/>
    </xf>
    <xf numFmtId="1" fontId="21" fillId="0" borderId="36" xfId="6" applyNumberFormat="1" applyFont="1" applyFill="1" applyBorder="1" applyAlignment="1">
      <alignment horizontal="center" vertical="center"/>
    </xf>
    <xf numFmtId="4" fontId="22" fillId="23" borderId="37" xfId="4" applyNumberFormat="1" applyFont="1" applyFill="1" applyBorder="1" applyAlignment="1">
      <alignment vertical="center"/>
    </xf>
    <xf numFmtId="3" fontId="21" fillId="0" borderId="34" xfId="4" quotePrefix="1" applyNumberFormat="1" applyFont="1" applyBorder="1" applyAlignment="1">
      <alignment horizontal="center" vertical="center"/>
    </xf>
    <xf numFmtId="10" fontId="22" fillId="25" borderId="36" xfId="6" applyNumberFormat="1" applyFont="1" applyFill="1" applyBorder="1" applyAlignment="1">
      <alignment horizontal="center" vertical="center"/>
    </xf>
    <xf numFmtId="1" fontId="21" fillId="0" borderId="38" xfId="6" applyNumberFormat="1" applyFont="1" applyFill="1" applyBorder="1" applyAlignment="1">
      <alignment horizontal="center" vertical="center"/>
    </xf>
    <xf numFmtId="3" fontId="21" fillId="0" borderId="39" xfId="4" applyNumberFormat="1" applyFont="1" applyBorder="1" applyAlignment="1">
      <alignment horizontal="center" vertical="center"/>
    </xf>
    <xf numFmtId="3" fontId="21" fillId="0" borderId="18" xfId="4" applyNumberFormat="1" applyFont="1" applyBorder="1" applyAlignment="1">
      <alignment horizontal="center" vertical="center"/>
    </xf>
    <xf numFmtId="3" fontId="21" fillId="0" borderId="40" xfId="4" applyNumberFormat="1" applyFont="1" applyBorder="1" applyAlignment="1">
      <alignment horizontal="center" vertical="center"/>
    </xf>
    <xf numFmtId="10" fontId="21" fillId="0" borderId="41" xfId="6" applyNumberFormat="1" applyFont="1" applyBorder="1" applyAlignment="1">
      <alignment horizontal="center" vertical="center"/>
    </xf>
    <xf numFmtId="3" fontId="21" fillId="0" borderId="41" xfId="4" applyNumberFormat="1" applyFont="1" applyBorder="1" applyAlignment="1">
      <alignment horizontal="center" vertical="center"/>
    </xf>
    <xf numFmtId="4" fontId="22" fillId="0" borderId="42" xfId="4" applyNumberFormat="1" applyFont="1" applyBorder="1" applyAlignment="1">
      <alignment vertical="center"/>
    </xf>
    <xf numFmtId="10" fontId="21" fillId="0" borderId="41" xfId="6" applyNumberFormat="1" applyFont="1" applyFill="1" applyBorder="1" applyAlignment="1">
      <alignment horizontal="center" vertical="center"/>
    </xf>
    <xf numFmtId="10" fontId="21" fillId="17" borderId="41" xfId="6" applyNumberFormat="1" applyFont="1" applyFill="1" applyBorder="1" applyAlignment="1">
      <alignment horizontal="center" vertical="center"/>
    </xf>
    <xf numFmtId="0" fontId="22" fillId="18" borderId="2" xfId="5" applyFont="1" applyFill="1" applyBorder="1"/>
    <xf numFmtId="3" fontId="21" fillId="0" borderId="2" xfId="5" applyNumberFormat="1" applyFont="1" applyBorder="1" applyAlignment="1">
      <alignment horizontal="center"/>
    </xf>
    <xf numFmtId="3" fontId="21" fillId="24" borderId="7" xfId="4" applyNumberFormat="1" applyFont="1" applyFill="1" applyBorder="1" applyAlignment="1">
      <alignment vertical="center"/>
    </xf>
    <xf numFmtId="1" fontId="22" fillId="24" borderId="8" xfId="4" applyNumberFormat="1" applyFont="1" applyFill="1" applyBorder="1" applyAlignment="1">
      <alignment horizontal="center" vertical="center"/>
    </xf>
    <xf numFmtId="1" fontId="22" fillId="0" borderId="8" xfId="4" applyNumberFormat="1" applyFont="1" applyBorder="1" applyAlignment="1">
      <alignment horizontal="center" vertical="center"/>
    </xf>
    <xf numFmtId="189" fontId="21" fillId="0" borderId="0" xfId="5" applyNumberFormat="1" applyFont="1"/>
    <xf numFmtId="0" fontId="22" fillId="0" borderId="0" xfId="5" applyFont="1" applyAlignment="1">
      <alignment horizontal="center"/>
    </xf>
    <xf numFmtId="10" fontId="21" fillId="0" borderId="0" xfId="6" applyNumberFormat="1" applyFont="1" applyAlignment="1">
      <alignment horizontal="center"/>
    </xf>
    <xf numFmtId="3" fontId="22" fillId="22" borderId="23" xfId="4" applyNumberFormat="1" applyFont="1" applyFill="1" applyBorder="1" applyAlignment="1">
      <alignment horizontal="centerContinuous" vertical="center"/>
    </xf>
    <xf numFmtId="3" fontId="22" fillId="22" borderId="24" xfId="4" applyNumberFormat="1" applyFont="1" applyFill="1" applyBorder="1" applyAlignment="1">
      <alignment horizontal="centerContinuous" vertical="center"/>
    </xf>
    <xf numFmtId="0" fontId="22" fillId="22" borderId="24" xfId="4" applyFont="1" applyFill="1" applyBorder="1" applyAlignment="1">
      <alignment horizontal="centerContinuous" vertical="center"/>
    </xf>
    <xf numFmtId="0" fontId="22" fillId="22" borderId="25" xfId="4" applyFont="1" applyFill="1" applyBorder="1" applyAlignment="1">
      <alignment horizontal="centerContinuous" vertical="center"/>
    </xf>
    <xf numFmtId="3" fontId="21" fillId="0" borderId="23" xfId="4" applyNumberFormat="1" applyFont="1" applyBorder="1" applyAlignment="1">
      <alignment horizontal="center" vertical="center"/>
    </xf>
    <xf numFmtId="3" fontId="21" fillId="0" borderId="24" xfId="4" applyNumberFormat="1" applyFont="1" applyBorder="1" applyAlignment="1">
      <alignment horizontal="center" vertical="center"/>
    </xf>
    <xf numFmtId="3" fontId="22" fillId="26" borderId="25" xfId="4" applyNumberFormat="1" applyFont="1" applyFill="1" applyBorder="1" applyAlignment="1">
      <alignment horizontal="centerContinuous" vertical="center"/>
    </xf>
    <xf numFmtId="3" fontId="22" fillId="0" borderId="43" xfId="4" applyNumberFormat="1" applyFont="1" applyBorder="1" applyAlignment="1">
      <alignment horizontal="centerContinuous" vertical="center"/>
    </xf>
    <xf numFmtId="3" fontId="22" fillId="26" borderId="1" xfId="4" applyNumberFormat="1" applyFont="1" applyFill="1" applyBorder="1" applyAlignment="1">
      <alignment horizontal="centerContinuous" vertical="center"/>
    </xf>
    <xf numFmtId="0" fontId="22" fillId="0" borderId="44" xfId="4" applyFont="1" applyBorder="1" applyAlignment="1">
      <alignment horizontal="center" vertical="center"/>
    </xf>
    <xf numFmtId="10" fontId="21" fillId="0" borderId="45" xfId="6" applyNumberFormat="1" applyFont="1" applyFill="1" applyBorder="1" applyAlignment="1">
      <alignment horizontal="center" vertical="center"/>
    </xf>
    <xf numFmtId="10" fontId="21" fillId="0" borderId="0" xfId="6" applyNumberFormat="1" applyFont="1" applyFill="1" applyBorder="1" applyAlignment="1">
      <alignment horizontal="center" vertical="center"/>
    </xf>
    <xf numFmtId="3" fontId="21" fillId="0" borderId="0" xfId="4" applyNumberFormat="1" applyFont="1" applyAlignment="1">
      <alignment horizontal="center" vertical="center"/>
    </xf>
    <xf numFmtId="3" fontId="21" fillId="26" borderId="46" xfId="4" applyNumberFormat="1" applyFont="1" applyFill="1" applyBorder="1" applyAlignment="1">
      <alignment horizontal="center" vertical="center"/>
    </xf>
    <xf numFmtId="4" fontId="21" fillId="0" borderId="45" xfId="4" applyNumberFormat="1" applyFont="1" applyBorder="1" applyAlignment="1">
      <alignment vertical="center"/>
    </xf>
    <xf numFmtId="4" fontId="21" fillId="26" borderId="0" xfId="4" applyNumberFormat="1" applyFont="1" applyFill="1" applyAlignment="1">
      <alignment vertical="center"/>
    </xf>
    <xf numFmtId="190" fontId="21" fillId="26" borderId="0" xfId="6" applyNumberFormat="1" applyFont="1" applyFill="1" applyBorder="1" applyAlignment="1">
      <alignment vertical="center"/>
    </xf>
    <xf numFmtId="4" fontId="21" fillId="27" borderId="46" xfId="4" applyNumberFormat="1" applyFont="1" applyFill="1" applyBorder="1" applyAlignment="1">
      <alignment vertical="center"/>
    </xf>
    <xf numFmtId="188" fontId="21" fillId="0" borderId="45" xfId="6" applyNumberFormat="1" applyFont="1" applyFill="1" applyBorder="1" applyAlignment="1">
      <alignment horizontal="center" vertical="center"/>
    </xf>
    <xf numFmtId="4" fontId="21" fillId="27" borderId="45" xfId="4" applyNumberFormat="1" applyFont="1" applyFill="1" applyBorder="1" applyAlignment="1">
      <alignment vertical="center"/>
    </xf>
    <xf numFmtId="4" fontId="21" fillId="28" borderId="46" xfId="4" applyNumberFormat="1" applyFont="1" applyFill="1" applyBorder="1" applyAlignment="1">
      <alignment vertical="center"/>
    </xf>
    <xf numFmtId="4" fontId="21" fillId="29" borderId="46" xfId="4" applyNumberFormat="1" applyFont="1" applyFill="1" applyBorder="1" applyAlignment="1">
      <alignment vertical="center"/>
    </xf>
    <xf numFmtId="4" fontId="21" fillId="0" borderId="0" xfId="4" applyNumberFormat="1" applyFont="1" applyAlignment="1">
      <alignment vertical="center"/>
    </xf>
    <xf numFmtId="10" fontId="21" fillId="0" borderId="0" xfId="6" applyNumberFormat="1" applyFont="1" applyBorder="1" applyAlignment="1">
      <alignment horizontal="center" vertical="center"/>
    </xf>
    <xf numFmtId="188" fontId="21" fillId="0" borderId="47" xfId="6" applyNumberFormat="1" applyFont="1" applyFill="1" applyBorder="1" applyAlignment="1">
      <alignment horizontal="center" vertical="center"/>
    </xf>
    <xf numFmtId="10" fontId="21" fillId="0" borderId="48" xfId="6" applyNumberFormat="1" applyFont="1" applyBorder="1" applyAlignment="1">
      <alignment horizontal="center" vertical="center"/>
    </xf>
    <xf numFmtId="3" fontId="21" fillId="0" borderId="48" xfId="4" applyNumberFormat="1" applyFont="1" applyBorder="1" applyAlignment="1">
      <alignment horizontal="center" vertical="center"/>
    </xf>
    <xf numFmtId="3" fontId="21" fillId="26" borderId="49" xfId="4" applyNumberFormat="1" applyFont="1" applyFill="1" applyBorder="1" applyAlignment="1">
      <alignment horizontal="center" vertical="center"/>
    </xf>
    <xf numFmtId="4" fontId="21" fillId="0" borderId="47" xfId="4" applyNumberFormat="1" applyFont="1" applyBorder="1" applyAlignment="1">
      <alignment vertical="center"/>
    </xf>
    <xf numFmtId="4" fontId="21" fillId="26" borderId="48" xfId="4" applyNumberFormat="1" applyFont="1" applyFill="1" applyBorder="1" applyAlignment="1">
      <alignment vertical="center"/>
    </xf>
    <xf numFmtId="4" fontId="21" fillId="28" borderId="49" xfId="4" applyNumberFormat="1" applyFont="1" applyFill="1" applyBorder="1" applyAlignment="1">
      <alignment vertical="center"/>
    </xf>
    <xf numFmtId="4" fontId="21" fillId="29" borderId="49" xfId="4" applyNumberFormat="1" applyFont="1" applyFill="1" applyBorder="1" applyAlignment="1">
      <alignment vertical="center"/>
    </xf>
    <xf numFmtId="4" fontId="21" fillId="30" borderId="46" xfId="4" applyNumberFormat="1" applyFont="1" applyFill="1" applyBorder="1" applyAlignment="1">
      <alignment vertical="center"/>
    </xf>
    <xf numFmtId="4" fontId="21" fillId="2" borderId="45" xfId="4" applyNumberFormat="1" applyFont="1" applyFill="1" applyBorder="1" applyAlignment="1">
      <alignment vertical="center"/>
    </xf>
    <xf numFmtId="4" fontId="21" fillId="31" borderId="46" xfId="4" applyNumberFormat="1" applyFont="1" applyFill="1" applyBorder="1" applyAlignment="1">
      <alignment vertical="center"/>
    </xf>
    <xf numFmtId="4" fontId="21" fillId="30" borderId="49" xfId="4" applyNumberFormat="1" applyFont="1" applyFill="1" applyBorder="1" applyAlignment="1">
      <alignment vertical="center"/>
    </xf>
    <xf numFmtId="4" fontId="21" fillId="31" borderId="49" xfId="4" applyNumberFormat="1" applyFont="1" applyFill="1" applyBorder="1" applyAlignment="1">
      <alignment vertical="center"/>
    </xf>
    <xf numFmtId="4" fontId="21" fillId="32" borderId="46" xfId="4" applyNumberFormat="1" applyFont="1" applyFill="1" applyBorder="1" applyAlignment="1">
      <alignment vertical="center"/>
    </xf>
    <xf numFmtId="4" fontId="21" fillId="32" borderId="49" xfId="4" applyNumberFormat="1" applyFont="1" applyFill="1" applyBorder="1" applyAlignment="1">
      <alignment vertical="center"/>
    </xf>
    <xf numFmtId="4" fontId="21" fillId="33" borderId="46" xfId="4" applyNumberFormat="1" applyFont="1" applyFill="1" applyBorder="1" applyAlignment="1">
      <alignment vertical="center"/>
    </xf>
    <xf numFmtId="4" fontId="21" fillId="0" borderId="46" xfId="4" applyNumberFormat="1" applyFont="1" applyBorder="1" applyAlignment="1">
      <alignment vertical="center"/>
    </xf>
    <xf numFmtId="4" fontId="21" fillId="22" borderId="46" xfId="4" applyNumberFormat="1" applyFont="1" applyFill="1" applyBorder="1" applyAlignment="1">
      <alignment vertical="center"/>
    </xf>
    <xf numFmtId="4" fontId="21" fillId="33" borderId="49" xfId="4" applyNumberFormat="1" applyFont="1" applyFill="1" applyBorder="1" applyAlignment="1">
      <alignment vertical="center"/>
    </xf>
    <xf numFmtId="4" fontId="21" fillId="0" borderId="49" xfId="4" applyNumberFormat="1" applyFont="1" applyBorder="1" applyAlignment="1">
      <alignment vertical="center"/>
    </xf>
    <xf numFmtId="4" fontId="21" fillId="22" borderId="49" xfId="4" applyNumberFormat="1" applyFont="1" applyFill="1" applyBorder="1" applyAlignment="1">
      <alignment vertical="center"/>
    </xf>
    <xf numFmtId="0" fontId="23" fillId="0" borderId="0" xfId="5"/>
    <xf numFmtId="10" fontId="21" fillId="0" borderId="50" xfId="6" applyNumberFormat="1" applyFont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91" fontId="0" fillId="0" borderId="0" xfId="0" applyNumberFormat="1" applyAlignment="1">
      <alignment horizontal="center"/>
    </xf>
    <xf numFmtId="10" fontId="0" fillId="2" borderId="2" xfId="0" applyNumberFormat="1" applyFill="1" applyBorder="1" applyAlignment="1">
      <alignment horizontal="right"/>
    </xf>
    <xf numFmtId="10" fontId="0" fillId="0" borderId="2" xfId="0" applyNumberFormat="1" applyBorder="1" applyAlignment="1">
      <alignment horizontal="center"/>
    </xf>
    <xf numFmtId="10" fontId="0" fillId="2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0" fillId="6" borderId="0" xfId="0" applyFill="1"/>
    <xf numFmtId="0" fontId="10" fillId="6" borderId="0" xfId="0" applyFont="1" applyFill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10" fontId="0" fillId="0" borderId="0" xfId="0" applyNumberFormat="1"/>
    <xf numFmtId="3" fontId="8" fillId="0" borderId="0" xfId="0" applyNumberFormat="1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2" fontId="7" fillId="0" borderId="0" xfId="0" applyNumberFormat="1" applyFont="1"/>
    <xf numFmtId="2" fontId="0" fillId="0" borderId="0" xfId="0" applyNumberFormat="1"/>
    <xf numFmtId="3" fontId="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3" fontId="7" fillId="0" borderId="0" xfId="0" applyNumberFormat="1" applyFont="1"/>
    <xf numFmtId="10" fontId="1" fillId="0" borderId="2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left" indent="1"/>
    </xf>
    <xf numFmtId="0" fontId="0" fillId="0" borderId="52" xfId="0" applyBorder="1" applyAlignment="1">
      <alignment horizontal="left" indent="1"/>
    </xf>
    <xf numFmtId="0" fontId="0" fillId="4" borderId="0" xfId="0" applyFill="1"/>
    <xf numFmtId="0" fontId="0" fillId="5" borderId="0" xfId="0" applyFill="1"/>
    <xf numFmtId="0" fontId="12" fillId="0" borderId="0" xfId="0" applyFont="1"/>
    <xf numFmtId="0" fontId="0" fillId="0" borderId="53" xfId="0" applyBorder="1" applyAlignment="1">
      <alignment horizontal="left" indent="1"/>
    </xf>
    <xf numFmtId="3" fontId="7" fillId="0" borderId="1" xfId="0" applyNumberFormat="1" applyFont="1" applyBorder="1"/>
    <xf numFmtId="3" fontId="9" fillId="0" borderId="0" xfId="0" applyNumberFormat="1" applyFont="1"/>
    <xf numFmtId="10" fontId="0" fillId="2" borderId="2" xfId="0" applyNumberFormat="1" applyFill="1" applyBorder="1"/>
    <xf numFmtId="3" fontId="1" fillId="0" borderId="0" xfId="0" applyNumberFormat="1" applyFont="1"/>
    <xf numFmtId="0" fontId="0" fillId="0" borderId="2" xfId="0" applyBorder="1" applyAlignment="1">
      <alignment horizontal="center" vertical="center"/>
    </xf>
    <xf numFmtId="3" fontId="0" fillId="2" borderId="2" xfId="0" applyNumberFormat="1" applyFill="1" applyBorder="1"/>
    <xf numFmtId="0" fontId="0" fillId="0" borderId="51" xfId="0" applyBorder="1"/>
    <xf numFmtId="0" fontId="0" fillId="13" borderId="0" xfId="0" applyFill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center"/>
    </xf>
    <xf numFmtId="10" fontId="0" fillId="0" borderId="4" xfId="0" applyNumberFormat="1" applyBorder="1"/>
    <xf numFmtId="10" fontId="0" fillId="0" borderId="3" xfId="0" applyNumberFormat="1" applyBorder="1" applyAlignment="1">
      <alignment horizontal="center"/>
    </xf>
    <xf numFmtId="0" fontId="7" fillId="0" borderId="0" xfId="0" applyFont="1" applyAlignment="1">
      <alignment horizontal="right"/>
    </xf>
    <xf numFmtId="10" fontId="7" fillId="0" borderId="0" xfId="0" applyNumberFormat="1" applyFont="1"/>
    <xf numFmtId="10" fontId="0" fillId="0" borderId="4" xfId="0" applyNumberFormat="1" applyBorder="1" applyAlignment="1">
      <alignment horizontal="righ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192" fontId="0" fillId="0" borderId="2" xfId="0" applyNumberFormat="1" applyBorder="1" applyAlignment="1">
      <alignment horizontal="center"/>
    </xf>
    <xf numFmtId="0" fontId="3" fillId="12" borderId="0" xfId="0" applyFont="1" applyFill="1"/>
    <xf numFmtId="0" fontId="30" fillId="11" borderId="3" xfId="0" applyFont="1" applyFill="1" applyBorder="1" applyProtection="1">
      <protection hidden="1"/>
    </xf>
    <xf numFmtId="0" fontId="31" fillId="11" borderId="5" xfId="0" applyFont="1" applyFill="1" applyBorder="1" applyAlignment="1" applyProtection="1">
      <alignment vertical="center" wrapText="1" readingOrder="1"/>
      <protection hidden="1"/>
    </xf>
    <xf numFmtId="0" fontId="31" fillId="11" borderId="5" xfId="0" applyFont="1" applyFill="1" applyBorder="1" applyAlignment="1" applyProtection="1">
      <alignment horizontal="center" vertical="center" wrapText="1" readingOrder="1"/>
      <protection hidden="1"/>
    </xf>
    <xf numFmtId="10" fontId="31" fillId="11" borderId="5" xfId="1" applyNumberFormat="1" applyFont="1" applyFill="1" applyBorder="1" applyAlignment="1" applyProtection="1">
      <alignment horizontal="center" vertical="center" wrapText="1" readingOrder="1"/>
      <protection hidden="1"/>
    </xf>
    <xf numFmtId="0" fontId="31" fillId="11" borderId="5" xfId="0" applyFont="1" applyFill="1" applyBorder="1" applyAlignment="1" applyProtection="1">
      <alignment horizontal="left" vertical="center" wrapText="1" readingOrder="1"/>
      <protection hidden="1"/>
    </xf>
    <xf numFmtId="0" fontId="31" fillId="34" borderId="2" xfId="0" applyFont="1" applyFill="1" applyBorder="1" applyAlignment="1" applyProtection="1">
      <alignment horizontal="left" vertical="center" wrapText="1" readingOrder="1"/>
      <protection hidden="1"/>
    </xf>
    <xf numFmtId="0" fontId="31" fillId="34" borderId="2" xfId="0" applyFont="1" applyFill="1" applyBorder="1" applyAlignment="1" applyProtection="1">
      <alignment horizontal="center" vertical="center" wrapText="1" readingOrder="1"/>
      <protection hidden="1"/>
    </xf>
    <xf numFmtId="43" fontId="31" fillId="34" borderId="2" xfId="7" applyFont="1" applyFill="1" applyBorder="1" applyAlignment="1" applyProtection="1">
      <alignment vertical="center" wrapText="1" readingOrder="1"/>
      <protection hidden="1"/>
    </xf>
    <xf numFmtId="0" fontId="31" fillId="35" borderId="2" xfId="0" applyFont="1" applyFill="1" applyBorder="1" applyAlignment="1" applyProtection="1">
      <alignment horizontal="center" vertical="center" wrapText="1" readingOrder="1"/>
      <protection locked="0" hidden="1"/>
    </xf>
    <xf numFmtId="0" fontId="33" fillId="34" borderId="3" xfId="0" applyFont="1" applyFill="1" applyBorder="1" applyAlignment="1" applyProtection="1">
      <alignment vertical="center" wrapText="1" readingOrder="1"/>
      <protection hidden="1"/>
    </xf>
    <xf numFmtId="0" fontId="33" fillId="34" borderId="5" xfId="0" applyFont="1" applyFill="1" applyBorder="1" applyAlignment="1" applyProtection="1">
      <alignment horizontal="center" vertical="center" wrapText="1" readingOrder="1"/>
      <protection hidden="1"/>
    </xf>
    <xf numFmtId="0" fontId="31" fillId="34" borderId="5" xfId="0" applyFont="1" applyFill="1" applyBorder="1" applyAlignment="1" applyProtection="1">
      <alignment horizontal="center" vertical="center" wrapText="1" readingOrder="1"/>
      <protection hidden="1"/>
    </xf>
    <xf numFmtId="0" fontId="34" fillId="34" borderId="5" xfId="0" applyFont="1" applyFill="1" applyBorder="1" applyAlignment="1" applyProtection="1">
      <alignment horizontal="center" vertical="center" wrapText="1" readingOrder="1"/>
      <protection hidden="1"/>
    </xf>
    <xf numFmtId="188" fontId="31" fillId="34" borderId="2" xfId="7" applyNumberFormat="1" applyFont="1" applyFill="1" applyBorder="1" applyAlignment="1" applyProtection="1">
      <alignment vertical="center" wrapText="1" readingOrder="1"/>
      <protection hidden="1"/>
    </xf>
    <xf numFmtId="188" fontId="31" fillId="34" borderId="2" xfId="0" applyNumberFormat="1" applyFont="1" applyFill="1" applyBorder="1" applyAlignment="1" applyProtection="1">
      <alignment vertical="center" wrapText="1" readingOrder="1"/>
      <protection hidden="1"/>
    </xf>
    <xf numFmtId="0" fontId="31" fillId="34" borderId="3" xfId="0" applyFont="1" applyFill="1" applyBorder="1" applyAlignment="1" applyProtection="1">
      <alignment horizontal="center" vertical="center" wrapText="1" readingOrder="1"/>
      <protection hidden="1"/>
    </xf>
    <xf numFmtId="0" fontId="34" fillId="34" borderId="4" xfId="0" applyFont="1" applyFill="1" applyBorder="1" applyAlignment="1" applyProtection="1">
      <alignment horizontal="center" vertical="center" wrapText="1" readingOrder="1"/>
      <protection hidden="1"/>
    </xf>
    <xf numFmtId="0" fontId="33" fillId="34" borderId="56" xfId="0" applyFont="1" applyFill="1" applyBorder="1" applyAlignment="1" applyProtection="1">
      <alignment vertical="center" wrapText="1" readingOrder="1"/>
      <protection hidden="1"/>
    </xf>
    <xf numFmtId="0" fontId="33" fillId="34" borderId="57" xfId="0" applyFont="1" applyFill="1" applyBorder="1" applyAlignment="1" applyProtection="1">
      <alignment horizontal="center" vertical="center" wrapText="1" readingOrder="1"/>
      <protection hidden="1"/>
    </xf>
    <xf numFmtId="188" fontId="31" fillId="35" borderId="2" xfId="1" applyNumberFormat="1" applyFont="1" applyFill="1" applyBorder="1" applyAlignment="1" applyProtection="1">
      <alignment horizontal="center" vertical="center" wrapText="1" readingOrder="1"/>
      <protection locked="0" hidden="1"/>
    </xf>
    <xf numFmtId="188" fontId="31" fillId="0" borderId="2" xfId="7" applyNumberFormat="1" applyFont="1" applyFill="1" applyBorder="1" applyAlignment="1" applyProtection="1">
      <alignment vertical="center" wrapText="1" readingOrder="1"/>
      <protection hidden="1"/>
    </xf>
    <xf numFmtId="0" fontId="40" fillId="0" borderId="0" xfId="8" applyFont="1" applyAlignment="1" applyProtection="1">
      <alignment horizontal="center" vertical="center"/>
      <protection hidden="1"/>
    </xf>
    <xf numFmtId="0" fontId="30" fillId="0" borderId="56" xfId="8" applyFont="1" applyBorder="1" applyAlignment="1" applyProtection="1">
      <alignment horizontal="center" vertical="center"/>
      <protection hidden="1"/>
    </xf>
    <xf numFmtId="0" fontId="30" fillId="0" borderId="1" xfId="8" applyFont="1" applyBorder="1" applyAlignment="1" applyProtection="1">
      <alignment vertical="center"/>
      <protection hidden="1"/>
    </xf>
    <xf numFmtId="188" fontId="21" fillId="33" borderId="1" xfId="9" applyNumberFormat="1" applyFont="1" applyFill="1" applyBorder="1" applyAlignment="1" applyProtection="1">
      <alignment vertical="center"/>
      <protection hidden="1"/>
    </xf>
    <xf numFmtId="0" fontId="30" fillId="0" borderId="0" xfId="8" applyFont="1" applyAlignment="1" applyProtection="1">
      <alignment horizontal="center" vertical="center"/>
      <protection hidden="1"/>
    </xf>
    <xf numFmtId="195" fontId="38" fillId="0" borderId="0" xfId="10" applyNumberFormat="1" applyFont="1" applyFill="1" applyAlignment="1" applyProtection="1">
      <alignment horizontal="center" vertical="center"/>
      <protection hidden="1"/>
    </xf>
    <xf numFmtId="10" fontId="39" fillId="36" borderId="59" xfId="9" applyNumberFormat="1" applyFont="1" applyFill="1" applyBorder="1" applyAlignment="1" applyProtection="1">
      <alignment horizontal="center" vertical="center"/>
      <protection hidden="1"/>
    </xf>
    <xf numFmtId="10" fontId="39" fillId="36" borderId="51" xfId="9" applyNumberFormat="1" applyFont="1" applyFill="1" applyBorder="1" applyAlignment="1" applyProtection="1">
      <alignment horizontal="center" vertical="center"/>
      <protection hidden="1"/>
    </xf>
    <xf numFmtId="195" fontId="30" fillId="0" borderId="62" xfId="8" applyNumberFormat="1" applyFont="1" applyBorder="1" applyAlignment="1" applyProtection="1">
      <alignment vertical="center"/>
      <protection hidden="1"/>
    </xf>
    <xf numFmtId="195" fontId="30" fillId="0" borderId="62" xfId="8" applyNumberFormat="1" applyFont="1" applyBorder="1" applyAlignment="1" applyProtection="1">
      <alignment horizontal="center" vertical="center"/>
      <protection hidden="1"/>
    </xf>
    <xf numFmtId="195" fontId="30" fillId="0" borderId="64" xfId="10" applyNumberFormat="1" applyFont="1" applyBorder="1" applyAlignment="1" applyProtection="1">
      <alignment vertical="center"/>
      <protection hidden="1"/>
    </xf>
    <xf numFmtId="195" fontId="30" fillId="0" borderId="64" xfId="10" applyNumberFormat="1" applyFont="1" applyBorder="1" applyAlignment="1" applyProtection="1">
      <alignment horizontal="center" vertical="center"/>
      <protection hidden="1"/>
    </xf>
    <xf numFmtId="188" fontId="39" fillId="36" borderId="53" xfId="9" applyNumberFormat="1" applyFont="1" applyFill="1" applyBorder="1" applyAlignment="1" applyProtection="1">
      <alignment vertical="center"/>
      <protection hidden="1"/>
    </xf>
    <xf numFmtId="188" fontId="39" fillId="36" borderId="53" xfId="9" applyNumberFormat="1" applyFont="1" applyFill="1" applyBorder="1" applyAlignment="1" applyProtection="1">
      <alignment horizontal="center" vertical="center"/>
      <protection hidden="1"/>
    </xf>
    <xf numFmtId="10" fontId="39" fillId="36" borderId="53" xfId="9" applyNumberFormat="1" applyFont="1" applyFill="1" applyBorder="1" applyAlignment="1" applyProtection="1">
      <alignment vertical="center"/>
      <protection hidden="1"/>
    </xf>
    <xf numFmtId="0" fontId="41" fillId="0" borderId="0" xfId="8" applyFont="1" applyAlignment="1" applyProtection="1">
      <alignment horizontal="center" vertical="center"/>
      <protection hidden="1"/>
    </xf>
    <xf numFmtId="188" fontId="39" fillId="36" borderId="0" xfId="9" applyNumberFormat="1" applyFont="1" applyFill="1" applyAlignment="1" applyProtection="1">
      <alignment vertical="center"/>
      <protection hidden="1"/>
    </xf>
    <xf numFmtId="188" fontId="39" fillId="36" borderId="0" xfId="9" applyNumberFormat="1" applyFont="1" applyFill="1" applyAlignment="1" applyProtection="1">
      <alignment horizontal="center" vertical="center"/>
      <protection hidden="1"/>
    </xf>
    <xf numFmtId="10" fontId="39" fillId="36" borderId="0" xfId="9" applyNumberFormat="1" applyFont="1" applyFill="1" applyAlignment="1" applyProtection="1">
      <alignment vertical="center"/>
      <protection hidden="1"/>
    </xf>
    <xf numFmtId="0" fontId="40" fillId="36" borderId="2" xfId="8" applyFont="1" applyFill="1" applyBorder="1" applyAlignment="1" applyProtection="1">
      <alignment horizontal="center" vertical="center"/>
      <protection hidden="1"/>
    </xf>
    <xf numFmtId="0" fontId="40" fillId="11" borderId="54" xfId="8" applyFont="1" applyFill="1" applyBorder="1" applyAlignment="1" applyProtection="1">
      <alignment horizontal="center" vertical="center"/>
      <protection hidden="1"/>
    </xf>
    <xf numFmtId="195" fontId="21" fillId="0" borderId="0" xfId="10" applyNumberFormat="1" applyFont="1" applyBorder="1" applyAlignment="1" applyProtection="1">
      <alignment vertical="center"/>
      <protection hidden="1"/>
    </xf>
    <xf numFmtId="0" fontId="21" fillId="0" borderId="0" xfId="8" applyFont="1" applyAlignment="1" applyProtection="1">
      <alignment horizontal="center" vertical="center"/>
      <protection hidden="1"/>
    </xf>
    <xf numFmtId="0" fontId="30" fillId="0" borderId="0" xfId="8" applyFont="1" applyAlignment="1" applyProtection="1">
      <alignment vertical="center"/>
      <protection hidden="1"/>
    </xf>
    <xf numFmtId="0" fontId="21" fillId="33" borderId="0" xfId="8" applyFont="1" applyFill="1" applyAlignment="1" applyProtection="1">
      <alignment horizontal="left" vertical="center"/>
      <protection hidden="1"/>
    </xf>
    <xf numFmtId="0" fontId="21" fillId="0" borderId="0" xfId="8" applyFont="1" applyAlignment="1" applyProtection="1">
      <alignment vertical="center"/>
      <protection hidden="1"/>
    </xf>
    <xf numFmtId="0" fontId="22" fillId="0" borderId="55" xfId="8" applyFont="1" applyBorder="1" applyAlignment="1" applyProtection="1">
      <alignment horizontal="right" vertical="center"/>
      <protection hidden="1"/>
    </xf>
    <xf numFmtId="10" fontId="36" fillId="0" borderId="0" xfId="9" applyNumberFormat="1" applyFont="1" applyBorder="1" applyAlignment="1" applyProtection="1">
      <alignment vertical="center"/>
      <protection hidden="1"/>
    </xf>
    <xf numFmtId="195" fontId="21" fillId="0" borderId="55" xfId="10" applyNumberFormat="1" applyFont="1" applyBorder="1" applyAlignment="1" applyProtection="1">
      <alignment vertical="center"/>
      <protection hidden="1"/>
    </xf>
    <xf numFmtId="194" fontId="36" fillId="0" borderId="0" xfId="10" applyFont="1" applyBorder="1" applyAlignment="1" applyProtection="1">
      <alignment vertical="center"/>
      <protection hidden="1"/>
    </xf>
    <xf numFmtId="0" fontId="38" fillId="0" borderId="1" xfId="8" applyFont="1" applyBorder="1" applyAlignment="1" applyProtection="1">
      <alignment horizontal="center" vertical="center"/>
      <protection hidden="1"/>
    </xf>
    <xf numFmtId="195" fontId="21" fillId="0" borderId="57" xfId="10" applyNumberFormat="1" applyFont="1" applyBorder="1" applyAlignment="1" applyProtection="1">
      <alignment vertical="center"/>
      <protection hidden="1"/>
    </xf>
    <xf numFmtId="0" fontId="40" fillId="0" borderId="1" xfId="8" applyFont="1" applyBorder="1" applyAlignment="1" applyProtection="1">
      <alignment horizontal="center" vertical="center"/>
      <protection hidden="1"/>
    </xf>
    <xf numFmtId="10" fontId="42" fillId="0" borderId="0" xfId="8" applyNumberFormat="1" applyFont="1" applyAlignment="1" applyProtection="1">
      <alignment vertical="center"/>
      <protection hidden="1"/>
    </xf>
    <xf numFmtId="10" fontId="42" fillId="0" borderId="0" xfId="8" applyNumberFormat="1" applyFont="1" applyAlignment="1" applyProtection="1">
      <alignment horizontal="center" vertical="center"/>
      <protection hidden="1"/>
    </xf>
    <xf numFmtId="10" fontId="35" fillId="0" borderId="0" xfId="8" applyNumberFormat="1" applyFont="1" applyAlignment="1" applyProtection="1">
      <alignment vertical="center"/>
      <protection hidden="1"/>
    </xf>
    <xf numFmtId="10" fontId="21" fillId="0" borderId="0" xfId="9" applyNumberFormat="1" applyFont="1" applyFill="1" applyAlignment="1" applyProtection="1">
      <alignment vertical="center"/>
      <protection hidden="1"/>
    </xf>
    <xf numFmtId="194" fontId="40" fillId="0" borderId="0" xfId="10" applyFont="1" applyAlignment="1" applyProtection="1">
      <alignment vertical="center"/>
      <protection hidden="1"/>
    </xf>
    <xf numFmtId="0" fontId="30" fillId="11" borderId="0" xfId="8" applyFont="1" applyFill="1" applyAlignment="1" applyProtection="1">
      <alignment vertical="center"/>
      <protection hidden="1"/>
    </xf>
    <xf numFmtId="0" fontId="30" fillId="11" borderId="0" xfId="8" applyFont="1" applyFill="1" applyAlignment="1" applyProtection="1">
      <alignment horizontal="center" vertical="center"/>
      <protection hidden="1"/>
    </xf>
    <xf numFmtId="0" fontId="30" fillId="11" borderId="4" xfId="8" applyFont="1" applyFill="1" applyBorder="1" applyAlignment="1" applyProtection="1">
      <alignment horizontal="center" vertical="center"/>
      <protection hidden="1"/>
    </xf>
    <xf numFmtId="0" fontId="30" fillId="11" borderId="65" xfId="8" applyFont="1" applyFill="1" applyBorder="1" applyAlignment="1" applyProtection="1">
      <alignment horizontal="center" vertical="center"/>
      <protection hidden="1"/>
    </xf>
    <xf numFmtId="197" fontId="30" fillId="11" borderId="65" xfId="9" applyNumberFormat="1" applyFont="1" applyFill="1" applyBorder="1" applyAlignment="1" applyProtection="1">
      <alignment horizontal="center" vertical="center"/>
      <protection hidden="1"/>
    </xf>
    <xf numFmtId="195" fontId="30" fillId="11" borderId="65" xfId="10" applyNumberFormat="1" applyFont="1" applyFill="1" applyBorder="1" applyAlignment="1" applyProtection="1">
      <alignment horizontal="center" vertical="center"/>
      <protection hidden="1"/>
    </xf>
    <xf numFmtId="196" fontId="30" fillId="11" borderId="65" xfId="10" applyNumberFormat="1" applyFont="1" applyFill="1" applyBorder="1" applyAlignment="1" applyProtection="1">
      <alignment horizontal="center" vertical="center"/>
      <protection hidden="1"/>
    </xf>
    <xf numFmtId="195" fontId="30" fillId="11" borderId="65" xfId="10" applyNumberFormat="1" applyFont="1" applyFill="1" applyBorder="1" applyAlignment="1" applyProtection="1">
      <alignment vertical="center"/>
      <protection hidden="1"/>
    </xf>
    <xf numFmtId="0" fontId="40" fillId="11" borderId="54" xfId="8" applyFont="1" applyFill="1" applyBorder="1" applyAlignment="1" applyProtection="1">
      <alignment vertical="center"/>
      <protection hidden="1"/>
    </xf>
    <xf numFmtId="195" fontId="30" fillId="11" borderId="0" xfId="10" applyNumberFormat="1" applyFont="1" applyFill="1" applyBorder="1" applyAlignment="1" applyProtection="1">
      <alignment horizontal="center" vertical="center"/>
      <protection hidden="1"/>
    </xf>
    <xf numFmtId="0" fontId="30" fillId="11" borderId="66" xfId="8" applyFont="1" applyFill="1" applyBorder="1" applyAlignment="1" applyProtection="1">
      <alignment horizontal="center" vertical="center"/>
      <protection hidden="1"/>
    </xf>
    <xf numFmtId="197" fontId="30" fillId="11" borderId="66" xfId="9" applyNumberFormat="1" applyFont="1" applyFill="1" applyBorder="1" applyAlignment="1" applyProtection="1">
      <alignment horizontal="center" vertical="center"/>
      <protection hidden="1"/>
    </xf>
    <xf numFmtId="195" fontId="30" fillId="11" borderId="66" xfId="10" applyNumberFormat="1" applyFont="1" applyFill="1" applyBorder="1" applyAlignment="1" applyProtection="1">
      <alignment vertical="center"/>
      <protection hidden="1"/>
    </xf>
    <xf numFmtId="195" fontId="30" fillId="11" borderId="66" xfId="10" applyNumberFormat="1" applyFont="1" applyFill="1" applyBorder="1" applyAlignment="1" applyProtection="1">
      <alignment horizontal="center" vertical="center"/>
      <protection hidden="1"/>
    </xf>
    <xf numFmtId="0" fontId="30" fillId="18" borderId="66" xfId="8" applyFont="1" applyFill="1" applyBorder="1" applyAlignment="1" applyProtection="1">
      <alignment horizontal="center" vertical="center"/>
      <protection hidden="1"/>
    </xf>
    <xf numFmtId="197" fontId="30" fillId="18" borderId="66" xfId="9" applyNumberFormat="1" applyFont="1" applyFill="1" applyBorder="1" applyAlignment="1" applyProtection="1">
      <alignment horizontal="center" vertical="center"/>
      <protection hidden="1"/>
    </xf>
    <xf numFmtId="195" fontId="30" fillId="18" borderId="66" xfId="10" applyNumberFormat="1" applyFont="1" applyFill="1" applyBorder="1" applyAlignment="1" applyProtection="1">
      <alignment vertical="center"/>
      <protection hidden="1"/>
    </xf>
    <xf numFmtId="195" fontId="30" fillId="18" borderId="66" xfId="10" applyNumberFormat="1" applyFont="1" applyFill="1" applyBorder="1" applyAlignment="1" applyProtection="1">
      <alignment horizontal="center" vertical="center"/>
      <protection hidden="1"/>
    </xf>
    <xf numFmtId="10" fontId="40" fillId="11" borderId="54" xfId="9" applyNumberFormat="1" applyFont="1" applyFill="1" applyBorder="1" applyAlignment="1" applyProtection="1">
      <alignment vertical="center"/>
      <protection hidden="1"/>
    </xf>
    <xf numFmtId="10" fontId="30" fillId="0" borderId="0" xfId="9" applyNumberFormat="1" applyFont="1" applyFill="1" applyBorder="1" applyAlignment="1" applyProtection="1">
      <alignment vertical="center"/>
      <protection hidden="1"/>
    </xf>
    <xf numFmtId="195" fontId="30" fillId="18" borderId="0" xfId="10" applyNumberFormat="1" applyFont="1" applyFill="1" applyBorder="1" applyAlignment="1" applyProtection="1">
      <alignment horizontal="center" vertical="center"/>
      <protection hidden="1"/>
    </xf>
    <xf numFmtId="198" fontId="30" fillId="11" borderId="66" xfId="9" applyNumberFormat="1" applyFont="1" applyFill="1" applyBorder="1" applyAlignment="1" applyProtection="1">
      <alignment horizontal="center" vertical="center"/>
      <protection hidden="1"/>
    </xf>
    <xf numFmtId="198" fontId="30" fillId="18" borderId="66" xfId="9" applyNumberFormat="1" applyFont="1" applyFill="1" applyBorder="1" applyAlignment="1" applyProtection="1">
      <alignment horizontal="center" vertical="center"/>
      <protection hidden="1"/>
    </xf>
    <xf numFmtId="0" fontId="30" fillId="18" borderId="67" xfId="8" applyFont="1" applyFill="1" applyBorder="1" applyAlignment="1" applyProtection="1">
      <alignment horizontal="center" vertical="center"/>
      <protection hidden="1"/>
    </xf>
    <xf numFmtId="198" fontId="30" fillId="18" borderId="67" xfId="9" applyNumberFormat="1" applyFont="1" applyFill="1" applyBorder="1" applyAlignment="1" applyProtection="1">
      <alignment horizontal="center" vertical="center"/>
      <protection hidden="1"/>
    </xf>
    <xf numFmtId="195" fontId="30" fillId="18" borderId="67" xfId="10" applyNumberFormat="1" applyFont="1" applyFill="1" applyBorder="1" applyAlignment="1" applyProtection="1">
      <alignment vertical="center"/>
      <protection hidden="1"/>
    </xf>
    <xf numFmtId="195" fontId="30" fillId="18" borderId="6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8" applyFont="1" applyAlignment="1" applyProtection="1">
      <alignment horizontal="center" vertical="center"/>
      <protection hidden="1"/>
    </xf>
    <xf numFmtId="195" fontId="30" fillId="0" borderId="0" xfId="8" applyNumberFormat="1" applyFont="1" applyAlignment="1" applyProtection="1">
      <alignment vertical="center"/>
      <protection hidden="1"/>
    </xf>
    <xf numFmtId="195" fontId="30" fillId="0" borderId="1" xfId="8" applyNumberFormat="1" applyFont="1" applyBorder="1" applyAlignment="1" applyProtection="1">
      <alignment vertical="center"/>
      <protection hidden="1"/>
    </xf>
    <xf numFmtId="0" fontId="38" fillId="11" borderId="0" xfId="8" applyFont="1" applyFill="1" applyAlignment="1" applyProtection="1">
      <alignment horizontal="center" vertical="center"/>
      <protection hidden="1"/>
    </xf>
    <xf numFmtId="188" fontId="21" fillId="11" borderId="0" xfId="9" applyNumberFormat="1" applyFont="1" applyFill="1" applyBorder="1" applyAlignment="1" applyProtection="1">
      <alignment vertical="center"/>
      <protection hidden="1"/>
    </xf>
    <xf numFmtId="188" fontId="21" fillId="11" borderId="1" xfId="9" applyNumberFormat="1" applyFont="1" applyFill="1" applyBorder="1" applyAlignment="1" applyProtection="1">
      <alignment vertical="center"/>
      <protection hidden="1"/>
    </xf>
    <xf numFmtId="0" fontId="22" fillId="0" borderId="54" xfId="8" applyFont="1" applyBorder="1" applyAlignment="1" applyProtection="1">
      <alignment horizontal="left" vertical="center"/>
      <protection hidden="1"/>
    </xf>
    <xf numFmtId="0" fontId="38" fillId="0" borderId="54" xfId="8" applyFont="1" applyBorder="1" applyAlignment="1" applyProtection="1">
      <alignment horizontal="left" vertical="center"/>
      <protection hidden="1"/>
    </xf>
    <xf numFmtId="195" fontId="30" fillId="11" borderId="60" xfId="10" applyNumberFormat="1" applyFont="1" applyFill="1" applyBorder="1" applyAlignment="1" applyProtection="1">
      <alignment vertical="center"/>
      <protection hidden="1"/>
    </xf>
    <xf numFmtId="0" fontId="22" fillId="11" borderId="54" xfId="8" applyFont="1" applyFill="1" applyBorder="1" applyAlignment="1" applyProtection="1">
      <alignment vertical="center"/>
      <protection hidden="1"/>
    </xf>
    <xf numFmtId="3" fontId="21" fillId="11" borderId="36" xfId="8" applyNumberFormat="1" applyFont="1" applyFill="1" applyBorder="1" applyAlignment="1" applyProtection="1">
      <alignment vertical="center"/>
      <protection hidden="1"/>
    </xf>
    <xf numFmtId="10" fontId="21" fillId="0" borderId="68" xfId="9" applyNumberFormat="1" applyFont="1" applyBorder="1" applyAlignment="1" applyProtection="1">
      <alignment horizontal="left" vertical="center"/>
      <protection hidden="1"/>
    </xf>
    <xf numFmtId="10" fontId="21" fillId="0" borderId="0" xfId="9" applyNumberFormat="1" applyFont="1" applyBorder="1" applyAlignment="1" applyProtection="1">
      <alignment horizontal="left" vertical="center"/>
      <protection hidden="1"/>
    </xf>
    <xf numFmtId="0" fontId="30" fillId="11" borderId="60" xfId="8" applyFont="1" applyFill="1" applyBorder="1" applyAlignment="1" applyProtection="1">
      <alignment horizontal="left" vertical="center"/>
      <protection hidden="1"/>
    </xf>
    <xf numFmtId="0" fontId="30" fillId="11" borderId="0" xfId="8" applyFont="1" applyFill="1" applyAlignment="1" applyProtection="1">
      <alignment horizontal="left" vertical="center"/>
      <protection hidden="1"/>
    </xf>
    <xf numFmtId="0" fontId="30" fillId="11" borderId="60" xfId="8" applyFont="1" applyFill="1" applyBorder="1" applyAlignment="1" applyProtection="1">
      <alignment vertical="center"/>
      <protection hidden="1"/>
    </xf>
    <xf numFmtId="10" fontId="40" fillId="0" borderId="1" xfId="9" applyNumberFormat="1" applyFont="1" applyBorder="1" applyAlignment="1" applyProtection="1">
      <alignment vertical="center"/>
      <protection hidden="1"/>
    </xf>
    <xf numFmtId="0" fontId="30" fillId="11" borderId="55" xfId="8" applyFont="1" applyFill="1" applyBorder="1" applyAlignment="1" applyProtection="1">
      <alignment horizontal="right" vertical="center"/>
      <protection hidden="1"/>
    </xf>
    <xf numFmtId="0" fontId="0" fillId="35" borderId="58" xfId="0" applyFill="1" applyBorder="1" applyAlignment="1" applyProtection="1">
      <alignment horizontal="left"/>
      <protection locked="0"/>
    </xf>
    <xf numFmtId="188" fontId="0" fillId="35" borderId="59" xfId="0" applyNumberFormat="1" applyFill="1" applyBorder="1" applyProtection="1">
      <protection locked="0"/>
    </xf>
    <xf numFmtId="0" fontId="0" fillId="35" borderId="54" xfId="0" applyFill="1" applyBorder="1" applyAlignment="1" applyProtection="1">
      <alignment horizontal="left"/>
      <protection locked="0"/>
    </xf>
    <xf numFmtId="188" fontId="0" fillId="35" borderId="55" xfId="0" applyNumberFormat="1" applyFill="1" applyBorder="1" applyProtection="1">
      <protection locked="0"/>
    </xf>
    <xf numFmtId="188" fontId="0" fillId="35" borderId="57" xfId="0" applyNumberFormat="1" applyFill="1" applyBorder="1" applyProtection="1">
      <protection locked="0"/>
    </xf>
    <xf numFmtId="195" fontId="30" fillId="11" borderId="60" xfId="10" applyNumberFormat="1" applyFont="1" applyFill="1" applyBorder="1" applyAlignment="1" applyProtection="1">
      <alignment vertical="center"/>
    </xf>
    <xf numFmtId="3" fontId="21" fillId="11" borderId="36" xfId="8" applyNumberFormat="1" applyFont="1" applyFill="1" applyBorder="1" applyAlignment="1">
      <alignment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31" fillId="34" borderId="4" xfId="7" applyNumberFormat="1" applyFont="1" applyFill="1" applyBorder="1" applyAlignment="1" applyProtection="1">
      <alignment horizontal="center" vertical="center" wrapText="1" readingOrder="1"/>
      <protection hidden="1"/>
    </xf>
    <xf numFmtId="0" fontId="31" fillId="34" borderId="3" xfId="7" applyNumberFormat="1" applyFont="1" applyFill="1" applyBorder="1" applyAlignment="1" applyProtection="1">
      <alignment horizontal="center" vertical="center" wrapText="1" readingOrder="1"/>
      <protection hidden="1"/>
    </xf>
    <xf numFmtId="0" fontId="31" fillId="34" borderId="5" xfId="7" applyNumberFormat="1" applyFont="1" applyFill="1" applyBorder="1" applyAlignment="1" applyProtection="1">
      <alignment horizontal="center" vertical="center" wrapText="1" readingOrder="1"/>
      <protection hidden="1"/>
    </xf>
    <xf numFmtId="193" fontId="31" fillId="34" borderId="4" xfId="7" applyNumberFormat="1" applyFont="1" applyFill="1" applyBorder="1" applyAlignment="1" applyProtection="1">
      <alignment vertical="center" wrapText="1" readingOrder="1"/>
      <protection hidden="1"/>
    </xf>
    <xf numFmtId="188" fontId="31" fillId="34" borderId="3" xfId="1" applyNumberFormat="1" applyFont="1" applyFill="1" applyBorder="1" applyAlignment="1" applyProtection="1">
      <alignment horizontal="center" vertical="center" wrapText="1" readingOrder="1"/>
      <protection hidden="1"/>
    </xf>
    <xf numFmtId="0" fontId="31" fillId="34" borderId="4" xfId="0" applyFont="1" applyFill="1" applyBorder="1" applyAlignment="1" applyProtection="1">
      <alignment horizontal="left" vertical="center" wrapText="1" readingOrder="1"/>
      <protection hidden="1"/>
    </xf>
    <xf numFmtId="0" fontId="31" fillId="11" borderId="2" xfId="0" applyFont="1" applyFill="1" applyBorder="1" applyAlignment="1" applyProtection="1">
      <alignment horizontal="center" vertical="center" wrapText="1" readingOrder="1"/>
      <protection hidden="1"/>
    </xf>
    <xf numFmtId="3" fontId="31" fillId="11" borderId="2" xfId="7" applyNumberFormat="1" applyFont="1" applyFill="1" applyBorder="1" applyAlignment="1" applyProtection="1">
      <alignment horizontal="center" vertical="center" wrapText="1" readingOrder="1"/>
      <protection hidden="1"/>
    </xf>
    <xf numFmtId="0" fontId="30" fillId="11" borderId="0" xfId="0" quotePrefix="1" applyFont="1" applyFill="1"/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188" fontId="31" fillId="35" borderId="2" xfId="7" applyNumberFormat="1" applyFont="1" applyFill="1" applyBorder="1" applyAlignment="1" applyProtection="1">
      <alignment vertical="center" wrapText="1" readingOrder="1"/>
      <protection locked="0" hidden="1"/>
    </xf>
    <xf numFmtId="191" fontId="7" fillId="0" borderId="0" xfId="0" applyNumberFormat="1" applyFont="1"/>
    <xf numFmtId="0" fontId="44" fillId="3" borderId="0" xfId="0" applyFont="1" applyFill="1" applyAlignment="1">
      <alignment horizontal="center"/>
    </xf>
    <xf numFmtId="0" fontId="45" fillId="9" borderId="4" xfId="0" applyFont="1" applyFill="1" applyBorder="1" applyAlignment="1" applyProtection="1">
      <alignment horizontal="right" vertical="center" wrapText="1" readingOrder="1"/>
      <protection hidden="1"/>
    </xf>
    <xf numFmtId="0" fontId="45" fillId="3" borderId="2" xfId="0" applyFont="1" applyFill="1" applyBorder="1" applyAlignment="1" applyProtection="1">
      <alignment horizontal="right" vertical="center" wrapText="1" readingOrder="1"/>
      <protection hidden="1"/>
    </xf>
    <xf numFmtId="10" fontId="0" fillId="11" borderId="2" xfId="0" applyNumberFormat="1" applyFill="1" applyBorder="1"/>
    <xf numFmtId="9" fontId="0" fillId="0" borderId="2" xfId="0" applyNumberFormat="1" applyBorder="1"/>
    <xf numFmtId="10" fontId="0" fillId="0" borderId="2" xfId="0" applyNumberForma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11" borderId="0" xfId="0" applyNumberFormat="1" applyFill="1" applyAlignment="1">
      <alignment horizontal="center"/>
    </xf>
    <xf numFmtId="0" fontId="0" fillId="0" borderId="3" xfId="0" applyBorder="1"/>
    <xf numFmtId="10" fontId="0" fillId="0" borderId="4" xfId="1" applyNumberFormat="1" applyFont="1" applyBorder="1"/>
    <xf numFmtId="0" fontId="1" fillId="38" borderId="3" xfId="0" applyFont="1" applyFill="1" applyBorder="1"/>
    <xf numFmtId="0" fontId="0" fillId="38" borderId="5" xfId="0" applyFill="1" applyBorder="1"/>
    <xf numFmtId="0" fontId="0" fillId="38" borderId="4" xfId="0" applyFill="1" applyBorder="1"/>
    <xf numFmtId="0" fontId="1" fillId="20" borderId="3" xfId="0" applyFont="1" applyFill="1" applyBorder="1"/>
    <xf numFmtId="0" fontId="1" fillId="39" borderId="3" xfId="0" applyFont="1" applyFill="1" applyBorder="1"/>
    <xf numFmtId="0" fontId="0" fillId="39" borderId="4" xfId="0" applyFill="1" applyBorder="1"/>
    <xf numFmtId="0" fontId="1" fillId="40" borderId="3" xfId="0" applyFont="1" applyFill="1" applyBorder="1"/>
    <xf numFmtId="0" fontId="0" fillId="40" borderId="4" xfId="0" applyFill="1" applyBorder="1"/>
    <xf numFmtId="0" fontId="46" fillId="0" borderId="0" xfId="0" applyFont="1"/>
    <xf numFmtId="10" fontId="1" fillId="0" borderId="0" xfId="0" applyNumberFormat="1" applyFont="1"/>
    <xf numFmtId="0" fontId="46" fillId="0" borderId="2" xfId="0" applyFont="1" applyBorder="1"/>
    <xf numFmtId="0" fontId="46" fillId="0" borderId="3" xfId="0" applyFont="1" applyBorder="1"/>
    <xf numFmtId="10" fontId="46" fillId="0" borderId="4" xfId="1" applyNumberFormat="1" applyFont="1" applyBorder="1"/>
    <xf numFmtId="0" fontId="1" fillId="0" borderId="3" xfId="0" applyFont="1" applyBorder="1"/>
    <xf numFmtId="10" fontId="1" fillId="0" borderId="4" xfId="0" applyNumberFormat="1" applyFont="1" applyBorder="1"/>
    <xf numFmtId="10" fontId="1" fillId="2" borderId="2" xfId="0" applyNumberFormat="1" applyFont="1" applyFill="1" applyBorder="1"/>
    <xf numFmtId="0" fontId="1" fillId="11" borderId="3" xfId="0" applyFont="1" applyFill="1" applyBorder="1"/>
    <xf numFmtId="0" fontId="46" fillId="11" borderId="3" xfId="0" applyFont="1" applyFill="1" applyBorder="1"/>
    <xf numFmtId="10" fontId="1" fillId="11" borderId="4" xfId="0" applyNumberFormat="1" applyFont="1" applyFill="1" applyBorder="1"/>
    <xf numFmtId="0" fontId="1" fillId="24" borderId="3" xfId="0" applyFont="1" applyFill="1" applyBorder="1"/>
    <xf numFmtId="0" fontId="0" fillId="24" borderId="4" xfId="0" applyFill="1" applyBorder="1"/>
    <xf numFmtId="0" fontId="0" fillId="20" borderId="4" xfId="0" applyFill="1" applyBorder="1" applyAlignment="1">
      <alignment horizontal="center"/>
    </xf>
    <xf numFmtId="0" fontId="1" fillId="20" borderId="5" xfId="0" applyFont="1" applyFill="1" applyBorder="1"/>
    <xf numFmtId="3" fontId="0" fillId="0" borderId="3" xfId="0" applyNumberFormat="1" applyBorder="1"/>
    <xf numFmtId="3" fontId="0" fillId="0" borderId="5" xfId="0" applyNumberFormat="1" applyBorder="1"/>
    <xf numFmtId="3" fontId="46" fillId="0" borderId="5" xfId="0" applyNumberFormat="1" applyFont="1" applyBorder="1"/>
    <xf numFmtId="3" fontId="1" fillId="0" borderId="5" xfId="0" applyNumberFormat="1" applyFont="1" applyBorder="1"/>
    <xf numFmtId="0" fontId="0" fillId="0" borderId="5" xfId="0" applyBorder="1"/>
    <xf numFmtId="0" fontId="1" fillId="25" borderId="3" xfId="0" applyFont="1" applyFill="1" applyBorder="1"/>
    <xf numFmtId="0" fontId="0" fillId="25" borderId="5" xfId="0" applyFill="1" applyBorder="1"/>
    <xf numFmtId="0" fontId="0" fillId="25" borderId="4" xfId="0" applyFill="1" applyBorder="1"/>
    <xf numFmtId="10" fontId="0" fillId="0" borderId="3" xfId="1" applyNumberFormat="1" applyFont="1" applyBorder="1"/>
    <xf numFmtId="10" fontId="0" fillId="0" borderId="5" xfId="1" applyNumberFormat="1" applyFont="1" applyBorder="1"/>
    <xf numFmtId="10" fontId="0" fillId="0" borderId="0" xfId="0" applyNumberFormat="1" applyAlignment="1">
      <alignment horizontal="center"/>
    </xf>
    <xf numFmtId="0" fontId="0" fillId="35" borderId="54" xfId="0" applyFill="1" applyBorder="1" applyAlignment="1" applyProtection="1">
      <alignment horizontal="right"/>
      <protection locked="0"/>
    </xf>
    <xf numFmtId="0" fontId="0" fillId="35" borderId="55" xfId="0" applyFill="1" applyBorder="1" applyAlignment="1" applyProtection="1">
      <alignment horizontal="right"/>
      <protection locked="0"/>
    </xf>
    <xf numFmtId="3" fontId="0" fillId="35" borderId="58" xfId="0" applyNumberFormat="1" applyFill="1" applyBorder="1" applyAlignment="1" applyProtection="1">
      <alignment horizontal="right"/>
      <protection locked="0"/>
    </xf>
    <xf numFmtId="3" fontId="0" fillId="35" borderId="59" xfId="0" applyNumberFormat="1" applyFill="1" applyBorder="1" applyAlignment="1" applyProtection="1">
      <alignment horizontal="right"/>
      <protection locked="0"/>
    </xf>
    <xf numFmtId="3" fontId="0" fillId="35" borderId="54" xfId="0" applyNumberFormat="1" applyFill="1" applyBorder="1" applyAlignment="1" applyProtection="1">
      <alignment horizontal="right"/>
      <protection locked="0"/>
    </xf>
    <xf numFmtId="3" fontId="0" fillId="35" borderId="55" xfId="0" applyNumberFormat="1" applyFill="1" applyBorder="1" applyAlignment="1" applyProtection="1">
      <alignment horizontal="right"/>
      <protection locked="0"/>
    </xf>
    <xf numFmtId="4" fontId="43" fillId="11" borderId="56" xfId="0" applyNumberFormat="1" applyFont="1" applyFill="1" applyBorder="1" applyAlignment="1">
      <alignment horizontal="right"/>
    </xf>
    <xf numFmtId="4" fontId="43" fillId="11" borderId="57" xfId="0" applyNumberFormat="1" applyFont="1" applyFill="1" applyBorder="1" applyAlignment="1">
      <alignment horizontal="right"/>
    </xf>
    <xf numFmtId="0" fontId="0" fillId="11" borderId="58" xfId="0" applyFill="1" applyBorder="1" applyAlignment="1">
      <alignment horizontal="right"/>
    </xf>
    <xf numFmtId="0" fontId="0" fillId="11" borderId="59" xfId="0" applyFill="1" applyBorder="1" applyAlignment="1">
      <alignment horizontal="right"/>
    </xf>
    <xf numFmtId="4" fontId="43" fillId="11" borderId="54" xfId="0" applyNumberFormat="1" applyFont="1" applyFill="1" applyBorder="1" applyAlignment="1">
      <alignment horizontal="right"/>
    </xf>
    <xf numFmtId="4" fontId="43" fillId="11" borderId="55" xfId="0" applyNumberFormat="1" applyFont="1" applyFill="1" applyBorder="1" applyAlignment="1">
      <alignment horizontal="right"/>
    </xf>
    <xf numFmtId="0" fontId="0" fillId="0" borderId="51" xfId="0" applyBorder="1" applyAlignment="1">
      <alignment horizontal="right"/>
    </xf>
    <xf numFmtId="4" fontId="0" fillId="11" borderId="53" xfId="0" applyNumberFormat="1" applyFill="1" applyBorder="1" applyAlignment="1">
      <alignment horizontal="right"/>
    </xf>
    <xf numFmtId="4" fontId="0" fillId="11" borderId="52" xfId="0" applyNumberFormat="1" applyFill="1" applyBorder="1" applyAlignment="1">
      <alignment horizontal="right"/>
    </xf>
    <xf numFmtId="0" fontId="0" fillId="35" borderId="53" xfId="0" applyFill="1" applyBorder="1" applyAlignment="1" applyProtection="1">
      <alignment horizontal="right"/>
      <protection locked="0"/>
    </xf>
    <xf numFmtId="10" fontId="0" fillId="35" borderId="54" xfId="1" applyNumberFormat="1" applyFont="1" applyFill="1" applyBorder="1" applyAlignment="1" applyProtection="1">
      <alignment horizontal="right"/>
      <protection locked="0"/>
    </xf>
    <xf numFmtId="10" fontId="0" fillId="35" borderId="55" xfId="1" applyNumberFormat="1" applyFont="1" applyFill="1" applyBorder="1" applyAlignment="1" applyProtection="1">
      <alignment horizontal="right"/>
      <protection locked="0"/>
    </xf>
    <xf numFmtId="188" fontId="0" fillId="0" borderId="56" xfId="0" applyNumberFormat="1" applyBorder="1" applyAlignment="1">
      <alignment horizontal="right"/>
    </xf>
    <xf numFmtId="188" fontId="0" fillId="0" borderId="57" xfId="0" applyNumberFormat="1" applyBorder="1" applyAlignment="1">
      <alignment horizontal="right"/>
    </xf>
    <xf numFmtId="0" fontId="0" fillId="35" borderId="3" xfId="0" applyFill="1" applyBorder="1" applyAlignment="1" applyProtection="1">
      <alignment horizontal="center"/>
      <protection locked="0"/>
    </xf>
    <xf numFmtId="0" fontId="0" fillId="35" borderId="5" xfId="0" applyFill="1" applyBorder="1" applyAlignment="1" applyProtection="1">
      <alignment horizontal="center"/>
      <protection locked="0"/>
    </xf>
    <xf numFmtId="0" fontId="0" fillId="35" borderId="4" xfId="0" applyFill="1" applyBorder="1" applyAlignment="1" applyProtection="1">
      <alignment horizontal="center"/>
      <protection locked="0"/>
    </xf>
    <xf numFmtId="188" fontId="0" fillId="35" borderId="3" xfId="0" applyNumberFormat="1" applyFill="1" applyBorder="1" applyAlignment="1" applyProtection="1">
      <alignment horizontal="center"/>
      <protection locked="0"/>
    </xf>
    <xf numFmtId="188" fontId="0" fillId="35" borderId="5" xfId="0" applyNumberFormat="1" applyFill="1" applyBorder="1" applyAlignment="1" applyProtection="1">
      <alignment horizontal="center"/>
      <protection locked="0"/>
    </xf>
    <xf numFmtId="188" fontId="0" fillId="35" borderId="4" xfId="0" applyNumberFormat="1" applyFill="1" applyBorder="1" applyAlignment="1" applyProtection="1">
      <alignment horizontal="center"/>
      <protection locked="0"/>
    </xf>
    <xf numFmtId="3" fontId="0" fillId="35" borderId="56" xfId="0" applyNumberFormat="1" applyFill="1" applyBorder="1" applyAlignment="1" applyProtection="1">
      <alignment horizontal="right"/>
      <protection locked="0"/>
    </xf>
    <xf numFmtId="3" fontId="0" fillId="35" borderId="57" xfId="0" applyNumberFormat="1" applyFill="1" applyBorder="1" applyAlignment="1" applyProtection="1">
      <alignment horizontal="right"/>
      <protection locked="0"/>
    </xf>
    <xf numFmtId="0" fontId="3" fillId="9" borderId="1" xfId="0" applyFont="1" applyFill="1" applyBorder="1" applyAlignment="1">
      <alignment horizontal="center" vertical="center"/>
    </xf>
    <xf numFmtId="0" fontId="3" fillId="9" borderId="5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0" fillId="11" borderId="56" xfId="0" applyFill="1" applyBorder="1" applyAlignment="1">
      <alignment horizontal="right"/>
    </xf>
    <xf numFmtId="0" fontId="0" fillId="11" borderId="57" xfId="0" applyFill="1" applyBorder="1" applyAlignment="1">
      <alignment horizontal="right"/>
    </xf>
    <xf numFmtId="0" fontId="11" fillId="7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31" fillId="34" borderId="2" xfId="0" applyFont="1" applyFill="1" applyBorder="1" applyAlignment="1" applyProtection="1">
      <alignment horizontal="left" vertical="center" wrapText="1" readingOrder="1"/>
      <protection hidden="1"/>
    </xf>
    <xf numFmtId="10" fontId="31" fillId="35" borderId="2" xfId="1" applyNumberFormat="1" applyFont="1" applyFill="1" applyBorder="1" applyAlignment="1" applyProtection="1">
      <alignment horizontal="center" vertical="center" wrapText="1" readingOrder="1"/>
      <protection locked="0" hidden="1"/>
    </xf>
    <xf numFmtId="43" fontId="31" fillId="34" borderId="2" xfId="7" applyFont="1" applyFill="1" applyBorder="1" applyAlignment="1" applyProtection="1">
      <alignment horizontal="center" vertical="center" wrapText="1" readingOrder="1"/>
      <protection hidden="1"/>
    </xf>
    <xf numFmtId="0" fontId="31" fillId="11" borderId="53" xfId="0" applyFont="1" applyFill="1" applyBorder="1" applyAlignment="1" applyProtection="1">
      <alignment horizontal="center" vertical="center" wrapText="1" readingOrder="1"/>
      <protection hidden="1"/>
    </xf>
    <xf numFmtId="0" fontId="31" fillId="35" borderId="2" xfId="0" applyFont="1" applyFill="1" applyBorder="1" applyAlignment="1" applyProtection="1">
      <alignment horizontal="left" vertical="center" wrapText="1" readingOrder="1"/>
      <protection locked="0" hidden="1"/>
    </xf>
    <xf numFmtId="43" fontId="31" fillId="11" borderId="3" xfId="7" applyFont="1" applyFill="1" applyBorder="1" applyAlignment="1" applyProtection="1">
      <alignment horizontal="left" vertical="center" wrapText="1" readingOrder="1"/>
      <protection hidden="1"/>
    </xf>
    <xf numFmtId="43" fontId="31" fillId="11" borderId="5" xfId="7" applyFont="1" applyFill="1" applyBorder="1" applyAlignment="1" applyProtection="1">
      <alignment horizontal="left" vertical="center" wrapText="1" readingOrder="1"/>
      <protection hidden="1"/>
    </xf>
    <xf numFmtId="43" fontId="31" fillId="11" borderId="5" xfId="7" applyFont="1" applyFill="1" applyBorder="1" applyAlignment="1" applyProtection="1">
      <alignment horizontal="center" vertical="center" wrapText="1" readingOrder="1"/>
      <protection hidden="1"/>
    </xf>
    <xf numFmtId="43" fontId="31" fillId="11" borderId="4" xfId="7" applyFont="1" applyFill="1" applyBorder="1" applyAlignment="1" applyProtection="1">
      <alignment horizontal="center" vertical="center" wrapText="1" readingOrder="1"/>
      <protection hidden="1"/>
    </xf>
    <xf numFmtId="0" fontId="31" fillId="35" borderId="51" xfId="0" applyFont="1" applyFill="1" applyBorder="1" applyAlignment="1" applyProtection="1">
      <alignment horizontal="center" vertical="center" wrapText="1" readingOrder="1"/>
      <protection locked="0" hidden="1"/>
    </xf>
    <xf numFmtId="0" fontId="31" fillId="35" borderId="2" xfId="0" applyFont="1" applyFill="1" applyBorder="1" applyAlignment="1" applyProtection="1">
      <alignment horizontal="center" vertical="center" wrapText="1" readingOrder="1"/>
      <protection locked="0" hidden="1"/>
    </xf>
    <xf numFmtId="43" fontId="31" fillId="34" borderId="4" xfId="7" applyFont="1" applyFill="1" applyBorder="1" applyAlignment="1" applyProtection="1">
      <alignment horizontal="center" vertical="center" wrapText="1" readingOrder="1"/>
      <protection hidden="1"/>
    </xf>
    <xf numFmtId="193" fontId="31" fillId="34" borderId="5" xfId="7" applyNumberFormat="1" applyFont="1" applyFill="1" applyBorder="1" applyAlignment="1" applyProtection="1">
      <alignment horizontal="center" vertical="center" wrapText="1" readingOrder="1"/>
      <protection hidden="1"/>
    </xf>
    <xf numFmtId="193" fontId="31" fillId="34" borderId="4" xfId="7" applyNumberFormat="1" applyFont="1" applyFill="1" applyBorder="1" applyAlignment="1" applyProtection="1">
      <alignment horizontal="center" vertical="center" wrapText="1" readingOrder="1"/>
      <protection hidden="1"/>
    </xf>
    <xf numFmtId="0" fontId="31" fillId="11" borderId="2" xfId="0" applyFont="1" applyFill="1" applyBorder="1" applyAlignment="1" applyProtection="1">
      <alignment horizontal="center" vertical="center" wrapText="1" readingOrder="1"/>
      <protection hidden="1"/>
    </xf>
    <xf numFmtId="0" fontId="31" fillId="34" borderId="2" xfId="0" applyFont="1" applyFill="1" applyBorder="1" applyAlignment="1" applyProtection="1">
      <alignment horizontal="center" vertical="center" wrapText="1" readingOrder="1"/>
      <protection hidden="1"/>
    </xf>
    <xf numFmtId="0" fontId="31" fillId="35" borderId="3" xfId="0" applyFont="1" applyFill="1" applyBorder="1" applyAlignment="1" applyProtection="1">
      <alignment horizontal="left" vertical="center" wrapText="1" indent="1" readingOrder="1"/>
      <protection locked="0" hidden="1"/>
    </xf>
    <xf numFmtId="0" fontId="31" fillId="35" borderId="4" xfId="0" applyFont="1" applyFill="1" applyBorder="1" applyAlignment="1" applyProtection="1">
      <alignment horizontal="left" vertical="center" wrapText="1" indent="1" readingOrder="1"/>
      <protection locked="0" hidden="1"/>
    </xf>
    <xf numFmtId="10" fontId="31" fillId="0" borderId="3" xfId="0" applyNumberFormat="1" applyFont="1" applyBorder="1" applyAlignment="1" applyProtection="1">
      <alignment horizontal="left" vertical="center" wrapText="1" indent="1" readingOrder="1"/>
      <protection hidden="1"/>
    </xf>
    <xf numFmtId="10" fontId="31" fillId="0" borderId="4" xfId="0" applyNumberFormat="1" applyFont="1" applyBorder="1" applyAlignment="1" applyProtection="1">
      <alignment horizontal="left" vertical="center" wrapText="1" indent="1" readingOrder="1"/>
      <protection hidden="1"/>
    </xf>
    <xf numFmtId="0" fontId="31" fillId="35" borderId="51" xfId="0" applyFont="1" applyFill="1" applyBorder="1" applyAlignment="1" applyProtection="1">
      <alignment horizontal="left" vertical="top" wrapText="1" readingOrder="1"/>
      <protection locked="0" hidden="1"/>
    </xf>
    <xf numFmtId="0" fontId="31" fillId="35" borderId="52" xfId="0" applyFont="1" applyFill="1" applyBorder="1" applyAlignment="1" applyProtection="1">
      <alignment horizontal="left" vertical="top" wrapText="1" readingOrder="1"/>
      <protection locked="0" hidden="1"/>
    </xf>
    <xf numFmtId="0" fontId="31" fillId="35" borderId="53" xfId="0" applyFont="1" applyFill="1" applyBorder="1" applyAlignment="1" applyProtection="1">
      <alignment horizontal="left" vertical="top" wrapText="1" readingOrder="1"/>
      <protection locked="0" hidden="1"/>
    </xf>
    <xf numFmtId="188" fontId="31" fillId="34" borderId="2" xfId="1" applyNumberFormat="1" applyFont="1" applyFill="1" applyBorder="1" applyAlignment="1" applyProtection="1">
      <alignment horizontal="left" vertical="center" wrapText="1" readingOrder="1"/>
      <protection hidden="1"/>
    </xf>
    <xf numFmtId="0" fontId="32" fillId="34" borderId="51" xfId="0" applyFont="1" applyFill="1" applyBorder="1" applyAlignment="1" applyProtection="1">
      <alignment horizontal="left" vertical="center" wrapText="1" readingOrder="1"/>
      <protection hidden="1"/>
    </xf>
    <xf numFmtId="0" fontId="29" fillId="9" borderId="3" xfId="0" applyFont="1" applyFill="1" applyBorder="1" applyAlignment="1" applyProtection="1">
      <alignment horizontal="center" vertical="center" wrapText="1" readingOrder="1"/>
      <protection hidden="1"/>
    </xf>
    <xf numFmtId="0" fontId="29" fillId="9" borderId="5" xfId="0" applyFont="1" applyFill="1" applyBorder="1" applyAlignment="1" applyProtection="1">
      <alignment horizontal="center" vertical="center" wrapText="1" readingOrder="1"/>
      <protection hidden="1"/>
    </xf>
    <xf numFmtId="0" fontId="31" fillId="0" borderId="3" xfId="0" applyFont="1" applyBorder="1" applyAlignment="1" applyProtection="1">
      <alignment horizontal="left" vertical="center" wrapText="1" indent="1" readingOrder="1"/>
      <protection hidden="1"/>
    </xf>
    <xf numFmtId="0" fontId="31" fillId="0" borderId="4" xfId="0" applyFont="1" applyBorder="1" applyAlignment="1" applyProtection="1">
      <alignment horizontal="left" vertical="center" wrapText="1" indent="1" readingOrder="1"/>
      <protection hidden="1"/>
    </xf>
    <xf numFmtId="0" fontId="29" fillId="3" borderId="3" xfId="0" applyFont="1" applyFill="1" applyBorder="1" applyAlignment="1" applyProtection="1">
      <alignment horizontal="center" vertical="center" wrapText="1" readingOrder="1"/>
      <protection hidden="1"/>
    </xf>
    <xf numFmtId="0" fontId="29" fillId="3" borderId="5" xfId="0" applyFont="1" applyFill="1" applyBorder="1" applyAlignment="1" applyProtection="1">
      <alignment horizontal="center" vertical="center" wrapText="1" readingOrder="1"/>
      <protection hidden="1"/>
    </xf>
    <xf numFmtId="0" fontId="29" fillId="3" borderId="4" xfId="0" applyFont="1" applyFill="1" applyBorder="1" applyAlignment="1" applyProtection="1">
      <alignment horizontal="center" vertical="center" wrapText="1" readingOrder="1"/>
      <protection hidden="1"/>
    </xf>
    <xf numFmtId="0" fontId="38" fillId="0" borderId="2" xfId="8" applyFont="1" applyBorder="1" applyAlignment="1" applyProtection="1">
      <alignment horizontal="center" vertical="center"/>
      <protection hidden="1"/>
    </xf>
    <xf numFmtId="0" fontId="38" fillId="0" borderId="3" xfId="8" applyFont="1" applyBorder="1" applyAlignment="1" applyProtection="1">
      <alignment horizontal="center" vertical="center"/>
      <protection hidden="1"/>
    </xf>
    <xf numFmtId="0" fontId="38" fillId="0" borderId="4" xfId="8" applyFont="1" applyBorder="1" applyAlignment="1" applyProtection="1">
      <alignment horizontal="center" vertical="center"/>
      <protection hidden="1"/>
    </xf>
    <xf numFmtId="0" fontId="39" fillId="9" borderId="3" xfId="8" applyFont="1" applyFill="1" applyBorder="1" applyAlignment="1" applyProtection="1">
      <alignment horizontal="center" vertical="center"/>
      <protection hidden="1"/>
    </xf>
    <xf numFmtId="0" fontId="39" fillId="9" borderId="5" xfId="8" applyFont="1" applyFill="1" applyBorder="1" applyAlignment="1" applyProtection="1">
      <alignment horizontal="center" vertical="center"/>
      <protection hidden="1"/>
    </xf>
    <xf numFmtId="0" fontId="39" fillId="9" borderId="4" xfId="8" applyFont="1" applyFill="1" applyBorder="1" applyAlignment="1" applyProtection="1">
      <alignment horizontal="center" vertical="center"/>
      <protection hidden="1"/>
    </xf>
    <xf numFmtId="0" fontId="38" fillId="0" borderId="54" xfId="8" applyFont="1" applyBorder="1" applyAlignment="1" applyProtection="1">
      <alignment horizontal="center" vertical="center"/>
      <protection hidden="1"/>
    </xf>
    <xf numFmtId="0" fontId="38" fillId="0" borderId="0" xfId="8" applyFont="1" applyAlignment="1" applyProtection="1">
      <alignment horizontal="center" vertical="center"/>
      <protection hidden="1"/>
    </xf>
    <xf numFmtId="0" fontId="38" fillId="0" borderId="56" xfId="8" applyFont="1" applyBorder="1" applyAlignment="1" applyProtection="1">
      <alignment horizontal="center" vertical="center"/>
      <protection hidden="1"/>
    </xf>
    <xf numFmtId="0" fontId="38" fillId="0" borderId="1" xfId="8" applyFont="1" applyBorder="1" applyAlignment="1" applyProtection="1">
      <alignment horizontal="center" vertical="center"/>
      <protection hidden="1"/>
    </xf>
    <xf numFmtId="0" fontId="30" fillId="0" borderId="0" xfId="8" applyFont="1" applyAlignment="1" applyProtection="1">
      <alignment horizontal="center" vertical="center"/>
      <protection hidden="1"/>
    </xf>
    <xf numFmtId="0" fontId="38" fillId="0" borderId="61" xfId="8" applyFont="1" applyBorder="1" applyAlignment="1" applyProtection="1">
      <alignment horizontal="center" vertical="center"/>
      <protection hidden="1"/>
    </xf>
    <xf numFmtId="0" fontId="38" fillId="0" borderId="63" xfId="8" applyFont="1" applyBorder="1" applyAlignment="1" applyProtection="1">
      <alignment horizontal="center" vertical="center"/>
      <protection hidden="1"/>
    </xf>
    <xf numFmtId="0" fontId="39" fillId="37" borderId="3" xfId="8" applyFont="1" applyFill="1" applyBorder="1" applyAlignment="1" applyProtection="1">
      <alignment horizontal="center" vertical="center"/>
      <protection hidden="1"/>
    </xf>
    <xf numFmtId="0" fontId="39" fillId="37" borderId="5" xfId="8" applyFont="1" applyFill="1" applyBorder="1" applyAlignment="1" applyProtection="1">
      <alignment horizontal="center" vertical="center"/>
      <protection hidden="1"/>
    </xf>
    <xf numFmtId="0" fontId="39" fillId="37" borderId="4" xfId="8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</cellXfs>
  <cellStyles count="11">
    <cellStyle name="Comma" xfId="7" builtinId="3"/>
    <cellStyle name="Comma 2" xfId="10" xr:uid="{0F8CE639-0961-4CC6-87DD-DAC80437C508}"/>
    <cellStyle name="Normal" xfId="0" builtinId="0"/>
    <cellStyle name="Normal 2" xfId="2" xr:uid="{603599F4-8415-4448-B9BB-6F472ACD8055}"/>
    <cellStyle name="Normal 3" xfId="5" xr:uid="{9920C83E-ED58-43EE-8B9C-D2C37DA96393}"/>
    <cellStyle name="Normal 4" xfId="8" xr:uid="{2AC8085B-FDAE-4EB2-9BDD-726D4219FE95}"/>
    <cellStyle name="Normal_Secured-Installment" xfId="4" xr:uid="{7E8BCC9A-3DA7-4339-AEF5-848EEE5BBB5B}"/>
    <cellStyle name="Percent" xfId="1" builtinId="5"/>
    <cellStyle name="Percent 2" xfId="3" xr:uid="{64C9D293-9E11-4EFC-9470-FA60C1099C06}"/>
    <cellStyle name="Percent 3" xfId="6" xr:uid="{3ED7EBED-090A-4806-B2C8-E8062D6E8588}"/>
    <cellStyle name="Percent 4" xfId="9" xr:uid="{25240CAD-F229-42C1-8817-E23C0EE3863A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CCCC"/>
      </font>
    </dxf>
    <dxf>
      <font>
        <color rgb="FFFFCCCC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EE0000"/>
        </patternFill>
      </fill>
    </dxf>
    <dxf>
      <fill>
        <patternFill>
          <bgColor rgb="FF00B050"/>
        </patternFill>
      </fill>
    </dxf>
    <dxf>
      <fill>
        <patternFill>
          <bgColor rgb="FFEE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10064</xdr:colOff>
      <xdr:row>39</xdr:row>
      <xdr:rowOff>86262</xdr:rowOff>
    </xdr:from>
    <xdr:to>
      <xdr:col>47</xdr:col>
      <xdr:colOff>447675</xdr:colOff>
      <xdr:row>41</xdr:row>
      <xdr:rowOff>86261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B815D1C-6ACB-EEAE-6620-273351E54B2E}"/>
            </a:ext>
          </a:extLst>
        </xdr:cNvPr>
        <xdr:cNvSpPr>
          <a:spLocks noChangeAspect="1"/>
        </xdr:cNvSpPr>
      </xdr:nvSpPr>
      <xdr:spPr>
        <a:xfrm>
          <a:off x="191039" y="5658387"/>
          <a:ext cx="4819111" cy="323849"/>
        </a:xfrm>
        <a:prstGeom prst="roundRect">
          <a:avLst/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581025</xdr:colOff>
      <xdr:row>14</xdr:row>
      <xdr:rowOff>104775</xdr:rowOff>
    </xdr:from>
    <xdr:to>
      <xdr:col>32</xdr:col>
      <xdr:colOff>24737</xdr:colOff>
      <xdr:row>19</xdr:row>
      <xdr:rowOff>149874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3866E19-D9A6-4076-BC3D-5A2D12FD6DE6}"/>
            </a:ext>
          </a:extLst>
        </xdr:cNvPr>
        <xdr:cNvGrpSpPr/>
      </xdr:nvGrpSpPr>
      <xdr:grpSpPr>
        <a:xfrm>
          <a:off x="222250" y="2327275"/>
          <a:ext cx="0" cy="838849"/>
          <a:chOff x="7666937" y="2438400"/>
          <a:chExt cx="3773757" cy="88359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7F32960-BCA3-AD17-3FFF-5FF46769E5AA}"/>
              </a:ext>
            </a:extLst>
          </xdr:cNvPr>
          <xdr:cNvSpPr/>
        </xdr:nvSpPr>
        <xdr:spPr>
          <a:xfrm>
            <a:off x="8915400" y="2733674"/>
            <a:ext cx="1352550" cy="142875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B55F896-D8C4-8870-8F6B-E4D4E32885D7}"/>
              </a:ext>
            </a:extLst>
          </xdr:cNvPr>
          <xdr:cNvSpPr/>
        </xdr:nvSpPr>
        <xdr:spPr>
          <a:xfrm>
            <a:off x="8115300" y="2743199"/>
            <a:ext cx="792000" cy="142875"/>
          </a:xfrm>
          <a:prstGeom prst="rect">
            <a:avLst/>
          </a:prstGeom>
          <a:solidFill>
            <a:srgbClr val="EE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BFBE3766-9028-D726-A6F8-F4E32D9C4E72}"/>
              </a:ext>
            </a:extLst>
          </xdr:cNvPr>
          <xdr:cNvSpPr/>
        </xdr:nvSpPr>
        <xdr:spPr>
          <a:xfrm>
            <a:off x="10287000" y="2743199"/>
            <a:ext cx="684000" cy="1428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743D0E17-CA5F-B0D5-0765-E012EE720EEC}"/>
              </a:ext>
            </a:extLst>
          </xdr:cNvPr>
          <xdr:cNvCxnSpPr/>
        </xdr:nvCxnSpPr>
        <xdr:spPr>
          <a:xfrm>
            <a:off x="8105775" y="2809875"/>
            <a:ext cx="2867025" cy="0"/>
          </a:xfrm>
          <a:prstGeom prst="line">
            <a:avLst/>
          </a:prstGeom>
          <a:ln>
            <a:headEnd type="arrow" w="med" len="med"/>
            <a:tailEnd type="arrow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3ADB7F0F-E335-B0F8-E6E3-DF8BB37303F6}"/>
              </a:ext>
            </a:extLst>
          </xdr:cNvPr>
          <xdr:cNvCxnSpPr/>
        </xdr:nvCxnSpPr>
        <xdr:spPr>
          <a:xfrm>
            <a:off x="9610725" y="2686050"/>
            <a:ext cx="0" cy="21907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E941E7F9-2538-59CF-E807-1965382D0317}"/>
              </a:ext>
            </a:extLst>
          </xdr:cNvPr>
          <xdr:cNvCxnSpPr/>
        </xdr:nvCxnSpPr>
        <xdr:spPr>
          <a:xfrm>
            <a:off x="8905875" y="2676525"/>
            <a:ext cx="0" cy="2381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43382C61-47A7-2E6D-57F1-67C7B02D0E8B}"/>
              </a:ext>
            </a:extLst>
          </xdr:cNvPr>
          <xdr:cNvCxnSpPr/>
        </xdr:nvCxnSpPr>
        <xdr:spPr>
          <a:xfrm>
            <a:off x="10277475" y="2676525"/>
            <a:ext cx="0" cy="2381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8DA0A03-1358-141D-C0C4-7FD3FC7BED08}"/>
              </a:ext>
            </a:extLst>
          </xdr:cNvPr>
          <xdr:cNvSpPr txBox="1"/>
        </xdr:nvSpPr>
        <xdr:spPr>
          <a:xfrm>
            <a:off x="9206799" y="2876550"/>
            <a:ext cx="800284" cy="445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Break</a:t>
            </a:r>
            <a:r>
              <a:rPr lang="en-US" sz="1100" b="1" baseline="0"/>
              <a:t>even</a:t>
            </a:r>
          </a:p>
          <a:p>
            <a:pPr algn="ctr"/>
            <a:r>
              <a:rPr lang="en-US" sz="1100" b="1" baseline="0"/>
              <a:t>Point</a:t>
            </a:r>
            <a:endParaRPr lang="th-TH" sz="1100" b="1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E3D5350-7A19-97BA-F733-F9DF791242CC}"/>
              </a:ext>
            </a:extLst>
          </xdr:cNvPr>
          <xdr:cNvSpPr txBox="1"/>
        </xdr:nvSpPr>
        <xdr:spPr>
          <a:xfrm>
            <a:off x="7666937" y="2600325"/>
            <a:ext cx="489108" cy="445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 baseline="0"/>
              <a:t>Loss</a:t>
            </a:r>
          </a:p>
          <a:p>
            <a:pPr algn="ctr"/>
            <a:r>
              <a:rPr lang="en-US" sz="1100" b="1" baseline="0"/>
              <a:t>Point</a:t>
            </a:r>
            <a:endParaRPr lang="th-TH" sz="1100" b="1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2786781-A3E1-945A-AFA0-781C477867CA}"/>
              </a:ext>
            </a:extLst>
          </xdr:cNvPr>
          <xdr:cNvSpPr txBox="1"/>
        </xdr:nvSpPr>
        <xdr:spPr>
          <a:xfrm>
            <a:off x="10935491" y="2600325"/>
            <a:ext cx="505203" cy="445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 baseline="0"/>
              <a:t>Profit</a:t>
            </a:r>
          </a:p>
          <a:p>
            <a:pPr algn="ctr"/>
            <a:r>
              <a:rPr lang="en-US" sz="1100" b="1" baseline="0"/>
              <a:t>Point</a:t>
            </a:r>
            <a:endParaRPr lang="th-TH" sz="1100" b="1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EE1CD83-8617-AB71-8F3F-49AA55E77883}"/>
              </a:ext>
            </a:extLst>
          </xdr:cNvPr>
          <xdr:cNvSpPr txBox="1"/>
        </xdr:nvSpPr>
        <xdr:spPr>
          <a:xfrm>
            <a:off x="8617844" y="2438400"/>
            <a:ext cx="606594" cy="282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99.8%</a:t>
            </a:r>
            <a:endParaRPr lang="th-TH" sz="1100" b="1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308F673-E468-0EF7-25E8-91128F95A208}"/>
              </a:ext>
            </a:extLst>
          </xdr:cNvPr>
          <xdr:cNvSpPr txBox="1"/>
        </xdr:nvSpPr>
        <xdr:spPr>
          <a:xfrm>
            <a:off x="9309268" y="2438400"/>
            <a:ext cx="614400" cy="2732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100.0%</a:t>
            </a:r>
            <a:endParaRPr lang="th-TH" sz="1100" b="1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BC01690-BED1-D576-C87D-0AD5F288C2A9}"/>
              </a:ext>
            </a:extLst>
          </xdr:cNvPr>
          <xdr:cNvSpPr txBox="1"/>
        </xdr:nvSpPr>
        <xdr:spPr>
          <a:xfrm>
            <a:off x="9985544" y="2438400"/>
            <a:ext cx="614399" cy="2732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100.5%</a:t>
            </a:r>
            <a:endParaRPr lang="th-TH" sz="11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tappserver01/Users/np17996/Downloads/thailan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393608\Desktop\&#3605;&#3634;&#3619;&#3634;&#3591;&#3588;&#3635;&#3609;&#3623;&#3603;&#3588;&#3656;&#3634;&#3591;&#3623;&#3604;&#3648;&#3585;&#3656;&#3634;&#3651;&#3627;&#3617;&#3656;%20ETB%20TopUp%20v20251201.01.xlsx" TargetMode="External"/><Relationship Id="rId1" Type="http://schemas.openxmlformats.org/officeDocument/2006/relationships/externalLinkPath" Target="&#3605;&#3634;&#3619;&#3634;&#3591;&#3588;&#3635;&#3609;&#3623;&#3603;&#3588;&#3656;&#3634;&#3591;&#3623;&#3604;&#3648;&#3585;&#3656;&#3634;&#3651;&#3627;&#3617;&#3656;%20ETB%20TopUp%20v20251201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>
        <row r="4">
          <cell r="H4" t="str">
            <v>01</v>
          </cell>
        </row>
        <row r="5">
          <cell r="H5" t="str">
            <v>01</v>
          </cell>
        </row>
        <row r="6">
          <cell r="H6" t="str">
            <v>01</v>
          </cell>
        </row>
        <row r="7">
          <cell r="H7" t="str">
            <v>01</v>
          </cell>
        </row>
        <row r="8">
          <cell r="H8" t="str">
            <v>01</v>
          </cell>
        </row>
        <row r="9">
          <cell r="H9" t="str">
            <v>01</v>
          </cell>
        </row>
        <row r="10">
          <cell r="H10" t="str">
            <v>01</v>
          </cell>
        </row>
        <row r="11">
          <cell r="H11" t="str">
            <v>01</v>
          </cell>
        </row>
        <row r="12">
          <cell r="H12" t="str">
            <v>02</v>
          </cell>
        </row>
        <row r="13">
          <cell r="H13" t="str">
            <v>02</v>
          </cell>
        </row>
        <row r="14">
          <cell r="H14" t="str">
            <v>02</v>
          </cell>
        </row>
        <row r="15">
          <cell r="H15" t="str">
            <v>02</v>
          </cell>
        </row>
        <row r="16">
          <cell r="H16" t="str">
            <v>02</v>
          </cell>
        </row>
        <row r="17">
          <cell r="H17" t="str">
            <v>02</v>
          </cell>
        </row>
        <row r="18">
          <cell r="H18" t="str">
            <v>02</v>
          </cell>
        </row>
        <row r="19">
          <cell r="H19" t="str">
            <v>02</v>
          </cell>
        </row>
        <row r="20">
          <cell r="H20" t="str">
            <v>02</v>
          </cell>
        </row>
        <row r="21">
          <cell r="H21" t="str">
            <v>02</v>
          </cell>
        </row>
        <row r="22">
          <cell r="H22" t="str">
            <v>02</v>
          </cell>
        </row>
        <row r="23">
          <cell r="H23" t="str">
            <v>02</v>
          </cell>
        </row>
        <row r="24">
          <cell r="H24" t="str">
            <v>02</v>
          </cell>
        </row>
        <row r="25">
          <cell r="H25" t="str">
            <v>02</v>
          </cell>
        </row>
        <row r="26">
          <cell r="H26" t="str">
            <v>02</v>
          </cell>
        </row>
        <row r="27">
          <cell r="H27" t="str">
            <v>02</v>
          </cell>
        </row>
        <row r="28">
          <cell r="H28" t="str">
            <v>02</v>
          </cell>
        </row>
        <row r="29">
          <cell r="H29" t="str">
            <v>02</v>
          </cell>
        </row>
        <row r="30">
          <cell r="H30" t="str">
            <v>02</v>
          </cell>
        </row>
        <row r="31">
          <cell r="H31" t="str">
            <v>02</v>
          </cell>
        </row>
        <row r="32">
          <cell r="H32" t="str">
            <v>02</v>
          </cell>
        </row>
        <row r="33">
          <cell r="H33" t="str">
            <v>02</v>
          </cell>
        </row>
        <row r="34">
          <cell r="H34" t="str">
            <v>02</v>
          </cell>
        </row>
        <row r="35">
          <cell r="H35" t="str">
            <v>02</v>
          </cell>
        </row>
        <row r="36">
          <cell r="H36" t="str">
            <v>02</v>
          </cell>
        </row>
        <row r="37">
          <cell r="H37" t="str">
            <v>02</v>
          </cell>
        </row>
        <row r="38">
          <cell r="H38" t="str">
            <v>02</v>
          </cell>
        </row>
        <row r="39">
          <cell r="H39" t="str">
            <v>02</v>
          </cell>
        </row>
        <row r="40">
          <cell r="H40" t="str">
            <v>02</v>
          </cell>
        </row>
        <row r="41">
          <cell r="H41" t="str">
            <v>02</v>
          </cell>
        </row>
        <row r="42">
          <cell r="H42" t="str">
            <v>02</v>
          </cell>
        </row>
        <row r="43">
          <cell r="H43" t="str">
            <v>02</v>
          </cell>
        </row>
        <row r="44">
          <cell r="H44" t="str">
            <v>02</v>
          </cell>
        </row>
        <row r="45">
          <cell r="H45" t="str">
            <v>02</v>
          </cell>
        </row>
        <row r="46">
          <cell r="H46" t="str">
            <v>02</v>
          </cell>
        </row>
        <row r="47">
          <cell r="H47" t="str">
            <v>02</v>
          </cell>
        </row>
        <row r="48">
          <cell r="H48" t="str">
            <v>02</v>
          </cell>
        </row>
        <row r="49">
          <cell r="H49" t="str">
            <v>02</v>
          </cell>
        </row>
        <row r="50">
          <cell r="H50" t="str">
            <v>02</v>
          </cell>
        </row>
        <row r="51">
          <cell r="H51" t="str">
            <v>02</v>
          </cell>
        </row>
        <row r="52">
          <cell r="H52" t="str">
            <v>02</v>
          </cell>
        </row>
        <row r="53">
          <cell r="H53" t="str">
            <v>02</v>
          </cell>
        </row>
        <row r="54">
          <cell r="H54" t="str">
            <v>02</v>
          </cell>
        </row>
        <row r="55">
          <cell r="H55" t="str">
            <v>02</v>
          </cell>
        </row>
        <row r="56">
          <cell r="H56" t="str">
            <v>02</v>
          </cell>
        </row>
        <row r="57">
          <cell r="H57" t="str">
            <v>02</v>
          </cell>
        </row>
        <row r="58">
          <cell r="H58" t="str">
            <v>02</v>
          </cell>
        </row>
        <row r="59">
          <cell r="H59" t="str">
            <v>02</v>
          </cell>
        </row>
        <row r="60">
          <cell r="H60" t="str">
            <v>02</v>
          </cell>
        </row>
        <row r="61">
          <cell r="H61" t="str">
            <v>02</v>
          </cell>
        </row>
        <row r="62">
          <cell r="H62" t="str">
            <v>03</v>
          </cell>
        </row>
        <row r="63">
          <cell r="H63" t="str">
            <v>03</v>
          </cell>
        </row>
        <row r="64">
          <cell r="H64" t="str">
            <v>03</v>
          </cell>
        </row>
        <row r="65">
          <cell r="H65" t="str">
            <v>03</v>
          </cell>
        </row>
        <row r="66">
          <cell r="H66" t="str">
            <v>03</v>
          </cell>
        </row>
        <row r="67">
          <cell r="H67" t="str">
            <v>03</v>
          </cell>
        </row>
        <row r="68">
          <cell r="H68" t="str">
            <v>03</v>
          </cell>
        </row>
        <row r="69">
          <cell r="H69" t="str">
            <v>03</v>
          </cell>
        </row>
        <row r="70">
          <cell r="H70" t="str">
            <v>03</v>
          </cell>
        </row>
        <row r="71">
          <cell r="H71" t="str">
            <v>03</v>
          </cell>
        </row>
        <row r="72">
          <cell r="H72" t="str">
            <v>03</v>
          </cell>
        </row>
        <row r="73">
          <cell r="H73" t="str">
            <v>03</v>
          </cell>
        </row>
        <row r="74">
          <cell r="H74" t="str">
            <v>03</v>
          </cell>
        </row>
        <row r="75">
          <cell r="H75" t="str">
            <v>04</v>
          </cell>
        </row>
        <row r="76">
          <cell r="H76" t="str">
            <v>04</v>
          </cell>
        </row>
        <row r="77">
          <cell r="H77" t="str">
            <v>04</v>
          </cell>
        </row>
        <row r="78">
          <cell r="H78" t="str">
            <v>04</v>
          </cell>
        </row>
        <row r="79">
          <cell r="H79" t="str">
            <v>04</v>
          </cell>
        </row>
        <row r="80">
          <cell r="H80" t="str">
            <v>04</v>
          </cell>
        </row>
        <row r="81">
          <cell r="H81" t="str">
            <v>04</v>
          </cell>
        </row>
        <row r="82">
          <cell r="H82" t="str">
            <v>04</v>
          </cell>
        </row>
        <row r="83">
          <cell r="H83" t="str">
            <v>04</v>
          </cell>
        </row>
        <row r="84">
          <cell r="H84" t="str">
            <v>04</v>
          </cell>
        </row>
        <row r="85">
          <cell r="H85" t="str">
            <v>04</v>
          </cell>
        </row>
        <row r="86">
          <cell r="H86" t="str">
            <v>04</v>
          </cell>
        </row>
        <row r="87">
          <cell r="H87" t="str">
            <v>04</v>
          </cell>
        </row>
        <row r="88">
          <cell r="H88" t="str">
            <v>04</v>
          </cell>
        </row>
        <row r="89">
          <cell r="H89" t="str">
            <v>04</v>
          </cell>
        </row>
        <row r="90">
          <cell r="H90" t="str">
            <v>04</v>
          </cell>
        </row>
        <row r="91">
          <cell r="H91" t="str">
            <v>04</v>
          </cell>
        </row>
        <row r="92">
          <cell r="H92" t="str">
            <v>04</v>
          </cell>
        </row>
        <row r="93">
          <cell r="H93" t="str">
            <v>05</v>
          </cell>
        </row>
        <row r="94">
          <cell r="H94" t="str">
            <v>05</v>
          </cell>
        </row>
        <row r="95">
          <cell r="H95" t="str">
            <v>05</v>
          </cell>
        </row>
        <row r="96">
          <cell r="H96" t="str">
            <v>05</v>
          </cell>
        </row>
        <row r="97">
          <cell r="H97" t="str">
            <v>05</v>
          </cell>
        </row>
        <row r="98">
          <cell r="H98" t="str">
            <v>05</v>
          </cell>
        </row>
        <row r="99">
          <cell r="H99" t="str">
            <v>05</v>
          </cell>
        </row>
        <row r="100">
          <cell r="H100" t="str">
            <v>05</v>
          </cell>
        </row>
        <row r="101">
          <cell r="H101" t="str">
            <v>05</v>
          </cell>
        </row>
        <row r="102">
          <cell r="H102" t="str">
            <v>05</v>
          </cell>
        </row>
        <row r="103">
          <cell r="H103" t="str">
            <v>05</v>
          </cell>
        </row>
        <row r="104">
          <cell r="H104" t="str">
            <v>06</v>
          </cell>
        </row>
        <row r="105">
          <cell r="H105" t="str">
            <v>06</v>
          </cell>
        </row>
        <row r="106">
          <cell r="H106" t="str">
            <v>06</v>
          </cell>
        </row>
        <row r="107">
          <cell r="H107" t="str">
            <v>06</v>
          </cell>
        </row>
        <row r="108">
          <cell r="H108" t="str">
            <v>06</v>
          </cell>
        </row>
        <row r="109">
          <cell r="H109" t="str">
            <v>06</v>
          </cell>
        </row>
        <row r="110">
          <cell r="H110" t="str">
            <v>06</v>
          </cell>
        </row>
        <row r="111">
          <cell r="H111" t="str">
            <v>06</v>
          </cell>
        </row>
        <row r="112">
          <cell r="H112" t="str">
            <v>06</v>
          </cell>
        </row>
        <row r="113">
          <cell r="H113" t="str">
            <v>06</v>
          </cell>
        </row>
        <row r="114">
          <cell r="H114" t="str">
            <v>06</v>
          </cell>
        </row>
        <row r="115">
          <cell r="H115" t="str">
            <v>06</v>
          </cell>
        </row>
        <row r="116">
          <cell r="H116" t="str">
            <v>06</v>
          </cell>
        </row>
        <row r="117">
          <cell r="H117" t="str">
            <v>06</v>
          </cell>
        </row>
        <row r="118">
          <cell r="H118" t="str">
            <v>06</v>
          </cell>
        </row>
        <row r="119">
          <cell r="H119" t="str">
            <v>06</v>
          </cell>
        </row>
        <row r="120">
          <cell r="H120" t="str">
            <v>06</v>
          </cell>
        </row>
        <row r="121">
          <cell r="H121" t="str">
            <v>06</v>
          </cell>
        </row>
        <row r="122">
          <cell r="H122" t="str">
            <v>06</v>
          </cell>
        </row>
        <row r="123">
          <cell r="H123" t="str">
            <v>06</v>
          </cell>
        </row>
        <row r="124">
          <cell r="H124" t="str">
            <v>06</v>
          </cell>
        </row>
        <row r="125">
          <cell r="H125" t="str">
            <v>06</v>
          </cell>
        </row>
        <row r="126">
          <cell r="H126" t="str">
            <v>06</v>
          </cell>
        </row>
        <row r="127">
          <cell r="H127" t="str">
            <v>06</v>
          </cell>
        </row>
        <row r="128">
          <cell r="H128" t="str">
            <v>06</v>
          </cell>
        </row>
        <row r="129">
          <cell r="H129" t="str">
            <v>07</v>
          </cell>
        </row>
        <row r="130">
          <cell r="H130" t="str">
            <v>07</v>
          </cell>
        </row>
        <row r="131">
          <cell r="H131" t="str">
            <v>07</v>
          </cell>
        </row>
        <row r="132">
          <cell r="H132" t="str">
            <v>07</v>
          </cell>
        </row>
        <row r="133">
          <cell r="H133" t="str">
            <v>07</v>
          </cell>
        </row>
        <row r="134">
          <cell r="H134" t="str">
            <v>07</v>
          </cell>
        </row>
        <row r="135">
          <cell r="H135" t="str">
            <v>07</v>
          </cell>
        </row>
        <row r="136">
          <cell r="H136" t="str">
            <v>07</v>
          </cell>
        </row>
        <row r="137">
          <cell r="H137" t="str">
            <v>07</v>
          </cell>
        </row>
        <row r="138">
          <cell r="H138" t="str">
            <v>07</v>
          </cell>
        </row>
        <row r="139">
          <cell r="H139" t="str">
            <v>08</v>
          </cell>
        </row>
        <row r="140">
          <cell r="H140" t="str">
            <v>08</v>
          </cell>
        </row>
        <row r="141">
          <cell r="H141" t="str">
            <v>08</v>
          </cell>
        </row>
        <row r="142">
          <cell r="H142" t="str">
            <v>08</v>
          </cell>
        </row>
        <row r="143">
          <cell r="H143" t="str">
            <v>08</v>
          </cell>
        </row>
        <row r="144">
          <cell r="H144" t="str">
            <v>08</v>
          </cell>
        </row>
        <row r="145">
          <cell r="H145" t="str">
            <v>08</v>
          </cell>
        </row>
        <row r="146">
          <cell r="H146" t="str">
            <v>08</v>
          </cell>
        </row>
        <row r="147">
          <cell r="H147" t="str">
            <v>08</v>
          </cell>
        </row>
        <row r="148">
          <cell r="H148" t="str">
            <v>08</v>
          </cell>
        </row>
        <row r="149">
          <cell r="H149" t="str">
            <v>08</v>
          </cell>
        </row>
        <row r="150">
          <cell r="H150" t="str">
            <v>09</v>
          </cell>
        </row>
        <row r="151">
          <cell r="H151" t="str">
            <v>09</v>
          </cell>
        </row>
        <row r="152">
          <cell r="H152" t="str">
            <v>09</v>
          </cell>
        </row>
        <row r="153">
          <cell r="H153" t="str">
            <v>09</v>
          </cell>
        </row>
        <row r="154">
          <cell r="H154" t="str">
            <v>09</v>
          </cell>
        </row>
        <row r="155">
          <cell r="H155" t="str">
            <v>09</v>
          </cell>
        </row>
        <row r="156">
          <cell r="H156" t="str">
            <v>09</v>
          </cell>
        </row>
        <row r="157">
          <cell r="H157" t="str">
            <v>09</v>
          </cell>
        </row>
        <row r="158">
          <cell r="H158" t="str">
            <v>09</v>
          </cell>
        </row>
        <row r="159">
          <cell r="H159" t="str">
            <v>09</v>
          </cell>
        </row>
        <row r="160">
          <cell r="H160" t="str">
            <v>09</v>
          </cell>
        </row>
        <row r="161">
          <cell r="H161">
            <v>10</v>
          </cell>
        </row>
        <row r="162">
          <cell r="H162">
            <v>10</v>
          </cell>
        </row>
        <row r="163">
          <cell r="H163">
            <v>10</v>
          </cell>
        </row>
        <row r="164">
          <cell r="H164">
            <v>10</v>
          </cell>
        </row>
        <row r="165">
          <cell r="H165">
            <v>10</v>
          </cell>
        </row>
        <row r="166">
          <cell r="H166">
            <v>10</v>
          </cell>
        </row>
        <row r="167">
          <cell r="H167">
            <v>10</v>
          </cell>
        </row>
        <row r="168">
          <cell r="H168">
            <v>10</v>
          </cell>
        </row>
        <row r="169">
          <cell r="H169">
            <v>11</v>
          </cell>
        </row>
        <row r="170">
          <cell r="H170">
            <v>11</v>
          </cell>
        </row>
        <row r="171">
          <cell r="H171">
            <v>11</v>
          </cell>
        </row>
        <row r="172">
          <cell r="H172">
            <v>11</v>
          </cell>
        </row>
        <row r="173">
          <cell r="H173">
            <v>11</v>
          </cell>
        </row>
        <row r="174">
          <cell r="H174">
            <v>11</v>
          </cell>
        </row>
        <row r="175">
          <cell r="H175">
            <v>11</v>
          </cell>
        </row>
        <row r="176">
          <cell r="H176">
            <v>11</v>
          </cell>
        </row>
        <row r="177">
          <cell r="H177">
            <v>11</v>
          </cell>
        </row>
        <row r="178">
          <cell r="H178">
            <v>11</v>
          </cell>
        </row>
        <row r="179">
          <cell r="H179">
            <v>11</v>
          </cell>
        </row>
        <row r="180">
          <cell r="H180">
            <v>11</v>
          </cell>
        </row>
        <row r="181">
          <cell r="H181">
            <v>11</v>
          </cell>
        </row>
        <row r="182">
          <cell r="H182">
            <v>11</v>
          </cell>
        </row>
        <row r="183">
          <cell r="H183">
            <v>11</v>
          </cell>
        </row>
        <row r="184">
          <cell r="H184">
            <v>11</v>
          </cell>
        </row>
        <row r="185">
          <cell r="H185">
            <v>12</v>
          </cell>
        </row>
        <row r="186">
          <cell r="H186">
            <v>12</v>
          </cell>
        </row>
        <row r="187">
          <cell r="H187">
            <v>12</v>
          </cell>
        </row>
        <row r="188">
          <cell r="H188">
            <v>12</v>
          </cell>
        </row>
        <row r="189">
          <cell r="H189">
            <v>12</v>
          </cell>
        </row>
        <row r="190">
          <cell r="H190">
            <v>12</v>
          </cell>
        </row>
        <row r="191">
          <cell r="H191">
            <v>12</v>
          </cell>
        </row>
        <row r="192">
          <cell r="H192">
            <v>12</v>
          </cell>
        </row>
        <row r="193">
          <cell r="H193">
            <v>13</v>
          </cell>
        </row>
        <row r="194">
          <cell r="H194">
            <v>13</v>
          </cell>
        </row>
        <row r="195">
          <cell r="H195">
            <v>13</v>
          </cell>
        </row>
        <row r="196">
          <cell r="H196">
            <v>13</v>
          </cell>
        </row>
        <row r="197">
          <cell r="H197">
            <v>13</v>
          </cell>
        </row>
        <row r="198">
          <cell r="H198">
            <v>13</v>
          </cell>
        </row>
        <row r="199">
          <cell r="H199">
            <v>13</v>
          </cell>
        </row>
        <row r="200">
          <cell r="H200">
            <v>13</v>
          </cell>
        </row>
        <row r="201">
          <cell r="H201">
            <v>13</v>
          </cell>
        </row>
        <row r="202">
          <cell r="H202">
            <v>13</v>
          </cell>
        </row>
        <row r="203">
          <cell r="H203">
            <v>13</v>
          </cell>
        </row>
        <row r="204">
          <cell r="H204">
            <v>13</v>
          </cell>
        </row>
        <row r="205">
          <cell r="H205">
            <v>13</v>
          </cell>
        </row>
        <row r="206">
          <cell r="H206">
            <v>13</v>
          </cell>
        </row>
        <row r="207">
          <cell r="H207">
            <v>13</v>
          </cell>
        </row>
        <row r="208">
          <cell r="H208">
            <v>13</v>
          </cell>
        </row>
        <row r="209">
          <cell r="H209">
            <v>13</v>
          </cell>
        </row>
        <row r="210">
          <cell r="H210">
            <v>13</v>
          </cell>
        </row>
        <row r="211">
          <cell r="H211">
            <v>14</v>
          </cell>
        </row>
        <row r="212">
          <cell r="H212">
            <v>14</v>
          </cell>
        </row>
        <row r="213">
          <cell r="H213">
            <v>14</v>
          </cell>
        </row>
        <row r="214">
          <cell r="H214">
            <v>14</v>
          </cell>
        </row>
        <row r="215">
          <cell r="H215">
            <v>14</v>
          </cell>
        </row>
        <row r="216">
          <cell r="H216">
            <v>14</v>
          </cell>
        </row>
        <row r="217">
          <cell r="H217">
            <v>14</v>
          </cell>
        </row>
        <row r="218">
          <cell r="H218">
            <v>14</v>
          </cell>
        </row>
        <row r="219">
          <cell r="H219">
            <v>14</v>
          </cell>
        </row>
        <row r="220">
          <cell r="H220">
            <v>14</v>
          </cell>
        </row>
        <row r="221">
          <cell r="H221">
            <v>14</v>
          </cell>
        </row>
        <row r="222">
          <cell r="H222">
            <v>14</v>
          </cell>
        </row>
        <row r="223">
          <cell r="H223">
            <v>14</v>
          </cell>
        </row>
        <row r="224">
          <cell r="H224">
            <v>14</v>
          </cell>
        </row>
        <row r="225">
          <cell r="H225">
            <v>14</v>
          </cell>
        </row>
        <row r="226">
          <cell r="H226">
            <v>14</v>
          </cell>
        </row>
        <row r="227">
          <cell r="H227">
            <v>14</v>
          </cell>
        </row>
        <row r="228">
          <cell r="H228">
            <v>14</v>
          </cell>
        </row>
        <row r="229">
          <cell r="H229">
            <v>14</v>
          </cell>
        </row>
        <row r="230">
          <cell r="H230">
            <v>14</v>
          </cell>
        </row>
        <row r="231">
          <cell r="H231">
            <v>14</v>
          </cell>
        </row>
        <row r="232">
          <cell r="H232">
            <v>14</v>
          </cell>
        </row>
        <row r="233">
          <cell r="H233">
            <v>14</v>
          </cell>
        </row>
        <row r="234">
          <cell r="H234">
            <v>14</v>
          </cell>
        </row>
        <row r="235">
          <cell r="H235">
            <v>15</v>
          </cell>
        </row>
        <row r="236">
          <cell r="H236">
            <v>15</v>
          </cell>
        </row>
        <row r="237">
          <cell r="H237">
            <v>15</v>
          </cell>
        </row>
        <row r="238">
          <cell r="H238">
            <v>15</v>
          </cell>
        </row>
        <row r="239">
          <cell r="H239">
            <v>15</v>
          </cell>
        </row>
        <row r="240">
          <cell r="H240">
            <v>15</v>
          </cell>
        </row>
        <row r="241">
          <cell r="H241">
            <v>15</v>
          </cell>
        </row>
        <row r="242">
          <cell r="H242">
            <v>15</v>
          </cell>
        </row>
        <row r="243">
          <cell r="H243">
            <v>15</v>
          </cell>
        </row>
        <row r="244">
          <cell r="H244">
            <v>15</v>
          </cell>
        </row>
        <row r="245">
          <cell r="H245">
            <v>16</v>
          </cell>
        </row>
        <row r="246">
          <cell r="H246">
            <v>16</v>
          </cell>
        </row>
        <row r="247">
          <cell r="H247">
            <v>16</v>
          </cell>
        </row>
        <row r="248">
          <cell r="H248">
            <v>16</v>
          </cell>
        </row>
        <row r="249">
          <cell r="H249">
            <v>16</v>
          </cell>
        </row>
        <row r="250">
          <cell r="H250">
            <v>16</v>
          </cell>
        </row>
        <row r="251">
          <cell r="H251">
            <v>16</v>
          </cell>
        </row>
        <row r="252">
          <cell r="H252">
            <v>17</v>
          </cell>
        </row>
        <row r="253">
          <cell r="H253">
            <v>17</v>
          </cell>
        </row>
        <row r="254">
          <cell r="H254">
            <v>17</v>
          </cell>
        </row>
        <row r="255">
          <cell r="H255">
            <v>17</v>
          </cell>
        </row>
        <row r="256">
          <cell r="H256">
            <v>17</v>
          </cell>
        </row>
        <row r="257">
          <cell r="H257">
            <v>17</v>
          </cell>
        </row>
        <row r="258">
          <cell r="H258">
            <v>17</v>
          </cell>
        </row>
        <row r="259">
          <cell r="H259">
            <v>17</v>
          </cell>
        </row>
        <row r="260">
          <cell r="H260">
            <v>17</v>
          </cell>
        </row>
        <row r="261">
          <cell r="H261">
            <v>18</v>
          </cell>
        </row>
        <row r="262">
          <cell r="H262">
            <v>18</v>
          </cell>
        </row>
        <row r="263">
          <cell r="H263">
            <v>18</v>
          </cell>
        </row>
        <row r="264">
          <cell r="H264">
            <v>18</v>
          </cell>
        </row>
        <row r="265">
          <cell r="H265">
            <v>19</v>
          </cell>
        </row>
        <row r="266">
          <cell r="H266">
            <v>19</v>
          </cell>
        </row>
        <row r="267">
          <cell r="H267">
            <v>19</v>
          </cell>
        </row>
        <row r="268">
          <cell r="H268">
            <v>19</v>
          </cell>
        </row>
        <row r="269">
          <cell r="H269">
            <v>19</v>
          </cell>
        </row>
        <row r="270">
          <cell r="H270">
            <v>19</v>
          </cell>
        </row>
        <row r="271">
          <cell r="H271">
            <v>19</v>
          </cell>
        </row>
        <row r="272">
          <cell r="H272">
            <v>20</v>
          </cell>
        </row>
        <row r="273">
          <cell r="H273">
            <v>20</v>
          </cell>
        </row>
        <row r="274">
          <cell r="H274">
            <v>20</v>
          </cell>
        </row>
        <row r="275">
          <cell r="H275">
            <v>20</v>
          </cell>
        </row>
        <row r="276">
          <cell r="H276">
            <v>20</v>
          </cell>
        </row>
        <row r="277">
          <cell r="H277">
            <v>20</v>
          </cell>
        </row>
        <row r="278">
          <cell r="H278">
            <v>20</v>
          </cell>
        </row>
        <row r="279">
          <cell r="H279">
            <v>20</v>
          </cell>
        </row>
        <row r="280">
          <cell r="H280">
            <v>20</v>
          </cell>
        </row>
        <row r="281">
          <cell r="H281">
            <v>20</v>
          </cell>
        </row>
        <row r="282">
          <cell r="H282">
            <v>20</v>
          </cell>
        </row>
        <row r="283">
          <cell r="H283">
            <v>20</v>
          </cell>
        </row>
        <row r="284">
          <cell r="H284">
            <v>21</v>
          </cell>
        </row>
        <row r="285">
          <cell r="H285">
            <v>21</v>
          </cell>
        </row>
        <row r="286">
          <cell r="H286">
            <v>21</v>
          </cell>
        </row>
        <row r="287">
          <cell r="H287">
            <v>21</v>
          </cell>
        </row>
        <row r="288">
          <cell r="H288">
            <v>21</v>
          </cell>
        </row>
        <row r="289">
          <cell r="H289">
            <v>21</v>
          </cell>
        </row>
        <row r="290">
          <cell r="H290">
            <v>21</v>
          </cell>
        </row>
        <row r="291">
          <cell r="H291">
            <v>21</v>
          </cell>
        </row>
        <row r="292">
          <cell r="H292">
            <v>21</v>
          </cell>
        </row>
        <row r="293">
          <cell r="H293">
            <v>21</v>
          </cell>
        </row>
        <row r="294">
          <cell r="H294">
            <v>21</v>
          </cell>
        </row>
        <row r="295">
          <cell r="H295">
            <v>21</v>
          </cell>
        </row>
        <row r="296">
          <cell r="H296">
            <v>21</v>
          </cell>
        </row>
        <row r="297">
          <cell r="H297">
            <v>21</v>
          </cell>
        </row>
        <row r="298">
          <cell r="H298">
            <v>21</v>
          </cell>
        </row>
        <row r="299">
          <cell r="H299">
            <v>21</v>
          </cell>
        </row>
        <row r="300">
          <cell r="H300">
            <v>21</v>
          </cell>
        </row>
        <row r="301">
          <cell r="H301">
            <v>21</v>
          </cell>
        </row>
        <row r="302">
          <cell r="H302">
            <v>21</v>
          </cell>
        </row>
        <row r="303">
          <cell r="H303">
            <v>21</v>
          </cell>
        </row>
        <row r="304">
          <cell r="H304">
            <v>21</v>
          </cell>
        </row>
        <row r="305">
          <cell r="H305">
            <v>21</v>
          </cell>
        </row>
        <row r="306">
          <cell r="H306">
            <v>21</v>
          </cell>
        </row>
        <row r="307">
          <cell r="H307">
            <v>21</v>
          </cell>
        </row>
        <row r="308">
          <cell r="H308">
            <v>21</v>
          </cell>
        </row>
        <row r="309">
          <cell r="H309">
            <v>21</v>
          </cell>
        </row>
        <row r="310">
          <cell r="H310">
            <v>21</v>
          </cell>
        </row>
        <row r="311">
          <cell r="H311">
            <v>21</v>
          </cell>
        </row>
        <row r="312">
          <cell r="H312">
            <v>21</v>
          </cell>
        </row>
        <row r="313">
          <cell r="H313">
            <v>21</v>
          </cell>
        </row>
        <row r="314">
          <cell r="H314">
            <v>21</v>
          </cell>
        </row>
        <row r="315">
          <cell r="H315">
            <v>21</v>
          </cell>
        </row>
        <row r="316">
          <cell r="H316">
            <v>22</v>
          </cell>
        </row>
        <row r="317">
          <cell r="H317">
            <v>22</v>
          </cell>
        </row>
        <row r="318">
          <cell r="H318">
            <v>22</v>
          </cell>
        </row>
        <row r="319">
          <cell r="H319">
            <v>22</v>
          </cell>
        </row>
        <row r="320">
          <cell r="H320">
            <v>22</v>
          </cell>
        </row>
        <row r="321">
          <cell r="H321">
            <v>22</v>
          </cell>
        </row>
        <row r="322">
          <cell r="H322">
            <v>22</v>
          </cell>
        </row>
        <row r="323">
          <cell r="H323">
            <v>22</v>
          </cell>
        </row>
        <row r="324">
          <cell r="H324">
            <v>22</v>
          </cell>
        </row>
        <row r="325">
          <cell r="H325">
            <v>22</v>
          </cell>
        </row>
        <row r="326">
          <cell r="H326">
            <v>22</v>
          </cell>
        </row>
        <row r="327">
          <cell r="H327">
            <v>22</v>
          </cell>
        </row>
        <row r="328">
          <cell r="H328">
            <v>22</v>
          </cell>
        </row>
        <row r="329">
          <cell r="H329">
            <v>22</v>
          </cell>
        </row>
        <row r="330">
          <cell r="H330">
            <v>22</v>
          </cell>
        </row>
        <row r="331">
          <cell r="H331">
            <v>22</v>
          </cell>
        </row>
        <row r="332">
          <cell r="H332">
            <v>22</v>
          </cell>
        </row>
        <row r="333">
          <cell r="H333">
            <v>22</v>
          </cell>
        </row>
        <row r="334">
          <cell r="H334">
            <v>22</v>
          </cell>
        </row>
        <row r="335">
          <cell r="H335">
            <v>22</v>
          </cell>
        </row>
        <row r="336">
          <cell r="H336">
            <v>22</v>
          </cell>
        </row>
        <row r="337">
          <cell r="H337">
            <v>22</v>
          </cell>
        </row>
        <row r="338">
          <cell r="H338">
            <v>22</v>
          </cell>
        </row>
        <row r="339">
          <cell r="H339">
            <v>23</v>
          </cell>
        </row>
        <row r="340">
          <cell r="H340">
            <v>23</v>
          </cell>
        </row>
        <row r="341">
          <cell r="H341">
            <v>23</v>
          </cell>
        </row>
        <row r="342">
          <cell r="H342">
            <v>23</v>
          </cell>
        </row>
        <row r="343">
          <cell r="H343">
            <v>23</v>
          </cell>
        </row>
        <row r="344">
          <cell r="H344">
            <v>23</v>
          </cell>
        </row>
        <row r="345">
          <cell r="H345">
            <v>23</v>
          </cell>
        </row>
        <row r="346">
          <cell r="H346">
            <v>23</v>
          </cell>
        </row>
        <row r="347">
          <cell r="H347">
            <v>23</v>
          </cell>
        </row>
        <row r="348">
          <cell r="H348">
            <v>23</v>
          </cell>
        </row>
        <row r="349">
          <cell r="H349">
            <v>23</v>
          </cell>
        </row>
        <row r="350">
          <cell r="H350">
            <v>23</v>
          </cell>
        </row>
        <row r="351">
          <cell r="H351">
            <v>23</v>
          </cell>
        </row>
        <row r="352">
          <cell r="H352">
            <v>23</v>
          </cell>
        </row>
        <row r="353">
          <cell r="H353">
            <v>23</v>
          </cell>
        </row>
        <row r="354">
          <cell r="H354">
            <v>24</v>
          </cell>
        </row>
        <row r="355">
          <cell r="H355">
            <v>24</v>
          </cell>
        </row>
        <row r="356">
          <cell r="H356">
            <v>24</v>
          </cell>
        </row>
        <row r="357">
          <cell r="H357">
            <v>24</v>
          </cell>
        </row>
        <row r="358">
          <cell r="H358">
            <v>24</v>
          </cell>
        </row>
        <row r="359">
          <cell r="H359">
            <v>24</v>
          </cell>
        </row>
        <row r="360">
          <cell r="H360">
            <v>25</v>
          </cell>
        </row>
        <row r="361">
          <cell r="H361">
            <v>25</v>
          </cell>
        </row>
        <row r="362">
          <cell r="H362">
            <v>25</v>
          </cell>
        </row>
        <row r="363">
          <cell r="H363">
            <v>25</v>
          </cell>
        </row>
        <row r="364">
          <cell r="H364">
            <v>25</v>
          </cell>
        </row>
        <row r="365">
          <cell r="H365">
            <v>25</v>
          </cell>
        </row>
        <row r="366">
          <cell r="H366">
            <v>25</v>
          </cell>
        </row>
        <row r="367">
          <cell r="H367">
            <v>25</v>
          </cell>
        </row>
        <row r="368">
          <cell r="H368">
            <v>25</v>
          </cell>
        </row>
        <row r="369">
          <cell r="H369">
            <v>25</v>
          </cell>
        </row>
        <row r="370">
          <cell r="H370">
            <v>25</v>
          </cell>
        </row>
        <row r="371">
          <cell r="H371">
            <v>25</v>
          </cell>
        </row>
        <row r="372">
          <cell r="H372">
            <v>25</v>
          </cell>
        </row>
        <row r="373">
          <cell r="H373">
            <v>26</v>
          </cell>
        </row>
        <row r="374">
          <cell r="H374">
            <v>26</v>
          </cell>
        </row>
        <row r="375">
          <cell r="H375">
            <v>26</v>
          </cell>
        </row>
        <row r="376">
          <cell r="H376">
            <v>26</v>
          </cell>
        </row>
        <row r="377">
          <cell r="H377">
            <v>26</v>
          </cell>
        </row>
        <row r="378">
          <cell r="H378">
            <v>26</v>
          </cell>
        </row>
        <row r="379">
          <cell r="H379">
            <v>26</v>
          </cell>
        </row>
        <row r="380">
          <cell r="H380">
            <v>26</v>
          </cell>
        </row>
        <row r="381">
          <cell r="H381">
            <v>26</v>
          </cell>
        </row>
        <row r="382">
          <cell r="H382">
            <v>26</v>
          </cell>
        </row>
        <row r="383">
          <cell r="H383">
            <v>26</v>
          </cell>
        </row>
        <row r="384">
          <cell r="H384">
            <v>26</v>
          </cell>
        </row>
        <row r="385">
          <cell r="H385">
            <v>26</v>
          </cell>
        </row>
        <row r="386">
          <cell r="H386">
            <v>26</v>
          </cell>
        </row>
        <row r="387">
          <cell r="H387">
            <v>26</v>
          </cell>
        </row>
        <row r="388">
          <cell r="H388">
            <v>27</v>
          </cell>
        </row>
        <row r="389">
          <cell r="H389">
            <v>27</v>
          </cell>
        </row>
        <row r="390">
          <cell r="H390">
            <v>27</v>
          </cell>
        </row>
        <row r="391">
          <cell r="H391">
            <v>27</v>
          </cell>
        </row>
        <row r="392">
          <cell r="H392">
            <v>27</v>
          </cell>
        </row>
        <row r="393">
          <cell r="H393">
            <v>27</v>
          </cell>
        </row>
        <row r="394">
          <cell r="H394">
            <v>27</v>
          </cell>
        </row>
        <row r="395">
          <cell r="H395">
            <v>27</v>
          </cell>
        </row>
        <row r="396">
          <cell r="H396">
            <v>27</v>
          </cell>
        </row>
        <row r="397">
          <cell r="H397">
            <v>27</v>
          </cell>
        </row>
        <row r="398">
          <cell r="H398">
            <v>27</v>
          </cell>
        </row>
        <row r="399">
          <cell r="H399">
            <v>27</v>
          </cell>
        </row>
        <row r="400">
          <cell r="H400">
            <v>27</v>
          </cell>
        </row>
        <row r="401">
          <cell r="H401">
            <v>27</v>
          </cell>
        </row>
        <row r="402">
          <cell r="H402">
            <v>27</v>
          </cell>
        </row>
        <row r="403">
          <cell r="H403">
            <v>27</v>
          </cell>
        </row>
        <row r="404">
          <cell r="H404">
            <v>27</v>
          </cell>
        </row>
        <row r="405">
          <cell r="H405">
            <v>27</v>
          </cell>
        </row>
        <row r="406">
          <cell r="H406">
            <v>27</v>
          </cell>
        </row>
        <row r="407">
          <cell r="H407">
            <v>27</v>
          </cell>
        </row>
        <row r="408">
          <cell r="H408">
            <v>27</v>
          </cell>
        </row>
        <row r="409">
          <cell r="H409">
            <v>27</v>
          </cell>
        </row>
        <row r="410">
          <cell r="H410">
            <v>27</v>
          </cell>
        </row>
        <row r="411">
          <cell r="H411">
            <v>28</v>
          </cell>
        </row>
        <row r="412">
          <cell r="H412">
            <v>28</v>
          </cell>
        </row>
        <row r="413">
          <cell r="H413">
            <v>28</v>
          </cell>
        </row>
        <row r="414">
          <cell r="H414">
            <v>28</v>
          </cell>
        </row>
        <row r="415">
          <cell r="H415">
            <v>28</v>
          </cell>
        </row>
        <row r="416">
          <cell r="H416">
            <v>28</v>
          </cell>
        </row>
        <row r="417">
          <cell r="H417">
            <v>28</v>
          </cell>
        </row>
        <row r="418">
          <cell r="H418">
            <v>29</v>
          </cell>
        </row>
        <row r="419">
          <cell r="H419">
            <v>29</v>
          </cell>
        </row>
        <row r="420">
          <cell r="H420">
            <v>29</v>
          </cell>
        </row>
        <row r="421">
          <cell r="H421">
            <v>29</v>
          </cell>
        </row>
        <row r="422">
          <cell r="H422">
            <v>29</v>
          </cell>
        </row>
        <row r="423">
          <cell r="H423">
            <v>29</v>
          </cell>
        </row>
        <row r="424">
          <cell r="H424">
            <v>29</v>
          </cell>
        </row>
        <row r="425">
          <cell r="H425">
            <v>29</v>
          </cell>
        </row>
        <row r="426">
          <cell r="H426">
            <v>30</v>
          </cell>
        </row>
        <row r="427">
          <cell r="H427">
            <v>30</v>
          </cell>
        </row>
        <row r="428">
          <cell r="H428">
            <v>30</v>
          </cell>
        </row>
        <row r="429">
          <cell r="H429">
            <v>30</v>
          </cell>
        </row>
        <row r="430">
          <cell r="H430">
            <v>30</v>
          </cell>
        </row>
        <row r="431">
          <cell r="H431">
            <v>30</v>
          </cell>
        </row>
        <row r="432">
          <cell r="H432">
            <v>30</v>
          </cell>
        </row>
        <row r="433">
          <cell r="H433">
            <v>31</v>
          </cell>
        </row>
        <row r="434">
          <cell r="H434">
            <v>31</v>
          </cell>
        </row>
        <row r="435">
          <cell r="H435">
            <v>31</v>
          </cell>
        </row>
        <row r="436">
          <cell r="H436">
            <v>31</v>
          </cell>
        </row>
        <row r="437">
          <cell r="H437">
            <v>31</v>
          </cell>
        </row>
        <row r="438">
          <cell r="H438">
            <v>31</v>
          </cell>
        </row>
        <row r="439">
          <cell r="H439">
            <v>31</v>
          </cell>
        </row>
        <row r="440">
          <cell r="H440">
            <v>31</v>
          </cell>
        </row>
        <row r="441">
          <cell r="H441">
            <v>31</v>
          </cell>
        </row>
        <row r="442">
          <cell r="H442">
            <v>31</v>
          </cell>
        </row>
        <row r="443">
          <cell r="H443">
            <v>31</v>
          </cell>
        </row>
        <row r="444">
          <cell r="H444">
            <v>31</v>
          </cell>
        </row>
        <row r="445">
          <cell r="H445">
            <v>32</v>
          </cell>
        </row>
        <row r="446">
          <cell r="H446">
            <v>32</v>
          </cell>
        </row>
        <row r="447">
          <cell r="H447">
            <v>32</v>
          </cell>
        </row>
        <row r="448">
          <cell r="H448">
            <v>32</v>
          </cell>
        </row>
        <row r="449">
          <cell r="H449">
            <v>32</v>
          </cell>
        </row>
        <row r="450">
          <cell r="H450">
            <v>32</v>
          </cell>
        </row>
        <row r="451">
          <cell r="H451">
            <v>32</v>
          </cell>
        </row>
        <row r="452">
          <cell r="H452">
            <v>32</v>
          </cell>
        </row>
        <row r="453">
          <cell r="H453">
            <v>32</v>
          </cell>
        </row>
        <row r="454">
          <cell r="H454">
            <v>32</v>
          </cell>
        </row>
        <row r="455">
          <cell r="H455">
            <v>32</v>
          </cell>
        </row>
        <row r="456">
          <cell r="H456">
            <v>32</v>
          </cell>
        </row>
        <row r="457">
          <cell r="H457">
            <v>32</v>
          </cell>
        </row>
        <row r="458">
          <cell r="H458">
            <v>32</v>
          </cell>
        </row>
        <row r="459">
          <cell r="H459">
            <v>32</v>
          </cell>
        </row>
        <row r="460">
          <cell r="H460">
            <v>32</v>
          </cell>
        </row>
        <row r="461">
          <cell r="H461">
            <v>33</v>
          </cell>
        </row>
        <row r="462">
          <cell r="H462">
            <v>33</v>
          </cell>
        </row>
        <row r="463">
          <cell r="H463">
            <v>33</v>
          </cell>
        </row>
        <row r="464">
          <cell r="H464">
            <v>33</v>
          </cell>
        </row>
        <row r="465">
          <cell r="H465">
            <v>33</v>
          </cell>
        </row>
        <row r="466">
          <cell r="H466">
            <v>33</v>
          </cell>
        </row>
        <row r="467">
          <cell r="H467">
            <v>33</v>
          </cell>
        </row>
        <row r="468">
          <cell r="H468">
            <v>33</v>
          </cell>
        </row>
        <row r="469">
          <cell r="H469">
            <v>33</v>
          </cell>
        </row>
        <row r="470">
          <cell r="H470">
            <v>34</v>
          </cell>
        </row>
        <row r="471">
          <cell r="H471">
            <v>34</v>
          </cell>
        </row>
        <row r="472">
          <cell r="H472">
            <v>34</v>
          </cell>
        </row>
        <row r="473">
          <cell r="H473">
            <v>34</v>
          </cell>
        </row>
        <row r="474">
          <cell r="H474">
            <v>34</v>
          </cell>
        </row>
        <row r="475">
          <cell r="H475">
            <v>34</v>
          </cell>
        </row>
        <row r="476">
          <cell r="H476">
            <v>34</v>
          </cell>
        </row>
        <row r="477">
          <cell r="H477">
            <v>34</v>
          </cell>
        </row>
        <row r="478">
          <cell r="H478">
            <v>35</v>
          </cell>
        </row>
        <row r="479">
          <cell r="H479">
            <v>35</v>
          </cell>
        </row>
        <row r="480">
          <cell r="H480">
            <v>35</v>
          </cell>
        </row>
        <row r="481">
          <cell r="H481">
            <v>35</v>
          </cell>
        </row>
        <row r="482">
          <cell r="H482">
            <v>35</v>
          </cell>
        </row>
        <row r="483">
          <cell r="H483">
            <v>35</v>
          </cell>
        </row>
        <row r="484">
          <cell r="H484">
            <v>35</v>
          </cell>
        </row>
        <row r="485">
          <cell r="H485">
            <v>35</v>
          </cell>
        </row>
        <row r="486">
          <cell r="H486">
            <v>35</v>
          </cell>
        </row>
        <row r="487">
          <cell r="H487">
            <v>35</v>
          </cell>
        </row>
        <row r="488">
          <cell r="H488">
            <v>35</v>
          </cell>
        </row>
        <row r="489">
          <cell r="H489">
            <v>36</v>
          </cell>
        </row>
        <row r="490">
          <cell r="H490">
            <v>36</v>
          </cell>
        </row>
        <row r="491">
          <cell r="H491">
            <v>36</v>
          </cell>
        </row>
        <row r="492">
          <cell r="H492">
            <v>36</v>
          </cell>
        </row>
        <row r="493">
          <cell r="H493">
            <v>36</v>
          </cell>
        </row>
        <row r="494">
          <cell r="H494">
            <v>36</v>
          </cell>
        </row>
        <row r="495">
          <cell r="H495">
            <v>36</v>
          </cell>
        </row>
        <row r="496">
          <cell r="H496">
            <v>36</v>
          </cell>
        </row>
        <row r="497">
          <cell r="H497">
            <v>36</v>
          </cell>
        </row>
        <row r="498">
          <cell r="H498">
            <v>36</v>
          </cell>
        </row>
        <row r="499">
          <cell r="H499">
            <v>36</v>
          </cell>
        </row>
        <row r="500">
          <cell r="H500">
            <v>36</v>
          </cell>
        </row>
        <row r="501">
          <cell r="H501">
            <v>37</v>
          </cell>
        </row>
        <row r="502">
          <cell r="H502">
            <v>37</v>
          </cell>
        </row>
        <row r="503">
          <cell r="H503">
            <v>37</v>
          </cell>
        </row>
        <row r="504">
          <cell r="H504">
            <v>37</v>
          </cell>
        </row>
        <row r="505">
          <cell r="H505">
            <v>37</v>
          </cell>
        </row>
        <row r="506">
          <cell r="H506">
            <v>37</v>
          </cell>
        </row>
        <row r="507">
          <cell r="H507">
            <v>37</v>
          </cell>
        </row>
        <row r="508">
          <cell r="H508">
            <v>37</v>
          </cell>
        </row>
        <row r="509">
          <cell r="H509">
            <v>37</v>
          </cell>
        </row>
        <row r="510">
          <cell r="H510">
            <v>38</v>
          </cell>
        </row>
        <row r="511">
          <cell r="H511">
            <v>38</v>
          </cell>
        </row>
        <row r="512">
          <cell r="H512">
            <v>38</v>
          </cell>
        </row>
        <row r="513">
          <cell r="H513">
            <v>38</v>
          </cell>
        </row>
        <row r="514">
          <cell r="H514">
            <v>38</v>
          </cell>
        </row>
        <row r="515">
          <cell r="H515">
            <v>38</v>
          </cell>
        </row>
        <row r="516">
          <cell r="H516">
            <v>38</v>
          </cell>
        </row>
        <row r="517">
          <cell r="H517">
            <v>38</v>
          </cell>
        </row>
        <row r="518">
          <cell r="H518">
            <v>39</v>
          </cell>
        </row>
        <row r="519">
          <cell r="H519">
            <v>39</v>
          </cell>
        </row>
        <row r="520">
          <cell r="H520">
            <v>39</v>
          </cell>
        </row>
        <row r="521">
          <cell r="H521">
            <v>39</v>
          </cell>
        </row>
        <row r="522">
          <cell r="H522">
            <v>39</v>
          </cell>
        </row>
        <row r="523">
          <cell r="H523">
            <v>39</v>
          </cell>
        </row>
        <row r="524">
          <cell r="H524">
            <v>39</v>
          </cell>
        </row>
        <row r="525">
          <cell r="H525">
            <v>39</v>
          </cell>
        </row>
        <row r="526">
          <cell r="H526">
            <v>39</v>
          </cell>
        </row>
        <row r="527">
          <cell r="H527">
            <v>39</v>
          </cell>
        </row>
        <row r="528">
          <cell r="H528">
            <v>39</v>
          </cell>
        </row>
        <row r="529">
          <cell r="H529">
            <v>40</v>
          </cell>
        </row>
        <row r="530">
          <cell r="H530">
            <v>40</v>
          </cell>
        </row>
        <row r="531">
          <cell r="H531">
            <v>40</v>
          </cell>
        </row>
        <row r="532">
          <cell r="H532">
            <v>40</v>
          </cell>
        </row>
        <row r="533">
          <cell r="H533">
            <v>40</v>
          </cell>
        </row>
        <row r="534">
          <cell r="H534">
            <v>40</v>
          </cell>
        </row>
        <row r="535">
          <cell r="H535">
            <v>40</v>
          </cell>
        </row>
        <row r="536">
          <cell r="H536">
            <v>40</v>
          </cell>
        </row>
        <row r="537">
          <cell r="H537">
            <v>41</v>
          </cell>
        </row>
        <row r="538">
          <cell r="H538">
            <v>41</v>
          </cell>
        </row>
        <row r="539">
          <cell r="H539">
            <v>41</v>
          </cell>
        </row>
        <row r="540">
          <cell r="H540">
            <v>42</v>
          </cell>
        </row>
        <row r="541">
          <cell r="H541">
            <v>42</v>
          </cell>
        </row>
        <row r="542">
          <cell r="H542">
            <v>42</v>
          </cell>
        </row>
        <row r="543">
          <cell r="H543">
            <v>42</v>
          </cell>
        </row>
        <row r="544">
          <cell r="H544">
            <v>42</v>
          </cell>
        </row>
        <row r="545">
          <cell r="H545">
            <v>42</v>
          </cell>
        </row>
        <row r="546">
          <cell r="H546">
            <v>42</v>
          </cell>
        </row>
        <row r="547">
          <cell r="H547">
            <v>42</v>
          </cell>
        </row>
        <row r="548">
          <cell r="H548">
            <v>42</v>
          </cell>
        </row>
        <row r="549">
          <cell r="H549">
            <v>42</v>
          </cell>
        </row>
        <row r="550">
          <cell r="H550">
            <v>42</v>
          </cell>
        </row>
        <row r="551">
          <cell r="H551">
            <v>42</v>
          </cell>
        </row>
        <row r="552">
          <cell r="H552">
            <v>42</v>
          </cell>
        </row>
        <row r="553">
          <cell r="H553">
            <v>43</v>
          </cell>
        </row>
        <row r="554">
          <cell r="H554">
            <v>43</v>
          </cell>
        </row>
        <row r="555">
          <cell r="H555">
            <v>43</v>
          </cell>
        </row>
        <row r="556">
          <cell r="H556">
            <v>43</v>
          </cell>
        </row>
        <row r="557">
          <cell r="H557">
            <v>43</v>
          </cell>
        </row>
        <row r="558">
          <cell r="H558">
            <v>43</v>
          </cell>
        </row>
        <row r="559">
          <cell r="H559">
            <v>43</v>
          </cell>
        </row>
        <row r="560">
          <cell r="H560">
            <v>44</v>
          </cell>
        </row>
        <row r="561">
          <cell r="H561">
            <v>44</v>
          </cell>
        </row>
        <row r="562">
          <cell r="H562">
            <v>44</v>
          </cell>
        </row>
        <row r="563">
          <cell r="H563">
            <v>44</v>
          </cell>
        </row>
        <row r="564">
          <cell r="H564">
            <v>44</v>
          </cell>
        </row>
        <row r="565">
          <cell r="H565">
            <v>44</v>
          </cell>
        </row>
        <row r="566">
          <cell r="H566">
            <v>44</v>
          </cell>
        </row>
        <row r="567">
          <cell r="H567">
            <v>45</v>
          </cell>
        </row>
        <row r="568">
          <cell r="H568">
            <v>45</v>
          </cell>
        </row>
        <row r="569">
          <cell r="H569">
            <v>45</v>
          </cell>
        </row>
        <row r="570">
          <cell r="H570">
            <v>45</v>
          </cell>
        </row>
        <row r="571">
          <cell r="H571">
            <v>45</v>
          </cell>
        </row>
        <row r="572">
          <cell r="H572">
            <v>45</v>
          </cell>
        </row>
        <row r="573">
          <cell r="H573">
            <v>45</v>
          </cell>
        </row>
        <row r="574">
          <cell r="H574">
            <v>45</v>
          </cell>
        </row>
        <row r="575">
          <cell r="H575">
            <v>45</v>
          </cell>
        </row>
        <row r="576">
          <cell r="H576">
            <v>46</v>
          </cell>
        </row>
        <row r="577">
          <cell r="H577">
            <v>46</v>
          </cell>
        </row>
        <row r="578">
          <cell r="H578">
            <v>46</v>
          </cell>
        </row>
        <row r="579">
          <cell r="H579">
            <v>46</v>
          </cell>
        </row>
        <row r="580">
          <cell r="H580">
            <v>46</v>
          </cell>
        </row>
        <row r="581">
          <cell r="H581">
            <v>46</v>
          </cell>
        </row>
        <row r="582">
          <cell r="H582">
            <v>46</v>
          </cell>
        </row>
        <row r="583">
          <cell r="H583">
            <v>46</v>
          </cell>
        </row>
        <row r="584">
          <cell r="H584">
            <v>47</v>
          </cell>
        </row>
        <row r="585">
          <cell r="H585">
            <v>47</v>
          </cell>
        </row>
        <row r="586">
          <cell r="H586">
            <v>47</v>
          </cell>
        </row>
        <row r="587">
          <cell r="H587">
            <v>47</v>
          </cell>
        </row>
        <row r="588">
          <cell r="H588">
            <v>47</v>
          </cell>
        </row>
        <row r="589">
          <cell r="H589">
            <v>47</v>
          </cell>
        </row>
        <row r="590">
          <cell r="H590">
            <v>47</v>
          </cell>
        </row>
        <row r="591">
          <cell r="H591">
            <v>47</v>
          </cell>
        </row>
        <row r="592">
          <cell r="H592">
            <v>47</v>
          </cell>
        </row>
        <row r="593">
          <cell r="H593">
            <v>47</v>
          </cell>
        </row>
        <row r="594">
          <cell r="H594">
            <v>47</v>
          </cell>
        </row>
        <row r="595">
          <cell r="H595">
            <v>47</v>
          </cell>
        </row>
        <row r="596">
          <cell r="H596">
            <v>47</v>
          </cell>
        </row>
        <row r="597">
          <cell r="H597">
            <v>47</v>
          </cell>
        </row>
        <row r="598">
          <cell r="H598">
            <v>47</v>
          </cell>
        </row>
        <row r="599">
          <cell r="H599">
            <v>47</v>
          </cell>
        </row>
        <row r="600">
          <cell r="H600">
            <v>47</v>
          </cell>
        </row>
        <row r="601">
          <cell r="H601">
            <v>47</v>
          </cell>
        </row>
        <row r="602">
          <cell r="H602">
            <v>47</v>
          </cell>
        </row>
        <row r="603">
          <cell r="H603">
            <v>47</v>
          </cell>
        </row>
        <row r="604">
          <cell r="H604">
            <v>48</v>
          </cell>
        </row>
        <row r="605">
          <cell r="H605">
            <v>48</v>
          </cell>
        </row>
        <row r="606">
          <cell r="H606">
            <v>48</v>
          </cell>
        </row>
        <row r="607">
          <cell r="H607">
            <v>48</v>
          </cell>
        </row>
        <row r="608">
          <cell r="H608">
            <v>48</v>
          </cell>
        </row>
        <row r="609">
          <cell r="H609">
            <v>49</v>
          </cell>
        </row>
        <row r="610">
          <cell r="H610">
            <v>49</v>
          </cell>
        </row>
        <row r="611">
          <cell r="H611">
            <v>49</v>
          </cell>
        </row>
        <row r="612">
          <cell r="H612">
            <v>49</v>
          </cell>
        </row>
        <row r="613">
          <cell r="H613">
            <v>49</v>
          </cell>
        </row>
        <row r="614">
          <cell r="H614">
            <v>49</v>
          </cell>
        </row>
        <row r="615">
          <cell r="H615">
            <v>49</v>
          </cell>
        </row>
        <row r="616">
          <cell r="H616">
            <v>49</v>
          </cell>
        </row>
        <row r="617">
          <cell r="H617">
            <v>50</v>
          </cell>
        </row>
        <row r="618">
          <cell r="H618">
            <v>50</v>
          </cell>
        </row>
        <row r="619">
          <cell r="H619">
            <v>50</v>
          </cell>
        </row>
        <row r="620">
          <cell r="H620">
            <v>50</v>
          </cell>
        </row>
        <row r="621">
          <cell r="H621">
            <v>50</v>
          </cell>
        </row>
        <row r="622">
          <cell r="H622">
            <v>50</v>
          </cell>
        </row>
        <row r="623">
          <cell r="H623">
            <v>50</v>
          </cell>
        </row>
        <row r="624">
          <cell r="H624">
            <v>50</v>
          </cell>
        </row>
        <row r="625">
          <cell r="H625">
            <v>50</v>
          </cell>
        </row>
        <row r="626">
          <cell r="H626">
            <v>50</v>
          </cell>
        </row>
        <row r="627">
          <cell r="H627">
            <v>51</v>
          </cell>
        </row>
        <row r="628">
          <cell r="H628">
            <v>51</v>
          </cell>
        </row>
        <row r="629">
          <cell r="H629">
            <v>51</v>
          </cell>
        </row>
        <row r="630">
          <cell r="H630">
            <v>51</v>
          </cell>
        </row>
        <row r="631">
          <cell r="H631">
            <v>51</v>
          </cell>
        </row>
        <row r="632">
          <cell r="H632">
            <v>51</v>
          </cell>
        </row>
        <row r="633">
          <cell r="H633">
            <v>51</v>
          </cell>
        </row>
        <row r="634">
          <cell r="H634">
            <v>51</v>
          </cell>
        </row>
        <row r="635">
          <cell r="H635">
            <v>51</v>
          </cell>
        </row>
        <row r="636">
          <cell r="H636">
            <v>51</v>
          </cell>
        </row>
        <row r="637">
          <cell r="H637">
            <v>51</v>
          </cell>
        </row>
        <row r="638">
          <cell r="H638">
            <v>52</v>
          </cell>
        </row>
        <row r="639">
          <cell r="H639">
            <v>52</v>
          </cell>
        </row>
        <row r="640">
          <cell r="H640">
            <v>52</v>
          </cell>
        </row>
        <row r="641">
          <cell r="H641">
            <v>52</v>
          </cell>
        </row>
        <row r="642">
          <cell r="H642">
            <v>52</v>
          </cell>
        </row>
        <row r="643">
          <cell r="H643">
            <v>52</v>
          </cell>
        </row>
        <row r="644">
          <cell r="H644">
            <v>52</v>
          </cell>
        </row>
        <row r="645">
          <cell r="H645">
            <v>52</v>
          </cell>
        </row>
        <row r="646">
          <cell r="H646">
            <v>52</v>
          </cell>
        </row>
        <row r="647">
          <cell r="H647">
            <v>52</v>
          </cell>
        </row>
        <row r="648">
          <cell r="H648">
            <v>52</v>
          </cell>
        </row>
        <row r="649">
          <cell r="H649">
            <v>52</v>
          </cell>
        </row>
        <row r="650">
          <cell r="H650">
            <v>52</v>
          </cell>
        </row>
        <row r="651">
          <cell r="H651">
            <v>52</v>
          </cell>
        </row>
        <row r="652">
          <cell r="H652">
            <v>53</v>
          </cell>
        </row>
        <row r="653">
          <cell r="H653">
            <v>53</v>
          </cell>
        </row>
        <row r="654">
          <cell r="H654">
            <v>53</v>
          </cell>
        </row>
        <row r="655">
          <cell r="H655">
            <v>53</v>
          </cell>
        </row>
        <row r="656">
          <cell r="H656">
            <v>53</v>
          </cell>
        </row>
        <row r="657">
          <cell r="H657">
            <v>53</v>
          </cell>
        </row>
        <row r="658">
          <cell r="H658">
            <v>53</v>
          </cell>
        </row>
        <row r="659">
          <cell r="H659">
            <v>53</v>
          </cell>
        </row>
        <row r="660">
          <cell r="H660">
            <v>53</v>
          </cell>
        </row>
        <row r="661">
          <cell r="H661">
            <v>53</v>
          </cell>
        </row>
        <row r="662">
          <cell r="H662">
            <v>53</v>
          </cell>
        </row>
        <row r="663">
          <cell r="H663">
            <v>53</v>
          </cell>
        </row>
        <row r="664">
          <cell r="H664">
            <v>53</v>
          </cell>
        </row>
        <row r="665">
          <cell r="H665">
            <v>54</v>
          </cell>
        </row>
        <row r="666">
          <cell r="H666">
            <v>54</v>
          </cell>
        </row>
        <row r="667">
          <cell r="H667">
            <v>54</v>
          </cell>
        </row>
        <row r="668">
          <cell r="H668">
            <v>54</v>
          </cell>
        </row>
        <row r="669">
          <cell r="H669">
            <v>54</v>
          </cell>
        </row>
        <row r="670">
          <cell r="H670">
            <v>54</v>
          </cell>
        </row>
        <row r="671">
          <cell r="H671">
            <v>54</v>
          </cell>
        </row>
        <row r="672">
          <cell r="H672">
            <v>54</v>
          </cell>
        </row>
        <row r="673">
          <cell r="H673">
            <v>55</v>
          </cell>
        </row>
        <row r="674">
          <cell r="H674">
            <v>55</v>
          </cell>
        </row>
        <row r="675">
          <cell r="H675">
            <v>55</v>
          </cell>
        </row>
        <row r="676">
          <cell r="H676">
            <v>55</v>
          </cell>
        </row>
        <row r="677">
          <cell r="H677">
            <v>55</v>
          </cell>
        </row>
        <row r="678">
          <cell r="H678">
            <v>55</v>
          </cell>
        </row>
        <row r="679">
          <cell r="H679">
            <v>55</v>
          </cell>
        </row>
        <row r="680">
          <cell r="H680">
            <v>55</v>
          </cell>
        </row>
        <row r="681">
          <cell r="H681">
            <v>55</v>
          </cell>
        </row>
        <row r="682">
          <cell r="H682">
            <v>55</v>
          </cell>
        </row>
        <row r="683">
          <cell r="H683">
            <v>55</v>
          </cell>
        </row>
        <row r="684">
          <cell r="H684">
            <v>55</v>
          </cell>
        </row>
        <row r="685">
          <cell r="H685">
            <v>55</v>
          </cell>
        </row>
        <row r="686">
          <cell r="H686">
            <v>55</v>
          </cell>
        </row>
        <row r="687">
          <cell r="H687">
            <v>55</v>
          </cell>
        </row>
        <row r="688">
          <cell r="H688">
            <v>55</v>
          </cell>
        </row>
        <row r="689">
          <cell r="H689">
            <v>55</v>
          </cell>
        </row>
        <row r="690">
          <cell r="H690">
            <v>55</v>
          </cell>
        </row>
        <row r="691">
          <cell r="H691">
            <v>55</v>
          </cell>
        </row>
        <row r="692">
          <cell r="H692">
            <v>55</v>
          </cell>
        </row>
        <row r="693">
          <cell r="H693">
            <v>55</v>
          </cell>
        </row>
        <row r="694">
          <cell r="H694">
            <v>55</v>
          </cell>
        </row>
        <row r="695">
          <cell r="H695">
            <v>56</v>
          </cell>
        </row>
        <row r="696">
          <cell r="H696">
            <v>56</v>
          </cell>
        </row>
        <row r="697">
          <cell r="H697">
            <v>56</v>
          </cell>
        </row>
        <row r="698">
          <cell r="H698">
            <v>56</v>
          </cell>
        </row>
        <row r="699">
          <cell r="H699">
            <v>56</v>
          </cell>
        </row>
        <row r="700">
          <cell r="H700">
            <v>56</v>
          </cell>
        </row>
        <row r="701">
          <cell r="H701">
            <v>56</v>
          </cell>
        </row>
        <row r="702">
          <cell r="H702">
            <v>56</v>
          </cell>
        </row>
        <row r="703">
          <cell r="H703">
            <v>56</v>
          </cell>
        </row>
        <row r="704">
          <cell r="H704">
            <v>56</v>
          </cell>
        </row>
        <row r="705">
          <cell r="H705">
            <v>56</v>
          </cell>
        </row>
        <row r="706">
          <cell r="H706">
            <v>56</v>
          </cell>
        </row>
        <row r="707">
          <cell r="H707">
            <v>56</v>
          </cell>
        </row>
        <row r="708">
          <cell r="H708">
            <v>56</v>
          </cell>
        </row>
        <row r="709">
          <cell r="H709">
            <v>56</v>
          </cell>
        </row>
        <row r="710">
          <cell r="H710">
            <v>56</v>
          </cell>
        </row>
        <row r="711">
          <cell r="H711">
            <v>56</v>
          </cell>
        </row>
        <row r="712">
          <cell r="H712">
            <v>56</v>
          </cell>
        </row>
        <row r="713">
          <cell r="H713">
            <v>57</v>
          </cell>
        </row>
        <row r="714">
          <cell r="H714">
            <v>57</v>
          </cell>
        </row>
        <row r="715">
          <cell r="H715">
            <v>57</v>
          </cell>
        </row>
        <row r="716">
          <cell r="H716">
            <v>57</v>
          </cell>
        </row>
        <row r="717">
          <cell r="H717">
            <v>57</v>
          </cell>
        </row>
        <row r="718">
          <cell r="H718">
            <v>57</v>
          </cell>
        </row>
        <row r="719">
          <cell r="H719">
            <v>57</v>
          </cell>
        </row>
        <row r="720">
          <cell r="H720">
            <v>57</v>
          </cell>
        </row>
        <row r="721">
          <cell r="H721">
            <v>57</v>
          </cell>
        </row>
        <row r="722">
          <cell r="H722">
            <v>57</v>
          </cell>
        </row>
        <row r="723">
          <cell r="H723">
            <v>57</v>
          </cell>
        </row>
        <row r="724">
          <cell r="H724">
            <v>57</v>
          </cell>
        </row>
        <row r="725">
          <cell r="H725">
            <v>57</v>
          </cell>
        </row>
        <row r="726">
          <cell r="H726">
            <v>57</v>
          </cell>
        </row>
        <row r="727">
          <cell r="H727">
            <v>57</v>
          </cell>
        </row>
        <row r="728">
          <cell r="H728">
            <v>57</v>
          </cell>
        </row>
        <row r="729">
          <cell r="H729">
            <v>58</v>
          </cell>
        </row>
        <row r="730">
          <cell r="H730">
            <v>58</v>
          </cell>
        </row>
        <row r="731">
          <cell r="H731">
            <v>58</v>
          </cell>
        </row>
        <row r="732">
          <cell r="H732">
            <v>58</v>
          </cell>
        </row>
        <row r="733">
          <cell r="H733">
            <v>58</v>
          </cell>
        </row>
        <row r="734">
          <cell r="H734">
            <v>58</v>
          </cell>
        </row>
        <row r="735">
          <cell r="H735">
            <v>58</v>
          </cell>
        </row>
        <row r="736">
          <cell r="H736">
            <v>59</v>
          </cell>
        </row>
        <row r="737">
          <cell r="H737">
            <v>59</v>
          </cell>
        </row>
        <row r="738">
          <cell r="H738">
            <v>59</v>
          </cell>
        </row>
        <row r="739">
          <cell r="H739">
            <v>59</v>
          </cell>
        </row>
        <row r="740">
          <cell r="H740">
            <v>59</v>
          </cell>
        </row>
        <row r="741">
          <cell r="H741">
            <v>59</v>
          </cell>
        </row>
        <row r="742">
          <cell r="H742">
            <v>60</v>
          </cell>
        </row>
        <row r="743">
          <cell r="H743">
            <v>60</v>
          </cell>
        </row>
        <row r="744">
          <cell r="H744">
            <v>60</v>
          </cell>
        </row>
        <row r="745">
          <cell r="H745">
            <v>61</v>
          </cell>
        </row>
        <row r="746">
          <cell r="H746">
            <v>61</v>
          </cell>
        </row>
        <row r="747">
          <cell r="H747">
            <v>61</v>
          </cell>
        </row>
        <row r="748">
          <cell r="H748">
            <v>62</v>
          </cell>
        </row>
        <row r="749">
          <cell r="H749">
            <v>62</v>
          </cell>
        </row>
        <row r="750">
          <cell r="H750">
            <v>62</v>
          </cell>
        </row>
        <row r="751">
          <cell r="H751">
            <v>62</v>
          </cell>
        </row>
        <row r="752">
          <cell r="H752">
            <v>62</v>
          </cell>
        </row>
        <row r="753">
          <cell r="H753">
            <v>62</v>
          </cell>
        </row>
        <row r="754">
          <cell r="H754">
            <v>62</v>
          </cell>
        </row>
        <row r="755">
          <cell r="H755">
            <v>62</v>
          </cell>
        </row>
        <row r="756">
          <cell r="H756">
            <v>62</v>
          </cell>
        </row>
        <row r="757">
          <cell r="H757">
            <v>63</v>
          </cell>
        </row>
        <row r="758">
          <cell r="H758">
            <v>63</v>
          </cell>
        </row>
        <row r="759">
          <cell r="H759">
            <v>63</v>
          </cell>
        </row>
        <row r="760">
          <cell r="H760">
            <v>63</v>
          </cell>
        </row>
        <row r="761">
          <cell r="H761">
            <v>63</v>
          </cell>
        </row>
        <row r="762">
          <cell r="H762">
            <v>63</v>
          </cell>
        </row>
        <row r="763">
          <cell r="H763">
            <v>63</v>
          </cell>
        </row>
        <row r="764">
          <cell r="H764">
            <v>63</v>
          </cell>
        </row>
        <row r="765">
          <cell r="H765">
            <v>63</v>
          </cell>
        </row>
        <row r="766">
          <cell r="H766">
            <v>63</v>
          </cell>
        </row>
        <row r="767">
          <cell r="H767">
            <v>63</v>
          </cell>
        </row>
        <row r="768">
          <cell r="H768">
            <v>63</v>
          </cell>
        </row>
        <row r="769">
          <cell r="H769">
            <v>63</v>
          </cell>
        </row>
        <row r="770">
          <cell r="H770">
            <v>64</v>
          </cell>
        </row>
        <row r="771">
          <cell r="H771">
            <v>64</v>
          </cell>
        </row>
        <row r="772">
          <cell r="H772">
            <v>64</v>
          </cell>
        </row>
        <row r="773">
          <cell r="H773">
            <v>64</v>
          </cell>
        </row>
        <row r="774">
          <cell r="H774">
            <v>64</v>
          </cell>
        </row>
        <row r="775">
          <cell r="H775">
            <v>64</v>
          </cell>
        </row>
        <row r="776">
          <cell r="H776">
            <v>65</v>
          </cell>
        </row>
        <row r="777">
          <cell r="H777">
            <v>65</v>
          </cell>
        </row>
        <row r="778">
          <cell r="H778">
            <v>65</v>
          </cell>
        </row>
        <row r="779">
          <cell r="H779">
            <v>65</v>
          </cell>
        </row>
        <row r="780">
          <cell r="H780">
            <v>65</v>
          </cell>
        </row>
        <row r="781">
          <cell r="H781">
            <v>65</v>
          </cell>
        </row>
        <row r="782">
          <cell r="H782">
            <v>65</v>
          </cell>
        </row>
        <row r="783">
          <cell r="H783">
            <v>65</v>
          </cell>
        </row>
        <row r="784">
          <cell r="H784">
            <v>65</v>
          </cell>
        </row>
        <row r="785">
          <cell r="H785">
            <v>66</v>
          </cell>
        </row>
        <row r="786">
          <cell r="H786">
            <v>66</v>
          </cell>
        </row>
        <row r="787">
          <cell r="H787">
            <v>66</v>
          </cell>
        </row>
        <row r="788">
          <cell r="H788">
            <v>66</v>
          </cell>
        </row>
        <row r="789">
          <cell r="H789">
            <v>66</v>
          </cell>
        </row>
        <row r="790">
          <cell r="H790">
            <v>66</v>
          </cell>
        </row>
        <row r="791">
          <cell r="H791">
            <v>66</v>
          </cell>
        </row>
        <row r="792">
          <cell r="H792">
            <v>66</v>
          </cell>
        </row>
        <row r="793">
          <cell r="H793">
            <v>66</v>
          </cell>
        </row>
        <row r="794">
          <cell r="H794">
            <v>66</v>
          </cell>
        </row>
        <row r="795">
          <cell r="H795">
            <v>67</v>
          </cell>
        </row>
        <row r="796">
          <cell r="H796">
            <v>67</v>
          </cell>
        </row>
        <row r="797">
          <cell r="H797">
            <v>67</v>
          </cell>
        </row>
        <row r="798">
          <cell r="H798">
            <v>67</v>
          </cell>
        </row>
        <row r="799">
          <cell r="H799">
            <v>67</v>
          </cell>
        </row>
        <row r="800">
          <cell r="H800">
            <v>67</v>
          </cell>
        </row>
        <row r="801">
          <cell r="H801">
            <v>67</v>
          </cell>
        </row>
        <row r="802">
          <cell r="H802">
            <v>67</v>
          </cell>
        </row>
        <row r="803">
          <cell r="H803">
            <v>67</v>
          </cell>
        </row>
        <row r="804">
          <cell r="H804">
            <v>67</v>
          </cell>
        </row>
        <row r="805">
          <cell r="H805">
            <v>67</v>
          </cell>
        </row>
        <row r="806">
          <cell r="H806">
            <v>67</v>
          </cell>
        </row>
        <row r="807">
          <cell r="H807">
            <v>67</v>
          </cell>
        </row>
        <row r="808">
          <cell r="H808">
            <v>67</v>
          </cell>
        </row>
        <row r="809">
          <cell r="H809">
            <v>67</v>
          </cell>
        </row>
        <row r="810">
          <cell r="H810">
            <v>67</v>
          </cell>
        </row>
        <row r="811">
          <cell r="H811">
            <v>67</v>
          </cell>
        </row>
        <row r="812">
          <cell r="H812">
            <v>67</v>
          </cell>
        </row>
        <row r="813">
          <cell r="H813">
            <v>67</v>
          </cell>
        </row>
        <row r="814">
          <cell r="H814">
            <v>68</v>
          </cell>
        </row>
        <row r="815">
          <cell r="H815">
            <v>68</v>
          </cell>
        </row>
        <row r="816">
          <cell r="H816">
            <v>68</v>
          </cell>
        </row>
        <row r="817">
          <cell r="H817">
            <v>68</v>
          </cell>
        </row>
        <row r="818">
          <cell r="H818">
            <v>68</v>
          </cell>
        </row>
        <row r="819">
          <cell r="H819">
            <v>68</v>
          </cell>
        </row>
        <row r="820">
          <cell r="H820">
            <v>68</v>
          </cell>
        </row>
        <row r="821">
          <cell r="H821">
            <v>68</v>
          </cell>
        </row>
        <row r="822">
          <cell r="H822">
            <v>68</v>
          </cell>
        </row>
        <row r="823">
          <cell r="H823">
            <v>68</v>
          </cell>
        </row>
        <row r="824">
          <cell r="H824">
            <v>68</v>
          </cell>
        </row>
        <row r="825">
          <cell r="H825">
            <v>68</v>
          </cell>
        </row>
        <row r="826">
          <cell r="H826">
            <v>68</v>
          </cell>
        </row>
        <row r="827">
          <cell r="H827">
            <v>68</v>
          </cell>
        </row>
        <row r="828">
          <cell r="H828">
            <v>68</v>
          </cell>
        </row>
        <row r="829">
          <cell r="H829">
            <v>68</v>
          </cell>
        </row>
        <row r="830">
          <cell r="H830">
            <v>68</v>
          </cell>
        </row>
        <row r="831">
          <cell r="H831">
            <v>69</v>
          </cell>
        </row>
        <row r="832">
          <cell r="H832">
            <v>69</v>
          </cell>
        </row>
        <row r="833">
          <cell r="H833">
            <v>69</v>
          </cell>
        </row>
        <row r="834">
          <cell r="H834">
            <v>69</v>
          </cell>
        </row>
        <row r="835">
          <cell r="H835">
            <v>69</v>
          </cell>
        </row>
        <row r="836">
          <cell r="H836">
            <v>69</v>
          </cell>
        </row>
        <row r="837">
          <cell r="H837">
            <v>69</v>
          </cell>
        </row>
        <row r="838">
          <cell r="H838">
            <v>69</v>
          </cell>
        </row>
        <row r="839">
          <cell r="H839">
            <v>69</v>
          </cell>
        </row>
        <row r="840">
          <cell r="H840">
            <v>69</v>
          </cell>
        </row>
        <row r="841">
          <cell r="H841">
            <v>69</v>
          </cell>
        </row>
        <row r="842">
          <cell r="H842">
            <v>69</v>
          </cell>
        </row>
        <row r="843">
          <cell r="H843">
            <v>69</v>
          </cell>
        </row>
        <row r="844">
          <cell r="H844">
            <v>69</v>
          </cell>
        </row>
        <row r="845">
          <cell r="H845">
            <v>69</v>
          </cell>
        </row>
        <row r="846">
          <cell r="H846">
            <v>69</v>
          </cell>
        </row>
        <row r="847">
          <cell r="H847">
            <v>69</v>
          </cell>
        </row>
        <row r="848">
          <cell r="H848">
            <v>70</v>
          </cell>
        </row>
        <row r="849">
          <cell r="H849">
            <v>70</v>
          </cell>
        </row>
        <row r="850">
          <cell r="H850">
            <v>70</v>
          </cell>
        </row>
        <row r="851">
          <cell r="H851">
            <v>70</v>
          </cell>
        </row>
        <row r="852">
          <cell r="H852">
            <v>70</v>
          </cell>
        </row>
        <row r="853">
          <cell r="H853">
            <v>70</v>
          </cell>
        </row>
        <row r="854">
          <cell r="H854">
            <v>71</v>
          </cell>
        </row>
        <row r="855">
          <cell r="H855">
            <v>71</v>
          </cell>
        </row>
        <row r="856">
          <cell r="H856">
            <v>71</v>
          </cell>
        </row>
        <row r="857">
          <cell r="H857">
            <v>71</v>
          </cell>
        </row>
        <row r="858">
          <cell r="H858">
            <v>71</v>
          </cell>
        </row>
        <row r="859">
          <cell r="H859">
            <v>71</v>
          </cell>
        </row>
        <row r="860">
          <cell r="H860">
            <v>71</v>
          </cell>
        </row>
        <row r="861">
          <cell r="H861">
            <v>72</v>
          </cell>
        </row>
        <row r="862">
          <cell r="H862">
            <v>72</v>
          </cell>
        </row>
        <row r="863">
          <cell r="H863">
            <v>72</v>
          </cell>
        </row>
        <row r="864">
          <cell r="H864">
            <v>72</v>
          </cell>
        </row>
        <row r="865">
          <cell r="H865">
            <v>72</v>
          </cell>
        </row>
        <row r="866">
          <cell r="H866">
            <v>72</v>
          </cell>
        </row>
        <row r="867">
          <cell r="H867">
            <v>72</v>
          </cell>
        </row>
        <row r="868">
          <cell r="H868">
            <v>73</v>
          </cell>
        </row>
        <row r="869">
          <cell r="H869">
            <v>73</v>
          </cell>
        </row>
        <row r="870">
          <cell r="H870">
            <v>73</v>
          </cell>
        </row>
        <row r="871">
          <cell r="H871">
            <v>73</v>
          </cell>
        </row>
        <row r="872">
          <cell r="H872">
            <v>73</v>
          </cell>
        </row>
        <row r="873">
          <cell r="H873">
            <v>73</v>
          </cell>
        </row>
        <row r="874">
          <cell r="H874">
            <v>73</v>
          </cell>
        </row>
        <row r="875">
          <cell r="H875">
            <v>73</v>
          </cell>
        </row>
        <row r="876">
          <cell r="H876">
            <v>73</v>
          </cell>
        </row>
        <row r="877">
          <cell r="H877">
            <v>73</v>
          </cell>
        </row>
        <row r="878">
          <cell r="H878">
            <v>73</v>
          </cell>
        </row>
        <row r="879">
          <cell r="H879">
            <v>73</v>
          </cell>
        </row>
        <row r="880">
          <cell r="H880">
            <v>73</v>
          </cell>
        </row>
        <row r="881">
          <cell r="H881">
            <v>73</v>
          </cell>
        </row>
        <row r="882">
          <cell r="H882">
            <v>73</v>
          </cell>
        </row>
        <row r="883">
          <cell r="H883">
            <v>73</v>
          </cell>
        </row>
        <row r="884">
          <cell r="H884">
            <v>73</v>
          </cell>
        </row>
        <row r="885">
          <cell r="H885">
            <v>73</v>
          </cell>
        </row>
        <row r="886">
          <cell r="H886">
            <v>73</v>
          </cell>
        </row>
        <row r="887">
          <cell r="H887">
            <v>73</v>
          </cell>
        </row>
        <row r="888">
          <cell r="H888">
            <v>74</v>
          </cell>
        </row>
        <row r="889">
          <cell r="H889">
            <v>74</v>
          </cell>
        </row>
        <row r="890">
          <cell r="H890">
            <v>74</v>
          </cell>
        </row>
        <row r="891">
          <cell r="H891">
            <v>74</v>
          </cell>
        </row>
        <row r="892">
          <cell r="H892">
            <v>74</v>
          </cell>
        </row>
        <row r="893">
          <cell r="H893">
            <v>74</v>
          </cell>
        </row>
        <row r="894">
          <cell r="H894">
            <v>74</v>
          </cell>
        </row>
        <row r="895">
          <cell r="H895">
            <v>74</v>
          </cell>
        </row>
        <row r="896">
          <cell r="H896">
            <v>74</v>
          </cell>
        </row>
        <row r="897">
          <cell r="H897">
            <v>75</v>
          </cell>
        </row>
        <row r="898">
          <cell r="H898">
            <v>75</v>
          </cell>
        </row>
        <row r="899">
          <cell r="H899">
            <v>75</v>
          </cell>
        </row>
        <row r="900">
          <cell r="H900">
            <v>75</v>
          </cell>
        </row>
        <row r="901">
          <cell r="H901">
            <v>75</v>
          </cell>
        </row>
        <row r="902">
          <cell r="H902">
            <v>75</v>
          </cell>
        </row>
        <row r="903">
          <cell r="H903">
            <v>75</v>
          </cell>
        </row>
        <row r="904">
          <cell r="H904">
            <v>75</v>
          </cell>
        </row>
        <row r="905">
          <cell r="H905">
            <v>76</v>
          </cell>
        </row>
        <row r="906">
          <cell r="H906">
            <v>76</v>
          </cell>
        </row>
        <row r="907">
          <cell r="H907">
            <v>76</v>
          </cell>
        </row>
        <row r="908">
          <cell r="H908">
            <v>76</v>
          </cell>
        </row>
        <row r="909">
          <cell r="H909">
            <v>76</v>
          </cell>
        </row>
        <row r="910">
          <cell r="H910">
            <v>76</v>
          </cell>
        </row>
        <row r="911">
          <cell r="H911">
            <v>76</v>
          </cell>
        </row>
        <row r="912">
          <cell r="H912">
            <v>76</v>
          </cell>
        </row>
        <row r="913">
          <cell r="H913">
            <v>76</v>
          </cell>
        </row>
        <row r="914">
          <cell r="H914">
            <v>76</v>
          </cell>
        </row>
        <row r="915">
          <cell r="H915">
            <v>76</v>
          </cell>
        </row>
        <row r="916">
          <cell r="H916">
            <v>76</v>
          </cell>
        </row>
        <row r="917">
          <cell r="H917">
            <v>76</v>
          </cell>
        </row>
        <row r="918">
          <cell r="H918">
            <v>76</v>
          </cell>
        </row>
        <row r="919">
          <cell r="H919">
            <v>76</v>
          </cell>
        </row>
        <row r="920">
          <cell r="H920">
            <v>76</v>
          </cell>
        </row>
        <row r="921">
          <cell r="H921">
            <v>76</v>
          </cell>
        </row>
        <row r="922">
          <cell r="H922">
            <v>76</v>
          </cell>
        </row>
        <row r="923">
          <cell r="H923">
            <v>76</v>
          </cell>
        </row>
        <row r="924">
          <cell r="H924">
            <v>76</v>
          </cell>
        </row>
        <row r="925">
          <cell r="H925">
            <v>76</v>
          </cell>
        </row>
        <row r="926">
          <cell r="H926">
            <v>76</v>
          </cell>
        </row>
        <row r="927">
          <cell r="H927">
            <v>76</v>
          </cell>
        </row>
        <row r="928">
          <cell r="H928">
            <v>76</v>
          </cell>
        </row>
        <row r="929">
          <cell r="H929">
            <v>76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ตาราง"/>
      <sheetName val="HL-loantable"/>
      <sheetName val="MP-loantable1"/>
      <sheetName val="MP-loantable2"/>
      <sheetName val="pam"/>
    </sheetNames>
    <sheetDataSet>
      <sheetData sheetId="0">
        <row r="25">
          <cell r="T25" t="str">
            <v>No Insurance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124DD-FDC6-43E8-82CB-3BB9350843D8}" name="Table1" displayName="Table1" ref="A1:BX51" totalsRowShown="0">
  <autoFilter ref="A1:BX51" xr:uid="{BD4124DD-FDC6-43E8-82CB-3BB9350843D8}"/>
  <tableColumns count="76">
    <tableColumn id="1" xr3:uid="{2AFE938D-721E-4DB0-BAC6-0D65931C701D}" name="กรุงเทพมหานคร"/>
    <tableColumn id="2" xr3:uid="{F1838676-DAC3-4FA4-BA8E-A96830C27440}" name="กระบี่"/>
    <tableColumn id="3" xr3:uid="{CEC253DA-9476-4C34-9F83-2F7F18B53E84}" name="กาญจนบุรี"/>
    <tableColumn id="4" xr3:uid="{8BAB6745-4D40-43E7-91FF-C43E0760EE6D}" name="กาฬสินธุ์"/>
    <tableColumn id="5" xr3:uid="{FBD7B5A5-75C3-4B7E-94A4-DDE9A7C13766}" name="กำแพงเพชร"/>
    <tableColumn id="6" xr3:uid="{050FB556-FD37-443A-9252-3E151B63F241}" name="ขอนแก่น"/>
    <tableColumn id="7" xr3:uid="{1EB2E220-1390-49F5-8813-97837FB79213}" name="จันทบุรี"/>
    <tableColumn id="8" xr3:uid="{42FF7C63-236A-4E98-82A3-8ECFAB5F9B77}" name="ฉะเชิงเทรา"/>
    <tableColumn id="9" xr3:uid="{8ADB514E-D06C-4550-B0D0-E782B016F4AA}" name="ชลบุรี"/>
    <tableColumn id="10" xr3:uid="{91DFB4C5-17A5-41EA-8725-19B80840B0F7}" name="ชัยนาท"/>
    <tableColumn id="11" xr3:uid="{C3A80CAC-2E9A-41D1-A8D9-3F192B493797}" name="ชัยภูมิ"/>
    <tableColumn id="12" xr3:uid="{C48CE2D0-E1A6-4490-B086-DA28F6B77BD8}" name="ชุมพร"/>
    <tableColumn id="13" xr3:uid="{ADDB8272-C335-4EF7-BDDB-61E8B4EBC0C9}" name="เชียงราย"/>
    <tableColumn id="14" xr3:uid="{A020A5AF-DD10-4B41-AD17-20AFE6EA3E45}" name="เชียงใหม่"/>
    <tableColumn id="15" xr3:uid="{029D31D2-3060-4103-A313-234A585F21D7}" name="ตรัง"/>
    <tableColumn id="16" xr3:uid="{B9BC83DD-55AE-41FD-B961-0DC1B85DC7F8}" name="ตราด"/>
    <tableColumn id="17" xr3:uid="{24F0F51E-89AF-4C30-823C-8428116AA717}" name="ตาก"/>
    <tableColumn id="18" xr3:uid="{C8F8D4A4-3670-49D0-8FA2-4BF1B9B6FA29}" name="นครนายก"/>
    <tableColumn id="19" xr3:uid="{8973250E-F7EF-4EBA-8AB2-277C0A9F2B32}" name="นครปฐม"/>
    <tableColumn id="20" xr3:uid="{1896EDFD-5E77-447E-B025-8AC62AC328E5}" name="นครพนม"/>
    <tableColumn id="21" xr3:uid="{EFB6FE62-3074-435B-8EF7-7FA597521075}" name="นครราชสีมา"/>
    <tableColumn id="22" xr3:uid="{1DB8AD04-8DF7-4F11-8C44-E56A733E84B9}" name="นครศรีธรรมราช"/>
    <tableColumn id="23" xr3:uid="{BE533601-C5AF-4915-8B20-10BF925F475B}" name="นครสวรรค์"/>
    <tableColumn id="24" xr3:uid="{2D6C337D-B0A7-43EB-A11E-5360CDAAA456}" name="นนทบุรี"/>
    <tableColumn id="25" xr3:uid="{0CCC7BBD-B9D0-4D93-AEC6-199BB15CE6AC}" name="นราธิวาส"/>
    <tableColumn id="26" xr3:uid="{8D9B3053-0EBD-44E7-B715-213A325B4266}" name="น่าน"/>
    <tableColumn id="27" xr3:uid="{2AE9A450-2580-4F61-AD08-244D94E18B90}" name="บุรีรัมย์"/>
    <tableColumn id="28" xr3:uid="{9590B964-0E17-4DAE-AF89-A06721D5974C}" name="ปทุมธานี"/>
    <tableColumn id="29" xr3:uid="{480D194F-3383-4C5B-84AC-AD9370BECCA2}" name="ประจวบคีรีขันธ์"/>
    <tableColumn id="30" xr3:uid="{281A5D75-8AD5-462A-B490-F579211BEC3B}" name="ปราจีนบุรี"/>
    <tableColumn id="31" xr3:uid="{F6B94808-A79D-4842-9E3D-F52F76087472}" name="ปัตตานี"/>
    <tableColumn id="32" xr3:uid="{EF82D09F-6D98-4AEB-8A38-AC481B497988}" name="พระนครศรีอยุธยา"/>
    <tableColumn id="33" xr3:uid="{8F104E6E-8F79-468F-8A5F-B4BED68210FE}" name="พังงา"/>
    <tableColumn id="34" xr3:uid="{99770F44-A9F6-4BD2-827E-D504EDCF3F32}" name="พัทลุง"/>
    <tableColumn id="35" xr3:uid="{85940195-715E-4E1C-930E-E0F3B3D58E96}" name="พิจิตร"/>
    <tableColumn id="36" xr3:uid="{C31C41A9-5AA6-4754-9EB1-DEE6C585F22E}" name="พิษณุโลก"/>
    <tableColumn id="37" xr3:uid="{FA5FECFB-DD1D-42C5-AD1B-6AD093362C53}" name="เพชรบุรี"/>
    <tableColumn id="38" xr3:uid="{5C1DE24D-8613-419E-82ED-0F6CCD197571}" name="เพชรบูรณ์"/>
    <tableColumn id="39" xr3:uid="{2E51CECC-5AD2-4615-ACB7-A4F7F8C0A779}" name="แพร่"/>
    <tableColumn id="40" xr3:uid="{950B3911-F358-4473-8486-47F309846023}" name="พะเยา"/>
    <tableColumn id="41" xr3:uid="{90E79445-5E66-4FA8-9E9C-0C5D935B1954}" name="ภูเก็ต"/>
    <tableColumn id="42" xr3:uid="{11D11A79-6AEA-452D-9155-657E21DCDC1D}" name="มหาสารคาม"/>
    <tableColumn id="43" xr3:uid="{17A50430-FA6A-40E7-A1E8-8CA9BE744DEA}" name="มุกดาหาร"/>
    <tableColumn id="44" xr3:uid="{40922F03-3A10-4D16-A435-612E14984AE3}" name="แม่ฮ่องสอน"/>
    <tableColumn id="45" xr3:uid="{F0442841-63AB-4CE7-AE3E-31288B07D073}" name="ยะลา"/>
    <tableColumn id="46" xr3:uid="{E30DF661-001A-4E03-9043-C67A85A98802}" name="ยโสธร"/>
    <tableColumn id="47" xr3:uid="{BFD85BCE-EE28-4679-8700-73821F327862}" name="ร้อยเอ็ด"/>
    <tableColumn id="48" xr3:uid="{3D8B18E7-B947-44B6-81CD-A7EB64946CDC}" name="ระนอง"/>
    <tableColumn id="49" xr3:uid="{969C6E35-8570-4978-A79B-34DA98BD4D67}" name="ระยอง"/>
    <tableColumn id="50" xr3:uid="{9F0FE5D6-47B4-42AB-8F62-CD027EE7FC1A}" name="ราชบุรี"/>
    <tableColumn id="51" xr3:uid="{409F76E5-C532-4CA6-960B-7E9016B289BF}" name="ลพบุรี"/>
    <tableColumn id="52" xr3:uid="{B6D82BCE-3D94-4CD2-9555-282DA8470E40}" name="ลำปาง"/>
    <tableColumn id="53" xr3:uid="{FC9AE09C-6CAF-4A88-97E6-53215F0D56C3}" name="ลำพูน"/>
    <tableColumn id="54" xr3:uid="{D3EC3605-2549-48C0-BD5B-EF99DE1377EB}" name="เลย"/>
    <tableColumn id="55" xr3:uid="{87ABB958-0883-4A27-AC6A-CC421F6B3FE9}" name="ศีรสะเกษ"/>
    <tableColumn id="56" xr3:uid="{7F08140E-1201-4E3B-808F-0F237ED322B1}" name="สกลนคร"/>
    <tableColumn id="57" xr3:uid="{50821C84-9814-4FA0-B3B2-54DFE240C2DA}" name="สงขลา"/>
    <tableColumn id="58" xr3:uid="{9D801220-F520-4690-8D75-4B2DBF0AD713}" name="สตูล"/>
    <tableColumn id="59" xr3:uid="{D6851923-FB50-4C82-B6FB-A9EEB477297D}" name="สมุทรปราการ"/>
    <tableColumn id="60" xr3:uid="{3190146F-E5D8-4579-B686-80B6B786DFB5}" name="สมุทรสงคราม"/>
    <tableColumn id="61" xr3:uid="{E17B245E-2F78-40DF-9A2F-E2B0676D1C40}" name="สมุทรสาคร"/>
    <tableColumn id="62" xr3:uid="{2FBDD8FB-3B5A-4BFE-A57A-3ED90B15E65D}" name="สระแก้ว"/>
    <tableColumn id="63" xr3:uid="{5778E66E-2614-45FB-86DC-CC68ADB54BE0}" name="สระบุรี"/>
    <tableColumn id="64" xr3:uid="{6FF56DC4-3361-41F9-A635-E0D20216A112}" name="สิงห์บุรี"/>
    <tableColumn id="65" xr3:uid="{BBC42996-CCE5-4DFB-B60B-31FA25340482}" name="สุโขทัย"/>
    <tableColumn id="66" xr3:uid="{5D33D741-9010-4807-B87C-3666003CD2C8}" name="สุพรรณบุรี"/>
    <tableColumn id="67" xr3:uid="{6A5354A2-7AF6-4A02-9F46-8DC2AB774F25}" name="สุราษฎร์ธานี"/>
    <tableColumn id="68" xr3:uid="{87EE0EAE-7DD2-4962-A99E-CC01754802F8}" name="สุรินทร์"/>
    <tableColumn id="69" xr3:uid="{8298C16B-23AC-4EE5-9E17-A2CA22308015}" name="หนองคาย"/>
    <tableColumn id="70" xr3:uid="{107626FE-D465-4860-9762-48DC66A17C3A}" name="หนองบัวลำภู"/>
    <tableColumn id="71" xr3:uid="{47411D63-EC86-4293-8C7A-65CB0E48FCA8}" name="อ่างทอง"/>
    <tableColumn id="72" xr3:uid="{42699444-B6E6-4980-953D-5808B5009FA1}" name="อุดรธานี"/>
    <tableColumn id="73" xr3:uid="{2A4C9A01-8132-4F81-9316-9AFF410F8FD7}" name="อุทัยธานี"/>
    <tableColumn id="74" xr3:uid="{AA50E983-7EA7-48CD-94B1-F11E4E3ED961}" name="อุตรดิตถ์"/>
    <tableColumn id="75" xr3:uid="{374EF33A-BDB5-406B-9551-5D238176813C}" name="อุบลราชธานี"/>
    <tableColumn id="76" xr3:uid="{F23C5149-1C9A-4A17-ADBA-D5D984E99D9A}" name="อำนาจเจริ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CB61-8639-4CDE-9890-C17F4E838EB1}">
  <sheetPr codeName="Sheet1">
    <tabColor rgb="FFFFFF66"/>
  </sheetPr>
  <dimension ref="A1:AV41"/>
  <sheetViews>
    <sheetView showGridLines="0" tabSelected="1" zoomScale="90" zoomScaleNormal="100" workbookViewId="0">
      <selection activeCell="C3" sqref="C3:F3"/>
    </sheetView>
  </sheetViews>
  <sheetFormatPr defaultRowHeight="12.75"/>
  <cols>
    <col min="1" max="1" width="2.7109375" customWidth="1"/>
    <col min="2" max="2" width="23.140625" customWidth="1"/>
    <col min="3" max="3" width="9.140625" style="177" customWidth="1"/>
    <col min="4" max="4" width="9.140625" customWidth="1"/>
    <col min="5" max="5" width="9.140625" style="177" customWidth="1"/>
    <col min="6" max="6" width="9.7109375" customWidth="1"/>
    <col min="7" max="7" width="2.42578125" customWidth="1"/>
    <col min="8" max="8" width="7.5703125" style="189" hidden="1" customWidth="1"/>
    <col min="9" max="9" width="8.85546875" style="189" hidden="1" customWidth="1"/>
    <col min="10" max="13" width="8.140625" style="189" hidden="1" customWidth="1"/>
    <col min="14" max="14" width="1.140625" hidden="1" customWidth="1"/>
    <col min="15" max="19" width="8.140625" style="189" hidden="1" customWidth="1"/>
    <col min="20" max="20" width="1.140625" hidden="1" customWidth="1"/>
    <col min="21" max="25" width="8.140625" style="189" hidden="1" customWidth="1"/>
    <col min="26" max="26" width="1.140625" hidden="1" customWidth="1"/>
    <col min="27" max="28" width="9.140625" style="189" hidden="1" customWidth="1"/>
    <col min="29" max="29" width="3.5703125" hidden="1" customWidth="1"/>
    <col min="30" max="31" width="9.140625" hidden="1" customWidth="1"/>
    <col min="32" max="33" width="9.7109375" hidden="1" customWidth="1"/>
    <col min="34" max="34" width="7.85546875" hidden="1" customWidth="1"/>
    <col min="35" max="36" width="9.42578125" hidden="1" customWidth="1"/>
    <col min="37" max="37" width="8" hidden="1" customWidth="1"/>
    <col min="38" max="38" width="9.140625" hidden="1" customWidth="1"/>
    <col min="39" max="39" width="7.85546875" hidden="1" customWidth="1"/>
    <col min="40" max="40" width="9.140625" hidden="1" customWidth="1"/>
    <col min="41" max="41" width="7.85546875" hidden="1" customWidth="1"/>
    <col min="42" max="42" width="9.140625" hidden="1" customWidth="1"/>
    <col min="43" max="43" width="7.42578125" hidden="1" customWidth="1"/>
    <col min="44" max="45" width="7.85546875" hidden="1" customWidth="1"/>
    <col min="46" max="46" width="8.140625" hidden="1" customWidth="1"/>
    <col min="47" max="47" width="3" customWidth="1"/>
  </cols>
  <sheetData>
    <row r="1" spans="2:48" ht="15.75">
      <c r="B1" s="185" t="s">
        <v>73</v>
      </c>
      <c r="C1" s="186"/>
      <c r="D1" s="187"/>
      <c r="E1" s="187"/>
      <c r="F1" s="188" t="s">
        <v>1284</v>
      </c>
      <c r="H1" s="226" t="s">
        <v>94</v>
      </c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</row>
    <row r="2" spans="2:48" ht="6.75" customHeight="1"/>
    <row r="3" spans="2:48">
      <c r="B3" t="s">
        <v>70</v>
      </c>
      <c r="C3" s="419"/>
      <c r="D3" s="420"/>
      <c r="E3" s="420"/>
      <c r="F3" s="421"/>
      <c r="J3" s="190" t="s">
        <v>75</v>
      </c>
      <c r="K3" s="190" t="s">
        <v>76</v>
      </c>
      <c r="AV3" t="s">
        <v>72</v>
      </c>
    </row>
    <row r="4" spans="2:48">
      <c r="B4" t="s">
        <v>71</v>
      </c>
      <c r="C4" s="419"/>
      <c r="D4" s="420"/>
      <c r="E4" s="420"/>
      <c r="F4" s="421"/>
      <c r="I4" s="191">
        <f>IFERROR(AD10,0)</f>
        <v>0</v>
      </c>
      <c r="J4" s="192">
        <f>SUM(U20:W20)</f>
        <v>0</v>
      </c>
      <c r="K4" s="192">
        <f>SUM(U20:Y20)</f>
        <v>0</v>
      </c>
    </row>
    <row r="5" spans="2:48">
      <c r="B5" t="s">
        <v>206</v>
      </c>
      <c r="C5" s="422"/>
      <c r="D5" s="423"/>
      <c r="E5" s="423"/>
      <c r="F5" s="424"/>
      <c r="I5" s="191"/>
      <c r="J5" s="192"/>
      <c r="K5" s="192"/>
    </row>
    <row r="6" spans="2:48" ht="5.25" customHeight="1"/>
    <row r="7" spans="2:48" s="193" customFormat="1" ht="15" customHeight="1">
      <c r="C7" s="427" t="s">
        <v>35</v>
      </c>
      <c r="D7" s="428"/>
      <c r="E7" s="429" t="s">
        <v>52</v>
      </c>
      <c r="F7" s="430"/>
      <c r="H7" s="194"/>
      <c r="I7" s="434" t="s">
        <v>54</v>
      </c>
      <c r="J7" s="434"/>
      <c r="K7" s="434"/>
      <c r="L7" s="434"/>
      <c r="M7" s="434"/>
      <c r="O7" s="435" t="s">
        <v>55</v>
      </c>
      <c r="P7" s="435"/>
      <c r="Q7" s="435"/>
      <c r="R7" s="435"/>
      <c r="S7" s="435"/>
      <c r="U7" s="436" t="s">
        <v>56</v>
      </c>
      <c r="V7" s="436"/>
      <c r="W7" s="436"/>
      <c r="X7" s="436"/>
      <c r="Y7" s="436"/>
      <c r="AA7" s="194"/>
      <c r="AB7" s="194"/>
      <c r="AV7" s="193" t="s">
        <v>78</v>
      </c>
    </row>
    <row r="8" spans="2:48" ht="15" customHeight="1">
      <c r="B8" s="2" t="s">
        <v>57</v>
      </c>
      <c r="C8" s="401"/>
      <c r="D8" s="402"/>
      <c r="E8" s="401"/>
      <c r="F8" s="402"/>
      <c r="I8" s="195" t="e">
        <f>I11/$C$8</f>
        <v>#DIV/0!</v>
      </c>
      <c r="J8" s="195" t="e">
        <f>J11/$C$8</f>
        <v>#DIV/0!</v>
      </c>
      <c r="K8" s="195" t="e">
        <f>K11/$C$8</f>
        <v>#DIV/0!</v>
      </c>
      <c r="L8" s="195" t="e">
        <f>L11/$C$8</f>
        <v>#DIV/0!</v>
      </c>
      <c r="M8" s="195" t="e">
        <f>M11/$C$8</f>
        <v>#DIV/0!</v>
      </c>
      <c r="N8" s="196"/>
      <c r="O8" s="195" t="e">
        <f>O11/$F$8</f>
        <v>#DIV/0!</v>
      </c>
      <c r="P8" s="195" t="e">
        <f>P11/$F$8</f>
        <v>#DIV/0!</v>
      </c>
      <c r="Q8" s="195" t="e">
        <f>Q11/$F$8</f>
        <v>#DIV/0!</v>
      </c>
      <c r="R8" s="195" t="e">
        <f>R11/$F$8</f>
        <v>#DIV/0!</v>
      </c>
      <c r="S8" s="195" t="e">
        <f>S11/$F$8</f>
        <v>#DIV/0!</v>
      </c>
      <c r="T8" s="196"/>
      <c r="U8" s="195"/>
      <c r="V8" s="195"/>
      <c r="W8" s="195"/>
      <c r="X8" s="195"/>
      <c r="Y8" s="195"/>
      <c r="Z8" s="196"/>
      <c r="AA8" s="433" t="s">
        <v>41</v>
      </c>
      <c r="AB8" s="433"/>
      <c r="AD8" s="197" t="s">
        <v>67</v>
      </c>
      <c r="AV8" t="s">
        <v>1285</v>
      </c>
    </row>
    <row r="9" spans="2:48" ht="15" customHeight="1">
      <c r="B9" s="2" t="s">
        <v>151</v>
      </c>
      <c r="C9" s="425"/>
      <c r="D9" s="426"/>
      <c r="E9" s="425"/>
      <c r="F9" s="426"/>
      <c r="I9" s="198" t="s">
        <v>1</v>
      </c>
      <c r="J9" s="198" t="s">
        <v>2</v>
      </c>
      <c r="K9" s="198" t="s">
        <v>3</v>
      </c>
      <c r="L9" s="198" t="s">
        <v>12</v>
      </c>
      <c r="M9" s="198" t="s">
        <v>13</v>
      </c>
      <c r="N9" s="17"/>
      <c r="O9" s="198" t="s">
        <v>1</v>
      </c>
      <c r="P9" s="198" t="s">
        <v>2</v>
      </c>
      <c r="Q9" s="198" t="s">
        <v>3</v>
      </c>
      <c r="R9" s="198" t="s">
        <v>12</v>
      </c>
      <c r="S9" s="198" t="s">
        <v>13</v>
      </c>
      <c r="T9" s="17"/>
      <c r="U9" s="198" t="s">
        <v>1</v>
      </c>
      <c r="V9" s="198" t="s">
        <v>2</v>
      </c>
      <c r="W9" s="198" t="s">
        <v>3</v>
      </c>
      <c r="X9" s="198" t="s">
        <v>12</v>
      </c>
      <c r="Y9" s="198" t="s">
        <v>13</v>
      </c>
      <c r="Z9" s="17"/>
      <c r="AA9" s="199" t="s">
        <v>11</v>
      </c>
      <c r="AB9" s="199" t="s">
        <v>14</v>
      </c>
      <c r="AD9" s="197">
        <f>IF(C17="Lock 5Y",AB20,AA20)</f>
        <v>0</v>
      </c>
      <c r="AV9" t="s">
        <v>79</v>
      </c>
    </row>
    <row r="10" spans="2:48" ht="15" customHeight="1">
      <c r="B10" s="2" t="s">
        <v>58</v>
      </c>
      <c r="C10" s="417" t="str">
        <f>IFERROR(AVERAGE(D11:D13),"")</f>
        <v/>
      </c>
      <c r="D10" s="418"/>
      <c r="E10" s="417" t="str">
        <f>IFERROR(AVERAGE(F11:F13),"")</f>
        <v/>
      </c>
      <c r="F10" s="418"/>
      <c r="H10" s="189" t="s">
        <v>6</v>
      </c>
      <c r="I10" s="200">
        <f>C8*95%</f>
        <v>0</v>
      </c>
      <c r="J10" s="200">
        <f>C8*90%</f>
        <v>0</v>
      </c>
      <c r="K10" s="200">
        <f>C8*85%</f>
        <v>0</v>
      </c>
      <c r="L10" s="200">
        <f>C8*80%</f>
        <v>0</v>
      </c>
      <c r="M10" s="200">
        <f>C8*75%</f>
        <v>0</v>
      </c>
      <c r="N10" s="1"/>
      <c r="O10" s="200">
        <f>E8*95%</f>
        <v>0</v>
      </c>
      <c r="P10" s="200">
        <f>E8*90%</f>
        <v>0</v>
      </c>
      <c r="Q10" s="200">
        <f>E8*85%</f>
        <v>0</v>
      </c>
      <c r="R10" s="200">
        <f>E8*80%</f>
        <v>0</v>
      </c>
      <c r="S10" s="200">
        <f>E8*75%</f>
        <v>0</v>
      </c>
      <c r="T10" s="1"/>
      <c r="U10" s="200">
        <f>I10+O10</f>
        <v>0</v>
      </c>
      <c r="V10" s="200">
        <f t="shared" ref="V10:V20" si="0">J10+P10</f>
        <v>0</v>
      </c>
      <c r="W10" s="200">
        <f t="shared" ref="W10:W20" si="1">K10+Q10</f>
        <v>0</v>
      </c>
      <c r="X10" s="200">
        <f t="shared" ref="X10:X20" si="2">L10+R10</f>
        <v>0</v>
      </c>
      <c r="Y10" s="200">
        <f t="shared" ref="Y10:Y20" si="3">M10+S10</f>
        <v>0</v>
      </c>
      <c r="Z10" s="1"/>
      <c r="AA10" s="200"/>
      <c r="AB10" s="200"/>
      <c r="AD10" s="201" t="e">
        <f>IF(C17="Lock 5Y",1+AB22,1+AA22)</f>
        <v>#DIV/0!</v>
      </c>
      <c r="AV10" t="s">
        <v>80</v>
      </c>
    </row>
    <row r="11" spans="2:48" ht="15" customHeight="1">
      <c r="B11" s="202" t="s">
        <v>59</v>
      </c>
      <c r="C11" s="331"/>
      <c r="D11" s="332"/>
      <c r="E11" s="331"/>
      <c r="F11" s="332"/>
      <c r="H11" s="189" t="s">
        <v>7</v>
      </c>
      <c r="I11" s="200">
        <f>AVERAGE(C8,I10)</f>
        <v>0</v>
      </c>
      <c r="J11" s="200">
        <f>AVERAGE(I10:J10)</f>
        <v>0</v>
      </c>
      <c r="K11" s="200">
        <f>AVERAGE(J10:K10)</f>
        <v>0</v>
      </c>
      <c r="L11" s="200">
        <f t="shared" ref="L11:M11" si="4">AVERAGE(K10:L10)</f>
        <v>0</v>
      </c>
      <c r="M11" s="200">
        <f t="shared" si="4"/>
        <v>0</v>
      </c>
      <c r="N11" s="1"/>
      <c r="O11" s="200">
        <f>AVERAGE(F8,O10)</f>
        <v>0</v>
      </c>
      <c r="P11" s="200">
        <f>AVERAGE(O10:P10)</f>
        <v>0</v>
      </c>
      <c r="Q11" s="200">
        <f>AVERAGE(P10:Q10)</f>
        <v>0</v>
      </c>
      <c r="R11" s="200">
        <f t="shared" ref="R11" si="5">AVERAGE(Q10:R10)</f>
        <v>0</v>
      </c>
      <c r="S11" s="200">
        <f>AVERAGE(R10:S10)</f>
        <v>0</v>
      </c>
      <c r="T11" s="1"/>
      <c r="U11" s="200">
        <f t="shared" ref="U11:U20" si="6">I11+O11</f>
        <v>0</v>
      </c>
      <c r="V11" s="200">
        <f t="shared" si="0"/>
        <v>0</v>
      </c>
      <c r="W11" s="200">
        <f t="shared" si="1"/>
        <v>0</v>
      </c>
      <c r="X11" s="200">
        <f t="shared" si="2"/>
        <v>0</v>
      </c>
      <c r="Y11" s="200">
        <f t="shared" si="3"/>
        <v>0</v>
      </c>
      <c r="Z11" s="1"/>
      <c r="AA11" s="200"/>
      <c r="AB11" s="200"/>
      <c r="AV11" t="s">
        <v>81</v>
      </c>
    </row>
    <row r="12" spans="2:48" ht="15" customHeight="1">
      <c r="B12" s="203" t="s">
        <v>60</v>
      </c>
      <c r="C12" s="333"/>
      <c r="D12" s="334"/>
      <c r="E12" s="333"/>
      <c r="F12" s="334"/>
      <c r="I12" s="200"/>
      <c r="J12" s="200"/>
      <c r="K12" s="200"/>
      <c r="L12" s="200"/>
      <c r="M12" s="200"/>
      <c r="N12" s="1"/>
      <c r="O12" s="200"/>
      <c r="P12" s="200"/>
      <c r="Q12" s="200"/>
      <c r="R12" s="200"/>
      <c r="S12" s="200"/>
      <c r="T12" s="1"/>
      <c r="U12" s="200"/>
      <c r="V12" s="200"/>
      <c r="W12" s="200"/>
      <c r="X12" s="200"/>
      <c r="Y12" s="200"/>
      <c r="Z12" s="1"/>
      <c r="AA12" s="200"/>
      <c r="AB12" s="200"/>
      <c r="AD12" s="204"/>
      <c r="AE12" t="e">
        <f>"&lt;"&amp;TEXT(AD18,"0.00%")&amp;" of trigger point"</f>
        <v>#N/A</v>
      </c>
      <c r="AH12" t="s">
        <v>37</v>
      </c>
      <c r="AV12" t="s">
        <v>82</v>
      </c>
    </row>
    <row r="13" spans="2:48" ht="15" customHeight="1">
      <c r="B13" s="203" t="s">
        <v>61</v>
      </c>
      <c r="C13" s="333"/>
      <c r="D13" s="334"/>
      <c r="E13" s="333"/>
      <c r="F13" s="334"/>
      <c r="H13" s="189" t="s">
        <v>5</v>
      </c>
      <c r="I13" s="200">
        <f>IFERROR(I11*$D$11,0)</f>
        <v>0</v>
      </c>
      <c r="J13" s="200">
        <f>IFERROR(J11*$D$12,0)</f>
        <v>0</v>
      </c>
      <c r="K13" s="200">
        <f>IFERROR(K11*$D$13,0)</f>
        <v>0</v>
      </c>
      <c r="L13" s="200">
        <f>IFERROR(L11*$D$32,0)</f>
        <v>0</v>
      </c>
      <c r="M13" s="200">
        <f>IFERROR(M11*$D$33,0)</f>
        <v>0</v>
      </c>
      <c r="N13" s="1"/>
      <c r="O13" s="200">
        <f>O11*$F$11</f>
        <v>0</v>
      </c>
      <c r="P13" s="200">
        <f>P11*$F$12</f>
        <v>0</v>
      </c>
      <c r="Q13" s="200">
        <f>Q11*$F$13</f>
        <v>0</v>
      </c>
      <c r="R13" s="200">
        <f>R11*$F$32</f>
        <v>0</v>
      </c>
      <c r="S13" s="200">
        <f>S11*$F$33</f>
        <v>0</v>
      </c>
      <c r="T13" s="1"/>
      <c r="U13" s="200">
        <f>I13+O13</f>
        <v>0</v>
      </c>
      <c r="V13" s="200">
        <f t="shared" si="0"/>
        <v>0</v>
      </c>
      <c r="W13" s="200">
        <f>K13+Q13</f>
        <v>0</v>
      </c>
      <c r="X13" s="200">
        <f t="shared" si="2"/>
        <v>0</v>
      </c>
      <c r="Y13" s="200">
        <f t="shared" si="3"/>
        <v>0</v>
      </c>
      <c r="Z13" s="1"/>
      <c r="AA13" s="200">
        <f>SUM(U13:W13)</f>
        <v>0</v>
      </c>
      <c r="AB13" s="200">
        <f>SUM(U13:Y13)</f>
        <v>0</v>
      </c>
      <c r="AD13" s="205"/>
      <c r="AE13" t="e">
        <f>"&gt;="&amp;TEXT(AD18,"0.00%")&amp;" of trigger point"</f>
        <v>#N/A</v>
      </c>
      <c r="AH13" t="s">
        <v>36</v>
      </c>
      <c r="AV13" s="206" t="s">
        <v>84</v>
      </c>
    </row>
    <row r="14" spans="2:48" ht="15" customHeight="1">
      <c r="B14" s="207" t="s">
        <v>62</v>
      </c>
      <c r="C14" s="333"/>
      <c r="D14" s="335"/>
      <c r="E14" s="333"/>
      <c r="F14" s="335"/>
      <c r="H14" s="189" t="s">
        <v>0</v>
      </c>
      <c r="I14" s="208">
        <f>I11*$D$34</f>
        <v>0</v>
      </c>
      <c r="J14" s="208">
        <f>J11*$D$34</f>
        <v>0</v>
      </c>
      <c r="K14" s="208">
        <f>K11*$D$34</f>
        <v>0</v>
      </c>
      <c r="L14" s="208">
        <f>L11*$D$34</f>
        <v>0</v>
      </c>
      <c r="M14" s="208">
        <f>M11*$D$34</f>
        <v>0</v>
      </c>
      <c r="N14" s="1"/>
      <c r="O14" s="208">
        <f>O11*$F$34</f>
        <v>0</v>
      </c>
      <c r="P14" s="208">
        <f>P11*$F$34</f>
        <v>0</v>
      </c>
      <c r="Q14" s="208">
        <f>Q11*$F$34</f>
        <v>0</v>
      </c>
      <c r="R14" s="208">
        <f>R11*$F$34</f>
        <v>0</v>
      </c>
      <c r="S14" s="208">
        <f>S11*$F$34</f>
        <v>0</v>
      </c>
      <c r="T14" s="1"/>
      <c r="U14" s="208">
        <f t="shared" si="6"/>
        <v>0</v>
      </c>
      <c r="V14" s="208">
        <f t="shared" si="0"/>
        <v>0</v>
      </c>
      <c r="W14" s="208">
        <f t="shared" si="1"/>
        <v>0</v>
      </c>
      <c r="X14" s="208">
        <f t="shared" si="2"/>
        <v>0</v>
      </c>
      <c r="Y14" s="208">
        <f t="shared" si="3"/>
        <v>0</v>
      </c>
      <c r="Z14" s="1"/>
      <c r="AA14" s="208">
        <f>SUM(U14:W14)</f>
        <v>0</v>
      </c>
      <c r="AB14" s="208">
        <f>SUM(U14:Y14)</f>
        <v>0</v>
      </c>
      <c r="AV14" s="206" t="s">
        <v>85</v>
      </c>
    </row>
    <row r="15" spans="2:48" ht="15" customHeight="1">
      <c r="B15" s="2" t="s">
        <v>77</v>
      </c>
      <c r="C15" s="401"/>
      <c r="D15" s="402"/>
      <c r="E15" s="401"/>
      <c r="F15" s="402"/>
      <c r="H15" s="189" t="s">
        <v>4</v>
      </c>
      <c r="I15" s="200">
        <f>I13-I14</f>
        <v>0</v>
      </c>
      <c r="J15" s="200">
        <f>J13-J14</f>
        <v>0</v>
      </c>
      <c r="K15" s="200">
        <f>K13-K14</f>
        <v>0</v>
      </c>
      <c r="L15" s="200">
        <f>L13-L14</f>
        <v>0</v>
      </c>
      <c r="M15" s="200">
        <f>M13-M14</f>
        <v>0</v>
      </c>
      <c r="N15" s="1"/>
      <c r="O15" s="200">
        <f>O13-O14</f>
        <v>0</v>
      </c>
      <c r="P15" s="200">
        <f>P13-P14</f>
        <v>0</v>
      </c>
      <c r="Q15" s="200">
        <f>Q13-Q14</f>
        <v>0</v>
      </c>
      <c r="R15" s="200">
        <f>R13-R14</f>
        <v>0</v>
      </c>
      <c r="S15" s="200">
        <f>S13-S14</f>
        <v>0</v>
      </c>
      <c r="T15" s="1"/>
      <c r="U15" s="200">
        <f t="shared" si="6"/>
        <v>0</v>
      </c>
      <c r="V15" s="200">
        <f t="shared" si="0"/>
        <v>0</v>
      </c>
      <c r="W15" s="200">
        <f t="shared" si="1"/>
        <v>0</v>
      </c>
      <c r="X15" s="200">
        <f t="shared" si="2"/>
        <v>0</v>
      </c>
      <c r="Y15" s="200">
        <f t="shared" si="3"/>
        <v>0</v>
      </c>
      <c r="Z15" s="1"/>
      <c r="AA15" s="200">
        <f>SUM(U15:W15)</f>
        <v>0</v>
      </c>
      <c r="AB15" s="200">
        <f>SUM(U15:Y15)</f>
        <v>0</v>
      </c>
      <c r="AV15" s="206" t="s">
        <v>86</v>
      </c>
    </row>
    <row r="16" spans="2:48" ht="15" customHeight="1">
      <c r="B16" s="2" t="s">
        <v>63</v>
      </c>
      <c r="C16" s="403"/>
      <c r="D16" s="404"/>
      <c r="E16" s="403"/>
      <c r="F16" s="404"/>
      <c r="H16" s="189" t="s">
        <v>8</v>
      </c>
      <c r="I16" s="200">
        <f>$C$15*34%</f>
        <v>0</v>
      </c>
      <c r="J16" s="200"/>
      <c r="K16" s="200"/>
      <c r="L16" s="200"/>
      <c r="M16" s="200"/>
      <c r="N16" s="1"/>
      <c r="O16" s="200">
        <f>$E$15*34%</f>
        <v>0</v>
      </c>
      <c r="P16" s="200"/>
      <c r="Q16" s="200"/>
      <c r="R16" s="200"/>
      <c r="S16" s="200"/>
      <c r="T16" s="1"/>
      <c r="U16" s="200">
        <f t="shared" si="6"/>
        <v>0</v>
      </c>
      <c r="V16" s="200">
        <f t="shared" si="0"/>
        <v>0</v>
      </c>
      <c r="W16" s="200">
        <f t="shared" si="1"/>
        <v>0</v>
      </c>
      <c r="X16" s="200">
        <f t="shared" si="2"/>
        <v>0</v>
      </c>
      <c r="Y16" s="200">
        <f t="shared" si="3"/>
        <v>0</v>
      </c>
      <c r="Z16" s="1"/>
      <c r="AA16" s="200">
        <f>SUM(U16:W16)</f>
        <v>0</v>
      </c>
      <c r="AB16" s="200">
        <f>SUM(U16:Y16)</f>
        <v>0</v>
      </c>
      <c r="AV16" s="206" t="s">
        <v>87</v>
      </c>
    </row>
    <row r="17" spans="1:46" ht="15" customHeight="1">
      <c r="B17" s="2" t="s">
        <v>66</v>
      </c>
      <c r="C17" s="399"/>
      <c r="D17" s="400"/>
      <c r="E17" s="399"/>
      <c r="F17" s="400"/>
      <c r="H17" s="189" t="s">
        <v>18</v>
      </c>
      <c r="I17" s="200">
        <f>IFERROR(VLOOKUP($C$20,pam!$U$5:$AE$9,pam!$V$12,FALSE)*I11*-1,0)</f>
        <v>0</v>
      </c>
      <c r="J17" s="200">
        <f>IFERROR(VLOOKUP($C$20,pam!$U$5:$AE$9,pam!$V$12,FALSE)*J11*-1,0)</f>
        <v>0</v>
      </c>
      <c r="K17" s="200">
        <f>IFERROR(VLOOKUP($C$20,pam!$U$5:$AE$9,pam!$V$12,FALSE)*K11*-1,0)</f>
        <v>0</v>
      </c>
      <c r="L17" s="200">
        <f>IFERROR(VLOOKUP($C$20,pam!$U$5:$AE$9,pam!$V$12,FALSE)*L11*-1,0)</f>
        <v>0</v>
      </c>
      <c r="M17" s="200">
        <f>IFERROR(VLOOKUP($C$20,pam!$U$5:$AE$9,pam!$V$12,FALSE)*M11*-1,0)</f>
        <v>0</v>
      </c>
      <c r="N17" s="1"/>
      <c r="O17" s="200">
        <f>O11*$P$28</f>
        <v>0</v>
      </c>
      <c r="P17" s="200">
        <f>P11*$P$28</f>
        <v>0</v>
      </c>
      <c r="Q17" s="200">
        <f>Q11*$P$28</f>
        <v>0</v>
      </c>
      <c r="R17" s="200">
        <f>R11*$P$28</f>
        <v>0</v>
      </c>
      <c r="S17" s="200">
        <f>S11*$P$28</f>
        <v>0</v>
      </c>
      <c r="T17" s="1"/>
      <c r="U17" s="200">
        <f t="shared" si="6"/>
        <v>0</v>
      </c>
      <c r="V17" s="200">
        <f t="shared" si="0"/>
        <v>0</v>
      </c>
      <c r="W17" s="200">
        <f t="shared" si="1"/>
        <v>0</v>
      </c>
      <c r="X17" s="200">
        <f t="shared" si="2"/>
        <v>0</v>
      </c>
      <c r="Y17" s="200">
        <f t="shared" si="3"/>
        <v>0</v>
      </c>
      <c r="Z17" s="1"/>
      <c r="AA17" s="200">
        <f t="shared" ref="AA17:AA19" si="7">SUM(U17:W17)</f>
        <v>0</v>
      </c>
      <c r="AB17" s="200">
        <f t="shared" ref="AB17:AB19" si="8">SUM(U17:Y17)</f>
        <v>0</v>
      </c>
      <c r="AD17" s="357">
        <v>0</v>
      </c>
      <c r="AE17" s="358" t="e">
        <f>AD18-0.01%</f>
        <v>#N/A</v>
      </c>
      <c r="AF17" t="s">
        <v>68</v>
      </c>
    </row>
    <row r="18" spans="1:46" ht="15" customHeight="1">
      <c r="B18" s="2" t="s">
        <v>65</v>
      </c>
      <c r="C18" s="399"/>
      <c r="D18" s="400"/>
      <c r="E18" s="399"/>
      <c r="F18" s="400"/>
      <c r="H18" s="189" t="s">
        <v>19</v>
      </c>
      <c r="I18" s="200">
        <f>I28*C8</f>
        <v>0</v>
      </c>
      <c r="J18" s="209"/>
      <c r="K18" s="200"/>
      <c r="L18" s="200"/>
      <c r="M18" s="200"/>
      <c r="N18" s="1"/>
      <c r="O18" s="200">
        <f>P29*E8</f>
        <v>0</v>
      </c>
      <c r="P18" s="200"/>
      <c r="Q18" s="200"/>
      <c r="R18" s="200"/>
      <c r="S18" s="200"/>
      <c r="T18" s="1"/>
      <c r="U18" s="200">
        <f t="shared" si="6"/>
        <v>0</v>
      </c>
      <c r="V18" s="200">
        <f t="shared" si="0"/>
        <v>0</v>
      </c>
      <c r="W18" s="200">
        <f t="shared" si="1"/>
        <v>0</v>
      </c>
      <c r="X18" s="200">
        <f t="shared" si="2"/>
        <v>0</v>
      </c>
      <c r="Y18" s="200">
        <f t="shared" si="3"/>
        <v>0</v>
      </c>
      <c r="Z18" s="1"/>
      <c r="AA18" s="200">
        <f t="shared" si="7"/>
        <v>0</v>
      </c>
      <c r="AB18" s="200">
        <f t="shared" si="8"/>
        <v>0</v>
      </c>
      <c r="AD18" s="356" t="e">
        <f>AD34</f>
        <v>#N/A</v>
      </c>
      <c r="AE18" s="356"/>
      <c r="AF18" t="s">
        <v>69</v>
      </c>
    </row>
    <row r="19" spans="1:46" ht="15" customHeight="1">
      <c r="B19" s="2" t="s">
        <v>1279</v>
      </c>
      <c r="C19" s="403"/>
      <c r="D19" s="400"/>
      <c r="E19" s="403"/>
      <c r="F19" s="400"/>
      <c r="H19" s="189" t="s">
        <v>9</v>
      </c>
      <c r="I19" s="208">
        <f>IF(IF($C$16="Yes",C8*1%,0)&gt;=100000,100000,IF($C$16="Yes",C8*1%,0))</f>
        <v>0</v>
      </c>
      <c r="J19" s="208"/>
      <c r="K19" s="208"/>
      <c r="L19" s="208"/>
      <c r="M19" s="208"/>
      <c r="N19" s="1"/>
      <c r="O19" s="208">
        <f>IF(IF($E$16="Yes",E8*1%,0)&gt;=100000,100000,IF($E$16="Yes",E8*1%,0))</f>
        <v>0</v>
      </c>
      <c r="P19" s="208"/>
      <c r="Q19" s="208"/>
      <c r="R19" s="208"/>
      <c r="S19" s="208"/>
      <c r="T19" s="1"/>
      <c r="U19" s="208">
        <f t="shared" si="6"/>
        <v>0</v>
      </c>
      <c r="V19" s="208">
        <f t="shared" si="0"/>
        <v>0</v>
      </c>
      <c r="W19" s="208">
        <f t="shared" si="1"/>
        <v>0</v>
      </c>
      <c r="X19" s="208">
        <f t="shared" si="2"/>
        <v>0</v>
      </c>
      <c r="Y19" s="208">
        <f t="shared" si="3"/>
        <v>0</v>
      </c>
      <c r="Z19" s="1"/>
      <c r="AA19" s="208">
        <f t="shared" si="7"/>
        <v>0</v>
      </c>
      <c r="AB19" s="208">
        <f t="shared" si="8"/>
        <v>0</v>
      </c>
      <c r="AD19" s="191"/>
    </row>
    <row r="20" spans="1:46" ht="15" customHeight="1">
      <c r="B20" s="2" t="s">
        <v>32</v>
      </c>
      <c r="C20" s="399"/>
      <c r="D20" s="400"/>
      <c r="E20" s="399"/>
      <c r="F20" s="400"/>
      <c r="H20" s="189" t="s">
        <v>10</v>
      </c>
      <c r="I20" s="192">
        <f>IFERROR(I15+I16-I17-I18-I19,0)</f>
        <v>0</v>
      </c>
      <c r="J20" s="192">
        <f t="shared" ref="J20:M20" si="9">IFERROR(J15+J16-J17-J18-J19,0)</f>
        <v>0</v>
      </c>
      <c r="K20" s="192">
        <f t="shared" si="9"/>
        <v>0</v>
      </c>
      <c r="L20" s="192">
        <f t="shared" si="9"/>
        <v>0</v>
      </c>
      <c r="M20" s="192">
        <f t="shared" si="9"/>
        <v>0</v>
      </c>
      <c r="N20" s="211"/>
      <c r="O20" s="192">
        <f t="shared" ref="O20:S20" si="10">IFERROR(O15+O16-O17-O18-O19,0)</f>
        <v>0</v>
      </c>
      <c r="P20" s="192">
        <f t="shared" si="10"/>
        <v>0</v>
      </c>
      <c r="Q20" s="192">
        <f t="shared" si="10"/>
        <v>0</v>
      </c>
      <c r="R20" s="192">
        <f t="shared" si="10"/>
        <v>0</v>
      </c>
      <c r="S20" s="192">
        <f t="shared" si="10"/>
        <v>0</v>
      </c>
      <c r="T20" s="211"/>
      <c r="U20" s="192">
        <f t="shared" si="6"/>
        <v>0</v>
      </c>
      <c r="V20" s="192">
        <f t="shared" si="0"/>
        <v>0</v>
      </c>
      <c r="W20" s="192">
        <f t="shared" si="1"/>
        <v>0</v>
      </c>
      <c r="X20" s="192">
        <f t="shared" si="2"/>
        <v>0</v>
      </c>
      <c r="Y20" s="192">
        <f t="shared" si="3"/>
        <v>0</v>
      </c>
      <c r="Z20" s="211"/>
      <c r="AA20" s="192">
        <f>SUM(U20:W20)</f>
        <v>0</v>
      </c>
      <c r="AB20" s="192">
        <f>SUM(U20:Y20)</f>
        <v>0</v>
      </c>
      <c r="AG20" s="21" t="s">
        <v>91</v>
      </c>
      <c r="AH20" s="20" t="s">
        <v>15</v>
      </c>
      <c r="AI20" s="20" t="s">
        <v>16</v>
      </c>
      <c r="AJ20" s="178"/>
      <c r="AK20" s="178"/>
      <c r="AL20" s="178"/>
      <c r="AM20" s="178"/>
    </row>
    <row r="21" spans="1:46" ht="15" customHeight="1">
      <c r="B21" s="2" t="s">
        <v>1283</v>
      </c>
      <c r="C21" s="415"/>
      <c r="D21" s="416"/>
      <c r="E21" s="415"/>
      <c r="F21" s="416"/>
      <c r="AD21" s="15" t="s">
        <v>74</v>
      </c>
      <c r="AE21" s="210">
        <v>0.02</v>
      </c>
      <c r="AG21" s="212">
        <v>1</v>
      </c>
      <c r="AH21" s="212">
        <v>2</v>
      </c>
      <c r="AI21" s="212">
        <v>3</v>
      </c>
      <c r="AJ21" s="361"/>
      <c r="AK21" s="361"/>
      <c r="AL21" s="361"/>
      <c r="AM21" s="361"/>
    </row>
    <row r="22" spans="1:46" ht="15" customHeight="1">
      <c r="B22" s="2" t="s">
        <v>1272</v>
      </c>
      <c r="C22" s="399"/>
      <c r="D22" s="400"/>
      <c r="E22" s="399"/>
      <c r="F22" s="400"/>
      <c r="AA22" s="18" t="e">
        <f>ROUNDDOWN((AA20/3)/AVERAGE($U$11:W$11),4)</f>
        <v>#DIV/0!</v>
      </c>
      <c r="AB22" s="18" t="e">
        <f>ROUNDDOWN((AB20/3)/AVERAGE($U$11:Y$11),4)</f>
        <v>#DIV/0!</v>
      </c>
      <c r="AD22" s="15" t="s">
        <v>88</v>
      </c>
      <c r="AE22" s="213">
        <v>-30000</v>
      </c>
      <c r="AG22" s="21" t="s">
        <v>89</v>
      </c>
      <c r="AH22" s="182">
        <v>2.5999999999999999E-2</v>
      </c>
      <c r="AI22" s="182">
        <v>2.4E-2</v>
      </c>
      <c r="AJ22" s="362"/>
      <c r="AK22" s="362"/>
      <c r="AL22" s="362"/>
      <c r="AM22" s="362"/>
    </row>
    <row r="23" spans="1:46" ht="15" customHeight="1">
      <c r="B23" s="2" t="s">
        <v>1273</v>
      </c>
      <c r="C23" s="399"/>
      <c r="D23" s="400"/>
      <c r="E23" s="399"/>
      <c r="F23" s="400"/>
      <c r="X23" s="437"/>
      <c r="Y23" s="437"/>
      <c r="AG23" s="21" t="s">
        <v>90</v>
      </c>
      <c r="AH23" s="182">
        <v>2.5000000000000001E-2</v>
      </c>
      <c r="AI23" s="182">
        <v>2.3E-2</v>
      </c>
      <c r="AJ23" s="362"/>
      <c r="AK23" s="362"/>
      <c r="AL23" s="362"/>
      <c r="AM23" s="362"/>
    </row>
    <row r="24" spans="1:46" ht="15" customHeight="1">
      <c r="B24" s="2" t="s">
        <v>64</v>
      </c>
      <c r="C24" s="399"/>
      <c r="D24" s="400"/>
      <c r="E24" s="399"/>
      <c r="F24" s="400"/>
      <c r="X24" s="359"/>
      <c r="Y24" s="359"/>
      <c r="AB24" s="6" t="s">
        <v>1277</v>
      </c>
      <c r="AC24" s="6"/>
      <c r="AD24" s="380">
        <v>1</v>
      </c>
      <c r="AG24" t="s">
        <v>34</v>
      </c>
      <c r="AH24" s="177" t="e">
        <f>HLOOKUP(C17,AG20:AI21,2,FALSE)</f>
        <v>#N/A</v>
      </c>
    </row>
    <row r="25" spans="1:46" ht="15" customHeight="1">
      <c r="B25" s="2" t="s">
        <v>159</v>
      </c>
      <c r="C25" s="399"/>
      <c r="D25" s="400"/>
      <c r="E25" s="399"/>
      <c r="F25" s="400"/>
      <c r="W25" s="360"/>
      <c r="AB25" s="6"/>
      <c r="AC25" s="373"/>
      <c r="AD25" s="374"/>
    </row>
    <row r="26" spans="1:46" ht="15" customHeight="1">
      <c r="B26" s="2" t="s">
        <v>1247</v>
      </c>
      <c r="C26" s="414"/>
      <c r="D26" s="414"/>
      <c r="E26" s="431" t="s">
        <v>1220</v>
      </c>
      <c r="F26" s="432"/>
      <c r="J26" s="200"/>
      <c r="W26" s="360"/>
      <c r="AB26" s="375" t="s">
        <v>1260</v>
      </c>
      <c r="AC26" s="376"/>
      <c r="AD26" s="377">
        <f>VLOOKUP(SUM(C8:F8),AF27:AH31,3,TRUE)</f>
        <v>5.0000000000000001E-4</v>
      </c>
      <c r="AF26" s="365" t="s">
        <v>1275</v>
      </c>
      <c r="AG26" s="366"/>
      <c r="AH26" s="367"/>
      <c r="AI26" s="368" t="s">
        <v>1278</v>
      </c>
      <c r="AJ26" s="387"/>
      <c r="AK26" s="386"/>
      <c r="AL26" s="384" t="s">
        <v>1257</v>
      </c>
      <c r="AM26" s="385"/>
      <c r="AN26" s="369" t="s">
        <v>1258</v>
      </c>
      <c r="AO26" s="370"/>
      <c r="AP26" s="371" t="s">
        <v>1259</v>
      </c>
      <c r="AQ26" s="372"/>
      <c r="AR26" s="393" t="s">
        <v>115</v>
      </c>
      <c r="AS26" s="394"/>
      <c r="AT26" s="395"/>
    </row>
    <row r="27" spans="1:46" ht="15" customHeight="1">
      <c r="B27" s="214" t="s">
        <v>1248</v>
      </c>
      <c r="C27" s="411"/>
      <c r="D27" s="411"/>
      <c r="E27" s="407"/>
      <c r="F27" s="408"/>
      <c r="J27" s="200"/>
      <c r="AB27" s="375" t="s">
        <v>1278</v>
      </c>
      <c r="AC27" s="376"/>
      <c r="AD27" s="377">
        <f>VLOOKUP(SUM(C19:F19),AI27:AK33,3,TRUE)</f>
        <v>2E-3</v>
      </c>
      <c r="AF27" s="388">
        <v>0</v>
      </c>
      <c r="AG27" s="389">
        <v>3000000</v>
      </c>
      <c r="AH27" s="218">
        <v>5.0000000000000001E-4</v>
      </c>
      <c r="AI27" s="388">
        <v>0</v>
      </c>
      <c r="AJ27" s="389">
        <v>30000</v>
      </c>
      <c r="AK27" s="218">
        <v>2E-3</v>
      </c>
      <c r="AL27" s="363" t="s">
        <v>20</v>
      </c>
      <c r="AM27" s="364">
        <v>2.0000000000000001E-4</v>
      </c>
      <c r="AN27" s="363" t="s">
        <v>1261</v>
      </c>
      <c r="AO27" s="364">
        <v>1E-4</v>
      </c>
      <c r="AP27" s="363" t="s">
        <v>1274</v>
      </c>
      <c r="AQ27" s="364">
        <v>1E-4</v>
      </c>
      <c r="AR27" s="396">
        <v>0</v>
      </c>
      <c r="AS27" s="397">
        <v>0.49990000000000001</v>
      </c>
      <c r="AT27" s="218">
        <v>1E-4</v>
      </c>
    </row>
    <row r="28" spans="1:46" ht="15" customHeight="1">
      <c r="B28" s="203" t="s">
        <v>59</v>
      </c>
      <c r="C28" s="413">
        <f>IF(C26="เท่ากันทุกเดือน",'Straight-HL'!C10,'Step-HL'!L10)</f>
        <v>0</v>
      </c>
      <c r="D28" s="413"/>
      <c r="E28" s="409">
        <f>IF(E26="เท่ากันทุกเดือน",'Straight-MP'!C10,'Step-MP'!L10)</f>
        <v>0</v>
      </c>
      <c r="F28" s="410"/>
      <c r="H28" s="220" t="s">
        <v>160</v>
      </c>
      <c r="I28" s="221">
        <f>IFERROR(I29*I30,0)</f>
        <v>0</v>
      </c>
      <c r="J28" s="200"/>
      <c r="O28" s="189" t="s">
        <v>53</v>
      </c>
      <c r="P28" s="221">
        <v>1.0999999999999999E-2</v>
      </c>
      <c r="AB28" s="375" t="s">
        <v>1257</v>
      </c>
      <c r="AC28" s="376"/>
      <c r="AD28" s="377" t="e">
        <f>VLOOKUP(IF(C18&lt;&gt;"",C18,E18),AL27:AM34,2,FALSE)</f>
        <v>#N/A</v>
      </c>
      <c r="AF28" s="388">
        <f>AG27+1</f>
        <v>3000001</v>
      </c>
      <c r="AG28" s="389">
        <v>5000000</v>
      </c>
      <c r="AH28" s="218">
        <v>2.9999999999999997E-4</v>
      </c>
      <c r="AI28" s="388">
        <f t="shared" ref="AI28:AI33" si="11">AJ27+1</f>
        <v>30001</v>
      </c>
      <c r="AJ28" s="389">
        <v>50000</v>
      </c>
      <c r="AK28" s="218">
        <v>1.5E-3</v>
      </c>
      <c r="AL28" s="363" t="s">
        <v>21</v>
      </c>
      <c r="AM28" s="364">
        <v>5.0000000000000001E-4</v>
      </c>
      <c r="AN28" s="363" t="s">
        <v>1262</v>
      </c>
      <c r="AO28" s="364">
        <v>1E-4</v>
      </c>
      <c r="AP28" s="363" t="s">
        <v>1268</v>
      </c>
      <c r="AQ28" s="364">
        <v>5.0000000000000001E-4</v>
      </c>
      <c r="AR28" s="396">
        <f>AS27+0.01%</f>
        <v>0.5</v>
      </c>
      <c r="AS28" s="397">
        <v>0.59989999999999999</v>
      </c>
      <c r="AT28" s="218">
        <v>1E-4</v>
      </c>
    </row>
    <row r="29" spans="1:46" ht="15" customHeight="1">
      <c r="B29" s="203" t="s">
        <v>60</v>
      </c>
      <c r="C29" s="413">
        <f>IF(C26="เท่ากันทุกเดือน",'Straight-HL'!C10,'Step-HL'!L11)</f>
        <v>0</v>
      </c>
      <c r="D29" s="413"/>
      <c r="E29" s="409">
        <f>IF(E26="เท่ากันทุกเดือน",'Straight-MP'!C10,'Step-MP'!L11)</f>
        <v>0</v>
      </c>
      <c r="F29" s="410"/>
      <c r="H29" s="220" t="s">
        <v>116</v>
      </c>
      <c r="I29" s="221">
        <v>5.0000000000000001E-3</v>
      </c>
      <c r="O29" s="189" t="s">
        <v>163</v>
      </c>
      <c r="P29" s="221">
        <f>IF(E24="DSA",0.5%,0.3%)</f>
        <v>3.0000000000000001E-3</v>
      </c>
      <c r="AB29" s="375" t="s">
        <v>1258</v>
      </c>
      <c r="AC29" s="376"/>
      <c r="AD29" s="377" t="e">
        <f>VLOOKUP(IF(C22&lt;&gt;"",C22,E22),AN27:AO32,2,FALSE)</f>
        <v>#N/A</v>
      </c>
      <c r="AF29" s="388">
        <f>AG28+1</f>
        <v>5000001</v>
      </c>
      <c r="AG29" s="389">
        <v>7500000</v>
      </c>
      <c r="AH29" s="218">
        <v>1E-4</v>
      </c>
      <c r="AI29" s="388">
        <f t="shared" si="11"/>
        <v>50001</v>
      </c>
      <c r="AJ29" s="389">
        <v>75000</v>
      </c>
      <c r="AK29" s="218">
        <v>1E-3</v>
      </c>
      <c r="AL29" s="363" t="s">
        <v>1256</v>
      </c>
      <c r="AM29" s="364">
        <v>5.0000000000000001E-4</v>
      </c>
      <c r="AN29" s="363" t="s">
        <v>1263</v>
      </c>
      <c r="AO29" s="364">
        <v>1E-4</v>
      </c>
      <c r="AP29" s="363" t="s">
        <v>1269</v>
      </c>
      <c r="AQ29" s="364">
        <v>5.0000000000000001E-4</v>
      </c>
      <c r="AR29" s="396">
        <f t="shared" ref="AR29:AR33" si="12">AS28+0.01%</f>
        <v>0.6</v>
      </c>
      <c r="AS29" s="397">
        <v>0.79990000000000006</v>
      </c>
      <c r="AT29" s="218">
        <v>1E-4</v>
      </c>
    </row>
    <row r="30" spans="1:46" ht="15" customHeight="1">
      <c r="B30" s="203" t="s">
        <v>61</v>
      </c>
      <c r="C30" s="413">
        <f>IF(C26="เท่ากันทุกเดือน",'Straight-HL'!C10,'Step-HL'!L12)</f>
        <v>0</v>
      </c>
      <c r="D30" s="413"/>
      <c r="E30" s="409">
        <f>IF(E26="เท่ากันทุกเดือน",'Straight-MP'!C10,'Step-MP'!L12)</f>
        <v>0</v>
      </c>
      <c r="F30" s="410"/>
      <c r="H30" s="189" t="s">
        <v>158</v>
      </c>
      <c r="I30" s="352">
        <f>IFERROR(IF((C15/C8)&lt;2%,VLOOKUP(C18,pam!C:E,2,FALSE),VLOOKUP(C18,pam!C:E,3,FALSE)),0)</f>
        <v>0</v>
      </c>
      <c r="J30" s="200"/>
      <c r="AB30" s="375" t="s">
        <v>1259</v>
      </c>
      <c r="AC30" s="376"/>
      <c r="AD30" s="377" t="e">
        <f>VLOOKUP(IF(C23&lt;&gt;"",C23,E23),AP27:AQ32,2,FALSE)</f>
        <v>#N/A</v>
      </c>
      <c r="AF30" s="388">
        <f>AG29+1</f>
        <v>7500001</v>
      </c>
      <c r="AG30" s="389">
        <v>10000000</v>
      </c>
      <c r="AH30" s="218">
        <v>0</v>
      </c>
      <c r="AI30" s="388">
        <f t="shared" si="11"/>
        <v>75001</v>
      </c>
      <c r="AJ30" s="389">
        <v>100000</v>
      </c>
      <c r="AK30" s="218">
        <v>5.0000000000000001E-4</v>
      </c>
      <c r="AL30" s="363" t="s">
        <v>22</v>
      </c>
      <c r="AM30" s="364">
        <v>1E-3</v>
      </c>
      <c r="AN30" s="363" t="s">
        <v>1264</v>
      </c>
      <c r="AO30" s="364">
        <v>5.0000000000000001E-4</v>
      </c>
      <c r="AP30" s="363" t="s">
        <v>1267</v>
      </c>
      <c r="AQ30" s="364">
        <v>5.0000000000000001E-4</v>
      </c>
      <c r="AR30" s="396">
        <f t="shared" si="12"/>
        <v>0.8</v>
      </c>
      <c r="AS30" s="397">
        <v>0.89990000000000003</v>
      </c>
      <c r="AT30" s="218">
        <v>1E-4</v>
      </c>
    </row>
    <row r="31" spans="1:46">
      <c r="B31" s="207" t="s">
        <v>1249</v>
      </c>
      <c r="C31" s="412">
        <f>IF(C26="เท่ากันทุกเดือน",'Straight-HL'!C10,'Step-HL'!L13)</f>
        <v>0</v>
      </c>
      <c r="D31" s="412"/>
      <c r="E31" s="405">
        <f>IF(E26="เท่ากันทุกเดือน",'Straight-MP'!C10,'Step-MP'!L13)</f>
        <v>0</v>
      </c>
      <c r="F31" s="406"/>
      <c r="J31" s="200"/>
      <c r="AB31" s="375" t="s">
        <v>115</v>
      </c>
      <c r="AC31" s="376"/>
      <c r="AD31" s="377">
        <f>VLOOKUP(C21,AR27:AT33,3,TRUE)</f>
        <v>1E-4</v>
      </c>
      <c r="AF31" s="388">
        <f>AG30+1</f>
        <v>10000001</v>
      </c>
      <c r="AG31" s="391"/>
      <c r="AH31" s="218">
        <v>0</v>
      </c>
      <c r="AI31" s="388">
        <f t="shared" si="11"/>
        <v>100001</v>
      </c>
      <c r="AJ31" s="390">
        <v>200000</v>
      </c>
      <c r="AK31" s="218">
        <v>1E-4</v>
      </c>
      <c r="AL31" s="363" t="s">
        <v>23</v>
      </c>
      <c r="AM31" s="364">
        <v>1E-3</v>
      </c>
      <c r="AN31" s="363" t="s">
        <v>1265</v>
      </c>
      <c r="AO31" s="364">
        <v>1E-3</v>
      </c>
      <c r="AP31" s="363" t="s">
        <v>1270</v>
      </c>
      <c r="AQ31" s="364">
        <v>5.0000000000000001E-4</v>
      </c>
      <c r="AR31" s="396">
        <f t="shared" si="12"/>
        <v>0.9</v>
      </c>
      <c r="AS31" s="397">
        <v>1</v>
      </c>
      <c r="AT31" s="218">
        <v>1E-4</v>
      </c>
    </row>
    <row r="32" spans="1:46" hidden="1">
      <c r="A32" s="215"/>
      <c r="B32" s="216" t="s">
        <v>161</v>
      </c>
      <c r="C32" s="217"/>
      <c r="D32" s="218" t="str">
        <f>IF(C16="Yes",C10+0.2%,C10)</f>
        <v/>
      </c>
      <c r="E32" s="219"/>
      <c r="F32" s="218">
        <f>IFERROR(E10+0.2%,0)</f>
        <v>0</v>
      </c>
      <c r="J32" s="200"/>
      <c r="AB32" s="21" t="s">
        <v>1276</v>
      </c>
      <c r="AC32" s="378"/>
      <c r="AD32" s="379" t="e">
        <f>SUM(AD26:AD31)</f>
        <v>#N/A</v>
      </c>
      <c r="AI32" s="388">
        <f t="shared" si="11"/>
        <v>200001</v>
      </c>
      <c r="AJ32" s="389">
        <v>500000</v>
      </c>
      <c r="AK32" s="218">
        <v>0</v>
      </c>
      <c r="AL32" s="363" t="s">
        <v>24</v>
      </c>
      <c r="AM32" s="364">
        <v>1.5E-3</v>
      </c>
      <c r="AN32" s="363" t="s">
        <v>1266</v>
      </c>
      <c r="AO32" s="364">
        <v>0.01</v>
      </c>
      <c r="AP32" s="363" t="s">
        <v>1271</v>
      </c>
      <c r="AQ32" s="364">
        <v>5.0000000000000001E-4</v>
      </c>
      <c r="AR32" s="396">
        <f t="shared" si="12"/>
        <v>1.0001</v>
      </c>
      <c r="AS32" s="397">
        <v>1.4999</v>
      </c>
      <c r="AT32" s="218">
        <v>1E-4</v>
      </c>
    </row>
    <row r="33" spans="1:46" hidden="1">
      <c r="A33" s="215"/>
      <c r="B33" s="216" t="s">
        <v>162</v>
      </c>
      <c r="C33" s="217"/>
      <c r="D33" s="218" t="str">
        <f>IF(C16="Yes",C10+0.2%,C10)</f>
        <v/>
      </c>
      <c r="E33" s="219"/>
      <c r="F33" s="218">
        <f>IFERROR(E10+0.2%,0)</f>
        <v>0</v>
      </c>
      <c r="J33" s="200"/>
      <c r="AI33" s="388">
        <f t="shared" si="11"/>
        <v>500001</v>
      </c>
      <c r="AJ33" s="391"/>
      <c r="AK33" s="218">
        <v>0</v>
      </c>
      <c r="AL33" s="363" t="s">
        <v>27</v>
      </c>
      <c r="AM33" s="364">
        <v>2E-3</v>
      </c>
      <c r="AR33" s="396">
        <f t="shared" si="12"/>
        <v>1.5</v>
      </c>
      <c r="AS33" s="392"/>
      <c r="AT33" s="222">
        <v>0.9</v>
      </c>
    </row>
    <row r="34" spans="1:46" hidden="1">
      <c r="A34" s="215"/>
      <c r="B34" s="2" t="s">
        <v>0</v>
      </c>
      <c r="C34" s="217"/>
      <c r="D34" s="222">
        <f>IFERROR(pam!Q21,0)</f>
        <v>0</v>
      </c>
      <c r="E34" s="219"/>
      <c r="F34" s="218">
        <f>IFERROR(pam!Q22,0)</f>
        <v>0</v>
      </c>
      <c r="J34" s="200"/>
      <c r="AB34" s="381" t="s">
        <v>1280</v>
      </c>
      <c r="AC34" s="382"/>
      <c r="AD34" s="383" t="e">
        <f>AD24+AD32</f>
        <v>#N/A</v>
      </c>
      <c r="AL34" s="363" t="s">
        <v>52</v>
      </c>
      <c r="AM34" s="218">
        <v>5.0000000000000001E-3</v>
      </c>
    </row>
    <row r="35" spans="1:46" hidden="1">
      <c r="A35" s="215"/>
      <c r="B35" s="2" t="s">
        <v>4</v>
      </c>
      <c r="C35" s="217"/>
      <c r="D35" s="218">
        <f>IFERROR(C10-D34,0)</f>
        <v>0</v>
      </c>
      <c r="E35" s="219"/>
      <c r="F35" s="218">
        <f>IFERROR(E10-F34,0)</f>
        <v>0</v>
      </c>
      <c r="J35" s="200"/>
    </row>
    <row r="36" spans="1:46" hidden="1">
      <c r="A36" s="215"/>
      <c r="D36" s="191"/>
      <c r="E36" s="223"/>
      <c r="F36" s="191"/>
    </row>
    <row r="37" spans="1:46" hidden="1">
      <c r="A37" s="215"/>
      <c r="D37" s="191"/>
      <c r="E37" s="223"/>
      <c r="G37" s="189"/>
      <c r="M37"/>
      <c r="N37" s="189"/>
      <c r="S37"/>
      <c r="T37" s="189"/>
      <c r="Y37"/>
      <c r="Z37" s="189"/>
    </row>
    <row r="38" spans="1:46" hidden="1">
      <c r="A38" s="215"/>
      <c r="D38" s="191"/>
      <c r="E38" s="223"/>
      <c r="AB38"/>
    </row>
    <row r="39" spans="1:46">
      <c r="D39" s="191"/>
      <c r="E39" s="223"/>
    </row>
    <row r="41" spans="1:46">
      <c r="B41" t="s">
        <v>83</v>
      </c>
      <c r="C41" s="398"/>
      <c r="D41" s="398"/>
      <c r="E41" s="224" t="str">
        <f>IFERROR(VLOOKUP($AD$10,$AD$17:$AF$19,3,TRUE),"")</f>
        <v/>
      </c>
    </row>
  </sheetData>
  <sheetProtection algorithmName="SHA-512" hashValue="W/zCEXU1WVvYA248nUcJT98GYv54uIc5imVF+PcR8SSRIvRM2vSrxC6Y/5uEpNnClJwugurwrQk6ajEsYebR9Q==" saltValue="sTDXZU0tvBJ8eBCqVNMbMQ==" spinCount="100000" sheet="1" selectLockedCells="1"/>
  <mergeCells count="51">
    <mergeCell ref="E26:F26"/>
    <mergeCell ref="AA8:AB8"/>
    <mergeCell ref="I7:M7"/>
    <mergeCell ref="O7:S7"/>
    <mergeCell ref="U7:Y7"/>
    <mergeCell ref="E23:F23"/>
    <mergeCell ref="E22:F22"/>
    <mergeCell ref="E19:F19"/>
    <mergeCell ref="X23:Y23"/>
    <mergeCell ref="E21:F21"/>
    <mergeCell ref="C3:F3"/>
    <mergeCell ref="C4:F4"/>
    <mergeCell ref="C8:D8"/>
    <mergeCell ref="C5:F5"/>
    <mergeCell ref="C9:D9"/>
    <mergeCell ref="E9:F9"/>
    <mergeCell ref="E8:F8"/>
    <mergeCell ref="C7:D7"/>
    <mergeCell ref="E7:F7"/>
    <mergeCell ref="C10:D10"/>
    <mergeCell ref="E10:F10"/>
    <mergeCell ref="C15:D15"/>
    <mergeCell ref="C16:D16"/>
    <mergeCell ref="C17:D17"/>
    <mergeCell ref="C29:D29"/>
    <mergeCell ref="C28:D28"/>
    <mergeCell ref="C18:D18"/>
    <mergeCell ref="C20:D20"/>
    <mergeCell ref="C24:D24"/>
    <mergeCell ref="C25:D25"/>
    <mergeCell ref="C26:D26"/>
    <mergeCell ref="C22:D22"/>
    <mergeCell ref="C23:D23"/>
    <mergeCell ref="C19:D19"/>
    <mergeCell ref="C21:D21"/>
    <mergeCell ref="C41:D41"/>
    <mergeCell ref="E25:F25"/>
    <mergeCell ref="E24:F24"/>
    <mergeCell ref="E15:F15"/>
    <mergeCell ref="E16:F16"/>
    <mergeCell ref="E17:F17"/>
    <mergeCell ref="E18:F18"/>
    <mergeCell ref="E20:F20"/>
    <mergeCell ref="E31:F31"/>
    <mergeCell ref="E27:F27"/>
    <mergeCell ref="E28:F28"/>
    <mergeCell ref="E29:F29"/>
    <mergeCell ref="E30:F30"/>
    <mergeCell ref="C27:D27"/>
    <mergeCell ref="C31:D31"/>
    <mergeCell ref="C30:D30"/>
  </mergeCells>
  <conditionalFormatting sqref="C41">
    <cfRule type="expression" dxfId="42" priority="55">
      <formula>IF(C10&lt;$AE$21,TRUE,FALSE)</formula>
    </cfRule>
    <cfRule type="expression" dxfId="41" priority="56">
      <formula>IF($AD$9&lt;$AE$22,TRUE,FALSE)</formula>
    </cfRule>
    <cfRule type="expression" dxfId="40" priority="57">
      <formula>IF($AD$10&gt;=AD18,TRUE,FALSE)</formula>
    </cfRule>
    <cfRule type="expression" dxfId="39" priority="58">
      <formula>IF($AD$10&lt;$AD$18,TRUE,FALSE)</formula>
    </cfRule>
  </conditionalFormatting>
  <conditionalFormatting sqref="I4">
    <cfRule type="expression" dxfId="38" priority="59">
      <formula>IF(AH1048569&gt;#REF!,TRUE,FALSE)</formula>
    </cfRule>
    <cfRule type="expression" dxfId="37" priority="60">
      <formula>IF(AND($AD$10&gt;=$AD$18,$AD$10&lt;=$AE$18),TRUE,FALSE)</formula>
    </cfRule>
    <cfRule type="expression" dxfId="36" priority="61">
      <formula>IF($AD$10&lt;=$AE$17,TRUE,FALSE)</formula>
    </cfRule>
  </conditionalFormatting>
  <conditionalFormatting sqref="I20:M20 O20:S20 U20:Y20 AA20:AB20">
    <cfRule type="cellIs" dxfId="35" priority="12" operator="lessThan">
      <formula>0</formula>
    </cfRule>
    <cfRule type="cellIs" dxfId="34" priority="13" operator="greaterThanOrEqual">
      <formula>0</formula>
    </cfRule>
  </conditionalFormatting>
  <conditionalFormatting sqref="J4:K4">
    <cfRule type="cellIs" dxfId="33" priority="4" operator="lessThan">
      <formula>0</formula>
    </cfRule>
    <cfRule type="cellIs" dxfId="32" priority="5" operator="greaterThanOrEqual">
      <formula>0</formula>
    </cfRule>
  </conditionalFormatting>
  <dataValidations count="7">
    <dataValidation operator="greaterThanOrEqual" allowBlank="1" showErrorMessage="1" error="ไม่สามารถขอลดอัตราดอกเบี้ยนี้ได้" sqref="D12:D14 F12:F14" xr:uid="{C77E1944-F20A-445A-976B-E83544207A7B}"/>
    <dataValidation type="decimal" operator="greaterThanOrEqual" allowBlank="1" showErrorMessage="1" error="ไม่สามารถขอลดอัตราดอกเบี้ยปีที่ 1 ต่ำกว่า 1.59% ได้" sqref="F11" xr:uid="{4FB6A947-79AF-4EE4-9162-ABFBDF570E82}">
      <formula1>0.0159</formula1>
    </dataValidation>
    <dataValidation type="list" allowBlank="1" showInputMessage="1" showErrorMessage="1" sqref="C22:F22" xr:uid="{8292C738-2482-48E4-B763-68C1F21EF759}">
      <formula1>$AN$27:$AN$32</formula1>
    </dataValidation>
    <dataValidation type="list" allowBlank="1" showInputMessage="1" showErrorMessage="1" sqref="C23:F23" xr:uid="{4AD48D65-D416-4932-B45B-AA243099A273}">
      <formula1>$AP$27:$AP$32</formula1>
    </dataValidation>
    <dataValidation operator="greaterThanOrEqual" allowBlank="1" showInputMessage="1" showErrorMessage="1" promptTitle="ไม่ต้องกรอกเป็นเปอร์เซ็น" sqref="C21:F21" xr:uid="{D45F7CC4-2875-40FA-B95D-09810BC2F3CC}"/>
    <dataValidation type="decimal" operator="greaterThanOrEqual" allowBlank="1" showErrorMessage="1" error="ไม่สามารถขอลดอัตราดอกเบี้ยปีที่ 1 ต่ำกว่า 1.59% ได้" sqref="D11" xr:uid="{14EAD72B-79D5-4B2C-8988-E0D8963EE2D3}">
      <formula1>0.0144</formula1>
    </dataValidation>
    <dataValidation type="list" allowBlank="1" showInputMessage="1" showErrorMessage="1" sqref="E18:F18" xr:uid="{5607ACAC-420D-4276-9913-4D1F131215F3}">
      <formula1>$AL$34</formula1>
    </dataValidation>
  </dataValidations>
  <pageMargins left="0.7" right="0.7" top="0.75" bottom="0.75" header="0.3" footer="0.3"/>
  <pageSetup paperSize="9" orientation="portrait" r:id="rId1"/>
  <ignoredErrors>
    <ignoredError sqref="E10" formulaRange="1"/>
    <ignoredError sqref="O8:S8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E15C6EF-5E04-4CF0-8291-9E9B8FD048F0}">
          <x14:formula1>
            <xm:f>pam!$I$2:$I$4</xm:f>
          </x14:formula1>
          <xm:sqref>C16 E16 C25 E25</xm:sqref>
        </x14:dataValidation>
        <x14:dataValidation type="list" allowBlank="1" showInputMessage="1" showErrorMessage="1" xr:uid="{D66CF271-0F6B-4B45-B8C1-4877D60DCAF5}">
          <x14:formula1>
            <xm:f>pam!$N$2:$N$4</xm:f>
          </x14:formula1>
          <xm:sqref>C11:C14 E11:E14</xm:sqref>
        </x14:dataValidation>
        <x14:dataValidation type="list" allowBlank="1" showInputMessage="1" showErrorMessage="1" xr:uid="{A6BC1ACF-03F5-4C06-8CFA-E7AB74028387}">
          <x14:formula1>
            <xm:f>pam!$B$2:$B$4</xm:f>
          </x14:formula1>
          <xm:sqref>C17 E17</xm:sqref>
        </x14:dataValidation>
        <x14:dataValidation type="list" allowBlank="1" showInputMessage="1" showErrorMessage="1" xr:uid="{C26EFC77-8026-4DAE-8304-AB87F4135DEE}">
          <x14:formula1>
            <xm:f>pam!$G$2:$G$5</xm:f>
          </x14:formula1>
          <xm:sqref>C24 E24</xm:sqref>
        </x14:dataValidation>
        <x14:dataValidation type="list" allowBlank="1" showInputMessage="1" showErrorMessage="1" xr:uid="{9860BF0B-8371-48CE-A33D-5AF841A86A05}">
          <x14:formula1>
            <xm:f>pam!$L$2:$L$4</xm:f>
          </x14:formula1>
          <xm:sqref>C26:D26</xm:sqref>
        </x14:dataValidation>
        <x14:dataValidation type="list" allowBlank="1" showInputMessage="1" showErrorMessage="1" xr:uid="{F6175418-6CF8-4B6E-A803-BE9073D02CFA}">
          <x14:formula1>
            <xm:f>pam!$F$2:$F$6</xm:f>
          </x14:formula1>
          <xm:sqref>E20</xm:sqref>
        </x14:dataValidation>
        <x14:dataValidation type="list" allowBlank="1" showInputMessage="1" showErrorMessage="1" xr:uid="{275653BF-EDD8-4F7E-87D5-B82608DF4E74}">
          <x14:formula1>
            <xm:f>pam!$C$3:$C$9</xm:f>
          </x14:formula1>
          <xm:sqref>C18:D18</xm:sqref>
        </x14:dataValidation>
        <x14:dataValidation type="list" allowBlank="1" showInputMessage="1" showErrorMessage="1" xr:uid="{0FF7FE5B-0CE2-4D31-A84B-5F54F037E7C8}">
          <x14:formula1>
            <xm:f>pam!$F$3:$F$6</xm:f>
          </x14:formula1>
          <xm:sqref>C20:D20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AF8C-925A-45EE-B670-3BBEA9608F80}">
  <sheetPr codeName="Sheet7">
    <tabColor rgb="FFFFCCCC"/>
  </sheetPr>
  <dimension ref="A1:P37"/>
  <sheetViews>
    <sheetView zoomScaleNormal="100" workbookViewId="0">
      <selection activeCell="J39" sqref="J39"/>
    </sheetView>
  </sheetViews>
  <sheetFormatPr defaultRowHeight="12.75"/>
  <cols>
    <col min="1" max="1" width="5" style="349" customWidth="1"/>
    <col min="2" max="2" width="8.5703125" style="349" customWidth="1"/>
    <col min="3" max="3" width="5.5703125" style="349" customWidth="1"/>
    <col min="4" max="4" width="3.28515625" style="349" customWidth="1"/>
    <col min="5" max="5" width="5.5703125" style="349" customWidth="1"/>
    <col min="6" max="7" width="6.140625" style="349" customWidth="1"/>
    <col min="8" max="8" width="8.85546875" style="349" customWidth="1"/>
    <col min="9" max="10" width="6.140625" style="349" customWidth="1"/>
    <col min="11" max="11" width="8.85546875" style="350" customWidth="1"/>
    <col min="12" max="13" width="8.85546875" style="349" customWidth="1"/>
    <col min="14" max="14" width="26" style="349" customWidth="1"/>
    <col min="15" max="15" width="4" style="338" customWidth="1"/>
    <col min="16" max="16384" width="9.140625" style="338"/>
  </cols>
  <sheetData>
    <row r="1" spans="1:16" ht="15.75" customHeight="1">
      <c r="A1" s="463" t="s">
        <v>1254</v>
      </c>
      <c r="B1" s="464"/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354" t="str">
        <f>'1.ลดดอกเบี้ย'!F1</f>
        <v xml:space="preserve"> v.202608.01</v>
      </c>
    </row>
    <row r="2" spans="1:16" s="339" customFormat="1" ht="15.75" customHeight="1">
      <c r="A2" s="438" t="s">
        <v>208</v>
      </c>
      <c r="B2" s="438"/>
      <c r="C2" s="453" t="s">
        <v>146</v>
      </c>
      <c r="D2" s="453"/>
      <c r="E2" s="453"/>
      <c r="F2" s="453" t="s">
        <v>178</v>
      </c>
      <c r="G2" s="453"/>
      <c r="H2" s="453"/>
      <c r="I2" s="453" t="s">
        <v>179</v>
      </c>
      <c r="J2" s="453"/>
      <c r="K2" s="453"/>
      <c r="L2" s="233" t="s">
        <v>180</v>
      </c>
      <c r="M2" s="453" t="s">
        <v>181</v>
      </c>
      <c r="N2" s="453"/>
    </row>
    <row r="3" spans="1:16" s="339" customFormat="1" ht="15.75" customHeight="1">
      <c r="A3" s="438" t="s">
        <v>207</v>
      </c>
      <c r="B3" s="438"/>
      <c r="C3" s="242">
        <v>1</v>
      </c>
      <c r="D3" s="238" t="s">
        <v>182</v>
      </c>
      <c r="E3" s="340">
        <v>12</v>
      </c>
      <c r="F3" s="454"/>
      <c r="G3" s="455"/>
      <c r="H3" s="351"/>
      <c r="I3" s="465">
        <f>'1.ลดดอกเบี้ย'!C11</f>
        <v>0</v>
      </c>
      <c r="J3" s="466"/>
      <c r="K3" s="247">
        <f>'1.ลดดอกเบี้ย'!D11</f>
        <v>0</v>
      </c>
      <c r="L3" s="232"/>
      <c r="M3" s="246"/>
      <c r="N3" s="458" t="s">
        <v>1251</v>
      </c>
      <c r="P3" t="s">
        <v>72</v>
      </c>
    </row>
    <row r="4" spans="1:16" s="339" customFormat="1" ht="15.75" customHeight="1">
      <c r="A4" s="461">
        <f>'1.ลดดอกเบี้ย'!C5</f>
        <v>0</v>
      </c>
      <c r="B4" s="461"/>
      <c r="C4" s="341">
        <f>E3+1</f>
        <v>13</v>
      </c>
      <c r="D4" s="238" t="s">
        <v>182</v>
      </c>
      <c r="E4" s="340">
        <v>24</v>
      </c>
      <c r="F4" s="454"/>
      <c r="G4" s="455"/>
      <c r="H4" s="351"/>
      <c r="I4" s="465">
        <f>'1.ลดดอกเบี้ย'!C12</f>
        <v>0</v>
      </c>
      <c r="J4" s="466"/>
      <c r="K4" s="247">
        <f>'1.ลดดอกเบี้ย'!D12</f>
        <v>0</v>
      </c>
      <c r="L4" s="232"/>
      <c r="M4" s="246"/>
      <c r="N4" s="459"/>
    </row>
    <row r="5" spans="1:16" s="339" customFormat="1" ht="15.75" customHeight="1">
      <c r="A5" s="462"/>
      <c r="B5" s="462"/>
      <c r="C5" s="341">
        <f>E4+1</f>
        <v>25</v>
      </c>
      <c r="D5" s="238" t="s">
        <v>182</v>
      </c>
      <c r="E5" s="340">
        <v>36</v>
      </c>
      <c r="F5" s="454"/>
      <c r="G5" s="455"/>
      <c r="H5" s="351"/>
      <c r="I5" s="465">
        <f>'1.ลดดอกเบี้ย'!C13</f>
        <v>0</v>
      </c>
      <c r="J5" s="466"/>
      <c r="K5" s="247">
        <f>'1.ลดดอกเบี้ย'!D13</f>
        <v>0</v>
      </c>
      <c r="L5" s="232"/>
      <c r="M5" s="246"/>
      <c r="N5" s="459"/>
    </row>
    <row r="6" spans="1:16" s="339" customFormat="1" ht="15.75" customHeight="1">
      <c r="A6" s="244"/>
      <c r="B6" s="245"/>
      <c r="C6" s="341">
        <v>37</v>
      </c>
      <c r="D6" s="238" t="s">
        <v>182</v>
      </c>
      <c r="E6" s="243" t="s">
        <v>183</v>
      </c>
      <c r="F6" s="454"/>
      <c r="G6" s="455"/>
      <c r="H6" s="351"/>
      <c r="I6" s="465">
        <f>'1.ลดดอกเบี้ย'!C14</f>
        <v>0</v>
      </c>
      <c r="J6" s="466"/>
      <c r="K6" s="247">
        <f>'1.ลดดอกเบี้ย'!D14</f>
        <v>0</v>
      </c>
      <c r="L6" s="232"/>
      <c r="M6" s="246"/>
      <c r="N6" s="460"/>
    </row>
    <row r="7" spans="1:16" s="339" customFormat="1" ht="15.75" customHeight="1">
      <c r="A7" s="236"/>
      <c r="B7" s="237"/>
      <c r="C7" s="342"/>
      <c r="D7" s="238"/>
      <c r="E7" s="239"/>
      <c r="F7" s="450" t="s">
        <v>205</v>
      </c>
      <c r="G7" s="451"/>
      <c r="H7" s="240" t="e">
        <f>AVERAGE(H3:H5)</f>
        <v>#DIV/0!</v>
      </c>
      <c r="I7" s="242"/>
      <c r="J7" s="343"/>
      <c r="K7" s="240">
        <f>AVERAGE(K3:K5)</f>
        <v>0</v>
      </c>
      <c r="L7" s="241" t="e">
        <f>K7-H7</f>
        <v>#DIV/0!</v>
      </c>
      <c r="M7" s="344"/>
      <c r="N7" s="345"/>
    </row>
    <row r="8" spans="1:16" ht="6" customHeight="1">
      <c r="A8" s="227"/>
      <c r="B8" s="228"/>
      <c r="C8" s="228"/>
      <c r="D8" s="228"/>
      <c r="E8" s="229"/>
      <c r="F8" s="229"/>
      <c r="G8" s="229"/>
      <c r="H8" s="230"/>
      <c r="I8" s="229"/>
      <c r="J8" s="229"/>
      <c r="K8" s="230"/>
      <c r="L8" s="231"/>
      <c r="M8" s="230"/>
      <c r="N8" s="229"/>
    </row>
    <row r="9" spans="1:16" ht="15.75" customHeight="1">
      <c r="A9" s="438" t="s">
        <v>70</v>
      </c>
      <c r="B9" s="438"/>
      <c r="C9" s="438"/>
      <c r="D9" s="438"/>
      <c r="E9" s="452">
        <f>'1.ลดดอกเบี้ย'!C3</f>
        <v>0</v>
      </c>
      <c r="F9" s="452"/>
      <c r="G9" s="452"/>
      <c r="H9" s="452"/>
      <c r="I9" s="452"/>
      <c r="J9" s="452"/>
      <c r="K9" s="452"/>
      <c r="L9" s="453" t="s">
        <v>184</v>
      </c>
      <c r="M9" s="453"/>
      <c r="N9" s="346">
        <f>'1.ลดดอกเบี้ย'!C4</f>
        <v>0</v>
      </c>
    </row>
    <row r="10" spans="1:16" ht="15.75" customHeight="1">
      <c r="A10" s="438" t="s">
        <v>185</v>
      </c>
      <c r="B10" s="438"/>
      <c r="C10" s="438"/>
      <c r="D10" s="438"/>
      <c r="E10" s="452">
        <f>'1.ลดดอกเบี้ย'!C24</f>
        <v>0</v>
      </c>
      <c r="F10" s="452"/>
      <c r="G10" s="452"/>
      <c r="H10" s="452"/>
      <c r="I10" s="452"/>
      <c r="J10" s="452"/>
      <c r="K10" s="452"/>
      <c r="L10" s="440" t="s">
        <v>186</v>
      </c>
      <c r="M10" s="440"/>
      <c r="N10" s="235"/>
    </row>
    <row r="11" spans="1:16" ht="15.75" customHeight="1">
      <c r="A11" s="438" t="s">
        <v>187</v>
      </c>
      <c r="B11" s="438"/>
      <c r="C11" s="438"/>
      <c r="D11" s="438"/>
      <c r="E11" s="447"/>
      <c r="F11" s="447"/>
      <c r="G11" s="447"/>
      <c r="H11" s="447"/>
      <c r="I11" s="447"/>
      <c r="J11" s="447"/>
      <c r="K11" s="440" t="s">
        <v>188</v>
      </c>
      <c r="L11" s="440"/>
      <c r="M11" s="448"/>
      <c r="N11" s="448"/>
    </row>
    <row r="12" spans="1:16" ht="15.75" customHeight="1">
      <c r="A12" s="438" t="s">
        <v>189</v>
      </c>
      <c r="B12" s="438"/>
      <c r="C12" s="438"/>
      <c r="D12" s="438"/>
      <c r="E12" s="448"/>
      <c r="F12" s="448"/>
      <c r="G12" s="448"/>
      <c r="H12" s="448"/>
      <c r="I12" s="448"/>
      <c r="J12" s="448"/>
      <c r="K12" s="449" t="s">
        <v>190</v>
      </c>
      <c r="L12" s="440"/>
      <c r="M12" s="448"/>
      <c r="N12" s="448"/>
    </row>
    <row r="13" spans="1:16" ht="15.75" customHeight="1">
      <c r="A13" s="438" t="s">
        <v>203</v>
      </c>
      <c r="B13" s="438"/>
      <c r="C13" s="438"/>
      <c r="D13" s="438"/>
      <c r="E13" s="441">
        <f>'1.ลดดอกเบี้ย'!C18</f>
        <v>0</v>
      </c>
      <c r="F13" s="441"/>
      <c r="G13" s="441"/>
      <c r="H13" s="441"/>
      <c r="I13" s="441"/>
      <c r="J13" s="441"/>
      <c r="K13" s="440" t="s">
        <v>191</v>
      </c>
      <c r="L13" s="440"/>
      <c r="M13" s="347">
        <f>'1.ลดดอกเบี้ย'!C9</f>
        <v>0</v>
      </c>
      <c r="N13" s="234" t="s">
        <v>192</v>
      </c>
    </row>
    <row r="14" spans="1:16" ht="15.75" customHeight="1">
      <c r="A14" s="438" t="s">
        <v>193</v>
      </c>
      <c r="B14" s="438"/>
      <c r="C14" s="438"/>
      <c r="D14" s="438"/>
      <c r="E14" s="443" t="s">
        <v>194</v>
      </c>
      <c r="F14" s="444"/>
      <c r="G14" s="445">
        <f>'1.ลดดอกเบี้ย'!C8</f>
        <v>0</v>
      </c>
      <c r="H14" s="445"/>
      <c r="I14" s="445"/>
      <c r="J14" s="445"/>
      <c r="K14" s="445"/>
      <c r="L14" s="445"/>
      <c r="M14" s="446"/>
      <c r="N14" s="234" t="s">
        <v>177</v>
      </c>
    </row>
    <row r="15" spans="1:16" ht="15.75" customHeight="1">
      <c r="A15" s="438" t="s">
        <v>193</v>
      </c>
      <c r="B15" s="438"/>
      <c r="C15" s="438"/>
      <c r="D15" s="438"/>
      <c r="E15" s="443" t="s">
        <v>1243</v>
      </c>
      <c r="F15" s="444"/>
      <c r="G15" s="444"/>
      <c r="H15" s="445">
        <f>'1.ลดดอกเบี้ย'!C15</f>
        <v>0</v>
      </c>
      <c r="I15" s="445"/>
      <c r="J15" s="445"/>
      <c r="K15" s="445"/>
      <c r="L15" s="445"/>
      <c r="M15" s="446"/>
      <c r="N15" s="234" t="s">
        <v>177</v>
      </c>
    </row>
    <row r="16" spans="1:16" ht="32.25" customHeight="1">
      <c r="A16" s="438" t="s">
        <v>195</v>
      </c>
      <c r="B16" s="438"/>
      <c r="C16" s="438"/>
      <c r="D16" s="438"/>
      <c r="E16" s="442" t="s">
        <v>196</v>
      </c>
      <c r="F16" s="442"/>
      <c r="G16" s="442"/>
      <c r="H16" s="442"/>
      <c r="I16" s="442"/>
      <c r="J16" s="442"/>
      <c r="K16" s="442"/>
      <c r="L16" s="442"/>
      <c r="M16" s="442"/>
      <c r="N16" s="442"/>
    </row>
    <row r="17" spans="1:16" ht="15.75" customHeight="1">
      <c r="A17" s="438" t="s">
        <v>115</v>
      </c>
      <c r="B17" s="438"/>
      <c r="C17" s="438"/>
      <c r="D17" s="438"/>
      <c r="E17" s="439"/>
      <c r="F17" s="439"/>
      <c r="G17" s="439"/>
      <c r="H17" s="440" t="s">
        <v>197</v>
      </c>
      <c r="I17" s="440"/>
      <c r="J17" s="439"/>
      <c r="K17" s="439"/>
      <c r="L17" s="440" t="s">
        <v>198</v>
      </c>
      <c r="M17" s="440"/>
      <c r="N17" s="346">
        <f>'1.ลดดอกเบี้ย'!C20</f>
        <v>0</v>
      </c>
    </row>
    <row r="19" spans="1:16">
      <c r="A19" s="348" t="s">
        <v>1240</v>
      </c>
    </row>
    <row r="21" spans="1:16" ht="12.75" customHeight="1">
      <c r="A21" s="467" t="s">
        <v>1255</v>
      </c>
      <c r="B21" s="468"/>
      <c r="C21" s="468"/>
      <c r="D21" s="468"/>
      <c r="E21" s="468"/>
      <c r="F21" s="468"/>
      <c r="G21" s="468"/>
      <c r="H21" s="468"/>
      <c r="I21" s="468"/>
      <c r="J21" s="468"/>
      <c r="K21" s="468"/>
      <c r="L21" s="468"/>
      <c r="M21" s="469"/>
      <c r="N21" s="355" t="str">
        <f>'1.ลดดอกเบี้ย'!F1</f>
        <v xml:space="preserve"> v.202608.01</v>
      </c>
    </row>
    <row r="22" spans="1:16" ht="15.75" customHeight="1">
      <c r="A22" s="438" t="s">
        <v>208</v>
      </c>
      <c r="B22" s="438"/>
      <c r="C22" s="453" t="s">
        <v>146</v>
      </c>
      <c r="D22" s="453"/>
      <c r="E22" s="453"/>
      <c r="F22" s="453" t="s">
        <v>178</v>
      </c>
      <c r="G22" s="453"/>
      <c r="H22" s="453"/>
      <c r="I22" s="453" t="s">
        <v>179</v>
      </c>
      <c r="J22" s="453"/>
      <c r="K22" s="453"/>
      <c r="L22" s="233" t="s">
        <v>180</v>
      </c>
      <c r="M22" s="453" t="s">
        <v>181</v>
      </c>
      <c r="N22" s="453"/>
    </row>
    <row r="23" spans="1:16" ht="15.75" customHeight="1">
      <c r="A23" s="438" t="s">
        <v>207</v>
      </c>
      <c r="B23" s="438"/>
      <c r="C23" s="242">
        <v>1</v>
      </c>
      <c r="D23" s="238" t="s">
        <v>182</v>
      </c>
      <c r="E23" s="340">
        <v>12</v>
      </c>
      <c r="F23" s="454"/>
      <c r="G23" s="455"/>
      <c r="H23" s="351"/>
      <c r="I23" s="456">
        <f>'1.ลดดอกเบี้ย'!E11</f>
        <v>0</v>
      </c>
      <c r="J23" s="457"/>
      <c r="K23" s="247">
        <f>'1.ลดดอกเบี้ย'!F11</f>
        <v>0</v>
      </c>
      <c r="L23" s="232"/>
      <c r="M23" s="246"/>
      <c r="N23" s="458" t="s">
        <v>1251</v>
      </c>
      <c r="P23" t="s">
        <v>72</v>
      </c>
    </row>
    <row r="24" spans="1:16" ht="15.75" customHeight="1">
      <c r="A24" s="461">
        <f>'1.ลดดอกเบี้ย'!C5</f>
        <v>0</v>
      </c>
      <c r="B24" s="461"/>
      <c r="C24" s="341">
        <f>E23+1</f>
        <v>13</v>
      </c>
      <c r="D24" s="238" t="s">
        <v>182</v>
      </c>
      <c r="E24" s="340">
        <v>24</v>
      </c>
      <c r="F24" s="454"/>
      <c r="G24" s="455"/>
      <c r="H24" s="351"/>
      <c r="I24" s="456">
        <f>'1.ลดดอกเบี้ย'!E12</f>
        <v>0</v>
      </c>
      <c r="J24" s="457"/>
      <c r="K24" s="247">
        <f>'1.ลดดอกเบี้ย'!F12</f>
        <v>0</v>
      </c>
      <c r="L24" s="232"/>
      <c r="M24" s="246"/>
      <c r="N24" s="459"/>
    </row>
    <row r="25" spans="1:16" ht="15.75" customHeight="1">
      <c r="A25" s="462"/>
      <c r="B25" s="462"/>
      <c r="C25" s="341">
        <f>E24+1</f>
        <v>25</v>
      </c>
      <c r="D25" s="238" t="s">
        <v>182</v>
      </c>
      <c r="E25" s="340">
        <v>36</v>
      </c>
      <c r="F25" s="454"/>
      <c r="G25" s="455"/>
      <c r="H25" s="351"/>
      <c r="I25" s="456">
        <f>'1.ลดดอกเบี้ย'!E13</f>
        <v>0</v>
      </c>
      <c r="J25" s="457"/>
      <c r="K25" s="247">
        <f>'1.ลดดอกเบี้ย'!F13</f>
        <v>0</v>
      </c>
      <c r="L25" s="232"/>
      <c r="M25" s="246"/>
      <c r="N25" s="459"/>
    </row>
    <row r="26" spans="1:16" ht="15.75" customHeight="1">
      <c r="A26" s="244"/>
      <c r="B26" s="245"/>
      <c r="C26" s="341">
        <v>37</v>
      </c>
      <c r="D26" s="238" t="s">
        <v>182</v>
      </c>
      <c r="E26" s="243" t="s">
        <v>183</v>
      </c>
      <c r="F26" s="454"/>
      <c r="G26" s="455"/>
      <c r="H26" s="351"/>
      <c r="I26" s="456">
        <f>'1.ลดดอกเบี้ย'!E14</f>
        <v>0</v>
      </c>
      <c r="J26" s="457"/>
      <c r="K26" s="247">
        <f>'1.ลดดอกเบี้ย'!F14</f>
        <v>0</v>
      </c>
      <c r="L26" s="232"/>
      <c r="M26" s="246"/>
      <c r="N26" s="460"/>
    </row>
    <row r="27" spans="1:16" ht="15.75" customHeight="1">
      <c r="A27" s="236"/>
      <c r="B27" s="237"/>
      <c r="C27" s="342"/>
      <c r="D27" s="238"/>
      <c r="E27" s="239"/>
      <c r="F27" s="450" t="s">
        <v>205</v>
      </c>
      <c r="G27" s="451"/>
      <c r="H27" s="240" t="e">
        <f>AVERAGE(H23:H25)</f>
        <v>#DIV/0!</v>
      </c>
      <c r="I27" s="242"/>
      <c r="J27" s="343"/>
      <c r="K27" s="240">
        <f>AVERAGE(K23:K25)</f>
        <v>0</v>
      </c>
      <c r="L27" s="241" t="e">
        <f>K27-H27</f>
        <v>#DIV/0!</v>
      </c>
      <c r="M27" s="344"/>
      <c r="N27" s="345"/>
    </row>
    <row r="28" spans="1:16" ht="6" customHeight="1">
      <c r="A28" s="227"/>
      <c r="B28" s="228"/>
      <c r="C28" s="228"/>
      <c r="D28" s="228"/>
      <c r="E28" s="229"/>
      <c r="F28" s="229"/>
      <c r="G28" s="229"/>
      <c r="H28" s="230"/>
      <c r="I28" s="229"/>
      <c r="J28" s="229"/>
      <c r="K28" s="230"/>
      <c r="L28" s="231"/>
      <c r="M28" s="230"/>
      <c r="N28" s="229"/>
    </row>
    <row r="29" spans="1:16" ht="15.75" customHeight="1">
      <c r="A29" s="438" t="s">
        <v>70</v>
      </c>
      <c r="B29" s="438"/>
      <c r="C29" s="438"/>
      <c r="D29" s="438"/>
      <c r="E29" s="452">
        <f>'1.ลดดอกเบี้ย'!C3</f>
        <v>0</v>
      </c>
      <c r="F29" s="452"/>
      <c r="G29" s="452"/>
      <c r="H29" s="452"/>
      <c r="I29" s="452"/>
      <c r="J29" s="452"/>
      <c r="K29" s="452"/>
      <c r="L29" s="453" t="s">
        <v>184</v>
      </c>
      <c r="M29" s="453"/>
      <c r="N29" s="346">
        <f>'1.ลดดอกเบี้ย'!C4</f>
        <v>0</v>
      </c>
    </row>
    <row r="30" spans="1:16" ht="15.75" customHeight="1">
      <c r="A30" s="438" t="s">
        <v>185</v>
      </c>
      <c r="B30" s="438"/>
      <c r="C30" s="438"/>
      <c r="D30" s="438"/>
      <c r="E30" s="452">
        <f>'1.ลดดอกเบี้ย'!E24</f>
        <v>0</v>
      </c>
      <c r="F30" s="452"/>
      <c r="G30" s="452"/>
      <c r="H30" s="452"/>
      <c r="I30" s="452"/>
      <c r="J30" s="452"/>
      <c r="K30" s="452"/>
      <c r="L30" s="440" t="s">
        <v>186</v>
      </c>
      <c r="M30" s="440"/>
      <c r="N30" s="235"/>
    </row>
    <row r="31" spans="1:16" ht="15.75" customHeight="1">
      <c r="A31" s="438" t="s">
        <v>187</v>
      </c>
      <c r="B31" s="438"/>
      <c r="C31" s="438"/>
      <c r="D31" s="438"/>
      <c r="E31" s="447"/>
      <c r="F31" s="447"/>
      <c r="G31" s="447"/>
      <c r="H31" s="447"/>
      <c r="I31" s="447"/>
      <c r="J31" s="447"/>
      <c r="K31" s="440" t="s">
        <v>188</v>
      </c>
      <c r="L31" s="440"/>
      <c r="M31" s="448"/>
      <c r="N31" s="448"/>
    </row>
    <row r="32" spans="1:16" ht="15.75" customHeight="1">
      <c r="A32" s="438" t="s">
        <v>189</v>
      </c>
      <c r="B32" s="438"/>
      <c r="C32" s="438"/>
      <c r="D32" s="438"/>
      <c r="E32" s="448"/>
      <c r="F32" s="448"/>
      <c r="G32" s="448"/>
      <c r="H32" s="448"/>
      <c r="I32" s="448"/>
      <c r="J32" s="448"/>
      <c r="K32" s="449" t="s">
        <v>190</v>
      </c>
      <c r="L32" s="440"/>
      <c r="M32" s="448"/>
      <c r="N32" s="448"/>
    </row>
    <row r="33" spans="1:14" ht="15.75" customHeight="1">
      <c r="A33" s="438" t="s">
        <v>203</v>
      </c>
      <c r="B33" s="438"/>
      <c r="C33" s="438"/>
      <c r="D33" s="438"/>
      <c r="E33" s="441" t="s">
        <v>1239</v>
      </c>
      <c r="F33" s="441"/>
      <c r="G33" s="441"/>
      <c r="H33" s="441"/>
      <c r="I33" s="441"/>
      <c r="J33" s="441"/>
      <c r="K33" s="440" t="s">
        <v>191</v>
      </c>
      <c r="L33" s="440"/>
      <c r="M33" s="347">
        <f>'1.ลดดอกเบี้ย'!E9</f>
        <v>0</v>
      </c>
      <c r="N33" s="234" t="s">
        <v>192</v>
      </c>
    </row>
    <row r="34" spans="1:14" ht="15.75" customHeight="1">
      <c r="A34" s="438" t="s">
        <v>193</v>
      </c>
      <c r="B34" s="438"/>
      <c r="C34" s="438"/>
      <c r="D34" s="438"/>
      <c r="E34" s="443" t="s">
        <v>1244</v>
      </c>
      <c r="F34" s="444"/>
      <c r="G34" s="444"/>
      <c r="H34" s="445">
        <f>'1.ลดดอกเบี้ย'!E8</f>
        <v>0</v>
      </c>
      <c r="I34" s="445"/>
      <c r="J34" s="445"/>
      <c r="K34" s="445"/>
      <c r="L34" s="445"/>
      <c r="M34" s="446"/>
      <c r="N34" s="234" t="s">
        <v>177</v>
      </c>
    </row>
    <row r="35" spans="1:14" ht="15.75" customHeight="1">
      <c r="A35" s="438" t="s">
        <v>193</v>
      </c>
      <c r="B35" s="438"/>
      <c r="C35" s="438"/>
      <c r="D35" s="438"/>
      <c r="E35" s="443" t="s">
        <v>1243</v>
      </c>
      <c r="F35" s="444"/>
      <c r="G35" s="444"/>
      <c r="H35" s="445">
        <f>'1.ลดดอกเบี้ย'!E15</f>
        <v>0</v>
      </c>
      <c r="I35" s="445"/>
      <c r="J35" s="445"/>
      <c r="K35" s="445"/>
      <c r="L35" s="445"/>
      <c r="M35" s="446"/>
      <c r="N35" s="234" t="s">
        <v>177</v>
      </c>
    </row>
    <row r="36" spans="1:14" ht="32.25" customHeight="1">
      <c r="A36" s="438" t="s">
        <v>195</v>
      </c>
      <c r="B36" s="438"/>
      <c r="C36" s="438"/>
      <c r="D36" s="438"/>
      <c r="E36" s="442" t="s">
        <v>196</v>
      </c>
      <c r="F36" s="442"/>
      <c r="G36" s="442"/>
      <c r="H36" s="442"/>
      <c r="I36" s="442"/>
      <c r="J36" s="442"/>
      <c r="K36" s="442"/>
      <c r="L36" s="442"/>
      <c r="M36" s="442"/>
      <c r="N36" s="442"/>
    </row>
    <row r="37" spans="1:14" ht="15.75" customHeight="1">
      <c r="A37" s="438" t="s">
        <v>115</v>
      </c>
      <c r="B37" s="438"/>
      <c r="C37" s="438"/>
      <c r="D37" s="438"/>
      <c r="E37" s="439"/>
      <c r="F37" s="439"/>
      <c r="G37" s="439"/>
      <c r="H37" s="440" t="s">
        <v>197</v>
      </c>
      <c r="I37" s="440"/>
      <c r="J37" s="439"/>
      <c r="K37" s="439"/>
      <c r="L37" s="440" t="s">
        <v>198</v>
      </c>
      <c r="M37" s="440"/>
      <c r="N37" s="346">
        <f>'1.ลดดอกเบี้ย'!E20</f>
        <v>0</v>
      </c>
    </row>
  </sheetData>
  <sheetProtection algorithmName="SHA-512" hashValue="LcB00MJYu+f2x6m6+3ACe6lCGEhKl54G53v/GMOg/oD3PI7LlivlbsPdGVsAF6Kaky5gE5bqtIys9BnZ8rW19g==" saltValue="egBASKU4maLDC6wSz9jUNA==" spinCount="100000" sheet="1" objects="1" scenarios="1"/>
  <mergeCells count="98">
    <mergeCell ref="A21:M21"/>
    <mergeCell ref="A17:D17"/>
    <mergeCell ref="E17:G17"/>
    <mergeCell ref="H17:I17"/>
    <mergeCell ref="J17:K17"/>
    <mergeCell ref="L17:M17"/>
    <mergeCell ref="A14:D14"/>
    <mergeCell ref="E14:F14"/>
    <mergeCell ref="G14:M14"/>
    <mergeCell ref="A16:D16"/>
    <mergeCell ref="E16:N16"/>
    <mergeCell ref="A15:D15"/>
    <mergeCell ref="E15:G15"/>
    <mergeCell ref="H15:M15"/>
    <mergeCell ref="A12:D12"/>
    <mergeCell ref="E12:J12"/>
    <mergeCell ref="K12:L12"/>
    <mergeCell ref="M12:N12"/>
    <mergeCell ref="A13:D13"/>
    <mergeCell ref="E13:J13"/>
    <mergeCell ref="K13:L13"/>
    <mergeCell ref="K11:L11"/>
    <mergeCell ref="M11:N11"/>
    <mergeCell ref="A9:D9"/>
    <mergeCell ref="E9:K9"/>
    <mergeCell ref="L9:M9"/>
    <mergeCell ref="A10:D10"/>
    <mergeCell ref="E10:K10"/>
    <mergeCell ref="L10:M10"/>
    <mergeCell ref="I4:J4"/>
    <mergeCell ref="I5:J5"/>
    <mergeCell ref="A11:D11"/>
    <mergeCell ref="E11:J11"/>
    <mergeCell ref="F7:G7"/>
    <mergeCell ref="A2:B2"/>
    <mergeCell ref="C2:E2"/>
    <mergeCell ref="F2:H2"/>
    <mergeCell ref="I2:K2"/>
    <mergeCell ref="M2:N2"/>
    <mergeCell ref="A1:M1"/>
    <mergeCell ref="N3:N6"/>
    <mergeCell ref="A22:B22"/>
    <mergeCell ref="C22:E22"/>
    <mergeCell ref="F22:H22"/>
    <mergeCell ref="I22:K22"/>
    <mergeCell ref="M22:N22"/>
    <mergeCell ref="I6:J6"/>
    <mergeCell ref="F3:G3"/>
    <mergeCell ref="F4:G4"/>
    <mergeCell ref="F5:G5"/>
    <mergeCell ref="F6:G6"/>
    <mergeCell ref="A3:B3"/>
    <mergeCell ref="A4:B4"/>
    <mergeCell ref="A5:B5"/>
    <mergeCell ref="I3:J3"/>
    <mergeCell ref="A23:B23"/>
    <mergeCell ref="F23:G23"/>
    <mergeCell ref="I23:J23"/>
    <mergeCell ref="N23:N26"/>
    <mergeCell ref="A24:B24"/>
    <mergeCell ref="F24:G24"/>
    <mergeCell ref="I24:J24"/>
    <mergeCell ref="A25:B25"/>
    <mergeCell ref="F25:G25"/>
    <mergeCell ref="I25:J25"/>
    <mergeCell ref="F26:G26"/>
    <mergeCell ref="I26:J26"/>
    <mergeCell ref="F27:G27"/>
    <mergeCell ref="A29:D29"/>
    <mergeCell ref="E29:K29"/>
    <mergeCell ref="L29:M29"/>
    <mergeCell ref="A30:D30"/>
    <mergeCell ref="E30:K30"/>
    <mergeCell ref="L30:M30"/>
    <mergeCell ref="A31:D31"/>
    <mergeCell ref="E31:J31"/>
    <mergeCell ref="K31:L31"/>
    <mergeCell ref="M31:N31"/>
    <mergeCell ref="A32:D32"/>
    <mergeCell ref="E32:J32"/>
    <mergeCell ref="K32:L32"/>
    <mergeCell ref="M32:N32"/>
    <mergeCell ref="A33:D33"/>
    <mergeCell ref="E33:J33"/>
    <mergeCell ref="K33:L33"/>
    <mergeCell ref="A34:D34"/>
    <mergeCell ref="A36:D36"/>
    <mergeCell ref="E36:N36"/>
    <mergeCell ref="A35:D35"/>
    <mergeCell ref="E35:G35"/>
    <mergeCell ref="H35:M35"/>
    <mergeCell ref="E34:G34"/>
    <mergeCell ref="H34:M34"/>
    <mergeCell ref="A37:D37"/>
    <mergeCell ref="E37:G37"/>
    <mergeCell ref="H37:I37"/>
    <mergeCell ref="J37:K37"/>
    <mergeCell ref="L37:M37"/>
  </mergeCells>
  <conditionalFormatting sqref="E17:G17">
    <cfRule type="containsBlanks" dxfId="31" priority="16">
      <formula>LEN(TRIM(E17))=0</formula>
    </cfRule>
  </conditionalFormatting>
  <conditionalFormatting sqref="E37:G37">
    <cfRule type="containsBlanks" dxfId="30" priority="7">
      <formula>LEN(TRIM(E37))=0</formula>
    </cfRule>
  </conditionalFormatting>
  <conditionalFormatting sqref="J7">
    <cfRule type="expression" dxfId="29" priority="10" stopIfTrue="1">
      <formula>IF($I7="Fix",TRUE,FALSE)</formula>
    </cfRule>
  </conditionalFormatting>
  <conditionalFormatting sqref="J27">
    <cfRule type="expression" dxfId="28" priority="1" stopIfTrue="1">
      <formula>IF($I27="Fix",TRUE,FALSE)</formula>
    </cfRule>
  </conditionalFormatting>
  <conditionalFormatting sqref="J17:K17">
    <cfRule type="containsBlanks" dxfId="27" priority="15">
      <formula>LEN(TRIM(J17))=0</formula>
    </cfRule>
  </conditionalFormatting>
  <conditionalFormatting sqref="J37:K37">
    <cfRule type="containsBlanks" dxfId="26" priority="6">
      <formula>LEN(TRIM(J37))=0</formula>
    </cfRule>
  </conditionalFormatting>
  <conditionalFormatting sqref="M3:M6">
    <cfRule type="containsBlanks" dxfId="25" priority="14">
      <formula>LEN(TRIM(M3))=0</formula>
    </cfRule>
    <cfRule type="cellIs" dxfId="24" priority="17" operator="equal">
      <formula>0</formula>
    </cfRule>
    <cfRule type="cellIs" dxfId="23" priority="18" operator="equal">
      <formula>""</formula>
    </cfRule>
  </conditionalFormatting>
  <conditionalFormatting sqref="M23:M26">
    <cfRule type="containsBlanks" dxfId="22" priority="5">
      <formula>LEN(TRIM(M23))=0</formula>
    </cfRule>
    <cfRule type="cellIs" dxfId="21" priority="8" operator="equal">
      <formula>0</formula>
    </cfRule>
    <cfRule type="cellIs" dxfId="20" priority="9" operator="equal">
      <formula>""</formula>
    </cfRule>
  </conditionalFormatting>
  <conditionalFormatting sqref="N7">
    <cfRule type="containsText" dxfId="19" priority="11" operator="containsText" text="โปรดระบุธนาคารคู่แข่ง">
      <formula>NOT(ISERROR(SEARCH("โปรดระบุธนาคารคู่แข่ง",N7)))</formula>
    </cfRule>
    <cfRule type="containsText" dxfId="18" priority="12" operator="containsText" text="โปรดระบุอัตราดอกเบี้ยคู่แข่ง">
      <formula>NOT(ISERROR(SEARCH("โปรดระบุอัตราดอกเบี้ยคู่แข่ง",N7)))</formula>
    </cfRule>
    <cfRule type="containsText" dxfId="17" priority="13" operator="containsText" text="&quot;โปรดระบุอัตราดอกเบี้ยคู่แข่ง&quot;">
      <formula>NOT(ISERROR(SEARCH("""โปรดระบุอัตราดอกเบี้ยคู่แข่ง""",N7)))</formula>
    </cfRule>
  </conditionalFormatting>
  <conditionalFormatting sqref="N27">
    <cfRule type="containsText" dxfId="16" priority="2" operator="containsText" text="โปรดระบุธนาคารคู่แข่ง">
      <formula>NOT(ISERROR(SEARCH("โปรดระบุธนาคารคู่แข่ง",N27)))</formula>
    </cfRule>
    <cfRule type="containsText" dxfId="15" priority="3" operator="containsText" text="โปรดระบุอัตราดอกเบี้ยคู่แข่ง">
      <formula>NOT(ISERROR(SEARCH("โปรดระบุอัตราดอกเบี้ยคู่แข่ง",N27)))</formula>
    </cfRule>
    <cfRule type="containsText" dxfId="14" priority="4" operator="containsText" text="&quot;โปรดระบุอัตราดอกเบี้ยคู่แข่ง&quot;">
      <formula>NOT(ISERROR(SEARCH("""โปรดระบุอัตราดอกเบี้ยคู่แข่ง""",N27)))</formula>
    </cfRule>
  </conditionalFormatting>
  <dataValidations count="16">
    <dataValidation type="list" allowBlank="1" showInputMessage="1" showErrorMessage="1" sqref="N65536 N131072 N196608 N262144 N327680 N393216 N458752 N524288 N589824 N655360 N720896 N786432 N851968 N917504 N983040" xr:uid="{D7D6F8BB-71C8-48B7-B84F-B779F76D9056}">
      <formula1>$V$13:$V$16</formula1>
    </dataValidation>
    <dataValidation type="list" allowBlank="1" showInputMessage="1" showErrorMessage="1" sqref="I983020:I983024 F131052:F131056 F196588:F196592 F262124:F262128 F327660:F327664 F393196:F393200 F458732:F458736 F524268:F524272 F589804:F589808 F655340:F655344 F720876:F720880 F786412:F786416 F851948:F851952 F917484:F917488 F983020:F983024 F65516:F65520 I65516:I65520 I131052:I131056 I196588:I196592 I262124:I262128 I327660:I327664 I393196:I393200 I458732:I458736 I524268:I524272 I589804:I589808 I655340:I655344 I720876:I720880 I786412:I786416 I851948:I851952 I917484:I917488 I7 I27" xr:uid="{9D539D49-AFC8-4B62-9764-6527DAD01B58}">
      <formula1>$Z$13:$Z$14</formula1>
    </dataValidation>
    <dataValidation operator="greaterThan" allowBlank="1" showInputMessage="1" showErrorMessage="1" sqref="E17:G17 E65536:G65536 E131072:G131072 E196608:G196608 E262144:G262144 E327680:G327680 E393216:G393216 E458752:G458752 E524288:G524288 E589824:G589824 E655360:G655360 E720896:G720896 E786432:G786432 E851968:G851968 E917504:G917504 E983040:G983040 E37:G37" xr:uid="{C559F3AF-2BFE-44E4-A3AA-DEF710EB79DF}"/>
    <dataValidation type="list" allowBlank="1" showInputMessage="1" showErrorMessage="1" sqref="N65518 N983022 N917486 N851950 N786414 N720878 N655342 N589806 N524270 N458734 N393198 N327662 N262126 N196590 N131054" xr:uid="{AF04E4B8-CD9B-444F-A713-76E1B22FD9AC}">
      <formula1>$R$3:$R$4</formula1>
    </dataValidation>
    <dataValidation type="list" allowBlank="1" showInputMessage="1" showErrorMessage="1" sqref="N983023 N917487 N851951 N786415 N720879 N655343 N589807 N524271 N458735 N393199 N327663 N262127 N196591 N131055 N65519" xr:uid="{8F1C5825-2649-47F3-9C44-F067208CE1B3}">
      <formula1>$Q$3:$Q$4</formula1>
    </dataValidation>
    <dataValidation errorStyle="warning" allowBlank="1" showInputMessage="1" showErrorMessage="1" errorTitle="=&quot;&quot;" sqref="M65516:M65520 M131052:M131056 M196588:M196592 M262124:M262128 M327660:M327664 M393196:M393200 M458732:M458736 M524268:M524272 M589804:M589808 M655340:M655344 M720876:M720880 M786412:M786416 M851948:M851952 M917484:M917488 M983020:M983024 M3:M7 M23:M27" xr:uid="{BEDFB4F1-45E6-4580-83C2-EB017C140B2B}"/>
    <dataValidation type="list" allowBlank="1" showInputMessage="1" showErrorMessage="1" sqref="E983036:J983036 E917500:J917500 E851964:J851964 E786428:J786428 E720892:J720892 E655356:J655356 E589820:J589820 E524284:J524284 E458748:J458748 E393212:J393212 E327676:J327676 E262140:J262140 E196604:J196604 E131068:J131068 E65532:J65532" xr:uid="{4DE35B0D-BACE-4561-852B-F1001C336B81}">
      <formula1>$T$13:$T$14</formula1>
    </dataValidation>
    <dataValidation type="list" allowBlank="1" showInputMessage="1" showErrorMessage="1" sqref="E65537:N65537 E983041:N983041 E917505:N917505 E851969:N851969 E786433:N786433 E720897:N720897 E655361:N655361 E589825:N589825 E524289:N524289 E458753:N458753 E393217:N393217 E327681:N327681 E262145:N262145 E196609:N196609 E131073:N131073" xr:uid="{9E46A2BE-8A52-425A-9F66-EAFF4FD2C4A4}">
      <formula1>$X$13:$X$14</formula1>
    </dataValidation>
    <dataValidation type="list" allowBlank="1" showInputMessage="1" showErrorMessage="1" sqref="M65529:N65529 M917497:N917497 M851961:N851961 M786425:N786425 M720889:N720889 M655353:N655353 M589817:N589817 M524281:N524281 M458745:N458745 M393209:N393209 M327673:N327673 M262137:N262137 M196601:N196601 M131065:N131065 M983033:N983033" xr:uid="{EF72EAC0-7191-4C66-B609-FF2E1AFEE528}">
      <formula1>$U$13:$U$17</formula1>
    </dataValidation>
    <dataValidation type="list" allowBlank="1" showInputMessage="1" showErrorMessage="1" sqref="E65527:K65527 E131063:K131063 E196599:K196599 E262135:K262135 E327671:K327671 E393207:K393207 E458743:K458743 E524279:K524279 E589815:K589815 E655351:K655351 E720887:K720887 E786423:K786423 E851959:K851959 E917495:K917495 E983031:K983031" xr:uid="{DAE3C952-5F5D-4480-96C9-B99FC76D8D2B}">
      <formula1>$S$13:$S$16</formula1>
    </dataValidation>
    <dataValidation type="list" allowBlank="1" showInputMessage="1" showErrorMessage="1" sqref="E65531:J65531 E983035:J983035 E917499:J917499 E851963:J851963 E786427:J786427 E720891:J720891 E655355:J655355 E589819:J589819 E524283:J524283 E458747:J458747 E393211:J393211 E327675:J327675 E262139:J262139 E196603:J196603 E131067:J131067" xr:uid="{272F11AA-4B2F-4641-8BF1-8852B7743FA7}">
      <formula1>$R$13:$R$17</formula1>
    </dataValidation>
    <dataValidation type="list" allowBlank="1" showInputMessage="1" showErrorMessage="1" sqref="N65527 N131063 N196599 N262135 N327671 N393207 N458743 N524279 N589815 N655351 N720887 N786423 N851959 N917495 N983031" xr:uid="{A321546A-BB66-4807-B731-B26346E2511D}">
      <formula1>$AB$13:$AB$14</formula1>
    </dataValidation>
    <dataValidation type="list" allowBlank="1" showInputMessage="1" showErrorMessage="1" sqref="M65530:N65530 M983034:N983034 M917498:N917498 M851962:N851962 M786426:N786426 M720890:N720890 M655354:N655354 M589818:N589818 M524282:N524282 M458746:N458746 M393210:N393210 M327674:N327674 M262138:N262138 M196602:N196602 M131066:N131066" xr:uid="{843FC951-D44A-4565-B4AE-FCC34BB2F13F}">
      <formula1>INDIRECT($E$12)</formula1>
    </dataValidation>
    <dataValidation type="list" allowBlank="1" showInputMessage="1" showErrorMessage="1" sqref="E983034 E65530 E131066 E196602 E262138 E327674 E393210 E458746 E524282 E589818 E655354 E720890 E786426 E851962 E917498" xr:uid="{1070C0B3-8CB6-4D2E-B2A9-FEF639D7F461}">
      <formula1>จังหวัด</formula1>
    </dataValidation>
    <dataValidation type="list" allowBlank="1" showInputMessage="1" showErrorMessage="1" sqref="E65538:N65539 E983042:N983043 E917506:N917507 E851970:N851971 E786434:N786435 E720898:N720899 E655362:N655363 E589826:N589827 E524290:N524291 E458754:N458755 E393218:N393219 E327682:N327683 E262146:N262147 E196610:N196611 E131074:N131075" xr:uid="{AE30BACE-1A44-445F-96A0-46993CB9FE9D}">
      <formula1>$Q$13:$Q$17</formula1>
    </dataValidation>
    <dataValidation type="list" allowBlank="1" showInputMessage="1" showErrorMessage="1" sqref="M12:N12 M32:N32" xr:uid="{797EC3A5-05DF-4B06-ACEF-71C36F2FFA70}">
      <formula1>INDIRECT(E12)</formula1>
    </dataValidation>
  </dataValidations>
  <pageMargins left="0.7" right="0.7" top="0.75" bottom="0.75" header="0.3" footer="0.3"/>
  <pageSetup paperSize="9" orientation="portrait" r:id="rId1"/>
  <ignoredErrors>
    <ignoredError sqref="C4:C5 E13 G14 A4 I3:J5 I6 M13 N17 A24 C24:C25 E29:K29 N29 E9:K10 N9 M33 E30:K30 N37 I23:J26 H15 H34:H35" unlockedFormula="1"/>
    <ignoredError sqref="H7 K7 H27" formulaRange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F8FA7ED-B5FE-4FBF-B522-2F9486F69314}">
          <x14:formula1>
            <xm:f>pam!$H$2:$H$5</xm:f>
          </x14:formula1>
          <xm:sqref>N10 N30</xm:sqref>
        </x14:dataValidation>
        <x14:dataValidation type="list" allowBlank="1" showInputMessage="1" showErrorMessage="1" xr:uid="{C1E45354-2EB7-48F2-BAE9-48B5069535F5}">
          <x14:formula1>
            <xm:f>pam!$J$2:$J$4</xm:f>
          </x14:formula1>
          <xm:sqref>E14:F14</xm:sqref>
        </x14:dataValidation>
        <x14:dataValidation type="list" allowBlank="1" showInputMessage="1" showErrorMessage="1" xr:uid="{126602A4-CE36-4B35-900B-0393C56BDB2C}">
          <x14:formula1>
            <xm:f>pam!$N$2:$N$4</xm:f>
          </x14:formula1>
          <xm:sqref>F3:G6 F23:G26</xm:sqref>
        </x14:dataValidation>
        <x14:dataValidation type="list" allowBlank="1" showInputMessage="1" showErrorMessage="1" xr:uid="{D7E4A573-2ABE-48A6-B5EA-14A705D4872B}">
          <x14:formula1>
            <xm:f>pam!$K$2:$K$13</xm:f>
          </x14:formula1>
          <xm:sqref>M11:N11 M31:N31</xm:sqref>
        </x14:dataValidation>
        <x14:dataValidation type="list" allowBlank="1" showInputMessage="1" showErrorMessage="1" xr:uid="{AAF32F40-2B28-4E9E-A581-47B50E7E8214}">
          <x14:formula1>
            <xm:f>province!$A$1:$BX$1</xm:f>
          </x14:formula1>
          <xm:sqref>E12:J12 E32:J32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D1CA-FA4B-43D5-8243-0BD7C884DDFE}">
  <sheetPr codeName="Sheet9">
    <tabColor rgb="FFC00000"/>
    <pageSetUpPr fitToPage="1"/>
  </sheetPr>
  <dimension ref="A1:O439"/>
  <sheetViews>
    <sheetView showGridLines="0" zoomScaleNormal="100" workbookViewId="0">
      <selection sqref="A1:XFD1048576"/>
    </sheetView>
  </sheetViews>
  <sheetFormatPr defaultRowHeight="11.25"/>
  <cols>
    <col min="1" max="1" width="2.28515625" style="271" customWidth="1"/>
    <col min="2" max="2" width="8.5703125" style="252" customWidth="1"/>
    <col min="3" max="3" width="15.28515625" style="252" customWidth="1"/>
    <col min="4" max="7" width="15.28515625" style="271" customWidth="1"/>
    <col min="8" max="8" width="13.140625" style="252" hidden="1" customWidth="1"/>
    <col min="9" max="9" width="12.85546875" style="252" hidden="1" customWidth="1"/>
    <col min="10" max="12" width="14.42578125" style="271" customWidth="1"/>
    <col min="13" max="15" width="0" style="271" hidden="1" customWidth="1"/>
    <col min="16" max="256" width="9.140625" style="271"/>
    <col min="257" max="257" width="2.28515625" style="271" customWidth="1"/>
    <col min="258" max="258" width="5.7109375" style="271" customWidth="1"/>
    <col min="259" max="264" width="13.140625" style="271" customWidth="1"/>
    <col min="265" max="265" width="0" style="271" hidden="1" customWidth="1"/>
    <col min="266" max="268" width="14.42578125" style="271" customWidth="1"/>
    <col min="269" max="271" width="0" style="271" hidden="1" customWidth="1"/>
    <col min="272" max="512" width="9.140625" style="271"/>
    <col min="513" max="513" width="2.28515625" style="271" customWidth="1"/>
    <col min="514" max="514" width="5.7109375" style="271" customWidth="1"/>
    <col min="515" max="520" width="13.140625" style="271" customWidth="1"/>
    <col min="521" max="521" width="0" style="271" hidden="1" customWidth="1"/>
    <col min="522" max="524" width="14.42578125" style="271" customWidth="1"/>
    <col min="525" max="527" width="0" style="271" hidden="1" customWidth="1"/>
    <col min="528" max="768" width="9.140625" style="271"/>
    <col min="769" max="769" width="2.28515625" style="271" customWidth="1"/>
    <col min="770" max="770" width="5.7109375" style="271" customWidth="1"/>
    <col min="771" max="776" width="13.140625" style="271" customWidth="1"/>
    <col min="777" max="777" width="0" style="271" hidden="1" customWidth="1"/>
    <col min="778" max="780" width="14.42578125" style="271" customWidth="1"/>
    <col min="781" max="783" width="0" style="271" hidden="1" customWidth="1"/>
    <col min="784" max="1024" width="9.140625" style="271"/>
    <col min="1025" max="1025" width="2.28515625" style="271" customWidth="1"/>
    <col min="1026" max="1026" width="5.7109375" style="271" customWidth="1"/>
    <col min="1027" max="1032" width="13.140625" style="271" customWidth="1"/>
    <col min="1033" max="1033" width="0" style="271" hidden="1" customWidth="1"/>
    <col min="1034" max="1036" width="14.42578125" style="271" customWidth="1"/>
    <col min="1037" max="1039" width="0" style="271" hidden="1" customWidth="1"/>
    <col min="1040" max="1280" width="9.140625" style="271"/>
    <col min="1281" max="1281" width="2.28515625" style="271" customWidth="1"/>
    <col min="1282" max="1282" width="5.7109375" style="271" customWidth="1"/>
    <col min="1283" max="1288" width="13.140625" style="271" customWidth="1"/>
    <col min="1289" max="1289" width="0" style="271" hidden="1" customWidth="1"/>
    <col min="1290" max="1292" width="14.42578125" style="271" customWidth="1"/>
    <col min="1293" max="1295" width="0" style="271" hidden="1" customWidth="1"/>
    <col min="1296" max="1536" width="9.140625" style="271"/>
    <col min="1537" max="1537" width="2.28515625" style="271" customWidth="1"/>
    <col min="1538" max="1538" width="5.7109375" style="271" customWidth="1"/>
    <col min="1539" max="1544" width="13.140625" style="271" customWidth="1"/>
    <col min="1545" max="1545" width="0" style="271" hidden="1" customWidth="1"/>
    <col min="1546" max="1548" width="14.42578125" style="271" customWidth="1"/>
    <col min="1549" max="1551" width="0" style="271" hidden="1" customWidth="1"/>
    <col min="1552" max="1792" width="9.140625" style="271"/>
    <col min="1793" max="1793" width="2.28515625" style="271" customWidth="1"/>
    <col min="1794" max="1794" width="5.7109375" style="271" customWidth="1"/>
    <col min="1795" max="1800" width="13.140625" style="271" customWidth="1"/>
    <col min="1801" max="1801" width="0" style="271" hidden="1" customWidth="1"/>
    <col min="1802" max="1804" width="14.42578125" style="271" customWidth="1"/>
    <col min="1805" max="1807" width="0" style="271" hidden="1" customWidth="1"/>
    <col min="1808" max="2048" width="9.140625" style="271"/>
    <col min="2049" max="2049" width="2.28515625" style="271" customWidth="1"/>
    <col min="2050" max="2050" width="5.7109375" style="271" customWidth="1"/>
    <col min="2051" max="2056" width="13.140625" style="271" customWidth="1"/>
    <col min="2057" max="2057" width="0" style="271" hidden="1" customWidth="1"/>
    <col min="2058" max="2060" width="14.42578125" style="271" customWidth="1"/>
    <col min="2061" max="2063" width="0" style="271" hidden="1" customWidth="1"/>
    <col min="2064" max="2304" width="9.140625" style="271"/>
    <col min="2305" max="2305" width="2.28515625" style="271" customWidth="1"/>
    <col min="2306" max="2306" width="5.7109375" style="271" customWidth="1"/>
    <col min="2307" max="2312" width="13.140625" style="271" customWidth="1"/>
    <col min="2313" max="2313" width="0" style="271" hidden="1" customWidth="1"/>
    <col min="2314" max="2316" width="14.42578125" style="271" customWidth="1"/>
    <col min="2317" max="2319" width="0" style="271" hidden="1" customWidth="1"/>
    <col min="2320" max="2560" width="9.140625" style="271"/>
    <col min="2561" max="2561" width="2.28515625" style="271" customWidth="1"/>
    <col min="2562" max="2562" width="5.7109375" style="271" customWidth="1"/>
    <col min="2563" max="2568" width="13.140625" style="271" customWidth="1"/>
    <col min="2569" max="2569" width="0" style="271" hidden="1" customWidth="1"/>
    <col min="2570" max="2572" width="14.42578125" style="271" customWidth="1"/>
    <col min="2573" max="2575" width="0" style="271" hidden="1" customWidth="1"/>
    <col min="2576" max="2816" width="9.140625" style="271"/>
    <col min="2817" max="2817" width="2.28515625" style="271" customWidth="1"/>
    <col min="2818" max="2818" width="5.7109375" style="271" customWidth="1"/>
    <col min="2819" max="2824" width="13.140625" style="271" customWidth="1"/>
    <col min="2825" max="2825" width="0" style="271" hidden="1" customWidth="1"/>
    <col min="2826" max="2828" width="14.42578125" style="271" customWidth="1"/>
    <col min="2829" max="2831" width="0" style="271" hidden="1" customWidth="1"/>
    <col min="2832" max="3072" width="9.140625" style="271"/>
    <col min="3073" max="3073" width="2.28515625" style="271" customWidth="1"/>
    <col min="3074" max="3074" width="5.7109375" style="271" customWidth="1"/>
    <col min="3075" max="3080" width="13.140625" style="271" customWidth="1"/>
    <col min="3081" max="3081" width="0" style="271" hidden="1" customWidth="1"/>
    <col min="3082" max="3084" width="14.42578125" style="271" customWidth="1"/>
    <col min="3085" max="3087" width="0" style="271" hidden="1" customWidth="1"/>
    <col min="3088" max="3328" width="9.140625" style="271"/>
    <col min="3329" max="3329" width="2.28515625" style="271" customWidth="1"/>
    <col min="3330" max="3330" width="5.7109375" style="271" customWidth="1"/>
    <col min="3331" max="3336" width="13.140625" style="271" customWidth="1"/>
    <col min="3337" max="3337" width="0" style="271" hidden="1" customWidth="1"/>
    <col min="3338" max="3340" width="14.42578125" style="271" customWidth="1"/>
    <col min="3341" max="3343" width="0" style="271" hidden="1" customWidth="1"/>
    <col min="3344" max="3584" width="9.140625" style="271"/>
    <col min="3585" max="3585" width="2.28515625" style="271" customWidth="1"/>
    <col min="3586" max="3586" width="5.7109375" style="271" customWidth="1"/>
    <col min="3587" max="3592" width="13.140625" style="271" customWidth="1"/>
    <col min="3593" max="3593" width="0" style="271" hidden="1" customWidth="1"/>
    <col min="3594" max="3596" width="14.42578125" style="271" customWidth="1"/>
    <col min="3597" max="3599" width="0" style="271" hidden="1" customWidth="1"/>
    <col min="3600" max="3840" width="9.140625" style="271"/>
    <col min="3841" max="3841" width="2.28515625" style="271" customWidth="1"/>
    <col min="3842" max="3842" width="5.7109375" style="271" customWidth="1"/>
    <col min="3843" max="3848" width="13.140625" style="271" customWidth="1"/>
    <col min="3849" max="3849" width="0" style="271" hidden="1" customWidth="1"/>
    <col min="3850" max="3852" width="14.42578125" style="271" customWidth="1"/>
    <col min="3853" max="3855" width="0" style="271" hidden="1" customWidth="1"/>
    <col min="3856" max="4096" width="9.140625" style="271"/>
    <col min="4097" max="4097" width="2.28515625" style="271" customWidth="1"/>
    <col min="4098" max="4098" width="5.7109375" style="271" customWidth="1"/>
    <col min="4099" max="4104" width="13.140625" style="271" customWidth="1"/>
    <col min="4105" max="4105" width="0" style="271" hidden="1" customWidth="1"/>
    <col min="4106" max="4108" width="14.42578125" style="271" customWidth="1"/>
    <col min="4109" max="4111" width="0" style="271" hidden="1" customWidth="1"/>
    <col min="4112" max="4352" width="9.140625" style="271"/>
    <col min="4353" max="4353" width="2.28515625" style="271" customWidth="1"/>
    <col min="4354" max="4354" width="5.7109375" style="271" customWidth="1"/>
    <col min="4355" max="4360" width="13.140625" style="271" customWidth="1"/>
    <col min="4361" max="4361" width="0" style="271" hidden="1" customWidth="1"/>
    <col min="4362" max="4364" width="14.42578125" style="271" customWidth="1"/>
    <col min="4365" max="4367" width="0" style="271" hidden="1" customWidth="1"/>
    <col min="4368" max="4608" width="9.140625" style="271"/>
    <col min="4609" max="4609" width="2.28515625" style="271" customWidth="1"/>
    <col min="4610" max="4610" width="5.7109375" style="271" customWidth="1"/>
    <col min="4611" max="4616" width="13.140625" style="271" customWidth="1"/>
    <col min="4617" max="4617" width="0" style="271" hidden="1" customWidth="1"/>
    <col min="4618" max="4620" width="14.42578125" style="271" customWidth="1"/>
    <col min="4621" max="4623" width="0" style="271" hidden="1" customWidth="1"/>
    <col min="4624" max="4864" width="9.140625" style="271"/>
    <col min="4865" max="4865" width="2.28515625" style="271" customWidth="1"/>
    <col min="4866" max="4866" width="5.7109375" style="271" customWidth="1"/>
    <col min="4867" max="4872" width="13.140625" style="271" customWidth="1"/>
    <col min="4873" max="4873" width="0" style="271" hidden="1" customWidth="1"/>
    <col min="4874" max="4876" width="14.42578125" style="271" customWidth="1"/>
    <col min="4877" max="4879" width="0" style="271" hidden="1" customWidth="1"/>
    <col min="4880" max="5120" width="9.140625" style="271"/>
    <col min="5121" max="5121" width="2.28515625" style="271" customWidth="1"/>
    <col min="5122" max="5122" width="5.7109375" style="271" customWidth="1"/>
    <col min="5123" max="5128" width="13.140625" style="271" customWidth="1"/>
    <col min="5129" max="5129" width="0" style="271" hidden="1" customWidth="1"/>
    <col min="5130" max="5132" width="14.42578125" style="271" customWidth="1"/>
    <col min="5133" max="5135" width="0" style="271" hidden="1" customWidth="1"/>
    <col min="5136" max="5376" width="9.140625" style="271"/>
    <col min="5377" max="5377" width="2.28515625" style="271" customWidth="1"/>
    <col min="5378" max="5378" width="5.7109375" style="271" customWidth="1"/>
    <col min="5379" max="5384" width="13.140625" style="271" customWidth="1"/>
    <col min="5385" max="5385" width="0" style="271" hidden="1" customWidth="1"/>
    <col min="5386" max="5388" width="14.42578125" style="271" customWidth="1"/>
    <col min="5389" max="5391" width="0" style="271" hidden="1" customWidth="1"/>
    <col min="5392" max="5632" width="9.140625" style="271"/>
    <col min="5633" max="5633" width="2.28515625" style="271" customWidth="1"/>
    <col min="5634" max="5634" width="5.7109375" style="271" customWidth="1"/>
    <col min="5635" max="5640" width="13.140625" style="271" customWidth="1"/>
    <col min="5641" max="5641" width="0" style="271" hidden="1" customWidth="1"/>
    <col min="5642" max="5644" width="14.42578125" style="271" customWidth="1"/>
    <col min="5645" max="5647" width="0" style="271" hidden="1" customWidth="1"/>
    <col min="5648" max="5888" width="9.140625" style="271"/>
    <col min="5889" max="5889" width="2.28515625" style="271" customWidth="1"/>
    <col min="5890" max="5890" width="5.7109375" style="271" customWidth="1"/>
    <col min="5891" max="5896" width="13.140625" style="271" customWidth="1"/>
    <col min="5897" max="5897" width="0" style="271" hidden="1" customWidth="1"/>
    <col min="5898" max="5900" width="14.42578125" style="271" customWidth="1"/>
    <col min="5901" max="5903" width="0" style="271" hidden="1" customWidth="1"/>
    <col min="5904" max="6144" width="9.140625" style="271"/>
    <col min="6145" max="6145" width="2.28515625" style="271" customWidth="1"/>
    <col min="6146" max="6146" width="5.7109375" style="271" customWidth="1"/>
    <col min="6147" max="6152" width="13.140625" style="271" customWidth="1"/>
    <col min="6153" max="6153" width="0" style="271" hidden="1" customWidth="1"/>
    <col min="6154" max="6156" width="14.42578125" style="271" customWidth="1"/>
    <col min="6157" max="6159" width="0" style="271" hidden="1" customWidth="1"/>
    <col min="6160" max="6400" width="9.140625" style="271"/>
    <col min="6401" max="6401" width="2.28515625" style="271" customWidth="1"/>
    <col min="6402" max="6402" width="5.7109375" style="271" customWidth="1"/>
    <col min="6403" max="6408" width="13.140625" style="271" customWidth="1"/>
    <col min="6409" max="6409" width="0" style="271" hidden="1" customWidth="1"/>
    <col min="6410" max="6412" width="14.42578125" style="271" customWidth="1"/>
    <col min="6413" max="6415" width="0" style="271" hidden="1" customWidth="1"/>
    <col min="6416" max="6656" width="9.140625" style="271"/>
    <col min="6657" max="6657" width="2.28515625" style="271" customWidth="1"/>
    <col min="6658" max="6658" width="5.7109375" style="271" customWidth="1"/>
    <col min="6659" max="6664" width="13.140625" style="271" customWidth="1"/>
    <col min="6665" max="6665" width="0" style="271" hidden="1" customWidth="1"/>
    <col min="6666" max="6668" width="14.42578125" style="271" customWidth="1"/>
    <col min="6669" max="6671" width="0" style="271" hidden="1" customWidth="1"/>
    <col min="6672" max="6912" width="9.140625" style="271"/>
    <col min="6913" max="6913" width="2.28515625" style="271" customWidth="1"/>
    <col min="6914" max="6914" width="5.7109375" style="271" customWidth="1"/>
    <col min="6915" max="6920" width="13.140625" style="271" customWidth="1"/>
    <col min="6921" max="6921" width="0" style="271" hidden="1" customWidth="1"/>
    <col min="6922" max="6924" width="14.42578125" style="271" customWidth="1"/>
    <col min="6925" max="6927" width="0" style="271" hidden="1" customWidth="1"/>
    <col min="6928" max="7168" width="9.140625" style="271"/>
    <col min="7169" max="7169" width="2.28515625" style="271" customWidth="1"/>
    <col min="7170" max="7170" width="5.7109375" style="271" customWidth="1"/>
    <col min="7171" max="7176" width="13.140625" style="271" customWidth="1"/>
    <col min="7177" max="7177" width="0" style="271" hidden="1" customWidth="1"/>
    <col min="7178" max="7180" width="14.42578125" style="271" customWidth="1"/>
    <col min="7181" max="7183" width="0" style="271" hidden="1" customWidth="1"/>
    <col min="7184" max="7424" width="9.140625" style="271"/>
    <col min="7425" max="7425" width="2.28515625" style="271" customWidth="1"/>
    <col min="7426" max="7426" width="5.7109375" style="271" customWidth="1"/>
    <col min="7427" max="7432" width="13.140625" style="271" customWidth="1"/>
    <col min="7433" max="7433" width="0" style="271" hidden="1" customWidth="1"/>
    <col min="7434" max="7436" width="14.42578125" style="271" customWidth="1"/>
    <col min="7437" max="7439" width="0" style="271" hidden="1" customWidth="1"/>
    <col min="7440" max="7680" width="9.140625" style="271"/>
    <col min="7681" max="7681" width="2.28515625" style="271" customWidth="1"/>
    <col min="7682" max="7682" width="5.7109375" style="271" customWidth="1"/>
    <col min="7683" max="7688" width="13.140625" style="271" customWidth="1"/>
    <col min="7689" max="7689" width="0" style="271" hidden="1" customWidth="1"/>
    <col min="7690" max="7692" width="14.42578125" style="271" customWidth="1"/>
    <col min="7693" max="7695" width="0" style="271" hidden="1" customWidth="1"/>
    <col min="7696" max="7936" width="9.140625" style="271"/>
    <col min="7937" max="7937" width="2.28515625" style="271" customWidth="1"/>
    <col min="7938" max="7938" width="5.7109375" style="271" customWidth="1"/>
    <col min="7939" max="7944" width="13.140625" style="271" customWidth="1"/>
    <col min="7945" max="7945" width="0" style="271" hidden="1" customWidth="1"/>
    <col min="7946" max="7948" width="14.42578125" style="271" customWidth="1"/>
    <col min="7949" max="7951" width="0" style="271" hidden="1" customWidth="1"/>
    <col min="7952" max="8192" width="9.140625" style="271"/>
    <col min="8193" max="8193" width="2.28515625" style="271" customWidth="1"/>
    <col min="8194" max="8194" width="5.7109375" style="271" customWidth="1"/>
    <col min="8195" max="8200" width="13.140625" style="271" customWidth="1"/>
    <col min="8201" max="8201" width="0" style="271" hidden="1" customWidth="1"/>
    <col min="8202" max="8204" width="14.42578125" style="271" customWidth="1"/>
    <col min="8205" max="8207" width="0" style="271" hidden="1" customWidth="1"/>
    <col min="8208" max="8448" width="9.140625" style="271"/>
    <col min="8449" max="8449" width="2.28515625" style="271" customWidth="1"/>
    <col min="8450" max="8450" width="5.7109375" style="271" customWidth="1"/>
    <col min="8451" max="8456" width="13.140625" style="271" customWidth="1"/>
    <col min="8457" max="8457" width="0" style="271" hidden="1" customWidth="1"/>
    <col min="8458" max="8460" width="14.42578125" style="271" customWidth="1"/>
    <col min="8461" max="8463" width="0" style="271" hidden="1" customWidth="1"/>
    <col min="8464" max="8704" width="9.140625" style="271"/>
    <col min="8705" max="8705" width="2.28515625" style="271" customWidth="1"/>
    <col min="8706" max="8706" width="5.7109375" style="271" customWidth="1"/>
    <col min="8707" max="8712" width="13.140625" style="271" customWidth="1"/>
    <col min="8713" max="8713" width="0" style="271" hidden="1" customWidth="1"/>
    <col min="8714" max="8716" width="14.42578125" style="271" customWidth="1"/>
    <col min="8717" max="8719" width="0" style="271" hidden="1" customWidth="1"/>
    <col min="8720" max="8960" width="9.140625" style="271"/>
    <col min="8961" max="8961" width="2.28515625" style="271" customWidth="1"/>
    <col min="8962" max="8962" width="5.7109375" style="271" customWidth="1"/>
    <col min="8963" max="8968" width="13.140625" style="271" customWidth="1"/>
    <col min="8969" max="8969" width="0" style="271" hidden="1" customWidth="1"/>
    <col min="8970" max="8972" width="14.42578125" style="271" customWidth="1"/>
    <col min="8973" max="8975" width="0" style="271" hidden="1" customWidth="1"/>
    <col min="8976" max="9216" width="9.140625" style="271"/>
    <col min="9217" max="9217" width="2.28515625" style="271" customWidth="1"/>
    <col min="9218" max="9218" width="5.7109375" style="271" customWidth="1"/>
    <col min="9219" max="9224" width="13.140625" style="271" customWidth="1"/>
    <col min="9225" max="9225" width="0" style="271" hidden="1" customWidth="1"/>
    <col min="9226" max="9228" width="14.42578125" style="271" customWidth="1"/>
    <col min="9229" max="9231" width="0" style="271" hidden="1" customWidth="1"/>
    <col min="9232" max="9472" width="9.140625" style="271"/>
    <col min="9473" max="9473" width="2.28515625" style="271" customWidth="1"/>
    <col min="9474" max="9474" width="5.7109375" style="271" customWidth="1"/>
    <col min="9475" max="9480" width="13.140625" style="271" customWidth="1"/>
    <col min="9481" max="9481" width="0" style="271" hidden="1" customWidth="1"/>
    <col min="9482" max="9484" width="14.42578125" style="271" customWidth="1"/>
    <col min="9485" max="9487" width="0" style="271" hidden="1" customWidth="1"/>
    <col min="9488" max="9728" width="9.140625" style="271"/>
    <col min="9729" max="9729" width="2.28515625" style="271" customWidth="1"/>
    <col min="9730" max="9730" width="5.7109375" style="271" customWidth="1"/>
    <col min="9731" max="9736" width="13.140625" style="271" customWidth="1"/>
    <col min="9737" max="9737" width="0" style="271" hidden="1" customWidth="1"/>
    <col min="9738" max="9740" width="14.42578125" style="271" customWidth="1"/>
    <col min="9741" max="9743" width="0" style="271" hidden="1" customWidth="1"/>
    <col min="9744" max="9984" width="9.140625" style="271"/>
    <col min="9985" max="9985" width="2.28515625" style="271" customWidth="1"/>
    <col min="9986" max="9986" width="5.7109375" style="271" customWidth="1"/>
    <col min="9987" max="9992" width="13.140625" style="271" customWidth="1"/>
    <col min="9993" max="9993" width="0" style="271" hidden="1" customWidth="1"/>
    <col min="9994" max="9996" width="14.42578125" style="271" customWidth="1"/>
    <col min="9997" max="9999" width="0" style="271" hidden="1" customWidth="1"/>
    <col min="10000" max="10240" width="9.140625" style="271"/>
    <col min="10241" max="10241" width="2.28515625" style="271" customWidth="1"/>
    <col min="10242" max="10242" width="5.7109375" style="271" customWidth="1"/>
    <col min="10243" max="10248" width="13.140625" style="271" customWidth="1"/>
    <col min="10249" max="10249" width="0" style="271" hidden="1" customWidth="1"/>
    <col min="10250" max="10252" width="14.42578125" style="271" customWidth="1"/>
    <col min="10253" max="10255" width="0" style="271" hidden="1" customWidth="1"/>
    <col min="10256" max="10496" width="9.140625" style="271"/>
    <col min="10497" max="10497" width="2.28515625" style="271" customWidth="1"/>
    <col min="10498" max="10498" width="5.7109375" style="271" customWidth="1"/>
    <col min="10499" max="10504" width="13.140625" style="271" customWidth="1"/>
    <col min="10505" max="10505" width="0" style="271" hidden="1" customWidth="1"/>
    <col min="10506" max="10508" width="14.42578125" style="271" customWidth="1"/>
    <col min="10509" max="10511" width="0" style="271" hidden="1" customWidth="1"/>
    <col min="10512" max="10752" width="9.140625" style="271"/>
    <col min="10753" max="10753" width="2.28515625" style="271" customWidth="1"/>
    <col min="10754" max="10754" width="5.7109375" style="271" customWidth="1"/>
    <col min="10755" max="10760" width="13.140625" style="271" customWidth="1"/>
    <col min="10761" max="10761" width="0" style="271" hidden="1" customWidth="1"/>
    <col min="10762" max="10764" width="14.42578125" style="271" customWidth="1"/>
    <col min="10765" max="10767" width="0" style="271" hidden="1" customWidth="1"/>
    <col min="10768" max="11008" width="9.140625" style="271"/>
    <col min="11009" max="11009" width="2.28515625" style="271" customWidth="1"/>
    <col min="11010" max="11010" width="5.7109375" style="271" customWidth="1"/>
    <col min="11011" max="11016" width="13.140625" style="271" customWidth="1"/>
    <col min="11017" max="11017" width="0" style="271" hidden="1" customWidth="1"/>
    <col min="11018" max="11020" width="14.42578125" style="271" customWidth="1"/>
    <col min="11021" max="11023" width="0" style="271" hidden="1" customWidth="1"/>
    <col min="11024" max="11264" width="9.140625" style="271"/>
    <col min="11265" max="11265" width="2.28515625" style="271" customWidth="1"/>
    <col min="11266" max="11266" width="5.7109375" style="271" customWidth="1"/>
    <col min="11267" max="11272" width="13.140625" style="271" customWidth="1"/>
    <col min="11273" max="11273" width="0" style="271" hidden="1" customWidth="1"/>
    <col min="11274" max="11276" width="14.42578125" style="271" customWidth="1"/>
    <col min="11277" max="11279" width="0" style="271" hidden="1" customWidth="1"/>
    <col min="11280" max="11520" width="9.140625" style="271"/>
    <col min="11521" max="11521" width="2.28515625" style="271" customWidth="1"/>
    <col min="11522" max="11522" width="5.7109375" style="271" customWidth="1"/>
    <col min="11523" max="11528" width="13.140625" style="271" customWidth="1"/>
    <col min="11529" max="11529" width="0" style="271" hidden="1" customWidth="1"/>
    <col min="11530" max="11532" width="14.42578125" style="271" customWidth="1"/>
    <col min="11533" max="11535" width="0" style="271" hidden="1" customWidth="1"/>
    <col min="11536" max="11776" width="9.140625" style="271"/>
    <col min="11777" max="11777" width="2.28515625" style="271" customWidth="1"/>
    <col min="11778" max="11778" width="5.7109375" style="271" customWidth="1"/>
    <col min="11779" max="11784" width="13.140625" style="271" customWidth="1"/>
    <col min="11785" max="11785" width="0" style="271" hidden="1" customWidth="1"/>
    <col min="11786" max="11788" width="14.42578125" style="271" customWidth="1"/>
    <col min="11789" max="11791" width="0" style="271" hidden="1" customWidth="1"/>
    <col min="11792" max="12032" width="9.140625" style="271"/>
    <col min="12033" max="12033" width="2.28515625" style="271" customWidth="1"/>
    <col min="12034" max="12034" width="5.7109375" style="271" customWidth="1"/>
    <col min="12035" max="12040" width="13.140625" style="271" customWidth="1"/>
    <col min="12041" max="12041" width="0" style="271" hidden="1" customWidth="1"/>
    <col min="12042" max="12044" width="14.42578125" style="271" customWidth="1"/>
    <col min="12045" max="12047" width="0" style="271" hidden="1" customWidth="1"/>
    <col min="12048" max="12288" width="9.140625" style="271"/>
    <col min="12289" max="12289" width="2.28515625" style="271" customWidth="1"/>
    <col min="12290" max="12290" width="5.7109375" style="271" customWidth="1"/>
    <col min="12291" max="12296" width="13.140625" style="271" customWidth="1"/>
    <col min="12297" max="12297" width="0" style="271" hidden="1" customWidth="1"/>
    <col min="12298" max="12300" width="14.42578125" style="271" customWidth="1"/>
    <col min="12301" max="12303" width="0" style="271" hidden="1" customWidth="1"/>
    <col min="12304" max="12544" width="9.140625" style="271"/>
    <col min="12545" max="12545" width="2.28515625" style="271" customWidth="1"/>
    <col min="12546" max="12546" width="5.7109375" style="271" customWidth="1"/>
    <col min="12547" max="12552" width="13.140625" style="271" customWidth="1"/>
    <col min="12553" max="12553" width="0" style="271" hidden="1" customWidth="1"/>
    <col min="12554" max="12556" width="14.42578125" style="271" customWidth="1"/>
    <col min="12557" max="12559" width="0" style="271" hidden="1" customWidth="1"/>
    <col min="12560" max="12800" width="9.140625" style="271"/>
    <col min="12801" max="12801" width="2.28515625" style="271" customWidth="1"/>
    <col min="12802" max="12802" width="5.7109375" style="271" customWidth="1"/>
    <col min="12803" max="12808" width="13.140625" style="271" customWidth="1"/>
    <col min="12809" max="12809" width="0" style="271" hidden="1" customWidth="1"/>
    <col min="12810" max="12812" width="14.42578125" style="271" customWidth="1"/>
    <col min="12813" max="12815" width="0" style="271" hidden="1" customWidth="1"/>
    <col min="12816" max="13056" width="9.140625" style="271"/>
    <col min="13057" max="13057" width="2.28515625" style="271" customWidth="1"/>
    <col min="13058" max="13058" width="5.7109375" style="271" customWidth="1"/>
    <col min="13059" max="13064" width="13.140625" style="271" customWidth="1"/>
    <col min="13065" max="13065" width="0" style="271" hidden="1" customWidth="1"/>
    <col min="13066" max="13068" width="14.42578125" style="271" customWidth="1"/>
    <col min="13069" max="13071" width="0" style="271" hidden="1" customWidth="1"/>
    <col min="13072" max="13312" width="9.140625" style="271"/>
    <col min="13313" max="13313" width="2.28515625" style="271" customWidth="1"/>
    <col min="13314" max="13314" width="5.7109375" style="271" customWidth="1"/>
    <col min="13315" max="13320" width="13.140625" style="271" customWidth="1"/>
    <col min="13321" max="13321" width="0" style="271" hidden="1" customWidth="1"/>
    <col min="13322" max="13324" width="14.42578125" style="271" customWidth="1"/>
    <col min="13325" max="13327" width="0" style="271" hidden="1" customWidth="1"/>
    <col min="13328" max="13568" width="9.140625" style="271"/>
    <col min="13569" max="13569" width="2.28515625" style="271" customWidth="1"/>
    <col min="13570" max="13570" width="5.7109375" style="271" customWidth="1"/>
    <col min="13571" max="13576" width="13.140625" style="271" customWidth="1"/>
    <col min="13577" max="13577" width="0" style="271" hidden="1" customWidth="1"/>
    <col min="13578" max="13580" width="14.42578125" style="271" customWidth="1"/>
    <col min="13581" max="13583" width="0" style="271" hidden="1" customWidth="1"/>
    <col min="13584" max="13824" width="9.140625" style="271"/>
    <col min="13825" max="13825" width="2.28515625" style="271" customWidth="1"/>
    <col min="13826" max="13826" width="5.7109375" style="271" customWidth="1"/>
    <col min="13827" max="13832" width="13.140625" style="271" customWidth="1"/>
    <col min="13833" max="13833" width="0" style="271" hidden="1" customWidth="1"/>
    <col min="13834" max="13836" width="14.42578125" style="271" customWidth="1"/>
    <col min="13837" max="13839" width="0" style="271" hidden="1" customWidth="1"/>
    <col min="13840" max="14080" width="9.140625" style="271"/>
    <col min="14081" max="14081" width="2.28515625" style="271" customWidth="1"/>
    <col min="14082" max="14082" width="5.7109375" style="271" customWidth="1"/>
    <col min="14083" max="14088" width="13.140625" style="271" customWidth="1"/>
    <col min="14089" max="14089" width="0" style="271" hidden="1" customWidth="1"/>
    <col min="14090" max="14092" width="14.42578125" style="271" customWidth="1"/>
    <col min="14093" max="14095" width="0" style="271" hidden="1" customWidth="1"/>
    <col min="14096" max="14336" width="9.140625" style="271"/>
    <col min="14337" max="14337" width="2.28515625" style="271" customWidth="1"/>
    <col min="14338" max="14338" width="5.7109375" style="271" customWidth="1"/>
    <col min="14339" max="14344" width="13.140625" style="271" customWidth="1"/>
    <col min="14345" max="14345" width="0" style="271" hidden="1" customWidth="1"/>
    <col min="14346" max="14348" width="14.42578125" style="271" customWidth="1"/>
    <col min="14349" max="14351" width="0" style="271" hidden="1" customWidth="1"/>
    <col min="14352" max="14592" width="9.140625" style="271"/>
    <col min="14593" max="14593" width="2.28515625" style="271" customWidth="1"/>
    <col min="14594" max="14594" width="5.7109375" style="271" customWidth="1"/>
    <col min="14595" max="14600" width="13.140625" style="271" customWidth="1"/>
    <col min="14601" max="14601" width="0" style="271" hidden="1" customWidth="1"/>
    <col min="14602" max="14604" width="14.42578125" style="271" customWidth="1"/>
    <col min="14605" max="14607" width="0" style="271" hidden="1" customWidth="1"/>
    <col min="14608" max="14848" width="9.140625" style="271"/>
    <col min="14849" max="14849" width="2.28515625" style="271" customWidth="1"/>
    <col min="14850" max="14850" width="5.7109375" style="271" customWidth="1"/>
    <col min="14851" max="14856" width="13.140625" style="271" customWidth="1"/>
    <col min="14857" max="14857" width="0" style="271" hidden="1" customWidth="1"/>
    <col min="14858" max="14860" width="14.42578125" style="271" customWidth="1"/>
    <col min="14861" max="14863" width="0" style="271" hidden="1" customWidth="1"/>
    <col min="14864" max="15104" width="9.140625" style="271"/>
    <col min="15105" max="15105" width="2.28515625" style="271" customWidth="1"/>
    <col min="15106" max="15106" width="5.7109375" style="271" customWidth="1"/>
    <col min="15107" max="15112" width="13.140625" style="271" customWidth="1"/>
    <col min="15113" max="15113" width="0" style="271" hidden="1" customWidth="1"/>
    <col min="15114" max="15116" width="14.42578125" style="271" customWidth="1"/>
    <col min="15117" max="15119" width="0" style="271" hidden="1" customWidth="1"/>
    <col min="15120" max="15360" width="9.140625" style="271"/>
    <col min="15361" max="15361" width="2.28515625" style="271" customWidth="1"/>
    <col min="15362" max="15362" width="5.7109375" style="271" customWidth="1"/>
    <col min="15363" max="15368" width="13.140625" style="271" customWidth="1"/>
    <col min="15369" max="15369" width="0" style="271" hidden="1" customWidth="1"/>
    <col min="15370" max="15372" width="14.42578125" style="271" customWidth="1"/>
    <col min="15373" max="15375" width="0" style="271" hidden="1" customWidth="1"/>
    <col min="15376" max="15616" width="9.140625" style="271"/>
    <col min="15617" max="15617" width="2.28515625" style="271" customWidth="1"/>
    <col min="15618" max="15618" width="5.7109375" style="271" customWidth="1"/>
    <col min="15619" max="15624" width="13.140625" style="271" customWidth="1"/>
    <col min="15625" max="15625" width="0" style="271" hidden="1" customWidth="1"/>
    <col min="15626" max="15628" width="14.42578125" style="271" customWidth="1"/>
    <col min="15629" max="15631" width="0" style="271" hidden="1" customWidth="1"/>
    <col min="15632" max="15872" width="9.140625" style="271"/>
    <col min="15873" max="15873" width="2.28515625" style="271" customWidth="1"/>
    <col min="15874" max="15874" width="5.7109375" style="271" customWidth="1"/>
    <col min="15875" max="15880" width="13.140625" style="271" customWidth="1"/>
    <col min="15881" max="15881" width="0" style="271" hidden="1" customWidth="1"/>
    <col min="15882" max="15884" width="14.42578125" style="271" customWidth="1"/>
    <col min="15885" max="15887" width="0" style="271" hidden="1" customWidth="1"/>
    <col min="15888" max="16128" width="9.140625" style="271"/>
    <col min="16129" max="16129" width="2.28515625" style="271" customWidth="1"/>
    <col min="16130" max="16130" width="5.7109375" style="271" customWidth="1"/>
    <col min="16131" max="16136" width="13.140625" style="271" customWidth="1"/>
    <col min="16137" max="16137" width="0" style="271" hidden="1" customWidth="1"/>
    <col min="16138" max="16140" width="14.42578125" style="271" customWidth="1"/>
    <col min="16141" max="16143" width="0" style="271" hidden="1" customWidth="1"/>
    <col min="16144" max="16384" width="9.140625" style="271"/>
  </cols>
  <sheetData>
    <row r="1" spans="2:9" ht="14.25" customHeight="1">
      <c r="B1" s="473" t="s">
        <v>1242</v>
      </c>
      <c r="C1" s="474"/>
      <c r="D1" s="474"/>
      <c r="E1" s="474"/>
      <c r="F1" s="474"/>
      <c r="G1" s="475"/>
      <c r="H1" s="270"/>
      <c r="I1" s="271"/>
    </row>
    <row r="2" spans="2:9" ht="14.25" customHeight="1">
      <c r="B2" s="320" t="s">
        <v>1216</v>
      </c>
      <c r="C2" s="328">
        <f>'1.ลดดอกเบี้ย'!C3</f>
        <v>0</v>
      </c>
      <c r="D2" s="328"/>
      <c r="E2" s="316"/>
      <c r="F2" s="269"/>
      <c r="G2" s="274" t="s">
        <v>191</v>
      </c>
      <c r="H2" s="272"/>
      <c r="I2" s="271"/>
    </row>
    <row r="3" spans="2:9" ht="14.25" customHeight="1">
      <c r="B3" s="320" t="s">
        <v>1238</v>
      </c>
      <c r="C3" s="326">
        <f>'1.ลดดอกเบี้ย'!C4</f>
        <v>0</v>
      </c>
      <c r="D3" s="327"/>
      <c r="F3" s="313" t="s">
        <v>208</v>
      </c>
      <c r="G3" s="330" cm="1">
        <f t="array" ref="G3:H3">'1.ลดดอกเบี้ย'!C26:D26</f>
        <v>0</v>
      </c>
      <c r="H3" s="272">
        <v>0</v>
      </c>
      <c r="I3" s="271"/>
    </row>
    <row r="4" spans="2:9" ht="14.25" customHeight="1">
      <c r="B4" s="319" t="s">
        <v>57</v>
      </c>
      <c r="C4" s="321">
        <f>'2.นำเสนอดอกเบี้ย'!G14</f>
        <v>0</v>
      </c>
      <c r="D4" s="324" t="s">
        <v>1235</v>
      </c>
      <c r="E4" s="313" t="s">
        <v>59</v>
      </c>
      <c r="F4" s="317">
        <f>'2.นำเสนอดอกเบี้ย'!K3</f>
        <v>0</v>
      </c>
      <c r="G4" s="276">
        <f>'1.ลดดอกเบี้ย'!C28</f>
        <v>0</v>
      </c>
      <c r="H4" s="273"/>
      <c r="I4" s="271"/>
    </row>
    <row r="5" spans="2:9" ht="14.25" customHeight="1">
      <c r="B5" s="322" t="s">
        <v>1234</v>
      </c>
      <c r="C5" s="323">
        <f>'1.ลดดอกเบี้ย'!C9</f>
        <v>0</v>
      </c>
      <c r="D5" s="325" t="s">
        <v>1236</v>
      </c>
      <c r="E5" s="313" t="s">
        <v>60</v>
      </c>
      <c r="F5" s="317">
        <f>'2.นำเสนอดอกเบี้ย'!K4</f>
        <v>0</v>
      </c>
      <c r="G5" s="276">
        <f>'1.ลดดอกเบี้ย'!C29</f>
        <v>0</v>
      </c>
      <c r="H5" s="275" t="e">
        <f>SUM(I6:I10)/#REF!</f>
        <v>#REF!</v>
      </c>
      <c r="I5" s="271"/>
    </row>
    <row r="6" spans="2:9" ht="14.25" customHeight="1">
      <c r="B6" s="476"/>
      <c r="C6" s="477"/>
      <c r="E6" s="313" t="s">
        <v>61</v>
      </c>
      <c r="F6" s="317">
        <f>'2.นำเสนอดอกเบี้ย'!K5</f>
        <v>0</v>
      </c>
      <c r="G6" s="276">
        <f>'1.ลดดอกเบี้ย'!C30</f>
        <v>0</v>
      </c>
      <c r="H6" s="277">
        <f>F4*12</f>
        <v>0</v>
      </c>
      <c r="I6" s="271"/>
    </row>
    <row r="7" spans="2:9" ht="14.25" customHeight="1">
      <c r="B7" s="249"/>
      <c r="C7" s="280" t="s">
        <v>1222</v>
      </c>
      <c r="D7" s="329">
        <v>0.01</v>
      </c>
      <c r="E7" s="278" t="s">
        <v>1250</v>
      </c>
      <c r="F7" s="318">
        <f>'2.นำเสนอดอกเบี้ย'!K6</f>
        <v>0</v>
      </c>
      <c r="G7" s="279">
        <f>'1.ลดดอกเบี้ย'!C31</f>
        <v>0</v>
      </c>
      <c r="H7" s="277">
        <f>F5*12</f>
        <v>0</v>
      </c>
      <c r="I7" s="271"/>
    </row>
    <row r="8" spans="2:9" ht="12" hidden="1" customHeight="1">
      <c r="B8" s="476"/>
      <c r="C8" s="477"/>
      <c r="D8" s="314"/>
      <c r="H8" s="277">
        <f>F6*12</f>
        <v>0</v>
      </c>
      <c r="I8" s="271"/>
    </row>
    <row r="9" spans="2:9" ht="12" hidden="1" customHeight="1">
      <c r="B9" s="478"/>
      <c r="C9" s="479"/>
      <c r="D9" s="315"/>
      <c r="H9" s="277">
        <f>F7*12</f>
        <v>0</v>
      </c>
      <c r="I9" s="271"/>
    </row>
    <row r="10" spans="2:9" ht="12" hidden="1" customHeight="1">
      <c r="B10" s="249"/>
      <c r="C10" s="250"/>
      <c r="D10" s="250"/>
      <c r="E10" s="250"/>
      <c r="F10" s="278" t="s">
        <v>1223</v>
      </c>
      <c r="G10" s="251">
        <f>F7</f>
        <v>0</v>
      </c>
      <c r="H10" s="279">
        <f>IF(G3="เท่ากันทุกเดือน",'1.ลดดอกเบี้ย'!#REF!,'1.ลดดอกเบี้ย'!C31)</f>
        <v>0</v>
      </c>
      <c r="I10" s="277" t="e">
        <f>G10*(#REF!-48)</f>
        <v>#REF!</v>
      </c>
    </row>
    <row r="11" spans="2:9" ht="3" customHeight="1">
      <c r="C11" s="253"/>
      <c r="D11" s="248">
        <f>12*3</f>
        <v>36</v>
      </c>
      <c r="E11" s="248">
        <f>12*5</f>
        <v>60</v>
      </c>
      <c r="F11" s="248">
        <f>12*7</f>
        <v>84</v>
      </c>
      <c r="G11" s="248">
        <f>12*10</f>
        <v>120</v>
      </c>
      <c r="H11" s="248">
        <f>12*30</f>
        <v>360</v>
      </c>
      <c r="I11" s="280">
        <f>12*15</f>
        <v>180</v>
      </c>
    </row>
    <row r="12" spans="2:9" ht="12.75" hidden="1" customHeight="1">
      <c r="B12" s="480"/>
      <c r="C12" s="480"/>
      <c r="D12" s="254" t="s">
        <v>1224</v>
      </c>
      <c r="E12" s="255" t="s">
        <v>1225</v>
      </c>
      <c r="F12" s="255" t="s">
        <v>1226</v>
      </c>
      <c r="G12" s="255" t="s">
        <v>1227</v>
      </c>
      <c r="H12" s="255" t="s">
        <v>1228</v>
      </c>
      <c r="I12" s="255" t="s">
        <v>1229</v>
      </c>
    </row>
    <row r="13" spans="2:9" ht="14.25" hidden="1" customHeight="1">
      <c r="B13" s="481" t="s">
        <v>1230</v>
      </c>
      <c r="C13" s="481"/>
      <c r="D13" s="256">
        <f>SUM($G$20:$G$55)</f>
        <v>0</v>
      </c>
      <c r="E13" s="257">
        <f>SUM($G$20:$G$79)</f>
        <v>0</v>
      </c>
      <c r="F13" s="256">
        <f>SUM($G$20:$G$103)</f>
        <v>0</v>
      </c>
      <c r="G13" s="256">
        <f>SUM($G$20:$G$139)</f>
        <v>0</v>
      </c>
      <c r="H13" s="256">
        <f>SUM($G$20:$G$379)</f>
        <v>0</v>
      </c>
      <c r="I13" s="256">
        <f>SUM($G$20:$G$199)</f>
        <v>0</v>
      </c>
    </row>
    <row r="14" spans="2:9" ht="14.25" hidden="1" customHeight="1">
      <c r="B14" s="482" t="s">
        <v>1231</v>
      </c>
      <c r="C14" s="482"/>
      <c r="D14" s="258">
        <f>AVERAGE($D$20:$D$55)</f>
        <v>0</v>
      </c>
      <c r="E14" s="259">
        <f>AVERAGE($D$20:$D$79)</f>
        <v>0</v>
      </c>
      <c r="F14" s="258">
        <f>AVERAGE($D$20:$D$103)</f>
        <v>0</v>
      </c>
      <c r="G14" s="258">
        <f>AVERAGE($D$20:$D$139)</f>
        <v>0</v>
      </c>
      <c r="H14" s="258">
        <f>AVERAGE($D$20:$D$379)</f>
        <v>0</v>
      </c>
      <c r="I14" s="258">
        <f>AVERAGE($D$20:$D$199)</f>
        <v>0</v>
      </c>
    </row>
    <row r="15" spans="2:9" ht="14.25" hidden="1" customHeight="1">
      <c r="B15" s="470" t="s">
        <v>1232</v>
      </c>
      <c r="C15" s="470"/>
      <c r="D15" s="260" t="e">
        <f t="shared" ref="D15:I15" si="0">D13/D14/(D11/12)</f>
        <v>#DIV/0!</v>
      </c>
      <c r="E15" s="261" t="e">
        <f t="shared" si="0"/>
        <v>#DIV/0!</v>
      </c>
      <c r="F15" s="260" t="e">
        <f t="shared" si="0"/>
        <v>#DIV/0!</v>
      </c>
      <c r="G15" s="260" t="e">
        <f t="shared" si="0"/>
        <v>#DIV/0!</v>
      </c>
      <c r="H15" s="260" t="e">
        <f t="shared" si="0"/>
        <v>#DIV/0!</v>
      </c>
      <c r="I15" s="262" t="e">
        <f t="shared" si="0"/>
        <v>#DIV/0!</v>
      </c>
    </row>
    <row r="16" spans="2:9" ht="5.25" hidden="1" customHeight="1">
      <c r="C16" s="263"/>
      <c r="D16" s="281"/>
      <c r="E16" s="282"/>
      <c r="F16" s="281"/>
      <c r="G16" s="283"/>
      <c r="H16" s="271"/>
      <c r="I16" s="271"/>
    </row>
    <row r="17" spans="1:15" ht="14.25" hidden="1" customHeight="1">
      <c r="B17" s="471" t="s">
        <v>1233</v>
      </c>
      <c r="C17" s="472"/>
      <c r="D17" s="264">
        <f>AVERAGE($C$20:$C$55)</f>
        <v>0</v>
      </c>
      <c r="E17" s="265">
        <f>AVERAGE($C$20:$C$79)</f>
        <v>0</v>
      </c>
      <c r="F17" s="264">
        <f>AVERAGE($C$20:$C$103)</f>
        <v>0</v>
      </c>
      <c r="G17" s="264">
        <f>AVERAGE($C$20:$C$139)</f>
        <v>0</v>
      </c>
      <c r="H17" s="264">
        <f>AVERAGE($C$20:$C$379)</f>
        <v>0</v>
      </c>
      <c r="I17" s="266">
        <f>AVERAGE(C20:C199)</f>
        <v>0</v>
      </c>
    </row>
    <row r="18" spans="1:15" ht="4.5" customHeight="1">
      <c r="D18" s="284"/>
      <c r="E18" s="285"/>
    </row>
    <row r="19" spans="1:15" ht="14.25" customHeight="1">
      <c r="A19" s="286"/>
      <c r="B19" s="267" t="s">
        <v>1215</v>
      </c>
      <c r="C19" s="267" t="s">
        <v>208</v>
      </c>
      <c r="D19" s="267" t="s">
        <v>1237</v>
      </c>
      <c r="E19" s="267" t="s">
        <v>1217</v>
      </c>
      <c r="F19" s="267" t="s">
        <v>1218</v>
      </c>
      <c r="G19" s="267" t="s">
        <v>1219</v>
      </c>
      <c r="H19" s="267" t="s">
        <v>1237</v>
      </c>
      <c r="I19" s="268" t="s">
        <v>115</v>
      </c>
      <c r="J19" s="287"/>
      <c r="K19" s="287"/>
      <c r="M19" s="287"/>
      <c r="N19" s="287"/>
      <c r="O19" s="288" t="s">
        <v>97</v>
      </c>
    </row>
    <row r="20" spans="1:15">
      <c r="A20" s="286"/>
      <c r="B20" s="289">
        <v>1</v>
      </c>
      <c r="C20" s="290">
        <f t="shared" ref="C20:C31" si="1">IF(D20&gt;0,$F$4,0)</f>
        <v>0</v>
      </c>
      <c r="D20" s="291">
        <f>C4</f>
        <v>0</v>
      </c>
      <c r="E20" s="292">
        <f>G4</f>
        <v>0</v>
      </c>
      <c r="F20" s="292">
        <f t="shared" ref="F20:F83" si="2">E20-G20</f>
        <v>0</v>
      </c>
      <c r="G20" s="292">
        <f>C20*(D20/365)*30</f>
        <v>0</v>
      </c>
      <c r="H20" s="293">
        <f>IF((D20+G20-E20)&lt;0,0,D20+G20-E20)</f>
        <v>0</v>
      </c>
      <c r="I20" s="294"/>
      <c r="O20" s="295">
        <f t="shared" ref="O20:O83" si="3">IF(H20=0,B20,"n.a.")</f>
        <v>1</v>
      </c>
    </row>
    <row r="21" spans="1:15">
      <c r="A21" s="286"/>
      <c r="B21" s="296">
        <f>B20+1</f>
        <v>2</v>
      </c>
      <c r="C21" s="297">
        <f t="shared" si="1"/>
        <v>0</v>
      </c>
      <c r="D21" s="298">
        <f>H20</f>
        <v>0</v>
      </c>
      <c r="E21" s="299">
        <f t="shared" ref="E21:E31" si="4">IF(H20&lt;=E20,H20+G21,$G$4)</f>
        <v>0</v>
      </c>
      <c r="F21" s="299">
        <f t="shared" si="2"/>
        <v>0</v>
      </c>
      <c r="G21" s="299">
        <f t="shared" ref="G21:G84" si="5">C21*(D21/365)*30</f>
        <v>0</v>
      </c>
      <c r="H21" s="298">
        <f t="shared" ref="H21:H84" si="6">IF((D21+G21-E21)&lt;0,0,D21+G21-E21)</f>
        <v>0</v>
      </c>
      <c r="I21" s="294"/>
      <c r="O21" s="295">
        <f t="shared" si="3"/>
        <v>2</v>
      </c>
    </row>
    <row r="22" spans="1:15">
      <c r="A22" s="286"/>
      <c r="B22" s="296">
        <f t="shared" ref="B22:B85" si="7">B21+1</f>
        <v>3</v>
      </c>
      <c r="C22" s="297">
        <f t="shared" si="1"/>
        <v>0</v>
      </c>
      <c r="D22" s="298">
        <f t="shared" ref="D22:D85" si="8">H21</f>
        <v>0</v>
      </c>
      <c r="E22" s="299">
        <f t="shared" si="4"/>
        <v>0</v>
      </c>
      <c r="F22" s="299">
        <f t="shared" si="2"/>
        <v>0</v>
      </c>
      <c r="G22" s="299">
        <f t="shared" si="5"/>
        <v>0</v>
      </c>
      <c r="H22" s="298">
        <f t="shared" si="6"/>
        <v>0</v>
      </c>
      <c r="I22" s="294"/>
      <c r="O22" s="295">
        <f t="shared" si="3"/>
        <v>3</v>
      </c>
    </row>
    <row r="23" spans="1:15">
      <c r="A23" s="286"/>
      <c r="B23" s="296">
        <f t="shared" si="7"/>
        <v>4</v>
      </c>
      <c r="C23" s="297">
        <f t="shared" si="1"/>
        <v>0</v>
      </c>
      <c r="D23" s="298">
        <f t="shared" si="8"/>
        <v>0</v>
      </c>
      <c r="E23" s="299">
        <f t="shared" si="4"/>
        <v>0</v>
      </c>
      <c r="F23" s="299">
        <f t="shared" si="2"/>
        <v>0</v>
      </c>
      <c r="G23" s="299">
        <f t="shared" si="5"/>
        <v>0</v>
      </c>
      <c r="H23" s="298">
        <f t="shared" si="6"/>
        <v>0</v>
      </c>
      <c r="I23" s="294"/>
      <c r="O23" s="295">
        <f t="shared" si="3"/>
        <v>4</v>
      </c>
    </row>
    <row r="24" spans="1:15">
      <c r="A24" s="286"/>
      <c r="B24" s="296">
        <f t="shared" si="7"/>
        <v>5</v>
      </c>
      <c r="C24" s="297">
        <f t="shared" si="1"/>
        <v>0</v>
      </c>
      <c r="D24" s="298">
        <f t="shared" si="8"/>
        <v>0</v>
      </c>
      <c r="E24" s="299">
        <f t="shared" si="4"/>
        <v>0</v>
      </c>
      <c r="F24" s="299">
        <f t="shared" si="2"/>
        <v>0</v>
      </c>
      <c r="G24" s="299">
        <f t="shared" si="5"/>
        <v>0</v>
      </c>
      <c r="H24" s="298">
        <f t="shared" si="6"/>
        <v>0</v>
      </c>
      <c r="I24" s="294"/>
      <c r="O24" s="295">
        <f t="shared" si="3"/>
        <v>5</v>
      </c>
    </row>
    <row r="25" spans="1:15">
      <c r="A25" s="286"/>
      <c r="B25" s="296">
        <f t="shared" si="7"/>
        <v>6</v>
      </c>
      <c r="C25" s="297">
        <f t="shared" si="1"/>
        <v>0</v>
      </c>
      <c r="D25" s="298">
        <f t="shared" si="8"/>
        <v>0</v>
      </c>
      <c r="E25" s="299">
        <f t="shared" si="4"/>
        <v>0</v>
      </c>
      <c r="F25" s="299">
        <f t="shared" si="2"/>
        <v>0</v>
      </c>
      <c r="G25" s="299">
        <f t="shared" si="5"/>
        <v>0</v>
      </c>
      <c r="H25" s="298">
        <f t="shared" si="6"/>
        <v>0</v>
      </c>
      <c r="I25" s="294"/>
      <c r="O25" s="295">
        <f t="shared" si="3"/>
        <v>6</v>
      </c>
    </row>
    <row r="26" spans="1:15">
      <c r="A26" s="286"/>
      <c r="B26" s="296">
        <f t="shared" si="7"/>
        <v>7</v>
      </c>
      <c r="C26" s="297">
        <f t="shared" si="1"/>
        <v>0</v>
      </c>
      <c r="D26" s="298">
        <f t="shared" si="8"/>
        <v>0</v>
      </c>
      <c r="E26" s="299">
        <f t="shared" si="4"/>
        <v>0</v>
      </c>
      <c r="F26" s="299">
        <f t="shared" si="2"/>
        <v>0</v>
      </c>
      <c r="G26" s="299">
        <f t="shared" si="5"/>
        <v>0</v>
      </c>
      <c r="H26" s="298">
        <f t="shared" si="6"/>
        <v>0</v>
      </c>
      <c r="I26" s="294"/>
      <c r="O26" s="295">
        <f t="shared" si="3"/>
        <v>7</v>
      </c>
    </row>
    <row r="27" spans="1:15">
      <c r="A27" s="286"/>
      <c r="B27" s="296">
        <f t="shared" si="7"/>
        <v>8</v>
      </c>
      <c r="C27" s="297">
        <f t="shared" si="1"/>
        <v>0</v>
      </c>
      <c r="D27" s="298">
        <f t="shared" si="8"/>
        <v>0</v>
      </c>
      <c r="E27" s="299">
        <f t="shared" si="4"/>
        <v>0</v>
      </c>
      <c r="F27" s="299">
        <f t="shared" si="2"/>
        <v>0</v>
      </c>
      <c r="G27" s="299">
        <f t="shared" si="5"/>
        <v>0</v>
      </c>
      <c r="H27" s="298">
        <f t="shared" si="6"/>
        <v>0</v>
      </c>
      <c r="I27" s="294"/>
      <c r="O27" s="295">
        <f t="shared" si="3"/>
        <v>8</v>
      </c>
    </row>
    <row r="28" spans="1:15">
      <c r="A28" s="286"/>
      <c r="B28" s="296">
        <f t="shared" si="7"/>
        <v>9</v>
      </c>
      <c r="C28" s="297">
        <f t="shared" si="1"/>
        <v>0</v>
      </c>
      <c r="D28" s="298">
        <f t="shared" si="8"/>
        <v>0</v>
      </c>
      <c r="E28" s="299">
        <f t="shared" si="4"/>
        <v>0</v>
      </c>
      <c r="F28" s="299">
        <f t="shared" si="2"/>
        <v>0</v>
      </c>
      <c r="G28" s="299">
        <f t="shared" si="5"/>
        <v>0</v>
      </c>
      <c r="H28" s="298">
        <f t="shared" si="6"/>
        <v>0</v>
      </c>
      <c r="I28" s="294"/>
      <c r="O28" s="295">
        <f t="shared" si="3"/>
        <v>9</v>
      </c>
    </row>
    <row r="29" spans="1:15">
      <c r="A29" s="286"/>
      <c r="B29" s="296">
        <f t="shared" si="7"/>
        <v>10</v>
      </c>
      <c r="C29" s="297">
        <f t="shared" si="1"/>
        <v>0</v>
      </c>
      <c r="D29" s="298">
        <f t="shared" si="8"/>
        <v>0</v>
      </c>
      <c r="E29" s="299">
        <f t="shared" si="4"/>
        <v>0</v>
      </c>
      <c r="F29" s="299">
        <f t="shared" si="2"/>
        <v>0</v>
      </c>
      <c r="G29" s="299">
        <f t="shared" si="5"/>
        <v>0</v>
      </c>
      <c r="H29" s="298">
        <f t="shared" si="6"/>
        <v>0</v>
      </c>
      <c r="I29" s="294"/>
      <c r="O29" s="295">
        <f t="shared" si="3"/>
        <v>10</v>
      </c>
    </row>
    <row r="30" spans="1:15">
      <c r="A30" s="286"/>
      <c r="B30" s="296">
        <f t="shared" si="7"/>
        <v>11</v>
      </c>
      <c r="C30" s="297">
        <f t="shared" si="1"/>
        <v>0</v>
      </c>
      <c r="D30" s="298">
        <f t="shared" si="8"/>
        <v>0</v>
      </c>
      <c r="E30" s="299">
        <f t="shared" si="4"/>
        <v>0</v>
      </c>
      <c r="F30" s="299">
        <f t="shared" si="2"/>
        <v>0</v>
      </c>
      <c r="G30" s="299">
        <f t="shared" si="5"/>
        <v>0</v>
      </c>
      <c r="H30" s="298">
        <f t="shared" si="6"/>
        <v>0</v>
      </c>
      <c r="I30" s="294"/>
      <c r="O30" s="295">
        <f t="shared" si="3"/>
        <v>11</v>
      </c>
    </row>
    <row r="31" spans="1:15">
      <c r="A31" s="286"/>
      <c r="B31" s="300">
        <f t="shared" si="7"/>
        <v>12</v>
      </c>
      <c r="C31" s="301">
        <f t="shared" si="1"/>
        <v>0</v>
      </c>
      <c r="D31" s="302">
        <f t="shared" si="8"/>
        <v>0</v>
      </c>
      <c r="E31" s="303">
        <f t="shared" si="4"/>
        <v>0</v>
      </c>
      <c r="F31" s="303">
        <f t="shared" si="2"/>
        <v>0</v>
      </c>
      <c r="G31" s="303">
        <f t="shared" si="5"/>
        <v>0</v>
      </c>
      <c r="H31" s="302">
        <f t="shared" si="6"/>
        <v>0</v>
      </c>
      <c r="I31" s="304" t="e">
        <f>H31/$D$5</f>
        <v>#VALUE!</v>
      </c>
      <c r="J31" s="305"/>
      <c r="K31" s="305"/>
      <c r="L31" s="305"/>
      <c r="M31" s="305"/>
      <c r="N31" s="305"/>
      <c r="O31" s="306">
        <f t="shared" si="3"/>
        <v>12</v>
      </c>
    </row>
    <row r="32" spans="1:15">
      <c r="A32" s="286"/>
      <c r="B32" s="296">
        <f t="shared" si="7"/>
        <v>13</v>
      </c>
      <c r="C32" s="297">
        <f t="shared" ref="C32:C43" si="9">IF(D32&gt;0,$F$5,0)</f>
        <v>0</v>
      </c>
      <c r="D32" s="298">
        <f t="shared" si="8"/>
        <v>0</v>
      </c>
      <c r="E32" s="299">
        <f t="shared" ref="E32:E43" si="10">IF(H31&lt;=E31,H31+G32,$G$5)</f>
        <v>0</v>
      </c>
      <c r="F32" s="299">
        <f t="shared" si="2"/>
        <v>0</v>
      </c>
      <c r="G32" s="299">
        <f t="shared" si="5"/>
        <v>0</v>
      </c>
      <c r="H32" s="298">
        <f t="shared" si="6"/>
        <v>0</v>
      </c>
      <c r="I32" s="294"/>
      <c r="O32" s="295">
        <f t="shared" si="3"/>
        <v>13</v>
      </c>
    </row>
    <row r="33" spans="1:15">
      <c r="A33" s="286"/>
      <c r="B33" s="296">
        <f t="shared" si="7"/>
        <v>14</v>
      </c>
      <c r="C33" s="297">
        <f t="shared" si="9"/>
        <v>0</v>
      </c>
      <c r="D33" s="298">
        <f t="shared" si="8"/>
        <v>0</v>
      </c>
      <c r="E33" s="299">
        <f t="shared" si="10"/>
        <v>0</v>
      </c>
      <c r="F33" s="299">
        <f t="shared" si="2"/>
        <v>0</v>
      </c>
      <c r="G33" s="299">
        <f t="shared" si="5"/>
        <v>0</v>
      </c>
      <c r="H33" s="298">
        <f t="shared" si="6"/>
        <v>0</v>
      </c>
      <c r="I33" s="294"/>
      <c r="O33" s="295">
        <f t="shared" si="3"/>
        <v>14</v>
      </c>
    </row>
    <row r="34" spans="1:15">
      <c r="A34" s="286"/>
      <c r="B34" s="296">
        <f t="shared" si="7"/>
        <v>15</v>
      </c>
      <c r="C34" s="297">
        <f t="shared" si="9"/>
        <v>0</v>
      </c>
      <c r="D34" s="298">
        <f t="shared" si="8"/>
        <v>0</v>
      </c>
      <c r="E34" s="299">
        <f t="shared" si="10"/>
        <v>0</v>
      </c>
      <c r="F34" s="299">
        <f t="shared" si="2"/>
        <v>0</v>
      </c>
      <c r="G34" s="299">
        <f t="shared" si="5"/>
        <v>0</v>
      </c>
      <c r="H34" s="298">
        <f t="shared" si="6"/>
        <v>0</v>
      </c>
      <c r="I34" s="294"/>
      <c r="O34" s="295">
        <f t="shared" si="3"/>
        <v>15</v>
      </c>
    </row>
    <row r="35" spans="1:15">
      <c r="A35" s="286"/>
      <c r="B35" s="296">
        <f t="shared" si="7"/>
        <v>16</v>
      </c>
      <c r="C35" s="297">
        <f t="shared" si="9"/>
        <v>0</v>
      </c>
      <c r="D35" s="298">
        <f t="shared" si="8"/>
        <v>0</v>
      </c>
      <c r="E35" s="299">
        <f t="shared" si="10"/>
        <v>0</v>
      </c>
      <c r="F35" s="299">
        <f t="shared" si="2"/>
        <v>0</v>
      </c>
      <c r="G35" s="299">
        <f t="shared" si="5"/>
        <v>0</v>
      </c>
      <c r="H35" s="298">
        <f t="shared" si="6"/>
        <v>0</v>
      </c>
      <c r="I35" s="294"/>
      <c r="O35" s="295">
        <f t="shared" si="3"/>
        <v>16</v>
      </c>
    </row>
    <row r="36" spans="1:15">
      <c r="A36" s="286"/>
      <c r="B36" s="296">
        <f t="shared" si="7"/>
        <v>17</v>
      </c>
      <c r="C36" s="297">
        <f t="shared" si="9"/>
        <v>0</v>
      </c>
      <c r="D36" s="298">
        <f t="shared" si="8"/>
        <v>0</v>
      </c>
      <c r="E36" s="299">
        <f t="shared" si="10"/>
        <v>0</v>
      </c>
      <c r="F36" s="299">
        <f t="shared" si="2"/>
        <v>0</v>
      </c>
      <c r="G36" s="299">
        <f t="shared" si="5"/>
        <v>0</v>
      </c>
      <c r="H36" s="298">
        <f t="shared" si="6"/>
        <v>0</v>
      </c>
      <c r="I36" s="294"/>
      <c r="O36" s="295">
        <f t="shared" si="3"/>
        <v>17</v>
      </c>
    </row>
    <row r="37" spans="1:15">
      <c r="A37" s="286"/>
      <c r="B37" s="296">
        <f t="shared" si="7"/>
        <v>18</v>
      </c>
      <c r="C37" s="297">
        <f t="shared" si="9"/>
        <v>0</v>
      </c>
      <c r="D37" s="298">
        <f t="shared" si="8"/>
        <v>0</v>
      </c>
      <c r="E37" s="299">
        <f t="shared" si="10"/>
        <v>0</v>
      </c>
      <c r="F37" s="299">
        <f t="shared" si="2"/>
        <v>0</v>
      </c>
      <c r="G37" s="299">
        <f t="shared" si="5"/>
        <v>0</v>
      </c>
      <c r="H37" s="298">
        <f t="shared" si="6"/>
        <v>0</v>
      </c>
      <c r="I37" s="294"/>
      <c r="O37" s="295">
        <f t="shared" si="3"/>
        <v>18</v>
      </c>
    </row>
    <row r="38" spans="1:15">
      <c r="A38" s="286"/>
      <c r="B38" s="296">
        <f t="shared" si="7"/>
        <v>19</v>
      </c>
      <c r="C38" s="297">
        <f t="shared" si="9"/>
        <v>0</v>
      </c>
      <c r="D38" s="298">
        <f t="shared" si="8"/>
        <v>0</v>
      </c>
      <c r="E38" s="299">
        <f t="shared" si="10"/>
        <v>0</v>
      </c>
      <c r="F38" s="299">
        <f t="shared" si="2"/>
        <v>0</v>
      </c>
      <c r="G38" s="299">
        <f t="shared" si="5"/>
        <v>0</v>
      </c>
      <c r="H38" s="298">
        <f t="shared" si="6"/>
        <v>0</v>
      </c>
      <c r="I38" s="294"/>
      <c r="O38" s="295">
        <f t="shared" si="3"/>
        <v>19</v>
      </c>
    </row>
    <row r="39" spans="1:15">
      <c r="A39" s="286"/>
      <c r="B39" s="296">
        <f t="shared" si="7"/>
        <v>20</v>
      </c>
      <c r="C39" s="297">
        <f t="shared" si="9"/>
        <v>0</v>
      </c>
      <c r="D39" s="298">
        <f t="shared" si="8"/>
        <v>0</v>
      </c>
      <c r="E39" s="299">
        <f t="shared" si="10"/>
        <v>0</v>
      </c>
      <c r="F39" s="299">
        <f t="shared" si="2"/>
        <v>0</v>
      </c>
      <c r="G39" s="299">
        <f t="shared" si="5"/>
        <v>0</v>
      </c>
      <c r="H39" s="298">
        <f t="shared" si="6"/>
        <v>0</v>
      </c>
      <c r="I39" s="294"/>
      <c r="O39" s="295">
        <f t="shared" si="3"/>
        <v>20</v>
      </c>
    </row>
    <row r="40" spans="1:15">
      <c r="A40" s="286"/>
      <c r="B40" s="296">
        <f t="shared" si="7"/>
        <v>21</v>
      </c>
      <c r="C40" s="297">
        <f t="shared" si="9"/>
        <v>0</v>
      </c>
      <c r="D40" s="298">
        <f t="shared" si="8"/>
        <v>0</v>
      </c>
      <c r="E40" s="299">
        <f t="shared" si="10"/>
        <v>0</v>
      </c>
      <c r="F40" s="299">
        <f t="shared" si="2"/>
        <v>0</v>
      </c>
      <c r="G40" s="299">
        <f t="shared" si="5"/>
        <v>0</v>
      </c>
      <c r="H40" s="298">
        <f t="shared" si="6"/>
        <v>0</v>
      </c>
      <c r="I40" s="294"/>
      <c r="O40" s="295">
        <f t="shared" si="3"/>
        <v>21</v>
      </c>
    </row>
    <row r="41" spans="1:15">
      <c r="A41" s="286"/>
      <c r="B41" s="296">
        <f t="shared" si="7"/>
        <v>22</v>
      </c>
      <c r="C41" s="297">
        <f t="shared" si="9"/>
        <v>0</v>
      </c>
      <c r="D41" s="298">
        <f t="shared" si="8"/>
        <v>0</v>
      </c>
      <c r="E41" s="299">
        <f t="shared" si="10"/>
        <v>0</v>
      </c>
      <c r="F41" s="299">
        <f t="shared" si="2"/>
        <v>0</v>
      </c>
      <c r="G41" s="299">
        <f t="shared" si="5"/>
        <v>0</v>
      </c>
      <c r="H41" s="298">
        <f t="shared" si="6"/>
        <v>0</v>
      </c>
      <c r="I41" s="294"/>
      <c r="O41" s="295">
        <f t="shared" si="3"/>
        <v>22</v>
      </c>
    </row>
    <row r="42" spans="1:15">
      <c r="A42" s="286"/>
      <c r="B42" s="296">
        <f t="shared" si="7"/>
        <v>23</v>
      </c>
      <c r="C42" s="297">
        <f t="shared" si="9"/>
        <v>0</v>
      </c>
      <c r="D42" s="298">
        <f t="shared" si="8"/>
        <v>0</v>
      </c>
      <c r="E42" s="299">
        <f t="shared" si="10"/>
        <v>0</v>
      </c>
      <c r="F42" s="299">
        <f t="shared" si="2"/>
        <v>0</v>
      </c>
      <c r="G42" s="299">
        <f t="shared" si="5"/>
        <v>0</v>
      </c>
      <c r="H42" s="298">
        <f t="shared" si="6"/>
        <v>0</v>
      </c>
      <c r="I42" s="294"/>
      <c r="O42" s="295">
        <f t="shared" si="3"/>
        <v>23</v>
      </c>
    </row>
    <row r="43" spans="1:15">
      <c r="A43" s="286"/>
      <c r="B43" s="300">
        <f t="shared" si="7"/>
        <v>24</v>
      </c>
      <c r="C43" s="301">
        <f t="shared" si="9"/>
        <v>0</v>
      </c>
      <c r="D43" s="302">
        <f t="shared" si="8"/>
        <v>0</v>
      </c>
      <c r="E43" s="303">
        <f t="shared" si="10"/>
        <v>0</v>
      </c>
      <c r="F43" s="303">
        <f t="shared" si="2"/>
        <v>0</v>
      </c>
      <c r="G43" s="303">
        <f t="shared" si="5"/>
        <v>0</v>
      </c>
      <c r="H43" s="302">
        <f t="shared" si="6"/>
        <v>0</v>
      </c>
      <c r="I43" s="304" t="e">
        <f>H43/$D$5</f>
        <v>#VALUE!</v>
      </c>
      <c r="J43" s="305"/>
      <c r="K43" s="305"/>
      <c r="L43" s="305"/>
      <c r="M43" s="305"/>
      <c r="N43" s="305"/>
      <c r="O43" s="306">
        <f t="shared" si="3"/>
        <v>24</v>
      </c>
    </row>
    <row r="44" spans="1:15">
      <c r="A44" s="286"/>
      <c r="B44" s="296">
        <f t="shared" si="7"/>
        <v>25</v>
      </c>
      <c r="C44" s="297">
        <f t="shared" ref="C44:C55" si="11">IF(D44&gt;0,$F$6,0)</f>
        <v>0</v>
      </c>
      <c r="D44" s="298">
        <f t="shared" si="8"/>
        <v>0</v>
      </c>
      <c r="E44" s="299">
        <f t="shared" ref="E44:E55" si="12">IF(H43&lt;=E43,H43+G44,$G$6)</f>
        <v>0</v>
      </c>
      <c r="F44" s="299">
        <f t="shared" si="2"/>
        <v>0</v>
      </c>
      <c r="G44" s="299">
        <f t="shared" si="5"/>
        <v>0</v>
      </c>
      <c r="H44" s="298">
        <f t="shared" si="6"/>
        <v>0</v>
      </c>
      <c r="I44" s="294"/>
      <c r="O44" s="295">
        <f t="shared" si="3"/>
        <v>25</v>
      </c>
    </row>
    <row r="45" spans="1:15">
      <c r="A45" s="286"/>
      <c r="B45" s="296">
        <f t="shared" si="7"/>
        <v>26</v>
      </c>
      <c r="C45" s="297">
        <f t="shared" si="11"/>
        <v>0</v>
      </c>
      <c r="D45" s="298">
        <f t="shared" si="8"/>
        <v>0</v>
      </c>
      <c r="E45" s="299">
        <f t="shared" si="12"/>
        <v>0</v>
      </c>
      <c r="F45" s="299">
        <f t="shared" si="2"/>
        <v>0</v>
      </c>
      <c r="G45" s="299">
        <f t="shared" si="5"/>
        <v>0</v>
      </c>
      <c r="H45" s="298">
        <f t="shared" si="6"/>
        <v>0</v>
      </c>
      <c r="I45" s="294"/>
      <c r="O45" s="295">
        <f t="shared" si="3"/>
        <v>26</v>
      </c>
    </row>
    <row r="46" spans="1:15">
      <c r="A46" s="286"/>
      <c r="B46" s="296">
        <f t="shared" si="7"/>
        <v>27</v>
      </c>
      <c r="C46" s="297">
        <f t="shared" si="11"/>
        <v>0</v>
      </c>
      <c r="D46" s="298">
        <f t="shared" si="8"/>
        <v>0</v>
      </c>
      <c r="E46" s="299">
        <f t="shared" si="12"/>
        <v>0</v>
      </c>
      <c r="F46" s="299">
        <f t="shared" si="2"/>
        <v>0</v>
      </c>
      <c r="G46" s="299">
        <f t="shared" si="5"/>
        <v>0</v>
      </c>
      <c r="H46" s="298">
        <f t="shared" si="6"/>
        <v>0</v>
      </c>
      <c r="I46" s="294"/>
      <c r="O46" s="295">
        <f t="shared" si="3"/>
        <v>27</v>
      </c>
    </row>
    <row r="47" spans="1:15">
      <c r="A47" s="286"/>
      <c r="B47" s="296">
        <f t="shared" si="7"/>
        <v>28</v>
      </c>
      <c r="C47" s="297">
        <f t="shared" si="11"/>
        <v>0</v>
      </c>
      <c r="D47" s="298">
        <f t="shared" si="8"/>
        <v>0</v>
      </c>
      <c r="E47" s="299">
        <f t="shared" si="12"/>
        <v>0</v>
      </c>
      <c r="F47" s="299">
        <f t="shared" si="2"/>
        <v>0</v>
      </c>
      <c r="G47" s="299">
        <f t="shared" si="5"/>
        <v>0</v>
      </c>
      <c r="H47" s="298">
        <f t="shared" si="6"/>
        <v>0</v>
      </c>
      <c r="I47" s="294"/>
      <c r="O47" s="295">
        <f t="shared" si="3"/>
        <v>28</v>
      </c>
    </row>
    <row r="48" spans="1:15">
      <c r="A48" s="286"/>
      <c r="B48" s="296">
        <f t="shared" si="7"/>
        <v>29</v>
      </c>
      <c r="C48" s="297">
        <f t="shared" si="11"/>
        <v>0</v>
      </c>
      <c r="D48" s="298">
        <f t="shared" si="8"/>
        <v>0</v>
      </c>
      <c r="E48" s="299">
        <f t="shared" si="12"/>
        <v>0</v>
      </c>
      <c r="F48" s="299">
        <f t="shared" si="2"/>
        <v>0</v>
      </c>
      <c r="G48" s="299">
        <f t="shared" si="5"/>
        <v>0</v>
      </c>
      <c r="H48" s="298">
        <f t="shared" si="6"/>
        <v>0</v>
      </c>
      <c r="I48" s="294"/>
      <c r="O48" s="295">
        <f t="shared" si="3"/>
        <v>29</v>
      </c>
    </row>
    <row r="49" spans="1:15">
      <c r="A49" s="286"/>
      <c r="B49" s="296">
        <f t="shared" si="7"/>
        <v>30</v>
      </c>
      <c r="C49" s="297">
        <f t="shared" si="11"/>
        <v>0</v>
      </c>
      <c r="D49" s="298">
        <f t="shared" si="8"/>
        <v>0</v>
      </c>
      <c r="E49" s="299">
        <f t="shared" si="12"/>
        <v>0</v>
      </c>
      <c r="F49" s="299">
        <f t="shared" si="2"/>
        <v>0</v>
      </c>
      <c r="G49" s="299">
        <f t="shared" si="5"/>
        <v>0</v>
      </c>
      <c r="H49" s="298">
        <f t="shared" si="6"/>
        <v>0</v>
      </c>
      <c r="I49" s="294"/>
      <c r="O49" s="295">
        <f t="shared" si="3"/>
        <v>30</v>
      </c>
    </row>
    <row r="50" spans="1:15">
      <c r="A50" s="286"/>
      <c r="B50" s="296">
        <f t="shared" si="7"/>
        <v>31</v>
      </c>
      <c r="C50" s="297">
        <f t="shared" si="11"/>
        <v>0</v>
      </c>
      <c r="D50" s="298">
        <f t="shared" si="8"/>
        <v>0</v>
      </c>
      <c r="E50" s="299">
        <f t="shared" si="12"/>
        <v>0</v>
      </c>
      <c r="F50" s="299">
        <f t="shared" si="2"/>
        <v>0</v>
      </c>
      <c r="G50" s="299">
        <f t="shared" si="5"/>
        <v>0</v>
      </c>
      <c r="H50" s="298">
        <f t="shared" si="6"/>
        <v>0</v>
      </c>
      <c r="I50" s="294"/>
      <c r="O50" s="295">
        <f t="shared" si="3"/>
        <v>31</v>
      </c>
    </row>
    <row r="51" spans="1:15">
      <c r="A51" s="286"/>
      <c r="B51" s="296">
        <f t="shared" si="7"/>
        <v>32</v>
      </c>
      <c r="C51" s="297">
        <f t="shared" si="11"/>
        <v>0</v>
      </c>
      <c r="D51" s="298">
        <f t="shared" si="8"/>
        <v>0</v>
      </c>
      <c r="E51" s="299">
        <f t="shared" si="12"/>
        <v>0</v>
      </c>
      <c r="F51" s="299">
        <f t="shared" si="2"/>
        <v>0</v>
      </c>
      <c r="G51" s="299">
        <f t="shared" si="5"/>
        <v>0</v>
      </c>
      <c r="H51" s="298">
        <f t="shared" si="6"/>
        <v>0</v>
      </c>
      <c r="I51" s="294"/>
      <c r="O51" s="295">
        <f t="shared" si="3"/>
        <v>32</v>
      </c>
    </row>
    <row r="52" spans="1:15">
      <c r="A52" s="286"/>
      <c r="B52" s="296">
        <f t="shared" si="7"/>
        <v>33</v>
      </c>
      <c r="C52" s="297">
        <f t="shared" si="11"/>
        <v>0</v>
      </c>
      <c r="D52" s="298">
        <f t="shared" si="8"/>
        <v>0</v>
      </c>
      <c r="E52" s="299">
        <f t="shared" si="12"/>
        <v>0</v>
      </c>
      <c r="F52" s="299">
        <f t="shared" si="2"/>
        <v>0</v>
      </c>
      <c r="G52" s="299">
        <f t="shared" si="5"/>
        <v>0</v>
      </c>
      <c r="H52" s="298">
        <f t="shared" si="6"/>
        <v>0</v>
      </c>
      <c r="I52" s="294"/>
      <c r="O52" s="295">
        <f t="shared" si="3"/>
        <v>33</v>
      </c>
    </row>
    <row r="53" spans="1:15">
      <c r="A53" s="286"/>
      <c r="B53" s="296">
        <f t="shared" si="7"/>
        <v>34</v>
      </c>
      <c r="C53" s="297">
        <f t="shared" si="11"/>
        <v>0</v>
      </c>
      <c r="D53" s="298">
        <f t="shared" si="8"/>
        <v>0</v>
      </c>
      <c r="E53" s="299">
        <f t="shared" si="12"/>
        <v>0</v>
      </c>
      <c r="F53" s="299">
        <f t="shared" si="2"/>
        <v>0</v>
      </c>
      <c r="G53" s="299">
        <f t="shared" si="5"/>
        <v>0</v>
      </c>
      <c r="H53" s="298">
        <f t="shared" si="6"/>
        <v>0</v>
      </c>
      <c r="I53" s="294"/>
      <c r="O53" s="295">
        <f t="shared" si="3"/>
        <v>34</v>
      </c>
    </row>
    <row r="54" spans="1:15">
      <c r="A54" s="286"/>
      <c r="B54" s="296">
        <f t="shared" si="7"/>
        <v>35</v>
      </c>
      <c r="C54" s="297">
        <f t="shared" si="11"/>
        <v>0</v>
      </c>
      <c r="D54" s="298">
        <f t="shared" si="8"/>
        <v>0</v>
      </c>
      <c r="E54" s="299">
        <f t="shared" si="12"/>
        <v>0</v>
      </c>
      <c r="F54" s="299">
        <f t="shared" si="2"/>
        <v>0</v>
      </c>
      <c r="G54" s="299">
        <f t="shared" si="5"/>
        <v>0</v>
      </c>
      <c r="H54" s="298">
        <f t="shared" si="6"/>
        <v>0</v>
      </c>
      <c r="I54" s="294"/>
      <c r="O54" s="295">
        <f t="shared" si="3"/>
        <v>35</v>
      </c>
    </row>
    <row r="55" spans="1:15">
      <c r="A55" s="286"/>
      <c r="B55" s="300">
        <f t="shared" si="7"/>
        <v>36</v>
      </c>
      <c r="C55" s="301">
        <f t="shared" si="11"/>
        <v>0</v>
      </c>
      <c r="D55" s="302">
        <f t="shared" si="8"/>
        <v>0</v>
      </c>
      <c r="E55" s="303">
        <f t="shared" si="12"/>
        <v>0</v>
      </c>
      <c r="F55" s="303">
        <f t="shared" si="2"/>
        <v>0</v>
      </c>
      <c r="G55" s="303">
        <f t="shared" si="5"/>
        <v>0</v>
      </c>
      <c r="H55" s="302">
        <f t="shared" si="6"/>
        <v>0</v>
      </c>
      <c r="I55" s="304" t="e">
        <f>H55/$D$5</f>
        <v>#VALUE!</v>
      </c>
      <c r="J55" s="305"/>
      <c r="K55" s="305"/>
      <c r="L55" s="305"/>
      <c r="M55" s="305"/>
      <c r="N55" s="305"/>
      <c r="O55" s="306">
        <f t="shared" si="3"/>
        <v>36</v>
      </c>
    </row>
    <row r="56" spans="1:15">
      <c r="A56" s="286"/>
      <c r="B56" s="296">
        <f t="shared" si="7"/>
        <v>37</v>
      </c>
      <c r="C56" s="297">
        <f t="shared" ref="C56:C119" si="13">IF(D56&gt;0,$F$7,0)</f>
        <v>0</v>
      </c>
      <c r="D56" s="298">
        <f t="shared" si="8"/>
        <v>0</v>
      </c>
      <c r="E56" s="299">
        <f t="shared" ref="E56:E67" si="14">IF(H55&lt;=E55,H55+G56,$G$7)</f>
        <v>0</v>
      </c>
      <c r="F56" s="299">
        <f t="shared" si="2"/>
        <v>0</v>
      </c>
      <c r="G56" s="299">
        <f t="shared" si="5"/>
        <v>0</v>
      </c>
      <c r="H56" s="298">
        <f t="shared" si="6"/>
        <v>0</v>
      </c>
      <c r="I56" s="294"/>
      <c r="O56" s="295">
        <f t="shared" si="3"/>
        <v>37</v>
      </c>
    </row>
    <row r="57" spans="1:15">
      <c r="A57" s="286"/>
      <c r="B57" s="296">
        <f t="shared" si="7"/>
        <v>38</v>
      </c>
      <c r="C57" s="297">
        <f t="shared" si="13"/>
        <v>0</v>
      </c>
      <c r="D57" s="298">
        <f t="shared" si="8"/>
        <v>0</v>
      </c>
      <c r="E57" s="299">
        <f t="shared" si="14"/>
        <v>0</v>
      </c>
      <c r="F57" s="299">
        <f t="shared" si="2"/>
        <v>0</v>
      </c>
      <c r="G57" s="299">
        <f t="shared" si="5"/>
        <v>0</v>
      </c>
      <c r="H57" s="298">
        <f t="shared" si="6"/>
        <v>0</v>
      </c>
      <c r="I57" s="294"/>
      <c r="O57" s="295">
        <f t="shared" si="3"/>
        <v>38</v>
      </c>
    </row>
    <row r="58" spans="1:15">
      <c r="A58" s="286"/>
      <c r="B58" s="296">
        <f t="shared" si="7"/>
        <v>39</v>
      </c>
      <c r="C58" s="297">
        <f t="shared" si="13"/>
        <v>0</v>
      </c>
      <c r="D58" s="298">
        <f t="shared" si="8"/>
        <v>0</v>
      </c>
      <c r="E58" s="299">
        <f t="shared" si="14"/>
        <v>0</v>
      </c>
      <c r="F58" s="299">
        <f t="shared" si="2"/>
        <v>0</v>
      </c>
      <c r="G58" s="299">
        <f t="shared" si="5"/>
        <v>0</v>
      </c>
      <c r="H58" s="298">
        <f t="shared" si="6"/>
        <v>0</v>
      </c>
      <c r="I58" s="294"/>
      <c r="O58" s="295">
        <f t="shared" si="3"/>
        <v>39</v>
      </c>
    </row>
    <row r="59" spans="1:15">
      <c r="A59" s="286"/>
      <c r="B59" s="296">
        <f t="shared" si="7"/>
        <v>40</v>
      </c>
      <c r="C59" s="297">
        <f t="shared" si="13"/>
        <v>0</v>
      </c>
      <c r="D59" s="298">
        <f t="shared" si="8"/>
        <v>0</v>
      </c>
      <c r="E59" s="299">
        <f t="shared" si="14"/>
        <v>0</v>
      </c>
      <c r="F59" s="299">
        <f t="shared" si="2"/>
        <v>0</v>
      </c>
      <c r="G59" s="299">
        <f t="shared" si="5"/>
        <v>0</v>
      </c>
      <c r="H59" s="298">
        <f t="shared" si="6"/>
        <v>0</v>
      </c>
      <c r="I59" s="294"/>
      <c r="O59" s="295">
        <f t="shared" si="3"/>
        <v>40</v>
      </c>
    </row>
    <row r="60" spans="1:15">
      <c r="A60" s="286"/>
      <c r="B60" s="296">
        <f t="shared" si="7"/>
        <v>41</v>
      </c>
      <c r="C60" s="297">
        <f t="shared" si="13"/>
        <v>0</v>
      </c>
      <c r="D60" s="298">
        <f t="shared" si="8"/>
        <v>0</v>
      </c>
      <c r="E60" s="299">
        <f t="shared" si="14"/>
        <v>0</v>
      </c>
      <c r="F60" s="299">
        <f t="shared" si="2"/>
        <v>0</v>
      </c>
      <c r="G60" s="299">
        <f t="shared" si="5"/>
        <v>0</v>
      </c>
      <c r="H60" s="298">
        <f t="shared" si="6"/>
        <v>0</v>
      </c>
      <c r="I60" s="294"/>
      <c r="O60" s="295">
        <f t="shared" si="3"/>
        <v>41</v>
      </c>
    </row>
    <row r="61" spans="1:15">
      <c r="A61" s="286"/>
      <c r="B61" s="296">
        <f t="shared" si="7"/>
        <v>42</v>
      </c>
      <c r="C61" s="297">
        <f t="shared" si="13"/>
        <v>0</v>
      </c>
      <c r="D61" s="298">
        <f t="shared" si="8"/>
        <v>0</v>
      </c>
      <c r="E61" s="299">
        <f t="shared" si="14"/>
        <v>0</v>
      </c>
      <c r="F61" s="299">
        <f t="shared" si="2"/>
        <v>0</v>
      </c>
      <c r="G61" s="299">
        <f t="shared" si="5"/>
        <v>0</v>
      </c>
      <c r="H61" s="298">
        <f t="shared" si="6"/>
        <v>0</v>
      </c>
      <c r="I61" s="294"/>
      <c r="O61" s="295">
        <f t="shared" si="3"/>
        <v>42</v>
      </c>
    </row>
    <row r="62" spans="1:15">
      <c r="A62" s="286"/>
      <c r="B62" s="296">
        <f t="shared" si="7"/>
        <v>43</v>
      </c>
      <c r="C62" s="297">
        <f t="shared" si="13"/>
        <v>0</v>
      </c>
      <c r="D62" s="298">
        <f t="shared" si="8"/>
        <v>0</v>
      </c>
      <c r="E62" s="299">
        <f t="shared" si="14"/>
        <v>0</v>
      </c>
      <c r="F62" s="299">
        <f t="shared" si="2"/>
        <v>0</v>
      </c>
      <c r="G62" s="299">
        <f t="shared" si="5"/>
        <v>0</v>
      </c>
      <c r="H62" s="298">
        <f t="shared" si="6"/>
        <v>0</v>
      </c>
      <c r="I62" s="294"/>
      <c r="O62" s="295">
        <f t="shared" si="3"/>
        <v>43</v>
      </c>
    </row>
    <row r="63" spans="1:15">
      <c r="A63" s="286"/>
      <c r="B63" s="296">
        <f t="shared" si="7"/>
        <v>44</v>
      </c>
      <c r="C63" s="297">
        <f t="shared" si="13"/>
        <v>0</v>
      </c>
      <c r="D63" s="298">
        <f t="shared" si="8"/>
        <v>0</v>
      </c>
      <c r="E63" s="299">
        <f t="shared" si="14"/>
        <v>0</v>
      </c>
      <c r="F63" s="299">
        <f t="shared" si="2"/>
        <v>0</v>
      </c>
      <c r="G63" s="299">
        <f t="shared" si="5"/>
        <v>0</v>
      </c>
      <c r="H63" s="298">
        <f t="shared" si="6"/>
        <v>0</v>
      </c>
      <c r="I63" s="294"/>
      <c r="O63" s="295">
        <f t="shared" si="3"/>
        <v>44</v>
      </c>
    </row>
    <row r="64" spans="1:15">
      <c r="A64" s="286"/>
      <c r="B64" s="296">
        <f t="shared" si="7"/>
        <v>45</v>
      </c>
      <c r="C64" s="297">
        <f t="shared" si="13"/>
        <v>0</v>
      </c>
      <c r="D64" s="298">
        <f t="shared" si="8"/>
        <v>0</v>
      </c>
      <c r="E64" s="299">
        <f t="shared" si="14"/>
        <v>0</v>
      </c>
      <c r="F64" s="299">
        <f t="shared" si="2"/>
        <v>0</v>
      </c>
      <c r="G64" s="299">
        <f t="shared" si="5"/>
        <v>0</v>
      </c>
      <c r="H64" s="298">
        <f t="shared" si="6"/>
        <v>0</v>
      </c>
      <c r="I64" s="294"/>
      <c r="O64" s="295">
        <f t="shared" si="3"/>
        <v>45</v>
      </c>
    </row>
    <row r="65" spans="1:15">
      <c r="A65" s="286"/>
      <c r="B65" s="296">
        <f t="shared" si="7"/>
        <v>46</v>
      </c>
      <c r="C65" s="297">
        <f t="shared" si="13"/>
        <v>0</v>
      </c>
      <c r="D65" s="298">
        <f t="shared" si="8"/>
        <v>0</v>
      </c>
      <c r="E65" s="299">
        <f t="shared" si="14"/>
        <v>0</v>
      </c>
      <c r="F65" s="299">
        <f t="shared" si="2"/>
        <v>0</v>
      </c>
      <c r="G65" s="299">
        <f t="shared" si="5"/>
        <v>0</v>
      </c>
      <c r="H65" s="298">
        <f t="shared" si="6"/>
        <v>0</v>
      </c>
      <c r="I65" s="294"/>
      <c r="O65" s="295">
        <f t="shared" si="3"/>
        <v>46</v>
      </c>
    </row>
    <row r="66" spans="1:15">
      <c r="A66" s="286"/>
      <c r="B66" s="296">
        <f t="shared" si="7"/>
        <v>47</v>
      </c>
      <c r="C66" s="297">
        <f t="shared" si="13"/>
        <v>0</v>
      </c>
      <c r="D66" s="298">
        <f t="shared" si="8"/>
        <v>0</v>
      </c>
      <c r="E66" s="299">
        <f t="shared" si="14"/>
        <v>0</v>
      </c>
      <c r="F66" s="299">
        <f t="shared" si="2"/>
        <v>0</v>
      </c>
      <c r="G66" s="299">
        <f t="shared" si="5"/>
        <v>0</v>
      </c>
      <c r="H66" s="298">
        <f t="shared" si="6"/>
        <v>0</v>
      </c>
      <c r="I66" s="294"/>
      <c r="O66" s="295">
        <f t="shared" si="3"/>
        <v>47</v>
      </c>
    </row>
    <row r="67" spans="1:15">
      <c r="A67" s="286"/>
      <c r="B67" s="300">
        <f t="shared" si="7"/>
        <v>48</v>
      </c>
      <c r="C67" s="301">
        <f t="shared" si="13"/>
        <v>0</v>
      </c>
      <c r="D67" s="302">
        <f t="shared" si="8"/>
        <v>0</v>
      </c>
      <c r="E67" s="303">
        <f t="shared" si="14"/>
        <v>0</v>
      </c>
      <c r="F67" s="303">
        <f t="shared" si="2"/>
        <v>0</v>
      </c>
      <c r="G67" s="303">
        <f t="shared" si="5"/>
        <v>0</v>
      </c>
      <c r="H67" s="302">
        <f t="shared" si="6"/>
        <v>0</v>
      </c>
      <c r="I67" s="304" t="e">
        <f>H67/$D$5</f>
        <v>#VALUE!</v>
      </c>
      <c r="J67" s="305"/>
      <c r="K67" s="305"/>
      <c r="L67" s="305"/>
      <c r="M67" s="305"/>
      <c r="N67" s="305"/>
      <c r="O67" s="306">
        <f t="shared" si="3"/>
        <v>48</v>
      </c>
    </row>
    <row r="68" spans="1:15">
      <c r="A68" s="286"/>
      <c r="B68" s="296">
        <f t="shared" si="7"/>
        <v>49</v>
      </c>
      <c r="C68" s="297">
        <f t="shared" si="13"/>
        <v>0</v>
      </c>
      <c r="D68" s="298">
        <f t="shared" si="8"/>
        <v>0</v>
      </c>
      <c r="E68" s="299">
        <f t="shared" ref="E68:E131" si="15">IF(H67&lt;=E67,H67+G68,$H$10)</f>
        <v>0</v>
      </c>
      <c r="F68" s="299">
        <f t="shared" si="2"/>
        <v>0</v>
      </c>
      <c r="G68" s="299">
        <f t="shared" si="5"/>
        <v>0</v>
      </c>
      <c r="H68" s="298">
        <f t="shared" si="6"/>
        <v>0</v>
      </c>
      <c r="I68" s="294"/>
      <c r="O68" s="295">
        <f t="shared" si="3"/>
        <v>49</v>
      </c>
    </row>
    <row r="69" spans="1:15">
      <c r="A69" s="286"/>
      <c r="B69" s="296">
        <f t="shared" si="7"/>
        <v>50</v>
      </c>
      <c r="C69" s="297">
        <f t="shared" si="13"/>
        <v>0</v>
      </c>
      <c r="D69" s="298">
        <f t="shared" si="8"/>
        <v>0</v>
      </c>
      <c r="E69" s="299">
        <f t="shared" si="15"/>
        <v>0</v>
      </c>
      <c r="F69" s="299">
        <f t="shared" si="2"/>
        <v>0</v>
      </c>
      <c r="G69" s="299">
        <f t="shared" si="5"/>
        <v>0</v>
      </c>
      <c r="H69" s="298">
        <f t="shared" si="6"/>
        <v>0</v>
      </c>
      <c r="I69" s="294"/>
      <c r="O69" s="295">
        <f t="shared" si="3"/>
        <v>50</v>
      </c>
    </row>
    <row r="70" spans="1:15">
      <c r="A70" s="286"/>
      <c r="B70" s="296">
        <f t="shared" si="7"/>
        <v>51</v>
      </c>
      <c r="C70" s="297">
        <f t="shared" si="13"/>
        <v>0</v>
      </c>
      <c r="D70" s="298">
        <f t="shared" si="8"/>
        <v>0</v>
      </c>
      <c r="E70" s="299">
        <f t="shared" si="15"/>
        <v>0</v>
      </c>
      <c r="F70" s="299">
        <f t="shared" si="2"/>
        <v>0</v>
      </c>
      <c r="G70" s="299">
        <f t="shared" si="5"/>
        <v>0</v>
      </c>
      <c r="H70" s="298">
        <f t="shared" si="6"/>
        <v>0</v>
      </c>
      <c r="I70" s="294"/>
      <c r="O70" s="295">
        <f t="shared" si="3"/>
        <v>51</v>
      </c>
    </row>
    <row r="71" spans="1:15">
      <c r="A71" s="286"/>
      <c r="B71" s="296">
        <f t="shared" si="7"/>
        <v>52</v>
      </c>
      <c r="C71" s="297">
        <f t="shared" si="13"/>
        <v>0</v>
      </c>
      <c r="D71" s="298">
        <f t="shared" si="8"/>
        <v>0</v>
      </c>
      <c r="E71" s="299">
        <f t="shared" si="15"/>
        <v>0</v>
      </c>
      <c r="F71" s="299">
        <f t="shared" si="2"/>
        <v>0</v>
      </c>
      <c r="G71" s="299">
        <f t="shared" si="5"/>
        <v>0</v>
      </c>
      <c r="H71" s="298">
        <f t="shared" si="6"/>
        <v>0</v>
      </c>
      <c r="I71" s="294"/>
      <c r="O71" s="295">
        <f t="shared" si="3"/>
        <v>52</v>
      </c>
    </row>
    <row r="72" spans="1:15">
      <c r="A72" s="286"/>
      <c r="B72" s="296">
        <f t="shared" si="7"/>
        <v>53</v>
      </c>
      <c r="C72" s="297">
        <f t="shared" si="13"/>
        <v>0</v>
      </c>
      <c r="D72" s="298">
        <f t="shared" si="8"/>
        <v>0</v>
      </c>
      <c r="E72" s="299">
        <f t="shared" si="15"/>
        <v>0</v>
      </c>
      <c r="F72" s="299">
        <f t="shared" si="2"/>
        <v>0</v>
      </c>
      <c r="G72" s="299">
        <f t="shared" si="5"/>
        <v>0</v>
      </c>
      <c r="H72" s="298">
        <f t="shared" si="6"/>
        <v>0</v>
      </c>
      <c r="I72" s="294"/>
      <c r="O72" s="295">
        <f t="shared" si="3"/>
        <v>53</v>
      </c>
    </row>
    <row r="73" spans="1:15">
      <c r="A73" s="286"/>
      <c r="B73" s="296">
        <f t="shared" si="7"/>
        <v>54</v>
      </c>
      <c r="C73" s="297">
        <f t="shared" si="13"/>
        <v>0</v>
      </c>
      <c r="D73" s="298">
        <f t="shared" si="8"/>
        <v>0</v>
      </c>
      <c r="E73" s="299">
        <f t="shared" si="15"/>
        <v>0</v>
      </c>
      <c r="F73" s="299">
        <f t="shared" si="2"/>
        <v>0</v>
      </c>
      <c r="G73" s="299">
        <f t="shared" si="5"/>
        <v>0</v>
      </c>
      <c r="H73" s="298">
        <f t="shared" si="6"/>
        <v>0</v>
      </c>
      <c r="I73" s="294"/>
      <c r="O73" s="295">
        <f t="shared" si="3"/>
        <v>54</v>
      </c>
    </row>
    <row r="74" spans="1:15">
      <c r="A74" s="286"/>
      <c r="B74" s="296">
        <f t="shared" si="7"/>
        <v>55</v>
      </c>
      <c r="C74" s="297">
        <f t="shared" si="13"/>
        <v>0</v>
      </c>
      <c r="D74" s="298">
        <f t="shared" si="8"/>
        <v>0</v>
      </c>
      <c r="E74" s="299">
        <f t="shared" si="15"/>
        <v>0</v>
      </c>
      <c r="F74" s="299">
        <f t="shared" si="2"/>
        <v>0</v>
      </c>
      <c r="G74" s="299">
        <f t="shared" si="5"/>
        <v>0</v>
      </c>
      <c r="H74" s="298">
        <f t="shared" si="6"/>
        <v>0</v>
      </c>
      <c r="I74" s="294"/>
      <c r="O74" s="295">
        <f t="shared" si="3"/>
        <v>55</v>
      </c>
    </row>
    <row r="75" spans="1:15">
      <c r="A75" s="286"/>
      <c r="B75" s="296">
        <f t="shared" si="7"/>
        <v>56</v>
      </c>
      <c r="C75" s="297">
        <f t="shared" si="13"/>
        <v>0</v>
      </c>
      <c r="D75" s="298">
        <f t="shared" si="8"/>
        <v>0</v>
      </c>
      <c r="E75" s="299">
        <f t="shared" si="15"/>
        <v>0</v>
      </c>
      <c r="F75" s="299">
        <f t="shared" si="2"/>
        <v>0</v>
      </c>
      <c r="G75" s="299">
        <f t="shared" si="5"/>
        <v>0</v>
      </c>
      <c r="H75" s="298">
        <f t="shared" si="6"/>
        <v>0</v>
      </c>
      <c r="I75" s="294"/>
      <c r="O75" s="295">
        <f t="shared" si="3"/>
        <v>56</v>
      </c>
    </row>
    <row r="76" spans="1:15">
      <c r="A76" s="286"/>
      <c r="B76" s="296">
        <f t="shared" si="7"/>
        <v>57</v>
      </c>
      <c r="C76" s="297">
        <f t="shared" si="13"/>
        <v>0</v>
      </c>
      <c r="D76" s="298">
        <f t="shared" si="8"/>
        <v>0</v>
      </c>
      <c r="E76" s="299">
        <f t="shared" si="15"/>
        <v>0</v>
      </c>
      <c r="F76" s="299">
        <f t="shared" si="2"/>
        <v>0</v>
      </c>
      <c r="G76" s="299">
        <f t="shared" si="5"/>
        <v>0</v>
      </c>
      <c r="H76" s="298">
        <f t="shared" si="6"/>
        <v>0</v>
      </c>
      <c r="I76" s="294"/>
      <c r="O76" s="295">
        <f t="shared" si="3"/>
        <v>57</v>
      </c>
    </row>
    <row r="77" spans="1:15">
      <c r="A77" s="286"/>
      <c r="B77" s="296">
        <f t="shared" si="7"/>
        <v>58</v>
      </c>
      <c r="C77" s="297">
        <f t="shared" si="13"/>
        <v>0</v>
      </c>
      <c r="D77" s="298">
        <f t="shared" si="8"/>
        <v>0</v>
      </c>
      <c r="E77" s="299">
        <f t="shared" si="15"/>
        <v>0</v>
      </c>
      <c r="F77" s="299">
        <f t="shared" si="2"/>
        <v>0</v>
      </c>
      <c r="G77" s="299">
        <f t="shared" si="5"/>
        <v>0</v>
      </c>
      <c r="H77" s="298">
        <f t="shared" si="6"/>
        <v>0</v>
      </c>
      <c r="I77" s="294"/>
      <c r="O77" s="295">
        <f t="shared" si="3"/>
        <v>58</v>
      </c>
    </row>
    <row r="78" spans="1:15">
      <c r="A78" s="286"/>
      <c r="B78" s="296">
        <f t="shared" si="7"/>
        <v>59</v>
      </c>
      <c r="C78" s="297">
        <f t="shared" si="13"/>
        <v>0</v>
      </c>
      <c r="D78" s="298">
        <f t="shared" si="8"/>
        <v>0</v>
      </c>
      <c r="E78" s="299">
        <f t="shared" si="15"/>
        <v>0</v>
      </c>
      <c r="F78" s="299">
        <f t="shared" si="2"/>
        <v>0</v>
      </c>
      <c r="G78" s="299">
        <f t="shared" si="5"/>
        <v>0</v>
      </c>
      <c r="H78" s="298">
        <f t="shared" si="6"/>
        <v>0</v>
      </c>
      <c r="I78" s="294"/>
      <c r="O78" s="295">
        <f t="shared" si="3"/>
        <v>59</v>
      </c>
    </row>
    <row r="79" spans="1:15">
      <c r="A79" s="286"/>
      <c r="B79" s="300">
        <f t="shared" si="7"/>
        <v>60</v>
      </c>
      <c r="C79" s="301">
        <f t="shared" si="13"/>
        <v>0</v>
      </c>
      <c r="D79" s="302">
        <f t="shared" si="8"/>
        <v>0</v>
      </c>
      <c r="E79" s="303">
        <f t="shared" si="15"/>
        <v>0</v>
      </c>
      <c r="F79" s="303">
        <f t="shared" si="2"/>
        <v>0</v>
      </c>
      <c r="G79" s="303">
        <f t="shared" si="5"/>
        <v>0</v>
      </c>
      <c r="H79" s="302">
        <f t="shared" si="6"/>
        <v>0</v>
      </c>
      <c r="I79" s="304" t="e">
        <f>H79/$D$5</f>
        <v>#VALUE!</v>
      </c>
      <c r="J79" s="305"/>
      <c r="K79" s="305"/>
      <c r="L79" s="305"/>
      <c r="M79" s="305"/>
      <c r="N79" s="305"/>
      <c r="O79" s="306">
        <f t="shared" si="3"/>
        <v>60</v>
      </c>
    </row>
    <row r="80" spans="1:15">
      <c r="A80" s="286"/>
      <c r="B80" s="296">
        <f t="shared" si="7"/>
        <v>61</v>
      </c>
      <c r="C80" s="297">
        <f t="shared" si="13"/>
        <v>0</v>
      </c>
      <c r="D80" s="298">
        <f t="shared" si="8"/>
        <v>0</v>
      </c>
      <c r="E80" s="299">
        <f t="shared" si="15"/>
        <v>0</v>
      </c>
      <c r="F80" s="299">
        <f t="shared" si="2"/>
        <v>0</v>
      </c>
      <c r="G80" s="299">
        <f t="shared" si="5"/>
        <v>0</v>
      </c>
      <c r="H80" s="298">
        <f t="shared" si="6"/>
        <v>0</v>
      </c>
      <c r="I80" s="294"/>
      <c r="O80" s="295">
        <f t="shared" si="3"/>
        <v>61</v>
      </c>
    </row>
    <row r="81" spans="1:15">
      <c r="A81" s="286"/>
      <c r="B81" s="296">
        <f t="shared" si="7"/>
        <v>62</v>
      </c>
      <c r="C81" s="297">
        <f t="shared" si="13"/>
        <v>0</v>
      </c>
      <c r="D81" s="298">
        <f t="shared" si="8"/>
        <v>0</v>
      </c>
      <c r="E81" s="299">
        <f t="shared" si="15"/>
        <v>0</v>
      </c>
      <c r="F81" s="299">
        <f t="shared" si="2"/>
        <v>0</v>
      </c>
      <c r="G81" s="299">
        <f t="shared" si="5"/>
        <v>0</v>
      </c>
      <c r="H81" s="298">
        <f t="shared" si="6"/>
        <v>0</v>
      </c>
      <c r="I81" s="294"/>
      <c r="O81" s="295">
        <f t="shared" si="3"/>
        <v>62</v>
      </c>
    </row>
    <row r="82" spans="1:15">
      <c r="A82" s="286"/>
      <c r="B82" s="296">
        <f t="shared" si="7"/>
        <v>63</v>
      </c>
      <c r="C82" s="297">
        <f t="shared" si="13"/>
        <v>0</v>
      </c>
      <c r="D82" s="298">
        <f t="shared" si="8"/>
        <v>0</v>
      </c>
      <c r="E82" s="299">
        <f t="shared" si="15"/>
        <v>0</v>
      </c>
      <c r="F82" s="299">
        <f t="shared" si="2"/>
        <v>0</v>
      </c>
      <c r="G82" s="299">
        <f t="shared" si="5"/>
        <v>0</v>
      </c>
      <c r="H82" s="298">
        <f t="shared" si="6"/>
        <v>0</v>
      </c>
      <c r="I82" s="294"/>
      <c r="O82" s="295">
        <f t="shared" si="3"/>
        <v>63</v>
      </c>
    </row>
    <row r="83" spans="1:15">
      <c r="A83" s="286"/>
      <c r="B83" s="296">
        <f t="shared" si="7"/>
        <v>64</v>
      </c>
      <c r="C83" s="297">
        <f t="shared" si="13"/>
        <v>0</v>
      </c>
      <c r="D83" s="298">
        <f t="shared" si="8"/>
        <v>0</v>
      </c>
      <c r="E83" s="299">
        <f t="shared" si="15"/>
        <v>0</v>
      </c>
      <c r="F83" s="299">
        <f t="shared" si="2"/>
        <v>0</v>
      </c>
      <c r="G83" s="299">
        <f t="shared" si="5"/>
        <v>0</v>
      </c>
      <c r="H83" s="298">
        <f t="shared" si="6"/>
        <v>0</v>
      </c>
      <c r="I83" s="294"/>
      <c r="O83" s="295">
        <f t="shared" si="3"/>
        <v>64</v>
      </c>
    </row>
    <row r="84" spans="1:15">
      <c r="A84" s="286"/>
      <c r="B84" s="296">
        <f t="shared" si="7"/>
        <v>65</v>
      </c>
      <c r="C84" s="297">
        <f t="shared" si="13"/>
        <v>0</v>
      </c>
      <c r="D84" s="298">
        <f t="shared" si="8"/>
        <v>0</v>
      </c>
      <c r="E84" s="299">
        <f t="shared" si="15"/>
        <v>0</v>
      </c>
      <c r="F84" s="299">
        <f t="shared" ref="F84:F147" si="16">E84-G84</f>
        <v>0</v>
      </c>
      <c r="G84" s="299">
        <f t="shared" si="5"/>
        <v>0</v>
      </c>
      <c r="H84" s="298">
        <f t="shared" si="6"/>
        <v>0</v>
      </c>
      <c r="I84" s="294"/>
      <c r="O84" s="295">
        <f t="shared" ref="O84:O147" si="17">IF(H84=0,B84,"n.a.")</f>
        <v>65</v>
      </c>
    </row>
    <row r="85" spans="1:15">
      <c r="A85" s="286"/>
      <c r="B85" s="296">
        <f t="shared" si="7"/>
        <v>66</v>
      </c>
      <c r="C85" s="297">
        <f t="shared" si="13"/>
        <v>0</v>
      </c>
      <c r="D85" s="298">
        <f t="shared" si="8"/>
        <v>0</v>
      </c>
      <c r="E85" s="299">
        <f t="shared" si="15"/>
        <v>0</v>
      </c>
      <c r="F85" s="299">
        <f t="shared" si="16"/>
        <v>0</v>
      </c>
      <c r="G85" s="299">
        <f t="shared" ref="G85:G148" si="18">C85*(D85/365)*30</f>
        <v>0</v>
      </c>
      <c r="H85" s="298">
        <f t="shared" ref="H85:H148" si="19">IF((D85+G85-E85)&lt;0,0,D85+G85-E85)</f>
        <v>0</v>
      </c>
      <c r="I85" s="294"/>
      <c r="O85" s="295">
        <f t="shared" si="17"/>
        <v>66</v>
      </c>
    </row>
    <row r="86" spans="1:15">
      <c r="A86" s="286"/>
      <c r="B86" s="296">
        <f t="shared" ref="B86:B149" si="20">B85+1</f>
        <v>67</v>
      </c>
      <c r="C86" s="297">
        <f t="shared" si="13"/>
        <v>0</v>
      </c>
      <c r="D86" s="298">
        <f t="shared" ref="D86:D149" si="21">H85</f>
        <v>0</v>
      </c>
      <c r="E86" s="299">
        <f t="shared" si="15"/>
        <v>0</v>
      </c>
      <c r="F86" s="299">
        <f t="shared" si="16"/>
        <v>0</v>
      </c>
      <c r="G86" s="299">
        <f t="shared" si="18"/>
        <v>0</v>
      </c>
      <c r="H86" s="298">
        <f t="shared" si="19"/>
        <v>0</v>
      </c>
      <c r="I86" s="294"/>
      <c r="O86" s="295">
        <f t="shared" si="17"/>
        <v>67</v>
      </c>
    </row>
    <row r="87" spans="1:15">
      <c r="A87" s="286"/>
      <c r="B87" s="296">
        <f t="shared" si="20"/>
        <v>68</v>
      </c>
      <c r="C87" s="297">
        <f t="shared" si="13"/>
        <v>0</v>
      </c>
      <c r="D87" s="298">
        <f t="shared" si="21"/>
        <v>0</v>
      </c>
      <c r="E87" s="299">
        <f t="shared" si="15"/>
        <v>0</v>
      </c>
      <c r="F87" s="299">
        <f t="shared" si="16"/>
        <v>0</v>
      </c>
      <c r="G87" s="299">
        <f t="shared" si="18"/>
        <v>0</v>
      </c>
      <c r="H87" s="298">
        <f t="shared" si="19"/>
        <v>0</v>
      </c>
      <c r="I87" s="294"/>
      <c r="O87" s="295">
        <f t="shared" si="17"/>
        <v>68</v>
      </c>
    </row>
    <row r="88" spans="1:15">
      <c r="A88" s="286"/>
      <c r="B88" s="296">
        <f t="shared" si="20"/>
        <v>69</v>
      </c>
      <c r="C88" s="297">
        <f t="shared" si="13"/>
        <v>0</v>
      </c>
      <c r="D88" s="298">
        <f t="shared" si="21"/>
        <v>0</v>
      </c>
      <c r="E88" s="299">
        <f t="shared" si="15"/>
        <v>0</v>
      </c>
      <c r="F88" s="299">
        <f t="shared" si="16"/>
        <v>0</v>
      </c>
      <c r="G88" s="299">
        <f t="shared" si="18"/>
        <v>0</v>
      </c>
      <c r="H88" s="298">
        <f t="shared" si="19"/>
        <v>0</v>
      </c>
      <c r="I88" s="294"/>
      <c r="O88" s="295">
        <f t="shared" si="17"/>
        <v>69</v>
      </c>
    </row>
    <row r="89" spans="1:15">
      <c r="A89" s="286"/>
      <c r="B89" s="296">
        <f t="shared" si="20"/>
        <v>70</v>
      </c>
      <c r="C89" s="297">
        <f t="shared" si="13"/>
        <v>0</v>
      </c>
      <c r="D89" s="298">
        <f t="shared" si="21"/>
        <v>0</v>
      </c>
      <c r="E89" s="299">
        <f t="shared" si="15"/>
        <v>0</v>
      </c>
      <c r="F89" s="299">
        <f t="shared" si="16"/>
        <v>0</v>
      </c>
      <c r="G89" s="299">
        <f t="shared" si="18"/>
        <v>0</v>
      </c>
      <c r="H89" s="298">
        <f t="shared" si="19"/>
        <v>0</v>
      </c>
      <c r="I89" s="294"/>
      <c r="O89" s="295">
        <f t="shared" si="17"/>
        <v>70</v>
      </c>
    </row>
    <row r="90" spans="1:15">
      <c r="A90" s="286"/>
      <c r="B90" s="296">
        <f t="shared" si="20"/>
        <v>71</v>
      </c>
      <c r="C90" s="297">
        <f t="shared" si="13"/>
        <v>0</v>
      </c>
      <c r="D90" s="298">
        <f t="shared" si="21"/>
        <v>0</v>
      </c>
      <c r="E90" s="299">
        <f t="shared" si="15"/>
        <v>0</v>
      </c>
      <c r="F90" s="299">
        <f t="shared" si="16"/>
        <v>0</v>
      </c>
      <c r="G90" s="299">
        <f t="shared" si="18"/>
        <v>0</v>
      </c>
      <c r="H90" s="298">
        <f t="shared" si="19"/>
        <v>0</v>
      </c>
      <c r="I90" s="294"/>
      <c r="O90" s="295">
        <f t="shared" si="17"/>
        <v>71</v>
      </c>
    </row>
    <row r="91" spans="1:15">
      <c r="A91" s="286"/>
      <c r="B91" s="300">
        <f t="shared" si="20"/>
        <v>72</v>
      </c>
      <c r="C91" s="301">
        <f t="shared" si="13"/>
        <v>0</v>
      </c>
      <c r="D91" s="302">
        <f t="shared" si="21"/>
        <v>0</v>
      </c>
      <c r="E91" s="303">
        <f t="shared" si="15"/>
        <v>0</v>
      </c>
      <c r="F91" s="303">
        <f t="shared" si="16"/>
        <v>0</v>
      </c>
      <c r="G91" s="303">
        <f t="shared" si="18"/>
        <v>0</v>
      </c>
      <c r="H91" s="302">
        <f t="shared" si="19"/>
        <v>0</v>
      </c>
      <c r="I91" s="304" t="e">
        <f>H91/$D$5</f>
        <v>#VALUE!</v>
      </c>
      <c r="J91" s="305"/>
      <c r="K91" s="305"/>
      <c r="L91" s="305"/>
      <c r="M91" s="305"/>
      <c r="N91" s="305"/>
      <c r="O91" s="306">
        <f t="shared" si="17"/>
        <v>72</v>
      </c>
    </row>
    <row r="92" spans="1:15">
      <c r="A92" s="286"/>
      <c r="B92" s="296">
        <f t="shared" si="20"/>
        <v>73</v>
      </c>
      <c r="C92" s="297">
        <f t="shared" si="13"/>
        <v>0</v>
      </c>
      <c r="D92" s="298">
        <f t="shared" si="21"/>
        <v>0</v>
      </c>
      <c r="E92" s="299">
        <f t="shared" si="15"/>
        <v>0</v>
      </c>
      <c r="F92" s="299">
        <f t="shared" si="16"/>
        <v>0</v>
      </c>
      <c r="G92" s="299">
        <f t="shared" si="18"/>
        <v>0</v>
      </c>
      <c r="H92" s="298">
        <f t="shared" si="19"/>
        <v>0</v>
      </c>
      <c r="I92" s="294"/>
      <c r="O92" s="295">
        <f t="shared" si="17"/>
        <v>73</v>
      </c>
    </row>
    <row r="93" spans="1:15">
      <c r="A93" s="286"/>
      <c r="B93" s="296">
        <f t="shared" si="20"/>
        <v>74</v>
      </c>
      <c r="C93" s="297">
        <f t="shared" si="13"/>
        <v>0</v>
      </c>
      <c r="D93" s="298">
        <f t="shared" si="21"/>
        <v>0</v>
      </c>
      <c r="E93" s="299">
        <f t="shared" si="15"/>
        <v>0</v>
      </c>
      <c r="F93" s="299">
        <f t="shared" si="16"/>
        <v>0</v>
      </c>
      <c r="G93" s="299">
        <f t="shared" si="18"/>
        <v>0</v>
      </c>
      <c r="H93" s="298">
        <f t="shared" si="19"/>
        <v>0</v>
      </c>
      <c r="I93" s="294"/>
      <c r="O93" s="295">
        <f t="shared" si="17"/>
        <v>74</v>
      </c>
    </row>
    <row r="94" spans="1:15">
      <c r="A94" s="286"/>
      <c r="B94" s="296">
        <f t="shared" si="20"/>
        <v>75</v>
      </c>
      <c r="C94" s="297">
        <f t="shared" si="13"/>
        <v>0</v>
      </c>
      <c r="D94" s="298">
        <f t="shared" si="21"/>
        <v>0</v>
      </c>
      <c r="E94" s="299">
        <f t="shared" si="15"/>
        <v>0</v>
      </c>
      <c r="F94" s="299">
        <f t="shared" si="16"/>
        <v>0</v>
      </c>
      <c r="G94" s="299">
        <f t="shared" si="18"/>
        <v>0</v>
      </c>
      <c r="H94" s="298">
        <f t="shared" si="19"/>
        <v>0</v>
      </c>
      <c r="I94" s="294"/>
      <c r="O94" s="295">
        <f t="shared" si="17"/>
        <v>75</v>
      </c>
    </row>
    <row r="95" spans="1:15">
      <c r="A95" s="286"/>
      <c r="B95" s="296">
        <f t="shared" si="20"/>
        <v>76</v>
      </c>
      <c r="C95" s="297">
        <f t="shared" si="13"/>
        <v>0</v>
      </c>
      <c r="D95" s="298">
        <f t="shared" si="21"/>
        <v>0</v>
      </c>
      <c r="E95" s="299">
        <f t="shared" si="15"/>
        <v>0</v>
      </c>
      <c r="F95" s="299">
        <f t="shared" si="16"/>
        <v>0</v>
      </c>
      <c r="G95" s="299">
        <f t="shared" si="18"/>
        <v>0</v>
      </c>
      <c r="H95" s="298">
        <f t="shared" si="19"/>
        <v>0</v>
      </c>
      <c r="I95" s="294"/>
      <c r="O95" s="295">
        <f t="shared" si="17"/>
        <v>76</v>
      </c>
    </row>
    <row r="96" spans="1:15">
      <c r="A96" s="286"/>
      <c r="B96" s="296">
        <f t="shared" si="20"/>
        <v>77</v>
      </c>
      <c r="C96" s="297">
        <f t="shared" si="13"/>
        <v>0</v>
      </c>
      <c r="D96" s="298">
        <f t="shared" si="21"/>
        <v>0</v>
      </c>
      <c r="E96" s="299">
        <f t="shared" si="15"/>
        <v>0</v>
      </c>
      <c r="F96" s="299">
        <f t="shared" si="16"/>
        <v>0</v>
      </c>
      <c r="G96" s="299">
        <f t="shared" si="18"/>
        <v>0</v>
      </c>
      <c r="H96" s="298">
        <f t="shared" si="19"/>
        <v>0</v>
      </c>
      <c r="I96" s="294"/>
      <c r="O96" s="295">
        <f t="shared" si="17"/>
        <v>77</v>
      </c>
    </row>
    <row r="97" spans="1:15">
      <c r="A97" s="286"/>
      <c r="B97" s="296">
        <f t="shared" si="20"/>
        <v>78</v>
      </c>
      <c r="C97" s="297">
        <f t="shared" si="13"/>
        <v>0</v>
      </c>
      <c r="D97" s="298">
        <f t="shared" si="21"/>
        <v>0</v>
      </c>
      <c r="E97" s="299">
        <f t="shared" si="15"/>
        <v>0</v>
      </c>
      <c r="F97" s="299">
        <f t="shared" si="16"/>
        <v>0</v>
      </c>
      <c r="G97" s="299">
        <f t="shared" si="18"/>
        <v>0</v>
      </c>
      <c r="H97" s="298">
        <f t="shared" si="19"/>
        <v>0</v>
      </c>
      <c r="I97" s="294"/>
      <c r="O97" s="295">
        <f t="shared" si="17"/>
        <v>78</v>
      </c>
    </row>
    <row r="98" spans="1:15">
      <c r="A98" s="286"/>
      <c r="B98" s="296">
        <f t="shared" si="20"/>
        <v>79</v>
      </c>
      <c r="C98" s="297">
        <f t="shared" si="13"/>
        <v>0</v>
      </c>
      <c r="D98" s="298">
        <f t="shared" si="21"/>
        <v>0</v>
      </c>
      <c r="E98" s="299">
        <f t="shared" si="15"/>
        <v>0</v>
      </c>
      <c r="F98" s="299">
        <f t="shared" si="16"/>
        <v>0</v>
      </c>
      <c r="G98" s="299">
        <f t="shared" si="18"/>
        <v>0</v>
      </c>
      <c r="H98" s="298">
        <f t="shared" si="19"/>
        <v>0</v>
      </c>
      <c r="I98" s="294"/>
      <c r="O98" s="295">
        <f t="shared" si="17"/>
        <v>79</v>
      </c>
    </row>
    <row r="99" spans="1:15">
      <c r="A99" s="286"/>
      <c r="B99" s="296">
        <f t="shared" si="20"/>
        <v>80</v>
      </c>
      <c r="C99" s="297">
        <f t="shared" si="13"/>
        <v>0</v>
      </c>
      <c r="D99" s="298">
        <f t="shared" si="21"/>
        <v>0</v>
      </c>
      <c r="E99" s="299">
        <f t="shared" si="15"/>
        <v>0</v>
      </c>
      <c r="F99" s="299">
        <f t="shared" si="16"/>
        <v>0</v>
      </c>
      <c r="G99" s="299">
        <f t="shared" si="18"/>
        <v>0</v>
      </c>
      <c r="H99" s="298">
        <f t="shared" si="19"/>
        <v>0</v>
      </c>
      <c r="I99" s="294"/>
      <c r="O99" s="295">
        <f t="shared" si="17"/>
        <v>80</v>
      </c>
    </row>
    <row r="100" spans="1:15">
      <c r="A100" s="286"/>
      <c r="B100" s="296">
        <f t="shared" si="20"/>
        <v>81</v>
      </c>
      <c r="C100" s="297">
        <f t="shared" si="13"/>
        <v>0</v>
      </c>
      <c r="D100" s="298">
        <f t="shared" si="21"/>
        <v>0</v>
      </c>
      <c r="E100" s="299">
        <f t="shared" si="15"/>
        <v>0</v>
      </c>
      <c r="F100" s="299">
        <f t="shared" si="16"/>
        <v>0</v>
      </c>
      <c r="G100" s="299">
        <f t="shared" si="18"/>
        <v>0</v>
      </c>
      <c r="H100" s="298">
        <f t="shared" si="19"/>
        <v>0</v>
      </c>
      <c r="I100" s="294"/>
      <c r="O100" s="295">
        <f t="shared" si="17"/>
        <v>81</v>
      </c>
    </row>
    <row r="101" spans="1:15">
      <c r="A101" s="286"/>
      <c r="B101" s="296">
        <f t="shared" si="20"/>
        <v>82</v>
      </c>
      <c r="C101" s="297">
        <f t="shared" si="13"/>
        <v>0</v>
      </c>
      <c r="D101" s="298">
        <f t="shared" si="21"/>
        <v>0</v>
      </c>
      <c r="E101" s="299">
        <f t="shared" si="15"/>
        <v>0</v>
      </c>
      <c r="F101" s="299">
        <f t="shared" si="16"/>
        <v>0</v>
      </c>
      <c r="G101" s="299">
        <f t="shared" si="18"/>
        <v>0</v>
      </c>
      <c r="H101" s="298">
        <f t="shared" si="19"/>
        <v>0</v>
      </c>
      <c r="I101" s="294"/>
      <c r="O101" s="295">
        <f t="shared" si="17"/>
        <v>82</v>
      </c>
    </row>
    <row r="102" spans="1:15">
      <c r="A102" s="286"/>
      <c r="B102" s="296">
        <f t="shared" si="20"/>
        <v>83</v>
      </c>
      <c r="C102" s="297">
        <f t="shared" si="13"/>
        <v>0</v>
      </c>
      <c r="D102" s="298">
        <f t="shared" si="21"/>
        <v>0</v>
      </c>
      <c r="E102" s="299">
        <f t="shared" si="15"/>
        <v>0</v>
      </c>
      <c r="F102" s="299">
        <f t="shared" si="16"/>
        <v>0</v>
      </c>
      <c r="G102" s="299">
        <f t="shared" si="18"/>
        <v>0</v>
      </c>
      <c r="H102" s="298">
        <f t="shared" si="19"/>
        <v>0</v>
      </c>
      <c r="I102" s="294"/>
      <c r="O102" s="295">
        <f t="shared" si="17"/>
        <v>83</v>
      </c>
    </row>
    <row r="103" spans="1:15">
      <c r="A103" s="286"/>
      <c r="B103" s="300">
        <f t="shared" si="20"/>
        <v>84</v>
      </c>
      <c r="C103" s="301">
        <f t="shared" si="13"/>
        <v>0</v>
      </c>
      <c r="D103" s="302">
        <f t="shared" si="21"/>
        <v>0</v>
      </c>
      <c r="E103" s="303">
        <f t="shared" si="15"/>
        <v>0</v>
      </c>
      <c r="F103" s="303">
        <f t="shared" si="16"/>
        <v>0</v>
      </c>
      <c r="G103" s="303">
        <f t="shared" si="18"/>
        <v>0</v>
      </c>
      <c r="H103" s="302">
        <f t="shared" si="19"/>
        <v>0</v>
      </c>
      <c r="I103" s="304" t="e">
        <f>H103/$D$5</f>
        <v>#VALUE!</v>
      </c>
      <c r="J103" s="305"/>
      <c r="K103" s="305"/>
      <c r="L103" s="305"/>
      <c r="M103" s="305"/>
      <c r="N103" s="305"/>
      <c r="O103" s="306">
        <f t="shared" si="17"/>
        <v>84</v>
      </c>
    </row>
    <row r="104" spans="1:15">
      <c r="A104" s="286"/>
      <c r="B104" s="296">
        <f t="shared" si="20"/>
        <v>85</v>
      </c>
      <c r="C104" s="297">
        <f t="shared" si="13"/>
        <v>0</v>
      </c>
      <c r="D104" s="298">
        <f t="shared" si="21"/>
        <v>0</v>
      </c>
      <c r="E104" s="299">
        <f t="shared" si="15"/>
        <v>0</v>
      </c>
      <c r="F104" s="299">
        <f t="shared" si="16"/>
        <v>0</v>
      </c>
      <c r="G104" s="299">
        <f t="shared" si="18"/>
        <v>0</v>
      </c>
      <c r="H104" s="298">
        <f t="shared" si="19"/>
        <v>0</v>
      </c>
      <c r="I104" s="294"/>
      <c r="O104" s="295">
        <f t="shared" si="17"/>
        <v>85</v>
      </c>
    </row>
    <row r="105" spans="1:15">
      <c r="A105" s="286"/>
      <c r="B105" s="296">
        <f t="shared" si="20"/>
        <v>86</v>
      </c>
      <c r="C105" s="297">
        <f t="shared" si="13"/>
        <v>0</v>
      </c>
      <c r="D105" s="298">
        <f t="shared" si="21"/>
        <v>0</v>
      </c>
      <c r="E105" s="299">
        <f t="shared" si="15"/>
        <v>0</v>
      </c>
      <c r="F105" s="299">
        <f t="shared" si="16"/>
        <v>0</v>
      </c>
      <c r="G105" s="299">
        <f t="shared" si="18"/>
        <v>0</v>
      </c>
      <c r="H105" s="298">
        <f t="shared" si="19"/>
        <v>0</v>
      </c>
      <c r="I105" s="294"/>
      <c r="O105" s="295">
        <f t="shared" si="17"/>
        <v>86</v>
      </c>
    </row>
    <row r="106" spans="1:15">
      <c r="A106" s="286"/>
      <c r="B106" s="296">
        <f t="shared" si="20"/>
        <v>87</v>
      </c>
      <c r="C106" s="297">
        <f t="shared" si="13"/>
        <v>0</v>
      </c>
      <c r="D106" s="298">
        <f t="shared" si="21"/>
        <v>0</v>
      </c>
      <c r="E106" s="299">
        <f t="shared" si="15"/>
        <v>0</v>
      </c>
      <c r="F106" s="299">
        <f t="shared" si="16"/>
        <v>0</v>
      </c>
      <c r="G106" s="299">
        <f t="shared" si="18"/>
        <v>0</v>
      </c>
      <c r="H106" s="298">
        <f t="shared" si="19"/>
        <v>0</v>
      </c>
      <c r="I106" s="294"/>
      <c r="O106" s="295">
        <f t="shared" si="17"/>
        <v>87</v>
      </c>
    </row>
    <row r="107" spans="1:15">
      <c r="A107" s="286"/>
      <c r="B107" s="296">
        <f t="shared" si="20"/>
        <v>88</v>
      </c>
      <c r="C107" s="297">
        <f t="shared" si="13"/>
        <v>0</v>
      </c>
      <c r="D107" s="298">
        <f t="shared" si="21"/>
        <v>0</v>
      </c>
      <c r="E107" s="299">
        <f t="shared" si="15"/>
        <v>0</v>
      </c>
      <c r="F107" s="299">
        <f t="shared" si="16"/>
        <v>0</v>
      </c>
      <c r="G107" s="299">
        <f t="shared" si="18"/>
        <v>0</v>
      </c>
      <c r="H107" s="298">
        <f t="shared" si="19"/>
        <v>0</v>
      </c>
      <c r="I107" s="294"/>
      <c r="O107" s="295">
        <f t="shared" si="17"/>
        <v>88</v>
      </c>
    </row>
    <row r="108" spans="1:15">
      <c r="A108" s="286"/>
      <c r="B108" s="296">
        <f t="shared" si="20"/>
        <v>89</v>
      </c>
      <c r="C108" s="297">
        <f t="shared" si="13"/>
        <v>0</v>
      </c>
      <c r="D108" s="298">
        <f t="shared" si="21"/>
        <v>0</v>
      </c>
      <c r="E108" s="299">
        <f t="shared" si="15"/>
        <v>0</v>
      </c>
      <c r="F108" s="299">
        <f t="shared" si="16"/>
        <v>0</v>
      </c>
      <c r="G108" s="299">
        <f t="shared" si="18"/>
        <v>0</v>
      </c>
      <c r="H108" s="298">
        <f t="shared" si="19"/>
        <v>0</v>
      </c>
      <c r="I108" s="294"/>
      <c r="O108" s="295">
        <f t="shared" si="17"/>
        <v>89</v>
      </c>
    </row>
    <row r="109" spans="1:15">
      <c r="A109" s="286"/>
      <c r="B109" s="296">
        <f t="shared" si="20"/>
        <v>90</v>
      </c>
      <c r="C109" s="297">
        <f t="shared" si="13"/>
        <v>0</v>
      </c>
      <c r="D109" s="298">
        <f t="shared" si="21"/>
        <v>0</v>
      </c>
      <c r="E109" s="299">
        <f t="shared" si="15"/>
        <v>0</v>
      </c>
      <c r="F109" s="299">
        <f t="shared" si="16"/>
        <v>0</v>
      </c>
      <c r="G109" s="299">
        <f t="shared" si="18"/>
        <v>0</v>
      </c>
      <c r="H109" s="298">
        <f t="shared" si="19"/>
        <v>0</v>
      </c>
      <c r="I109" s="294"/>
      <c r="O109" s="295">
        <f t="shared" si="17"/>
        <v>90</v>
      </c>
    </row>
    <row r="110" spans="1:15">
      <c r="A110" s="286"/>
      <c r="B110" s="296">
        <f t="shared" si="20"/>
        <v>91</v>
      </c>
      <c r="C110" s="297">
        <f t="shared" si="13"/>
        <v>0</v>
      </c>
      <c r="D110" s="298">
        <f t="shared" si="21"/>
        <v>0</v>
      </c>
      <c r="E110" s="299">
        <f t="shared" si="15"/>
        <v>0</v>
      </c>
      <c r="F110" s="299">
        <f t="shared" si="16"/>
        <v>0</v>
      </c>
      <c r="G110" s="299">
        <f t="shared" si="18"/>
        <v>0</v>
      </c>
      <c r="H110" s="298">
        <f t="shared" si="19"/>
        <v>0</v>
      </c>
      <c r="I110" s="294"/>
      <c r="O110" s="295">
        <f t="shared" si="17"/>
        <v>91</v>
      </c>
    </row>
    <row r="111" spans="1:15">
      <c r="A111" s="286"/>
      <c r="B111" s="296">
        <f t="shared" si="20"/>
        <v>92</v>
      </c>
      <c r="C111" s="297">
        <f t="shared" si="13"/>
        <v>0</v>
      </c>
      <c r="D111" s="298">
        <f t="shared" si="21"/>
        <v>0</v>
      </c>
      <c r="E111" s="299">
        <f t="shared" si="15"/>
        <v>0</v>
      </c>
      <c r="F111" s="299">
        <f t="shared" si="16"/>
        <v>0</v>
      </c>
      <c r="G111" s="299">
        <f t="shared" si="18"/>
        <v>0</v>
      </c>
      <c r="H111" s="298">
        <f t="shared" si="19"/>
        <v>0</v>
      </c>
      <c r="I111" s="294"/>
      <c r="O111" s="295">
        <f t="shared" si="17"/>
        <v>92</v>
      </c>
    </row>
    <row r="112" spans="1:15">
      <c r="A112" s="286"/>
      <c r="B112" s="296">
        <f t="shared" si="20"/>
        <v>93</v>
      </c>
      <c r="C112" s="297">
        <f t="shared" si="13"/>
        <v>0</v>
      </c>
      <c r="D112" s="298">
        <f t="shared" si="21"/>
        <v>0</v>
      </c>
      <c r="E112" s="299">
        <f t="shared" si="15"/>
        <v>0</v>
      </c>
      <c r="F112" s="299">
        <f t="shared" si="16"/>
        <v>0</v>
      </c>
      <c r="G112" s="299">
        <f t="shared" si="18"/>
        <v>0</v>
      </c>
      <c r="H112" s="298">
        <f t="shared" si="19"/>
        <v>0</v>
      </c>
      <c r="I112" s="294"/>
      <c r="O112" s="295">
        <f t="shared" si="17"/>
        <v>93</v>
      </c>
    </row>
    <row r="113" spans="1:15">
      <c r="A113" s="286"/>
      <c r="B113" s="296">
        <f t="shared" si="20"/>
        <v>94</v>
      </c>
      <c r="C113" s="297">
        <f t="shared" si="13"/>
        <v>0</v>
      </c>
      <c r="D113" s="298">
        <f t="shared" si="21"/>
        <v>0</v>
      </c>
      <c r="E113" s="299">
        <f t="shared" si="15"/>
        <v>0</v>
      </c>
      <c r="F113" s="299">
        <f t="shared" si="16"/>
        <v>0</v>
      </c>
      <c r="G113" s="299">
        <f t="shared" si="18"/>
        <v>0</v>
      </c>
      <c r="H113" s="298">
        <f t="shared" si="19"/>
        <v>0</v>
      </c>
      <c r="I113" s="294"/>
      <c r="O113" s="295">
        <f t="shared" si="17"/>
        <v>94</v>
      </c>
    </row>
    <row r="114" spans="1:15">
      <c r="A114" s="286"/>
      <c r="B114" s="296">
        <f t="shared" si="20"/>
        <v>95</v>
      </c>
      <c r="C114" s="297">
        <f t="shared" si="13"/>
        <v>0</v>
      </c>
      <c r="D114" s="298">
        <f t="shared" si="21"/>
        <v>0</v>
      </c>
      <c r="E114" s="299">
        <f t="shared" si="15"/>
        <v>0</v>
      </c>
      <c r="F114" s="299">
        <f t="shared" si="16"/>
        <v>0</v>
      </c>
      <c r="G114" s="299">
        <f t="shared" si="18"/>
        <v>0</v>
      </c>
      <c r="H114" s="298">
        <f t="shared" si="19"/>
        <v>0</v>
      </c>
      <c r="I114" s="294"/>
      <c r="O114" s="295">
        <f t="shared" si="17"/>
        <v>95</v>
      </c>
    </row>
    <row r="115" spans="1:15">
      <c r="A115" s="286"/>
      <c r="B115" s="300">
        <f t="shared" si="20"/>
        <v>96</v>
      </c>
      <c r="C115" s="301">
        <f t="shared" si="13"/>
        <v>0</v>
      </c>
      <c r="D115" s="302">
        <f t="shared" si="21"/>
        <v>0</v>
      </c>
      <c r="E115" s="303">
        <f t="shared" si="15"/>
        <v>0</v>
      </c>
      <c r="F115" s="303">
        <f t="shared" si="16"/>
        <v>0</v>
      </c>
      <c r="G115" s="303">
        <f t="shared" si="18"/>
        <v>0</v>
      </c>
      <c r="H115" s="302">
        <f t="shared" si="19"/>
        <v>0</v>
      </c>
      <c r="I115" s="304" t="e">
        <f>H115/$D$5</f>
        <v>#VALUE!</v>
      </c>
      <c r="J115" s="305"/>
      <c r="K115" s="305"/>
      <c r="L115" s="305"/>
      <c r="M115" s="305"/>
      <c r="N115" s="305"/>
      <c r="O115" s="306">
        <f t="shared" si="17"/>
        <v>96</v>
      </c>
    </row>
    <row r="116" spans="1:15">
      <c r="A116" s="286"/>
      <c r="B116" s="296">
        <f t="shared" si="20"/>
        <v>97</v>
      </c>
      <c r="C116" s="297">
        <f t="shared" si="13"/>
        <v>0</v>
      </c>
      <c r="D116" s="298">
        <f t="shared" si="21"/>
        <v>0</v>
      </c>
      <c r="E116" s="299">
        <f t="shared" si="15"/>
        <v>0</v>
      </c>
      <c r="F116" s="299">
        <f t="shared" si="16"/>
        <v>0</v>
      </c>
      <c r="G116" s="299">
        <f t="shared" si="18"/>
        <v>0</v>
      </c>
      <c r="H116" s="298">
        <f t="shared" si="19"/>
        <v>0</v>
      </c>
      <c r="I116" s="294"/>
      <c r="O116" s="295">
        <f t="shared" si="17"/>
        <v>97</v>
      </c>
    </row>
    <row r="117" spans="1:15">
      <c r="A117" s="286"/>
      <c r="B117" s="296">
        <f t="shared" si="20"/>
        <v>98</v>
      </c>
      <c r="C117" s="297">
        <f t="shared" si="13"/>
        <v>0</v>
      </c>
      <c r="D117" s="298">
        <f t="shared" si="21"/>
        <v>0</v>
      </c>
      <c r="E117" s="299">
        <f t="shared" si="15"/>
        <v>0</v>
      </c>
      <c r="F117" s="299">
        <f t="shared" si="16"/>
        <v>0</v>
      </c>
      <c r="G117" s="299">
        <f t="shared" si="18"/>
        <v>0</v>
      </c>
      <c r="H117" s="298">
        <f t="shared" si="19"/>
        <v>0</v>
      </c>
      <c r="I117" s="294"/>
      <c r="O117" s="295">
        <f t="shared" si="17"/>
        <v>98</v>
      </c>
    </row>
    <row r="118" spans="1:15">
      <c r="A118" s="286"/>
      <c r="B118" s="296">
        <f t="shared" si="20"/>
        <v>99</v>
      </c>
      <c r="C118" s="297">
        <f t="shared" si="13"/>
        <v>0</v>
      </c>
      <c r="D118" s="298">
        <f t="shared" si="21"/>
        <v>0</v>
      </c>
      <c r="E118" s="299">
        <f t="shared" si="15"/>
        <v>0</v>
      </c>
      <c r="F118" s="299">
        <f t="shared" si="16"/>
        <v>0</v>
      </c>
      <c r="G118" s="299">
        <f t="shared" si="18"/>
        <v>0</v>
      </c>
      <c r="H118" s="298">
        <f t="shared" si="19"/>
        <v>0</v>
      </c>
      <c r="I118" s="294"/>
      <c r="O118" s="295">
        <f t="shared" si="17"/>
        <v>99</v>
      </c>
    </row>
    <row r="119" spans="1:15">
      <c r="A119" s="286"/>
      <c r="B119" s="296">
        <f t="shared" si="20"/>
        <v>100</v>
      </c>
      <c r="C119" s="297">
        <f t="shared" si="13"/>
        <v>0</v>
      </c>
      <c r="D119" s="298">
        <f t="shared" si="21"/>
        <v>0</v>
      </c>
      <c r="E119" s="299">
        <f t="shared" si="15"/>
        <v>0</v>
      </c>
      <c r="F119" s="299">
        <f t="shared" si="16"/>
        <v>0</v>
      </c>
      <c r="G119" s="299">
        <f t="shared" si="18"/>
        <v>0</v>
      </c>
      <c r="H119" s="298">
        <f t="shared" si="19"/>
        <v>0</v>
      </c>
      <c r="I119" s="294"/>
      <c r="O119" s="295">
        <f t="shared" si="17"/>
        <v>100</v>
      </c>
    </row>
    <row r="120" spans="1:15">
      <c r="A120" s="286"/>
      <c r="B120" s="296">
        <f t="shared" si="20"/>
        <v>101</v>
      </c>
      <c r="C120" s="297">
        <f t="shared" ref="C120:C183" si="22">IF(D120&gt;0,$F$7,0)</f>
        <v>0</v>
      </c>
      <c r="D120" s="298">
        <f t="shared" si="21"/>
        <v>0</v>
      </c>
      <c r="E120" s="299">
        <f t="shared" si="15"/>
        <v>0</v>
      </c>
      <c r="F120" s="299">
        <f t="shared" si="16"/>
        <v>0</v>
      </c>
      <c r="G120" s="299">
        <f t="shared" si="18"/>
        <v>0</v>
      </c>
      <c r="H120" s="298">
        <f t="shared" si="19"/>
        <v>0</v>
      </c>
      <c r="I120" s="294"/>
      <c r="O120" s="295">
        <f t="shared" si="17"/>
        <v>101</v>
      </c>
    </row>
    <row r="121" spans="1:15">
      <c r="A121" s="286"/>
      <c r="B121" s="296">
        <f t="shared" si="20"/>
        <v>102</v>
      </c>
      <c r="C121" s="297">
        <f t="shared" si="22"/>
        <v>0</v>
      </c>
      <c r="D121" s="298">
        <f t="shared" si="21"/>
        <v>0</v>
      </c>
      <c r="E121" s="299">
        <f t="shared" si="15"/>
        <v>0</v>
      </c>
      <c r="F121" s="299">
        <f t="shared" si="16"/>
        <v>0</v>
      </c>
      <c r="G121" s="299">
        <f t="shared" si="18"/>
        <v>0</v>
      </c>
      <c r="H121" s="298">
        <f t="shared" si="19"/>
        <v>0</v>
      </c>
      <c r="I121" s="294"/>
      <c r="O121" s="295">
        <f t="shared" si="17"/>
        <v>102</v>
      </c>
    </row>
    <row r="122" spans="1:15">
      <c r="A122" s="286"/>
      <c r="B122" s="296">
        <f t="shared" si="20"/>
        <v>103</v>
      </c>
      <c r="C122" s="297">
        <f t="shared" si="22"/>
        <v>0</v>
      </c>
      <c r="D122" s="298">
        <f t="shared" si="21"/>
        <v>0</v>
      </c>
      <c r="E122" s="299">
        <f t="shared" si="15"/>
        <v>0</v>
      </c>
      <c r="F122" s="299">
        <f t="shared" si="16"/>
        <v>0</v>
      </c>
      <c r="G122" s="299">
        <f t="shared" si="18"/>
        <v>0</v>
      </c>
      <c r="H122" s="298">
        <f t="shared" si="19"/>
        <v>0</v>
      </c>
      <c r="I122" s="294"/>
      <c r="O122" s="295">
        <f t="shared" si="17"/>
        <v>103</v>
      </c>
    </row>
    <row r="123" spans="1:15">
      <c r="A123" s="286"/>
      <c r="B123" s="296">
        <f t="shared" si="20"/>
        <v>104</v>
      </c>
      <c r="C123" s="297">
        <f t="shared" si="22"/>
        <v>0</v>
      </c>
      <c r="D123" s="298">
        <f t="shared" si="21"/>
        <v>0</v>
      </c>
      <c r="E123" s="299">
        <f t="shared" si="15"/>
        <v>0</v>
      </c>
      <c r="F123" s="299">
        <f t="shared" si="16"/>
        <v>0</v>
      </c>
      <c r="G123" s="299">
        <f t="shared" si="18"/>
        <v>0</v>
      </c>
      <c r="H123" s="298">
        <f t="shared" si="19"/>
        <v>0</v>
      </c>
      <c r="I123" s="294"/>
      <c r="O123" s="295">
        <f t="shared" si="17"/>
        <v>104</v>
      </c>
    </row>
    <row r="124" spans="1:15">
      <c r="A124" s="286"/>
      <c r="B124" s="296">
        <f t="shared" si="20"/>
        <v>105</v>
      </c>
      <c r="C124" s="297">
        <f t="shared" si="22"/>
        <v>0</v>
      </c>
      <c r="D124" s="298">
        <f t="shared" si="21"/>
        <v>0</v>
      </c>
      <c r="E124" s="299">
        <f t="shared" si="15"/>
        <v>0</v>
      </c>
      <c r="F124" s="299">
        <f t="shared" si="16"/>
        <v>0</v>
      </c>
      <c r="G124" s="299">
        <f t="shared" si="18"/>
        <v>0</v>
      </c>
      <c r="H124" s="298">
        <f t="shared" si="19"/>
        <v>0</v>
      </c>
      <c r="I124" s="294"/>
      <c r="O124" s="295">
        <f t="shared" si="17"/>
        <v>105</v>
      </c>
    </row>
    <row r="125" spans="1:15">
      <c r="A125" s="286"/>
      <c r="B125" s="296">
        <f t="shared" si="20"/>
        <v>106</v>
      </c>
      <c r="C125" s="297">
        <f t="shared" si="22"/>
        <v>0</v>
      </c>
      <c r="D125" s="298">
        <f t="shared" si="21"/>
        <v>0</v>
      </c>
      <c r="E125" s="299">
        <f t="shared" si="15"/>
        <v>0</v>
      </c>
      <c r="F125" s="299">
        <f t="shared" si="16"/>
        <v>0</v>
      </c>
      <c r="G125" s="299">
        <f t="shared" si="18"/>
        <v>0</v>
      </c>
      <c r="H125" s="298">
        <f t="shared" si="19"/>
        <v>0</v>
      </c>
      <c r="I125" s="294"/>
      <c r="O125" s="295">
        <f t="shared" si="17"/>
        <v>106</v>
      </c>
    </row>
    <row r="126" spans="1:15">
      <c r="A126" s="286"/>
      <c r="B126" s="296">
        <f t="shared" si="20"/>
        <v>107</v>
      </c>
      <c r="C126" s="297">
        <f t="shared" si="22"/>
        <v>0</v>
      </c>
      <c r="D126" s="298">
        <f t="shared" si="21"/>
        <v>0</v>
      </c>
      <c r="E126" s="299">
        <f t="shared" si="15"/>
        <v>0</v>
      </c>
      <c r="F126" s="299">
        <f t="shared" si="16"/>
        <v>0</v>
      </c>
      <c r="G126" s="299">
        <f t="shared" si="18"/>
        <v>0</v>
      </c>
      <c r="H126" s="298">
        <f t="shared" si="19"/>
        <v>0</v>
      </c>
      <c r="I126" s="294"/>
      <c r="O126" s="295">
        <f t="shared" si="17"/>
        <v>107</v>
      </c>
    </row>
    <row r="127" spans="1:15">
      <c r="A127" s="286"/>
      <c r="B127" s="300">
        <f t="shared" si="20"/>
        <v>108</v>
      </c>
      <c r="C127" s="301">
        <f t="shared" si="22"/>
        <v>0</v>
      </c>
      <c r="D127" s="302">
        <f t="shared" si="21"/>
        <v>0</v>
      </c>
      <c r="E127" s="303">
        <f t="shared" si="15"/>
        <v>0</v>
      </c>
      <c r="F127" s="303">
        <f t="shared" si="16"/>
        <v>0</v>
      </c>
      <c r="G127" s="303">
        <f t="shared" si="18"/>
        <v>0</v>
      </c>
      <c r="H127" s="302">
        <f t="shared" si="19"/>
        <v>0</v>
      </c>
      <c r="I127" s="304" t="e">
        <f>H127/$D$5</f>
        <v>#VALUE!</v>
      </c>
      <c r="J127" s="305"/>
      <c r="K127" s="305"/>
      <c r="L127" s="305"/>
      <c r="M127" s="305"/>
      <c r="N127" s="305"/>
      <c r="O127" s="306">
        <f t="shared" si="17"/>
        <v>108</v>
      </c>
    </row>
    <row r="128" spans="1:15">
      <c r="A128" s="286"/>
      <c r="B128" s="296">
        <f t="shared" si="20"/>
        <v>109</v>
      </c>
      <c r="C128" s="297">
        <f t="shared" si="22"/>
        <v>0</v>
      </c>
      <c r="D128" s="298">
        <f t="shared" si="21"/>
        <v>0</v>
      </c>
      <c r="E128" s="299">
        <f t="shared" si="15"/>
        <v>0</v>
      </c>
      <c r="F128" s="299">
        <f t="shared" si="16"/>
        <v>0</v>
      </c>
      <c r="G128" s="299">
        <f t="shared" si="18"/>
        <v>0</v>
      </c>
      <c r="H128" s="298">
        <f t="shared" si="19"/>
        <v>0</v>
      </c>
      <c r="I128" s="294"/>
      <c r="O128" s="295">
        <f t="shared" si="17"/>
        <v>109</v>
      </c>
    </row>
    <row r="129" spans="1:15">
      <c r="A129" s="286"/>
      <c r="B129" s="296">
        <f t="shared" si="20"/>
        <v>110</v>
      </c>
      <c r="C129" s="297">
        <f t="shared" si="22"/>
        <v>0</v>
      </c>
      <c r="D129" s="298">
        <f t="shared" si="21"/>
        <v>0</v>
      </c>
      <c r="E129" s="299">
        <f t="shared" si="15"/>
        <v>0</v>
      </c>
      <c r="F129" s="299">
        <f t="shared" si="16"/>
        <v>0</v>
      </c>
      <c r="G129" s="299">
        <f t="shared" si="18"/>
        <v>0</v>
      </c>
      <c r="H129" s="298">
        <f t="shared" si="19"/>
        <v>0</v>
      </c>
      <c r="I129" s="294"/>
      <c r="O129" s="295">
        <f t="shared" si="17"/>
        <v>110</v>
      </c>
    </row>
    <row r="130" spans="1:15">
      <c r="A130" s="286"/>
      <c r="B130" s="296">
        <f t="shared" si="20"/>
        <v>111</v>
      </c>
      <c r="C130" s="297">
        <f t="shared" si="22"/>
        <v>0</v>
      </c>
      <c r="D130" s="298">
        <f t="shared" si="21"/>
        <v>0</v>
      </c>
      <c r="E130" s="299">
        <f t="shared" si="15"/>
        <v>0</v>
      </c>
      <c r="F130" s="299">
        <f t="shared" si="16"/>
        <v>0</v>
      </c>
      <c r="G130" s="299">
        <f t="shared" si="18"/>
        <v>0</v>
      </c>
      <c r="H130" s="298">
        <f t="shared" si="19"/>
        <v>0</v>
      </c>
      <c r="I130" s="294"/>
      <c r="O130" s="295">
        <f t="shared" si="17"/>
        <v>111</v>
      </c>
    </row>
    <row r="131" spans="1:15">
      <c r="A131" s="286"/>
      <c r="B131" s="296">
        <f t="shared" si="20"/>
        <v>112</v>
      </c>
      <c r="C131" s="297">
        <f t="shared" si="22"/>
        <v>0</v>
      </c>
      <c r="D131" s="298">
        <f t="shared" si="21"/>
        <v>0</v>
      </c>
      <c r="E131" s="299">
        <f t="shared" si="15"/>
        <v>0</v>
      </c>
      <c r="F131" s="299">
        <f t="shared" si="16"/>
        <v>0</v>
      </c>
      <c r="G131" s="299">
        <f t="shared" si="18"/>
        <v>0</v>
      </c>
      <c r="H131" s="298">
        <f t="shared" si="19"/>
        <v>0</v>
      </c>
      <c r="I131" s="294"/>
      <c r="O131" s="295">
        <f t="shared" si="17"/>
        <v>112</v>
      </c>
    </row>
    <row r="132" spans="1:15">
      <c r="A132" s="286"/>
      <c r="B132" s="296">
        <f t="shared" si="20"/>
        <v>113</v>
      </c>
      <c r="C132" s="297">
        <f t="shared" si="22"/>
        <v>0</v>
      </c>
      <c r="D132" s="298">
        <f t="shared" si="21"/>
        <v>0</v>
      </c>
      <c r="E132" s="299">
        <f t="shared" ref="E132:E195" si="23">IF(H131&lt;=E131,H131+G132,$H$10)</f>
        <v>0</v>
      </c>
      <c r="F132" s="299">
        <f t="shared" si="16"/>
        <v>0</v>
      </c>
      <c r="G132" s="299">
        <f t="shared" si="18"/>
        <v>0</v>
      </c>
      <c r="H132" s="298">
        <f t="shared" si="19"/>
        <v>0</v>
      </c>
      <c r="I132" s="294"/>
      <c r="O132" s="295">
        <f t="shared" si="17"/>
        <v>113</v>
      </c>
    </row>
    <row r="133" spans="1:15">
      <c r="A133" s="286"/>
      <c r="B133" s="296">
        <f t="shared" si="20"/>
        <v>114</v>
      </c>
      <c r="C133" s="297">
        <f t="shared" si="22"/>
        <v>0</v>
      </c>
      <c r="D133" s="298">
        <f t="shared" si="21"/>
        <v>0</v>
      </c>
      <c r="E133" s="299">
        <f t="shared" si="23"/>
        <v>0</v>
      </c>
      <c r="F133" s="299">
        <f t="shared" si="16"/>
        <v>0</v>
      </c>
      <c r="G133" s="299">
        <f t="shared" si="18"/>
        <v>0</v>
      </c>
      <c r="H133" s="298">
        <f t="shared" si="19"/>
        <v>0</v>
      </c>
      <c r="I133" s="294"/>
      <c r="O133" s="295">
        <f t="shared" si="17"/>
        <v>114</v>
      </c>
    </row>
    <row r="134" spans="1:15">
      <c r="A134" s="286"/>
      <c r="B134" s="296">
        <f t="shared" si="20"/>
        <v>115</v>
      </c>
      <c r="C134" s="297">
        <f t="shared" si="22"/>
        <v>0</v>
      </c>
      <c r="D134" s="298">
        <f t="shared" si="21"/>
        <v>0</v>
      </c>
      <c r="E134" s="299">
        <f t="shared" si="23"/>
        <v>0</v>
      </c>
      <c r="F134" s="299">
        <f t="shared" si="16"/>
        <v>0</v>
      </c>
      <c r="G134" s="299">
        <f t="shared" si="18"/>
        <v>0</v>
      </c>
      <c r="H134" s="298">
        <f t="shared" si="19"/>
        <v>0</v>
      </c>
      <c r="I134" s="294"/>
      <c r="O134" s="295">
        <f t="shared" si="17"/>
        <v>115</v>
      </c>
    </row>
    <row r="135" spans="1:15">
      <c r="A135" s="286"/>
      <c r="B135" s="296">
        <f t="shared" si="20"/>
        <v>116</v>
      </c>
      <c r="C135" s="297">
        <f t="shared" si="22"/>
        <v>0</v>
      </c>
      <c r="D135" s="298">
        <f t="shared" si="21"/>
        <v>0</v>
      </c>
      <c r="E135" s="299">
        <f t="shared" si="23"/>
        <v>0</v>
      </c>
      <c r="F135" s="299">
        <f t="shared" si="16"/>
        <v>0</v>
      </c>
      <c r="G135" s="299">
        <f t="shared" si="18"/>
        <v>0</v>
      </c>
      <c r="H135" s="298">
        <f t="shared" si="19"/>
        <v>0</v>
      </c>
      <c r="I135" s="294"/>
      <c r="O135" s="295">
        <f t="shared" si="17"/>
        <v>116</v>
      </c>
    </row>
    <row r="136" spans="1:15">
      <c r="A136" s="286"/>
      <c r="B136" s="296">
        <f t="shared" si="20"/>
        <v>117</v>
      </c>
      <c r="C136" s="297">
        <f t="shared" si="22"/>
        <v>0</v>
      </c>
      <c r="D136" s="298">
        <f t="shared" si="21"/>
        <v>0</v>
      </c>
      <c r="E136" s="299">
        <f t="shared" si="23"/>
        <v>0</v>
      </c>
      <c r="F136" s="299">
        <f t="shared" si="16"/>
        <v>0</v>
      </c>
      <c r="G136" s="299">
        <f t="shared" si="18"/>
        <v>0</v>
      </c>
      <c r="H136" s="298">
        <f t="shared" si="19"/>
        <v>0</v>
      </c>
      <c r="I136" s="294"/>
      <c r="O136" s="295">
        <f t="shared" si="17"/>
        <v>117</v>
      </c>
    </row>
    <row r="137" spans="1:15">
      <c r="A137" s="286"/>
      <c r="B137" s="296">
        <f t="shared" si="20"/>
        <v>118</v>
      </c>
      <c r="C137" s="297">
        <f t="shared" si="22"/>
        <v>0</v>
      </c>
      <c r="D137" s="298">
        <f t="shared" si="21"/>
        <v>0</v>
      </c>
      <c r="E137" s="299">
        <f t="shared" si="23"/>
        <v>0</v>
      </c>
      <c r="F137" s="299">
        <f t="shared" si="16"/>
        <v>0</v>
      </c>
      <c r="G137" s="299">
        <f t="shared" si="18"/>
        <v>0</v>
      </c>
      <c r="H137" s="298">
        <f t="shared" si="19"/>
        <v>0</v>
      </c>
      <c r="I137" s="294"/>
      <c r="O137" s="295">
        <f t="shared" si="17"/>
        <v>118</v>
      </c>
    </row>
    <row r="138" spans="1:15">
      <c r="A138" s="286"/>
      <c r="B138" s="296">
        <f t="shared" si="20"/>
        <v>119</v>
      </c>
      <c r="C138" s="297">
        <f t="shared" si="22"/>
        <v>0</v>
      </c>
      <c r="D138" s="298">
        <f t="shared" si="21"/>
        <v>0</v>
      </c>
      <c r="E138" s="299">
        <f t="shared" si="23"/>
        <v>0</v>
      </c>
      <c r="F138" s="299">
        <f t="shared" si="16"/>
        <v>0</v>
      </c>
      <c r="G138" s="299">
        <f t="shared" si="18"/>
        <v>0</v>
      </c>
      <c r="H138" s="298">
        <f t="shared" si="19"/>
        <v>0</v>
      </c>
      <c r="I138" s="294"/>
      <c r="O138" s="295">
        <f t="shared" si="17"/>
        <v>119</v>
      </c>
    </row>
    <row r="139" spans="1:15">
      <c r="A139" s="286"/>
      <c r="B139" s="300">
        <f t="shared" si="20"/>
        <v>120</v>
      </c>
      <c r="C139" s="301">
        <f t="shared" si="22"/>
        <v>0</v>
      </c>
      <c r="D139" s="302">
        <f t="shared" si="21"/>
        <v>0</v>
      </c>
      <c r="E139" s="303">
        <f t="shared" si="23"/>
        <v>0</v>
      </c>
      <c r="F139" s="303">
        <f t="shared" si="16"/>
        <v>0</v>
      </c>
      <c r="G139" s="303">
        <f t="shared" si="18"/>
        <v>0</v>
      </c>
      <c r="H139" s="302">
        <f t="shared" si="19"/>
        <v>0</v>
      </c>
      <c r="I139" s="304" t="e">
        <f>H139/$D$5</f>
        <v>#VALUE!</v>
      </c>
      <c r="J139" s="305"/>
      <c r="K139" s="305"/>
      <c r="L139" s="305"/>
      <c r="M139" s="305"/>
      <c r="N139" s="305"/>
      <c r="O139" s="306">
        <f t="shared" si="17"/>
        <v>120</v>
      </c>
    </row>
    <row r="140" spans="1:15">
      <c r="A140" s="286"/>
      <c r="B140" s="296">
        <f t="shared" si="20"/>
        <v>121</v>
      </c>
      <c r="C140" s="297">
        <f t="shared" si="22"/>
        <v>0</v>
      </c>
      <c r="D140" s="298">
        <f t="shared" si="21"/>
        <v>0</v>
      </c>
      <c r="E140" s="299">
        <f t="shared" si="23"/>
        <v>0</v>
      </c>
      <c r="F140" s="299">
        <f t="shared" si="16"/>
        <v>0</v>
      </c>
      <c r="G140" s="299">
        <f t="shared" si="18"/>
        <v>0</v>
      </c>
      <c r="H140" s="298">
        <f t="shared" si="19"/>
        <v>0</v>
      </c>
      <c r="I140" s="294"/>
      <c r="O140" s="295">
        <f t="shared" si="17"/>
        <v>121</v>
      </c>
    </row>
    <row r="141" spans="1:15">
      <c r="A141" s="286"/>
      <c r="B141" s="296">
        <f t="shared" si="20"/>
        <v>122</v>
      </c>
      <c r="C141" s="297">
        <f t="shared" si="22"/>
        <v>0</v>
      </c>
      <c r="D141" s="298">
        <f t="shared" si="21"/>
        <v>0</v>
      </c>
      <c r="E141" s="299">
        <f t="shared" si="23"/>
        <v>0</v>
      </c>
      <c r="F141" s="299">
        <f t="shared" si="16"/>
        <v>0</v>
      </c>
      <c r="G141" s="299">
        <f t="shared" si="18"/>
        <v>0</v>
      </c>
      <c r="H141" s="298">
        <f t="shared" si="19"/>
        <v>0</v>
      </c>
      <c r="I141" s="294"/>
      <c r="O141" s="295">
        <f t="shared" si="17"/>
        <v>122</v>
      </c>
    </row>
    <row r="142" spans="1:15">
      <c r="A142" s="286"/>
      <c r="B142" s="296">
        <f t="shared" si="20"/>
        <v>123</v>
      </c>
      <c r="C142" s="297">
        <f t="shared" si="22"/>
        <v>0</v>
      </c>
      <c r="D142" s="298">
        <f t="shared" si="21"/>
        <v>0</v>
      </c>
      <c r="E142" s="299">
        <f t="shared" si="23"/>
        <v>0</v>
      </c>
      <c r="F142" s="299">
        <f t="shared" si="16"/>
        <v>0</v>
      </c>
      <c r="G142" s="299">
        <f t="shared" si="18"/>
        <v>0</v>
      </c>
      <c r="H142" s="298">
        <f t="shared" si="19"/>
        <v>0</v>
      </c>
      <c r="I142" s="294"/>
      <c r="O142" s="295">
        <f t="shared" si="17"/>
        <v>123</v>
      </c>
    </row>
    <row r="143" spans="1:15">
      <c r="A143" s="286"/>
      <c r="B143" s="296">
        <f t="shared" si="20"/>
        <v>124</v>
      </c>
      <c r="C143" s="297">
        <f t="shared" si="22"/>
        <v>0</v>
      </c>
      <c r="D143" s="298">
        <f t="shared" si="21"/>
        <v>0</v>
      </c>
      <c r="E143" s="299">
        <f t="shared" si="23"/>
        <v>0</v>
      </c>
      <c r="F143" s="299">
        <f t="shared" si="16"/>
        <v>0</v>
      </c>
      <c r="G143" s="299">
        <f t="shared" si="18"/>
        <v>0</v>
      </c>
      <c r="H143" s="298">
        <f t="shared" si="19"/>
        <v>0</v>
      </c>
      <c r="I143" s="294"/>
      <c r="O143" s="295">
        <f t="shared" si="17"/>
        <v>124</v>
      </c>
    </row>
    <row r="144" spans="1:15">
      <c r="A144" s="286"/>
      <c r="B144" s="296">
        <f t="shared" si="20"/>
        <v>125</v>
      </c>
      <c r="C144" s="297">
        <f t="shared" si="22"/>
        <v>0</v>
      </c>
      <c r="D144" s="298">
        <f t="shared" si="21"/>
        <v>0</v>
      </c>
      <c r="E144" s="299">
        <f t="shared" si="23"/>
        <v>0</v>
      </c>
      <c r="F144" s="299">
        <f t="shared" si="16"/>
        <v>0</v>
      </c>
      <c r="G144" s="299">
        <f t="shared" si="18"/>
        <v>0</v>
      </c>
      <c r="H144" s="298">
        <f t="shared" si="19"/>
        <v>0</v>
      </c>
      <c r="I144" s="294"/>
      <c r="O144" s="295">
        <f t="shared" si="17"/>
        <v>125</v>
      </c>
    </row>
    <row r="145" spans="1:15">
      <c r="A145" s="286"/>
      <c r="B145" s="296">
        <f t="shared" si="20"/>
        <v>126</v>
      </c>
      <c r="C145" s="297">
        <f t="shared" si="22"/>
        <v>0</v>
      </c>
      <c r="D145" s="298">
        <f t="shared" si="21"/>
        <v>0</v>
      </c>
      <c r="E145" s="299">
        <f t="shared" si="23"/>
        <v>0</v>
      </c>
      <c r="F145" s="299">
        <f t="shared" si="16"/>
        <v>0</v>
      </c>
      <c r="G145" s="299">
        <f t="shared" si="18"/>
        <v>0</v>
      </c>
      <c r="H145" s="298">
        <f t="shared" si="19"/>
        <v>0</v>
      </c>
      <c r="I145" s="294"/>
      <c r="O145" s="295">
        <f t="shared" si="17"/>
        <v>126</v>
      </c>
    </row>
    <row r="146" spans="1:15">
      <c r="A146" s="286"/>
      <c r="B146" s="296">
        <f t="shared" si="20"/>
        <v>127</v>
      </c>
      <c r="C146" s="297">
        <f t="shared" si="22"/>
        <v>0</v>
      </c>
      <c r="D146" s="298">
        <f t="shared" si="21"/>
        <v>0</v>
      </c>
      <c r="E146" s="299">
        <f t="shared" si="23"/>
        <v>0</v>
      </c>
      <c r="F146" s="299">
        <f t="shared" si="16"/>
        <v>0</v>
      </c>
      <c r="G146" s="299">
        <f t="shared" si="18"/>
        <v>0</v>
      </c>
      <c r="H146" s="298">
        <f t="shared" si="19"/>
        <v>0</v>
      </c>
      <c r="I146" s="294"/>
      <c r="O146" s="295">
        <f t="shared" si="17"/>
        <v>127</v>
      </c>
    </row>
    <row r="147" spans="1:15">
      <c r="A147" s="286"/>
      <c r="B147" s="296">
        <f t="shared" si="20"/>
        <v>128</v>
      </c>
      <c r="C147" s="297">
        <f t="shared" si="22"/>
        <v>0</v>
      </c>
      <c r="D147" s="298">
        <f t="shared" si="21"/>
        <v>0</v>
      </c>
      <c r="E147" s="299">
        <f t="shared" si="23"/>
        <v>0</v>
      </c>
      <c r="F147" s="299">
        <f t="shared" si="16"/>
        <v>0</v>
      </c>
      <c r="G147" s="299">
        <f t="shared" si="18"/>
        <v>0</v>
      </c>
      <c r="H147" s="298">
        <f t="shared" si="19"/>
        <v>0</v>
      </c>
      <c r="I147" s="294"/>
      <c r="O147" s="295">
        <f t="shared" si="17"/>
        <v>128</v>
      </c>
    </row>
    <row r="148" spans="1:15">
      <c r="A148" s="286"/>
      <c r="B148" s="296">
        <f t="shared" si="20"/>
        <v>129</v>
      </c>
      <c r="C148" s="297">
        <f t="shared" si="22"/>
        <v>0</v>
      </c>
      <c r="D148" s="298">
        <f t="shared" si="21"/>
        <v>0</v>
      </c>
      <c r="E148" s="299">
        <f t="shared" si="23"/>
        <v>0</v>
      </c>
      <c r="F148" s="299">
        <f t="shared" ref="F148:F211" si="24">E148-G148</f>
        <v>0</v>
      </c>
      <c r="G148" s="299">
        <f t="shared" si="18"/>
        <v>0</v>
      </c>
      <c r="H148" s="298">
        <f t="shared" si="19"/>
        <v>0</v>
      </c>
      <c r="I148" s="294"/>
      <c r="O148" s="295">
        <f t="shared" ref="O148:O211" si="25">IF(H148=0,B148,"n.a.")</f>
        <v>129</v>
      </c>
    </row>
    <row r="149" spans="1:15">
      <c r="A149" s="286"/>
      <c r="B149" s="296">
        <f t="shared" si="20"/>
        <v>130</v>
      </c>
      <c r="C149" s="297">
        <f t="shared" si="22"/>
        <v>0</v>
      </c>
      <c r="D149" s="298">
        <f t="shared" si="21"/>
        <v>0</v>
      </c>
      <c r="E149" s="299">
        <f t="shared" si="23"/>
        <v>0</v>
      </c>
      <c r="F149" s="299">
        <f t="shared" si="24"/>
        <v>0</v>
      </c>
      <c r="G149" s="299">
        <f t="shared" ref="G149:G212" si="26">C149*(D149/365)*30</f>
        <v>0</v>
      </c>
      <c r="H149" s="298">
        <f t="shared" ref="H149:H212" si="27">IF((D149+G149-E149)&lt;0,0,D149+G149-E149)</f>
        <v>0</v>
      </c>
      <c r="I149" s="294"/>
      <c r="O149" s="295">
        <f t="shared" si="25"/>
        <v>130</v>
      </c>
    </row>
    <row r="150" spans="1:15">
      <c r="A150" s="286"/>
      <c r="B150" s="296">
        <f t="shared" ref="B150:B213" si="28">B149+1</f>
        <v>131</v>
      </c>
      <c r="C150" s="297">
        <f t="shared" si="22"/>
        <v>0</v>
      </c>
      <c r="D150" s="298">
        <f t="shared" ref="D150:D213" si="29">H149</f>
        <v>0</v>
      </c>
      <c r="E150" s="299">
        <f t="shared" si="23"/>
        <v>0</v>
      </c>
      <c r="F150" s="299">
        <f t="shared" si="24"/>
        <v>0</v>
      </c>
      <c r="G150" s="299">
        <f t="shared" si="26"/>
        <v>0</v>
      </c>
      <c r="H150" s="298">
        <f t="shared" si="27"/>
        <v>0</v>
      </c>
      <c r="I150" s="294"/>
      <c r="O150" s="295">
        <f t="shared" si="25"/>
        <v>131</v>
      </c>
    </row>
    <row r="151" spans="1:15">
      <c r="A151" s="286"/>
      <c r="B151" s="300">
        <f t="shared" si="28"/>
        <v>132</v>
      </c>
      <c r="C151" s="301">
        <f t="shared" si="22"/>
        <v>0</v>
      </c>
      <c r="D151" s="302">
        <f t="shared" si="29"/>
        <v>0</v>
      </c>
      <c r="E151" s="303">
        <f t="shared" si="23"/>
        <v>0</v>
      </c>
      <c r="F151" s="303">
        <f t="shared" si="24"/>
        <v>0</v>
      </c>
      <c r="G151" s="303">
        <f t="shared" si="26"/>
        <v>0</v>
      </c>
      <c r="H151" s="302">
        <f t="shared" si="27"/>
        <v>0</v>
      </c>
      <c r="I151" s="304" t="e">
        <f>H151/$D$5</f>
        <v>#VALUE!</v>
      </c>
      <c r="J151" s="305"/>
      <c r="K151" s="305"/>
      <c r="L151" s="305"/>
      <c r="M151" s="305"/>
      <c r="N151" s="305"/>
      <c r="O151" s="306">
        <f t="shared" si="25"/>
        <v>132</v>
      </c>
    </row>
    <row r="152" spans="1:15">
      <c r="A152" s="286"/>
      <c r="B152" s="296">
        <f t="shared" si="28"/>
        <v>133</v>
      </c>
      <c r="C152" s="297">
        <f t="shared" si="22"/>
        <v>0</v>
      </c>
      <c r="D152" s="298">
        <f t="shared" si="29"/>
        <v>0</v>
      </c>
      <c r="E152" s="299">
        <f t="shared" si="23"/>
        <v>0</v>
      </c>
      <c r="F152" s="299">
        <f t="shared" si="24"/>
        <v>0</v>
      </c>
      <c r="G152" s="299">
        <f t="shared" si="26"/>
        <v>0</v>
      </c>
      <c r="H152" s="298">
        <f t="shared" si="27"/>
        <v>0</v>
      </c>
      <c r="I152" s="294"/>
      <c r="O152" s="295">
        <f t="shared" si="25"/>
        <v>133</v>
      </c>
    </row>
    <row r="153" spans="1:15">
      <c r="A153" s="286"/>
      <c r="B153" s="296">
        <f t="shared" si="28"/>
        <v>134</v>
      </c>
      <c r="C153" s="297">
        <f t="shared" si="22"/>
        <v>0</v>
      </c>
      <c r="D153" s="298">
        <f t="shared" si="29"/>
        <v>0</v>
      </c>
      <c r="E153" s="299">
        <f t="shared" si="23"/>
        <v>0</v>
      </c>
      <c r="F153" s="299">
        <f t="shared" si="24"/>
        <v>0</v>
      </c>
      <c r="G153" s="299">
        <f t="shared" si="26"/>
        <v>0</v>
      </c>
      <c r="H153" s="298">
        <f t="shared" si="27"/>
        <v>0</v>
      </c>
      <c r="I153" s="294"/>
      <c r="O153" s="295">
        <f t="shared" si="25"/>
        <v>134</v>
      </c>
    </row>
    <row r="154" spans="1:15">
      <c r="A154" s="286"/>
      <c r="B154" s="296">
        <f t="shared" si="28"/>
        <v>135</v>
      </c>
      <c r="C154" s="297">
        <f t="shared" si="22"/>
        <v>0</v>
      </c>
      <c r="D154" s="298">
        <f t="shared" si="29"/>
        <v>0</v>
      </c>
      <c r="E154" s="299">
        <f t="shared" si="23"/>
        <v>0</v>
      </c>
      <c r="F154" s="299">
        <f t="shared" si="24"/>
        <v>0</v>
      </c>
      <c r="G154" s="299">
        <f t="shared" si="26"/>
        <v>0</v>
      </c>
      <c r="H154" s="298">
        <f t="shared" si="27"/>
        <v>0</v>
      </c>
      <c r="I154" s="294"/>
      <c r="O154" s="295">
        <f t="shared" si="25"/>
        <v>135</v>
      </c>
    </row>
    <row r="155" spans="1:15">
      <c r="A155" s="286"/>
      <c r="B155" s="296">
        <f t="shared" si="28"/>
        <v>136</v>
      </c>
      <c r="C155" s="297">
        <f t="shared" si="22"/>
        <v>0</v>
      </c>
      <c r="D155" s="298">
        <f t="shared" si="29"/>
        <v>0</v>
      </c>
      <c r="E155" s="299">
        <f t="shared" si="23"/>
        <v>0</v>
      </c>
      <c r="F155" s="299">
        <f t="shared" si="24"/>
        <v>0</v>
      </c>
      <c r="G155" s="299">
        <f t="shared" si="26"/>
        <v>0</v>
      </c>
      <c r="H155" s="298">
        <f t="shared" si="27"/>
        <v>0</v>
      </c>
      <c r="I155" s="294"/>
      <c r="O155" s="295">
        <f t="shared" si="25"/>
        <v>136</v>
      </c>
    </row>
    <row r="156" spans="1:15">
      <c r="A156" s="286"/>
      <c r="B156" s="296">
        <f t="shared" si="28"/>
        <v>137</v>
      </c>
      <c r="C156" s="297">
        <f t="shared" si="22"/>
        <v>0</v>
      </c>
      <c r="D156" s="298">
        <f t="shared" si="29"/>
        <v>0</v>
      </c>
      <c r="E156" s="299">
        <f t="shared" si="23"/>
        <v>0</v>
      </c>
      <c r="F156" s="299">
        <f t="shared" si="24"/>
        <v>0</v>
      </c>
      <c r="G156" s="299">
        <f t="shared" si="26"/>
        <v>0</v>
      </c>
      <c r="H156" s="298">
        <f t="shared" si="27"/>
        <v>0</v>
      </c>
      <c r="I156" s="294"/>
      <c r="O156" s="295">
        <f t="shared" si="25"/>
        <v>137</v>
      </c>
    </row>
    <row r="157" spans="1:15">
      <c r="A157" s="286"/>
      <c r="B157" s="296">
        <f t="shared" si="28"/>
        <v>138</v>
      </c>
      <c r="C157" s="297">
        <f t="shared" si="22"/>
        <v>0</v>
      </c>
      <c r="D157" s="298">
        <f t="shared" si="29"/>
        <v>0</v>
      </c>
      <c r="E157" s="299">
        <f t="shared" si="23"/>
        <v>0</v>
      </c>
      <c r="F157" s="299">
        <f t="shared" si="24"/>
        <v>0</v>
      </c>
      <c r="G157" s="299">
        <f t="shared" si="26"/>
        <v>0</v>
      </c>
      <c r="H157" s="298">
        <f t="shared" si="27"/>
        <v>0</v>
      </c>
      <c r="I157" s="294"/>
      <c r="O157" s="295">
        <f t="shared" si="25"/>
        <v>138</v>
      </c>
    </row>
    <row r="158" spans="1:15">
      <c r="A158" s="286"/>
      <c r="B158" s="296">
        <f t="shared" si="28"/>
        <v>139</v>
      </c>
      <c r="C158" s="297">
        <f t="shared" si="22"/>
        <v>0</v>
      </c>
      <c r="D158" s="298">
        <f t="shared" si="29"/>
        <v>0</v>
      </c>
      <c r="E158" s="299">
        <f t="shared" si="23"/>
        <v>0</v>
      </c>
      <c r="F158" s="299">
        <f t="shared" si="24"/>
        <v>0</v>
      </c>
      <c r="G158" s="299">
        <f t="shared" si="26"/>
        <v>0</v>
      </c>
      <c r="H158" s="298">
        <f t="shared" si="27"/>
        <v>0</v>
      </c>
      <c r="I158" s="294"/>
      <c r="O158" s="295">
        <f t="shared" si="25"/>
        <v>139</v>
      </c>
    </row>
    <row r="159" spans="1:15">
      <c r="A159" s="286"/>
      <c r="B159" s="296">
        <f t="shared" si="28"/>
        <v>140</v>
      </c>
      <c r="C159" s="297">
        <f t="shared" si="22"/>
        <v>0</v>
      </c>
      <c r="D159" s="298">
        <f t="shared" si="29"/>
        <v>0</v>
      </c>
      <c r="E159" s="299">
        <f t="shared" si="23"/>
        <v>0</v>
      </c>
      <c r="F159" s="299">
        <f t="shared" si="24"/>
        <v>0</v>
      </c>
      <c r="G159" s="299">
        <f t="shared" si="26"/>
        <v>0</v>
      </c>
      <c r="H159" s="298">
        <f t="shared" si="27"/>
        <v>0</v>
      </c>
      <c r="I159" s="294"/>
      <c r="O159" s="295">
        <f t="shared" si="25"/>
        <v>140</v>
      </c>
    </row>
    <row r="160" spans="1:15">
      <c r="A160" s="286"/>
      <c r="B160" s="296">
        <f t="shared" si="28"/>
        <v>141</v>
      </c>
      <c r="C160" s="297">
        <f t="shared" si="22"/>
        <v>0</v>
      </c>
      <c r="D160" s="298">
        <f t="shared" si="29"/>
        <v>0</v>
      </c>
      <c r="E160" s="299">
        <f t="shared" si="23"/>
        <v>0</v>
      </c>
      <c r="F160" s="299">
        <f t="shared" si="24"/>
        <v>0</v>
      </c>
      <c r="G160" s="299">
        <f t="shared" si="26"/>
        <v>0</v>
      </c>
      <c r="H160" s="298">
        <f t="shared" si="27"/>
        <v>0</v>
      </c>
      <c r="I160" s="294"/>
      <c r="O160" s="295">
        <f t="shared" si="25"/>
        <v>141</v>
      </c>
    </row>
    <row r="161" spans="1:15">
      <c r="A161" s="286"/>
      <c r="B161" s="296">
        <f t="shared" si="28"/>
        <v>142</v>
      </c>
      <c r="C161" s="297">
        <f t="shared" si="22"/>
        <v>0</v>
      </c>
      <c r="D161" s="298">
        <f t="shared" si="29"/>
        <v>0</v>
      </c>
      <c r="E161" s="299">
        <f t="shared" si="23"/>
        <v>0</v>
      </c>
      <c r="F161" s="299">
        <f t="shared" si="24"/>
        <v>0</v>
      </c>
      <c r="G161" s="299">
        <f t="shared" si="26"/>
        <v>0</v>
      </c>
      <c r="H161" s="298">
        <f t="shared" si="27"/>
        <v>0</v>
      </c>
      <c r="I161" s="294"/>
      <c r="O161" s="295">
        <f t="shared" si="25"/>
        <v>142</v>
      </c>
    </row>
    <row r="162" spans="1:15">
      <c r="A162" s="286"/>
      <c r="B162" s="296">
        <f t="shared" si="28"/>
        <v>143</v>
      </c>
      <c r="C162" s="297">
        <f t="shared" si="22"/>
        <v>0</v>
      </c>
      <c r="D162" s="298">
        <f t="shared" si="29"/>
        <v>0</v>
      </c>
      <c r="E162" s="299">
        <f t="shared" si="23"/>
        <v>0</v>
      </c>
      <c r="F162" s="299">
        <f t="shared" si="24"/>
        <v>0</v>
      </c>
      <c r="G162" s="299">
        <f t="shared" si="26"/>
        <v>0</v>
      </c>
      <c r="H162" s="298">
        <f t="shared" si="27"/>
        <v>0</v>
      </c>
      <c r="I162" s="294"/>
      <c r="O162" s="295">
        <f t="shared" si="25"/>
        <v>143</v>
      </c>
    </row>
    <row r="163" spans="1:15">
      <c r="A163" s="286"/>
      <c r="B163" s="300">
        <f t="shared" si="28"/>
        <v>144</v>
      </c>
      <c r="C163" s="301">
        <f t="shared" si="22"/>
        <v>0</v>
      </c>
      <c r="D163" s="302">
        <f t="shared" si="29"/>
        <v>0</v>
      </c>
      <c r="E163" s="303">
        <f t="shared" si="23"/>
        <v>0</v>
      </c>
      <c r="F163" s="303">
        <f t="shared" si="24"/>
        <v>0</v>
      </c>
      <c r="G163" s="303">
        <f t="shared" si="26"/>
        <v>0</v>
      </c>
      <c r="H163" s="302">
        <f t="shared" si="27"/>
        <v>0</v>
      </c>
      <c r="I163" s="304" t="e">
        <f>H163/$D$5</f>
        <v>#VALUE!</v>
      </c>
      <c r="J163" s="305"/>
      <c r="K163" s="305"/>
      <c r="L163" s="305"/>
      <c r="M163" s="305"/>
      <c r="N163" s="305"/>
      <c r="O163" s="306">
        <f t="shared" si="25"/>
        <v>144</v>
      </c>
    </row>
    <row r="164" spans="1:15">
      <c r="A164" s="286"/>
      <c r="B164" s="296">
        <f t="shared" si="28"/>
        <v>145</v>
      </c>
      <c r="C164" s="297">
        <f t="shared" si="22"/>
        <v>0</v>
      </c>
      <c r="D164" s="298">
        <f t="shared" si="29"/>
        <v>0</v>
      </c>
      <c r="E164" s="299">
        <f t="shared" si="23"/>
        <v>0</v>
      </c>
      <c r="F164" s="299">
        <f t="shared" si="24"/>
        <v>0</v>
      </c>
      <c r="G164" s="299">
        <f t="shared" si="26"/>
        <v>0</v>
      </c>
      <c r="H164" s="298">
        <f t="shared" si="27"/>
        <v>0</v>
      </c>
      <c r="I164" s="294"/>
      <c r="O164" s="295">
        <f t="shared" si="25"/>
        <v>145</v>
      </c>
    </row>
    <row r="165" spans="1:15">
      <c r="A165" s="286"/>
      <c r="B165" s="296">
        <f t="shared" si="28"/>
        <v>146</v>
      </c>
      <c r="C165" s="297">
        <f t="shared" si="22"/>
        <v>0</v>
      </c>
      <c r="D165" s="298">
        <f t="shared" si="29"/>
        <v>0</v>
      </c>
      <c r="E165" s="299">
        <f t="shared" si="23"/>
        <v>0</v>
      </c>
      <c r="F165" s="299">
        <f t="shared" si="24"/>
        <v>0</v>
      </c>
      <c r="G165" s="299">
        <f t="shared" si="26"/>
        <v>0</v>
      </c>
      <c r="H165" s="298">
        <f t="shared" si="27"/>
        <v>0</v>
      </c>
      <c r="I165" s="294"/>
      <c r="O165" s="295">
        <f t="shared" si="25"/>
        <v>146</v>
      </c>
    </row>
    <row r="166" spans="1:15">
      <c r="A166" s="286"/>
      <c r="B166" s="296">
        <f t="shared" si="28"/>
        <v>147</v>
      </c>
      <c r="C166" s="297">
        <f t="shared" si="22"/>
        <v>0</v>
      </c>
      <c r="D166" s="298">
        <f t="shared" si="29"/>
        <v>0</v>
      </c>
      <c r="E166" s="299">
        <f t="shared" si="23"/>
        <v>0</v>
      </c>
      <c r="F166" s="299">
        <f t="shared" si="24"/>
        <v>0</v>
      </c>
      <c r="G166" s="299">
        <f t="shared" si="26"/>
        <v>0</v>
      </c>
      <c r="H166" s="298">
        <f t="shared" si="27"/>
        <v>0</v>
      </c>
      <c r="I166" s="294"/>
      <c r="O166" s="295">
        <f t="shared" si="25"/>
        <v>147</v>
      </c>
    </row>
    <row r="167" spans="1:15">
      <c r="A167" s="286"/>
      <c r="B167" s="296">
        <f t="shared" si="28"/>
        <v>148</v>
      </c>
      <c r="C167" s="297">
        <f t="shared" si="22"/>
        <v>0</v>
      </c>
      <c r="D167" s="298">
        <f t="shared" si="29"/>
        <v>0</v>
      </c>
      <c r="E167" s="299">
        <f t="shared" si="23"/>
        <v>0</v>
      </c>
      <c r="F167" s="299">
        <f t="shared" si="24"/>
        <v>0</v>
      </c>
      <c r="G167" s="299">
        <f t="shared" si="26"/>
        <v>0</v>
      </c>
      <c r="H167" s="298">
        <f t="shared" si="27"/>
        <v>0</v>
      </c>
      <c r="I167" s="294"/>
      <c r="O167" s="295">
        <f t="shared" si="25"/>
        <v>148</v>
      </c>
    </row>
    <row r="168" spans="1:15">
      <c r="A168" s="286"/>
      <c r="B168" s="296">
        <f t="shared" si="28"/>
        <v>149</v>
      </c>
      <c r="C168" s="297">
        <f t="shared" si="22"/>
        <v>0</v>
      </c>
      <c r="D168" s="298">
        <f t="shared" si="29"/>
        <v>0</v>
      </c>
      <c r="E168" s="299">
        <f t="shared" si="23"/>
        <v>0</v>
      </c>
      <c r="F168" s="299">
        <f t="shared" si="24"/>
        <v>0</v>
      </c>
      <c r="G168" s="299">
        <f t="shared" si="26"/>
        <v>0</v>
      </c>
      <c r="H168" s="298">
        <f t="shared" si="27"/>
        <v>0</v>
      </c>
      <c r="I168" s="294"/>
      <c r="O168" s="295">
        <f t="shared" si="25"/>
        <v>149</v>
      </c>
    </row>
    <row r="169" spans="1:15">
      <c r="A169" s="286"/>
      <c r="B169" s="296">
        <f t="shared" si="28"/>
        <v>150</v>
      </c>
      <c r="C169" s="297">
        <f t="shared" si="22"/>
        <v>0</v>
      </c>
      <c r="D169" s="298">
        <f t="shared" si="29"/>
        <v>0</v>
      </c>
      <c r="E169" s="299">
        <f t="shared" si="23"/>
        <v>0</v>
      </c>
      <c r="F169" s="299">
        <f t="shared" si="24"/>
        <v>0</v>
      </c>
      <c r="G169" s="299">
        <f t="shared" si="26"/>
        <v>0</v>
      </c>
      <c r="H169" s="298">
        <f t="shared" si="27"/>
        <v>0</v>
      </c>
      <c r="I169" s="294"/>
      <c r="O169" s="295">
        <f t="shared" si="25"/>
        <v>150</v>
      </c>
    </row>
    <row r="170" spans="1:15">
      <c r="A170" s="286"/>
      <c r="B170" s="296">
        <f t="shared" si="28"/>
        <v>151</v>
      </c>
      <c r="C170" s="297">
        <f t="shared" si="22"/>
        <v>0</v>
      </c>
      <c r="D170" s="298">
        <f t="shared" si="29"/>
        <v>0</v>
      </c>
      <c r="E170" s="299">
        <f t="shared" si="23"/>
        <v>0</v>
      </c>
      <c r="F170" s="299">
        <f t="shared" si="24"/>
        <v>0</v>
      </c>
      <c r="G170" s="299">
        <f t="shared" si="26"/>
        <v>0</v>
      </c>
      <c r="H170" s="298">
        <f t="shared" si="27"/>
        <v>0</v>
      </c>
      <c r="I170" s="294"/>
      <c r="O170" s="295">
        <f t="shared" si="25"/>
        <v>151</v>
      </c>
    </row>
    <row r="171" spans="1:15">
      <c r="A171" s="286"/>
      <c r="B171" s="296">
        <f t="shared" si="28"/>
        <v>152</v>
      </c>
      <c r="C171" s="297">
        <f t="shared" si="22"/>
        <v>0</v>
      </c>
      <c r="D171" s="298">
        <f t="shared" si="29"/>
        <v>0</v>
      </c>
      <c r="E171" s="299">
        <f t="shared" si="23"/>
        <v>0</v>
      </c>
      <c r="F171" s="299">
        <f t="shared" si="24"/>
        <v>0</v>
      </c>
      <c r="G171" s="299">
        <f t="shared" si="26"/>
        <v>0</v>
      </c>
      <c r="H171" s="298">
        <f t="shared" si="27"/>
        <v>0</v>
      </c>
      <c r="I171" s="294"/>
      <c r="O171" s="295">
        <f t="shared" si="25"/>
        <v>152</v>
      </c>
    </row>
    <row r="172" spans="1:15">
      <c r="A172" s="286"/>
      <c r="B172" s="296">
        <f t="shared" si="28"/>
        <v>153</v>
      </c>
      <c r="C172" s="297">
        <f t="shared" si="22"/>
        <v>0</v>
      </c>
      <c r="D172" s="298">
        <f t="shared" si="29"/>
        <v>0</v>
      </c>
      <c r="E172" s="299">
        <f t="shared" si="23"/>
        <v>0</v>
      </c>
      <c r="F172" s="299">
        <f t="shared" si="24"/>
        <v>0</v>
      </c>
      <c r="G172" s="299">
        <f t="shared" si="26"/>
        <v>0</v>
      </c>
      <c r="H172" s="298">
        <f t="shared" si="27"/>
        <v>0</v>
      </c>
      <c r="I172" s="294"/>
      <c r="O172" s="295">
        <f t="shared" si="25"/>
        <v>153</v>
      </c>
    </row>
    <row r="173" spans="1:15">
      <c r="A173" s="286"/>
      <c r="B173" s="296">
        <f t="shared" si="28"/>
        <v>154</v>
      </c>
      <c r="C173" s="297">
        <f t="shared" si="22"/>
        <v>0</v>
      </c>
      <c r="D173" s="298">
        <f t="shared" si="29"/>
        <v>0</v>
      </c>
      <c r="E173" s="299">
        <f t="shared" si="23"/>
        <v>0</v>
      </c>
      <c r="F173" s="299">
        <f t="shared" si="24"/>
        <v>0</v>
      </c>
      <c r="G173" s="299">
        <f t="shared" si="26"/>
        <v>0</v>
      </c>
      <c r="H173" s="298">
        <f t="shared" si="27"/>
        <v>0</v>
      </c>
      <c r="I173" s="294"/>
      <c r="O173" s="295">
        <f t="shared" si="25"/>
        <v>154</v>
      </c>
    </row>
    <row r="174" spans="1:15">
      <c r="A174" s="286"/>
      <c r="B174" s="296">
        <f t="shared" si="28"/>
        <v>155</v>
      </c>
      <c r="C174" s="297">
        <f t="shared" si="22"/>
        <v>0</v>
      </c>
      <c r="D174" s="298">
        <f t="shared" si="29"/>
        <v>0</v>
      </c>
      <c r="E174" s="299">
        <f t="shared" si="23"/>
        <v>0</v>
      </c>
      <c r="F174" s="299">
        <f t="shared" si="24"/>
        <v>0</v>
      </c>
      <c r="G174" s="299">
        <f t="shared" si="26"/>
        <v>0</v>
      </c>
      <c r="H174" s="298">
        <f t="shared" si="27"/>
        <v>0</v>
      </c>
      <c r="I174" s="294"/>
      <c r="O174" s="295">
        <f t="shared" si="25"/>
        <v>155</v>
      </c>
    </row>
    <row r="175" spans="1:15">
      <c r="A175" s="286"/>
      <c r="B175" s="300">
        <f t="shared" si="28"/>
        <v>156</v>
      </c>
      <c r="C175" s="301">
        <f t="shared" si="22"/>
        <v>0</v>
      </c>
      <c r="D175" s="302">
        <f t="shared" si="29"/>
        <v>0</v>
      </c>
      <c r="E175" s="303">
        <f t="shared" si="23"/>
        <v>0</v>
      </c>
      <c r="F175" s="303">
        <f t="shared" si="24"/>
        <v>0</v>
      </c>
      <c r="G175" s="303">
        <f t="shared" si="26"/>
        <v>0</v>
      </c>
      <c r="H175" s="302">
        <f t="shared" si="27"/>
        <v>0</v>
      </c>
      <c r="I175" s="304" t="e">
        <f>H175/$D$5</f>
        <v>#VALUE!</v>
      </c>
      <c r="J175" s="305"/>
      <c r="K175" s="305"/>
      <c r="L175" s="305"/>
      <c r="M175" s="305"/>
      <c r="N175" s="305"/>
      <c r="O175" s="306">
        <f t="shared" si="25"/>
        <v>156</v>
      </c>
    </row>
    <row r="176" spans="1:15">
      <c r="A176" s="286"/>
      <c r="B176" s="296">
        <f t="shared" si="28"/>
        <v>157</v>
      </c>
      <c r="C176" s="297">
        <f t="shared" si="22"/>
        <v>0</v>
      </c>
      <c r="D176" s="298">
        <f t="shared" si="29"/>
        <v>0</v>
      </c>
      <c r="E176" s="299">
        <f t="shared" si="23"/>
        <v>0</v>
      </c>
      <c r="F176" s="299">
        <f t="shared" si="24"/>
        <v>0</v>
      </c>
      <c r="G176" s="299">
        <f t="shared" si="26"/>
        <v>0</v>
      </c>
      <c r="H176" s="298">
        <f t="shared" si="27"/>
        <v>0</v>
      </c>
      <c r="I176" s="294"/>
      <c r="O176" s="295">
        <f t="shared" si="25"/>
        <v>157</v>
      </c>
    </row>
    <row r="177" spans="1:15">
      <c r="A177" s="286"/>
      <c r="B177" s="296">
        <f t="shared" si="28"/>
        <v>158</v>
      </c>
      <c r="C177" s="297">
        <f t="shared" si="22"/>
        <v>0</v>
      </c>
      <c r="D177" s="298">
        <f t="shared" si="29"/>
        <v>0</v>
      </c>
      <c r="E177" s="299">
        <f t="shared" si="23"/>
        <v>0</v>
      </c>
      <c r="F177" s="299">
        <f t="shared" si="24"/>
        <v>0</v>
      </c>
      <c r="G177" s="299">
        <f t="shared" si="26"/>
        <v>0</v>
      </c>
      <c r="H177" s="298">
        <f t="shared" si="27"/>
        <v>0</v>
      </c>
      <c r="I177" s="294"/>
      <c r="O177" s="295">
        <f t="shared" si="25"/>
        <v>158</v>
      </c>
    </row>
    <row r="178" spans="1:15">
      <c r="A178" s="286"/>
      <c r="B178" s="296">
        <f t="shared" si="28"/>
        <v>159</v>
      </c>
      <c r="C178" s="297">
        <f t="shared" si="22"/>
        <v>0</v>
      </c>
      <c r="D178" s="298">
        <f t="shared" si="29"/>
        <v>0</v>
      </c>
      <c r="E178" s="299">
        <f t="shared" si="23"/>
        <v>0</v>
      </c>
      <c r="F178" s="299">
        <f t="shared" si="24"/>
        <v>0</v>
      </c>
      <c r="G178" s="299">
        <f t="shared" si="26"/>
        <v>0</v>
      </c>
      <c r="H178" s="298">
        <f t="shared" si="27"/>
        <v>0</v>
      </c>
      <c r="I178" s="294"/>
      <c r="O178" s="295">
        <f t="shared" si="25"/>
        <v>159</v>
      </c>
    </row>
    <row r="179" spans="1:15">
      <c r="A179" s="286"/>
      <c r="B179" s="296">
        <f t="shared" si="28"/>
        <v>160</v>
      </c>
      <c r="C179" s="297">
        <f t="shared" si="22"/>
        <v>0</v>
      </c>
      <c r="D179" s="298">
        <f t="shared" si="29"/>
        <v>0</v>
      </c>
      <c r="E179" s="299">
        <f t="shared" si="23"/>
        <v>0</v>
      </c>
      <c r="F179" s="299">
        <f t="shared" si="24"/>
        <v>0</v>
      </c>
      <c r="G179" s="299">
        <f t="shared" si="26"/>
        <v>0</v>
      </c>
      <c r="H179" s="298">
        <f t="shared" si="27"/>
        <v>0</v>
      </c>
      <c r="I179" s="294"/>
      <c r="O179" s="295">
        <f t="shared" si="25"/>
        <v>160</v>
      </c>
    </row>
    <row r="180" spans="1:15">
      <c r="A180" s="286"/>
      <c r="B180" s="296">
        <f t="shared" si="28"/>
        <v>161</v>
      </c>
      <c r="C180" s="297">
        <f t="shared" si="22"/>
        <v>0</v>
      </c>
      <c r="D180" s="298">
        <f t="shared" si="29"/>
        <v>0</v>
      </c>
      <c r="E180" s="299">
        <f t="shared" si="23"/>
        <v>0</v>
      </c>
      <c r="F180" s="299">
        <f t="shared" si="24"/>
        <v>0</v>
      </c>
      <c r="G180" s="299">
        <f t="shared" si="26"/>
        <v>0</v>
      </c>
      <c r="H180" s="298">
        <f t="shared" si="27"/>
        <v>0</v>
      </c>
      <c r="I180" s="294"/>
      <c r="O180" s="295">
        <f t="shared" si="25"/>
        <v>161</v>
      </c>
    </row>
    <row r="181" spans="1:15">
      <c r="A181" s="286"/>
      <c r="B181" s="296">
        <f t="shared" si="28"/>
        <v>162</v>
      </c>
      <c r="C181" s="297">
        <f t="shared" si="22"/>
        <v>0</v>
      </c>
      <c r="D181" s="298">
        <f t="shared" si="29"/>
        <v>0</v>
      </c>
      <c r="E181" s="299">
        <f t="shared" si="23"/>
        <v>0</v>
      </c>
      <c r="F181" s="299">
        <f t="shared" si="24"/>
        <v>0</v>
      </c>
      <c r="G181" s="299">
        <f t="shared" si="26"/>
        <v>0</v>
      </c>
      <c r="H181" s="298">
        <f t="shared" si="27"/>
        <v>0</v>
      </c>
      <c r="I181" s="294"/>
      <c r="O181" s="295">
        <f t="shared" si="25"/>
        <v>162</v>
      </c>
    </row>
    <row r="182" spans="1:15">
      <c r="A182" s="286"/>
      <c r="B182" s="296">
        <f t="shared" si="28"/>
        <v>163</v>
      </c>
      <c r="C182" s="297">
        <f t="shared" si="22"/>
        <v>0</v>
      </c>
      <c r="D182" s="298">
        <f t="shared" si="29"/>
        <v>0</v>
      </c>
      <c r="E182" s="299">
        <f t="shared" si="23"/>
        <v>0</v>
      </c>
      <c r="F182" s="299">
        <f t="shared" si="24"/>
        <v>0</v>
      </c>
      <c r="G182" s="299">
        <f t="shared" si="26"/>
        <v>0</v>
      </c>
      <c r="H182" s="298">
        <f t="shared" si="27"/>
        <v>0</v>
      </c>
      <c r="I182" s="294"/>
      <c r="O182" s="295">
        <f t="shared" si="25"/>
        <v>163</v>
      </c>
    </row>
    <row r="183" spans="1:15">
      <c r="A183" s="286"/>
      <c r="B183" s="296">
        <f t="shared" si="28"/>
        <v>164</v>
      </c>
      <c r="C183" s="297">
        <f t="shared" si="22"/>
        <v>0</v>
      </c>
      <c r="D183" s="298">
        <f t="shared" si="29"/>
        <v>0</v>
      </c>
      <c r="E183" s="299">
        <f t="shared" si="23"/>
        <v>0</v>
      </c>
      <c r="F183" s="299">
        <f t="shared" si="24"/>
        <v>0</v>
      </c>
      <c r="G183" s="299">
        <f t="shared" si="26"/>
        <v>0</v>
      </c>
      <c r="H183" s="298">
        <f t="shared" si="27"/>
        <v>0</v>
      </c>
      <c r="I183" s="294"/>
      <c r="O183" s="295">
        <f t="shared" si="25"/>
        <v>164</v>
      </c>
    </row>
    <row r="184" spans="1:15">
      <c r="A184" s="286"/>
      <c r="B184" s="296">
        <f t="shared" si="28"/>
        <v>165</v>
      </c>
      <c r="C184" s="297">
        <f t="shared" ref="C184:C247" si="30">IF(D184&gt;0,$F$7,0)</f>
        <v>0</v>
      </c>
      <c r="D184" s="298">
        <f t="shared" si="29"/>
        <v>0</v>
      </c>
      <c r="E184" s="299">
        <f t="shared" si="23"/>
        <v>0</v>
      </c>
      <c r="F184" s="299">
        <f t="shared" si="24"/>
        <v>0</v>
      </c>
      <c r="G184" s="299">
        <f t="shared" si="26"/>
        <v>0</v>
      </c>
      <c r="H184" s="298">
        <f t="shared" si="27"/>
        <v>0</v>
      </c>
      <c r="I184" s="294"/>
      <c r="O184" s="295">
        <f t="shared" si="25"/>
        <v>165</v>
      </c>
    </row>
    <row r="185" spans="1:15">
      <c r="A185" s="286"/>
      <c r="B185" s="296">
        <f t="shared" si="28"/>
        <v>166</v>
      </c>
      <c r="C185" s="297">
        <f t="shared" si="30"/>
        <v>0</v>
      </c>
      <c r="D185" s="298">
        <f t="shared" si="29"/>
        <v>0</v>
      </c>
      <c r="E185" s="299">
        <f t="shared" si="23"/>
        <v>0</v>
      </c>
      <c r="F185" s="299">
        <f t="shared" si="24"/>
        <v>0</v>
      </c>
      <c r="G185" s="299">
        <f t="shared" si="26"/>
        <v>0</v>
      </c>
      <c r="H185" s="298">
        <f t="shared" si="27"/>
        <v>0</v>
      </c>
      <c r="I185" s="294"/>
      <c r="O185" s="295">
        <f t="shared" si="25"/>
        <v>166</v>
      </c>
    </row>
    <row r="186" spans="1:15">
      <c r="A186" s="286"/>
      <c r="B186" s="296">
        <f t="shared" si="28"/>
        <v>167</v>
      </c>
      <c r="C186" s="297">
        <f t="shared" si="30"/>
        <v>0</v>
      </c>
      <c r="D186" s="298">
        <f t="shared" si="29"/>
        <v>0</v>
      </c>
      <c r="E186" s="299">
        <f t="shared" si="23"/>
        <v>0</v>
      </c>
      <c r="F186" s="299">
        <f t="shared" si="24"/>
        <v>0</v>
      </c>
      <c r="G186" s="299">
        <f t="shared" si="26"/>
        <v>0</v>
      </c>
      <c r="H186" s="298">
        <f t="shared" si="27"/>
        <v>0</v>
      </c>
      <c r="I186" s="294"/>
      <c r="O186" s="295">
        <f t="shared" si="25"/>
        <v>167</v>
      </c>
    </row>
    <row r="187" spans="1:15">
      <c r="A187" s="286"/>
      <c r="B187" s="300">
        <f t="shared" si="28"/>
        <v>168</v>
      </c>
      <c r="C187" s="301">
        <f t="shared" si="30"/>
        <v>0</v>
      </c>
      <c r="D187" s="302">
        <f t="shared" si="29"/>
        <v>0</v>
      </c>
      <c r="E187" s="303">
        <f t="shared" si="23"/>
        <v>0</v>
      </c>
      <c r="F187" s="303">
        <f t="shared" si="24"/>
        <v>0</v>
      </c>
      <c r="G187" s="303">
        <f t="shared" si="26"/>
        <v>0</v>
      </c>
      <c r="H187" s="302">
        <f t="shared" si="27"/>
        <v>0</v>
      </c>
      <c r="I187" s="304" t="e">
        <f>H187/$D$5</f>
        <v>#VALUE!</v>
      </c>
      <c r="J187" s="305"/>
      <c r="K187" s="305"/>
      <c r="L187" s="305"/>
      <c r="M187" s="305"/>
      <c r="N187" s="305"/>
      <c r="O187" s="306">
        <f t="shared" si="25"/>
        <v>168</v>
      </c>
    </row>
    <row r="188" spans="1:15">
      <c r="A188" s="286"/>
      <c r="B188" s="296">
        <f t="shared" si="28"/>
        <v>169</v>
      </c>
      <c r="C188" s="297">
        <f t="shared" si="30"/>
        <v>0</v>
      </c>
      <c r="D188" s="298">
        <f t="shared" si="29"/>
        <v>0</v>
      </c>
      <c r="E188" s="299">
        <f t="shared" si="23"/>
        <v>0</v>
      </c>
      <c r="F188" s="299">
        <f t="shared" si="24"/>
        <v>0</v>
      </c>
      <c r="G188" s="299">
        <f t="shared" si="26"/>
        <v>0</v>
      </c>
      <c r="H188" s="298">
        <f t="shared" si="27"/>
        <v>0</v>
      </c>
      <c r="I188" s="294"/>
      <c r="O188" s="295">
        <f t="shared" si="25"/>
        <v>169</v>
      </c>
    </row>
    <row r="189" spans="1:15">
      <c r="A189" s="286"/>
      <c r="B189" s="296">
        <f t="shared" si="28"/>
        <v>170</v>
      </c>
      <c r="C189" s="297">
        <f t="shared" si="30"/>
        <v>0</v>
      </c>
      <c r="D189" s="298">
        <f t="shared" si="29"/>
        <v>0</v>
      </c>
      <c r="E189" s="299">
        <f t="shared" si="23"/>
        <v>0</v>
      </c>
      <c r="F189" s="299">
        <f t="shared" si="24"/>
        <v>0</v>
      </c>
      <c r="G189" s="299">
        <f t="shared" si="26"/>
        <v>0</v>
      </c>
      <c r="H189" s="298">
        <f t="shared" si="27"/>
        <v>0</v>
      </c>
      <c r="I189" s="294"/>
      <c r="O189" s="295">
        <f t="shared" si="25"/>
        <v>170</v>
      </c>
    </row>
    <row r="190" spans="1:15">
      <c r="A190" s="286"/>
      <c r="B190" s="296">
        <f t="shared" si="28"/>
        <v>171</v>
      </c>
      <c r="C190" s="297">
        <f t="shared" si="30"/>
        <v>0</v>
      </c>
      <c r="D190" s="298">
        <f t="shared" si="29"/>
        <v>0</v>
      </c>
      <c r="E190" s="299">
        <f t="shared" si="23"/>
        <v>0</v>
      </c>
      <c r="F190" s="299">
        <f t="shared" si="24"/>
        <v>0</v>
      </c>
      <c r="G190" s="299">
        <f t="shared" si="26"/>
        <v>0</v>
      </c>
      <c r="H190" s="298">
        <f t="shared" si="27"/>
        <v>0</v>
      </c>
      <c r="I190" s="294"/>
      <c r="O190" s="295">
        <f t="shared" si="25"/>
        <v>171</v>
      </c>
    </row>
    <row r="191" spans="1:15">
      <c r="A191" s="286"/>
      <c r="B191" s="296">
        <f t="shared" si="28"/>
        <v>172</v>
      </c>
      <c r="C191" s="297">
        <f t="shared" si="30"/>
        <v>0</v>
      </c>
      <c r="D191" s="298">
        <f t="shared" si="29"/>
        <v>0</v>
      </c>
      <c r="E191" s="299">
        <f t="shared" si="23"/>
        <v>0</v>
      </c>
      <c r="F191" s="299">
        <f t="shared" si="24"/>
        <v>0</v>
      </c>
      <c r="G191" s="299">
        <f t="shared" si="26"/>
        <v>0</v>
      </c>
      <c r="H191" s="298">
        <f t="shared" si="27"/>
        <v>0</v>
      </c>
      <c r="I191" s="294"/>
      <c r="O191" s="295">
        <f t="shared" si="25"/>
        <v>172</v>
      </c>
    </row>
    <row r="192" spans="1:15">
      <c r="A192" s="286"/>
      <c r="B192" s="296">
        <f t="shared" si="28"/>
        <v>173</v>
      </c>
      <c r="C192" s="297">
        <f t="shared" si="30"/>
        <v>0</v>
      </c>
      <c r="D192" s="298">
        <f t="shared" si="29"/>
        <v>0</v>
      </c>
      <c r="E192" s="299">
        <f t="shared" si="23"/>
        <v>0</v>
      </c>
      <c r="F192" s="299">
        <f t="shared" si="24"/>
        <v>0</v>
      </c>
      <c r="G192" s="299">
        <f t="shared" si="26"/>
        <v>0</v>
      </c>
      <c r="H192" s="298">
        <f t="shared" si="27"/>
        <v>0</v>
      </c>
      <c r="I192" s="294"/>
      <c r="O192" s="295">
        <f t="shared" si="25"/>
        <v>173</v>
      </c>
    </row>
    <row r="193" spans="1:15">
      <c r="A193" s="286"/>
      <c r="B193" s="296">
        <f t="shared" si="28"/>
        <v>174</v>
      </c>
      <c r="C193" s="297">
        <f t="shared" si="30"/>
        <v>0</v>
      </c>
      <c r="D193" s="298">
        <f t="shared" si="29"/>
        <v>0</v>
      </c>
      <c r="E193" s="299">
        <f t="shared" si="23"/>
        <v>0</v>
      </c>
      <c r="F193" s="299">
        <f t="shared" si="24"/>
        <v>0</v>
      </c>
      <c r="G193" s="299">
        <f t="shared" si="26"/>
        <v>0</v>
      </c>
      <c r="H193" s="298">
        <f t="shared" si="27"/>
        <v>0</v>
      </c>
      <c r="I193" s="294"/>
      <c r="O193" s="295">
        <f t="shared" si="25"/>
        <v>174</v>
      </c>
    </row>
    <row r="194" spans="1:15">
      <c r="A194" s="286"/>
      <c r="B194" s="296">
        <f t="shared" si="28"/>
        <v>175</v>
      </c>
      <c r="C194" s="297">
        <f t="shared" si="30"/>
        <v>0</v>
      </c>
      <c r="D194" s="298">
        <f t="shared" si="29"/>
        <v>0</v>
      </c>
      <c r="E194" s="299">
        <f t="shared" si="23"/>
        <v>0</v>
      </c>
      <c r="F194" s="299">
        <f t="shared" si="24"/>
        <v>0</v>
      </c>
      <c r="G194" s="299">
        <f t="shared" si="26"/>
        <v>0</v>
      </c>
      <c r="H194" s="298">
        <f t="shared" si="27"/>
        <v>0</v>
      </c>
      <c r="I194" s="294"/>
      <c r="O194" s="295">
        <f t="shared" si="25"/>
        <v>175</v>
      </c>
    </row>
    <row r="195" spans="1:15">
      <c r="A195" s="286"/>
      <c r="B195" s="296">
        <f t="shared" si="28"/>
        <v>176</v>
      </c>
      <c r="C195" s="297">
        <f t="shared" si="30"/>
        <v>0</v>
      </c>
      <c r="D195" s="298">
        <f t="shared" si="29"/>
        <v>0</v>
      </c>
      <c r="E195" s="299">
        <f t="shared" si="23"/>
        <v>0</v>
      </c>
      <c r="F195" s="299">
        <f t="shared" si="24"/>
        <v>0</v>
      </c>
      <c r="G195" s="299">
        <f t="shared" si="26"/>
        <v>0</v>
      </c>
      <c r="H195" s="298">
        <f t="shared" si="27"/>
        <v>0</v>
      </c>
      <c r="I195" s="294"/>
      <c r="O195" s="295">
        <f t="shared" si="25"/>
        <v>176</v>
      </c>
    </row>
    <row r="196" spans="1:15">
      <c r="A196" s="286"/>
      <c r="B196" s="296">
        <f t="shared" si="28"/>
        <v>177</v>
      </c>
      <c r="C196" s="297">
        <f t="shared" si="30"/>
        <v>0</v>
      </c>
      <c r="D196" s="298">
        <f t="shared" si="29"/>
        <v>0</v>
      </c>
      <c r="E196" s="299">
        <f t="shared" ref="E196:E259" si="31">IF(H195&lt;=E195,H195+G196,$H$10)</f>
        <v>0</v>
      </c>
      <c r="F196" s="299">
        <f t="shared" si="24"/>
        <v>0</v>
      </c>
      <c r="G196" s="299">
        <f t="shared" si="26"/>
        <v>0</v>
      </c>
      <c r="H196" s="298">
        <f t="shared" si="27"/>
        <v>0</v>
      </c>
      <c r="I196" s="294"/>
      <c r="O196" s="295">
        <f t="shared" si="25"/>
        <v>177</v>
      </c>
    </row>
    <row r="197" spans="1:15">
      <c r="A197" s="286"/>
      <c r="B197" s="296">
        <f t="shared" si="28"/>
        <v>178</v>
      </c>
      <c r="C197" s="297">
        <f t="shared" si="30"/>
        <v>0</v>
      </c>
      <c r="D197" s="298">
        <f t="shared" si="29"/>
        <v>0</v>
      </c>
      <c r="E197" s="299">
        <f t="shared" si="31"/>
        <v>0</v>
      </c>
      <c r="F197" s="299">
        <f t="shared" si="24"/>
        <v>0</v>
      </c>
      <c r="G197" s="299">
        <f t="shared" si="26"/>
        <v>0</v>
      </c>
      <c r="H197" s="298">
        <f t="shared" si="27"/>
        <v>0</v>
      </c>
      <c r="I197" s="294"/>
      <c r="O197" s="295">
        <f t="shared" si="25"/>
        <v>178</v>
      </c>
    </row>
    <row r="198" spans="1:15">
      <c r="A198" s="286"/>
      <c r="B198" s="296">
        <f t="shared" si="28"/>
        <v>179</v>
      </c>
      <c r="C198" s="297">
        <f t="shared" si="30"/>
        <v>0</v>
      </c>
      <c r="D198" s="298">
        <f t="shared" si="29"/>
        <v>0</v>
      </c>
      <c r="E198" s="299">
        <f t="shared" si="31"/>
        <v>0</v>
      </c>
      <c r="F198" s="299">
        <f t="shared" si="24"/>
        <v>0</v>
      </c>
      <c r="G198" s="299">
        <f t="shared" si="26"/>
        <v>0</v>
      </c>
      <c r="H198" s="298">
        <f t="shared" si="27"/>
        <v>0</v>
      </c>
      <c r="I198" s="294"/>
      <c r="O198" s="295">
        <f t="shared" si="25"/>
        <v>179</v>
      </c>
    </row>
    <row r="199" spans="1:15">
      <c r="A199" s="286"/>
      <c r="B199" s="300">
        <f t="shared" si="28"/>
        <v>180</v>
      </c>
      <c r="C199" s="301">
        <f t="shared" si="30"/>
        <v>0</v>
      </c>
      <c r="D199" s="302">
        <f t="shared" si="29"/>
        <v>0</v>
      </c>
      <c r="E199" s="303">
        <f t="shared" si="31"/>
        <v>0</v>
      </c>
      <c r="F199" s="303">
        <f t="shared" si="24"/>
        <v>0</v>
      </c>
      <c r="G199" s="303">
        <f t="shared" si="26"/>
        <v>0</v>
      </c>
      <c r="H199" s="302">
        <f t="shared" si="27"/>
        <v>0</v>
      </c>
      <c r="I199" s="304" t="e">
        <f>H199/$D$5</f>
        <v>#VALUE!</v>
      </c>
      <c r="J199" s="305"/>
      <c r="K199" s="305"/>
      <c r="L199" s="305"/>
      <c r="M199" s="305"/>
      <c r="N199" s="305"/>
      <c r="O199" s="306">
        <f t="shared" si="25"/>
        <v>180</v>
      </c>
    </row>
    <row r="200" spans="1:15">
      <c r="A200" s="286"/>
      <c r="B200" s="296">
        <f t="shared" si="28"/>
        <v>181</v>
      </c>
      <c r="C200" s="297">
        <f t="shared" si="30"/>
        <v>0</v>
      </c>
      <c r="D200" s="298">
        <f t="shared" si="29"/>
        <v>0</v>
      </c>
      <c r="E200" s="299">
        <f t="shared" si="31"/>
        <v>0</v>
      </c>
      <c r="F200" s="299">
        <f t="shared" si="24"/>
        <v>0</v>
      </c>
      <c r="G200" s="299">
        <f t="shared" si="26"/>
        <v>0</v>
      </c>
      <c r="H200" s="298">
        <f t="shared" si="27"/>
        <v>0</v>
      </c>
      <c r="I200" s="294"/>
      <c r="O200" s="295">
        <f t="shared" si="25"/>
        <v>181</v>
      </c>
    </row>
    <row r="201" spans="1:15">
      <c r="A201" s="286"/>
      <c r="B201" s="296">
        <f t="shared" si="28"/>
        <v>182</v>
      </c>
      <c r="C201" s="297">
        <f t="shared" si="30"/>
        <v>0</v>
      </c>
      <c r="D201" s="298">
        <f t="shared" si="29"/>
        <v>0</v>
      </c>
      <c r="E201" s="299">
        <f t="shared" si="31"/>
        <v>0</v>
      </c>
      <c r="F201" s="299">
        <f t="shared" si="24"/>
        <v>0</v>
      </c>
      <c r="G201" s="299">
        <f t="shared" si="26"/>
        <v>0</v>
      </c>
      <c r="H201" s="298">
        <f t="shared" si="27"/>
        <v>0</v>
      </c>
      <c r="I201" s="294"/>
      <c r="O201" s="295">
        <f t="shared" si="25"/>
        <v>182</v>
      </c>
    </row>
    <row r="202" spans="1:15">
      <c r="A202" s="286"/>
      <c r="B202" s="296">
        <f t="shared" si="28"/>
        <v>183</v>
      </c>
      <c r="C202" s="297">
        <f t="shared" si="30"/>
        <v>0</v>
      </c>
      <c r="D202" s="298">
        <f t="shared" si="29"/>
        <v>0</v>
      </c>
      <c r="E202" s="299">
        <f t="shared" si="31"/>
        <v>0</v>
      </c>
      <c r="F202" s="299">
        <f t="shared" si="24"/>
        <v>0</v>
      </c>
      <c r="G202" s="299">
        <f t="shared" si="26"/>
        <v>0</v>
      </c>
      <c r="H202" s="298">
        <f t="shared" si="27"/>
        <v>0</v>
      </c>
      <c r="I202" s="294"/>
      <c r="O202" s="295">
        <f t="shared" si="25"/>
        <v>183</v>
      </c>
    </row>
    <row r="203" spans="1:15">
      <c r="A203" s="286"/>
      <c r="B203" s="296">
        <f t="shared" si="28"/>
        <v>184</v>
      </c>
      <c r="C203" s="297">
        <f t="shared" si="30"/>
        <v>0</v>
      </c>
      <c r="D203" s="298">
        <f t="shared" si="29"/>
        <v>0</v>
      </c>
      <c r="E203" s="299">
        <f t="shared" si="31"/>
        <v>0</v>
      </c>
      <c r="F203" s="299">
        <f t="shared" si="24"/>
        <v>0</v>
      </c>
      <c r="G203" s="299">
        <f t="shared" si="26"/>
        <v>0</v>
      </c>
      <c r="H203" s="298">
        <f t="shared" si="27"/>
        <v>0</v>
      </c>
      <c r="I203" s="294"/>
      <c r="O203" s="295">
        <f t="shared" si="25"/>
        <v>184</v>
      </c>
    </row>
    <row r="204" spans="1:15">
      <c r="A204" s="286"/>
      <c r="B204" s="296">
        <f t="shared" si="28"/>
        <v>185</v>
      </c>
      <c r="C204" s="297">
        <f t="shared" si="30"/>
        <v>0</v>
      </c>
      <c r="D204" s="298">
        <f t="shared" si="29"/>
        <v>0</v>
      </c>
      <c r="E204" s="299">
        <f t="shared" si="31"/>
        <v>0</v>
      </c>
      <c r="F204" s="299">
        <f t="shared" si="24"/>
        <v>0</v>
      </c>
      <c r="G204" s="299">
        <f t="shared" si="26"/>
        <v>0</v>
      </c>
      <c r="H204" s="298">
        <f t="shared" si="27"/>
        <v>0</v>
      </c>
      <c r="I204" s="294"/>
      <c r="O204" s="295">
        <f t="shared" si="25"/>
        <v>185</v>
      </c>
    </row>
    <row r="205" spans="1:15">
      <c r="A205" s="286"/>
      <c r="B205" s="296">
        <f t="shared" si="28"/>
        <v>186</v>
      </c>
      <c r="C205" s="297">
        <f t="shared" si="30"/>
        <v>0</v>
      </c>
      <c r="D205" s="298">
        <f t="shared" si="29"/>
        <v>0</v>
      </c>
      <c r="E205" s="299">
        <f t="shared" si="31"/>
        <v>0</v>
      </c>
      <c r="F205" s="299">
        <f t="shared" si="24"/>
        <v>0</v>
      </c>
      <c r="G205" s="299">
        <f t="shared" si="26"/>
        <v>0</v>
      </c>
      <c r="H205" s="298">
        <f t="shared" si="27"/>
        <v>0</v>
      </c>
      <c r="I205" s="294"/>
      <c r="O205" s="295">
        <f t="shared" si="25"/>
        <v>186</v>
      </c>
    </row>
    <row r="206" spans="1:15">
      <c r="A206" s="286"/>
      <c r="B206" s="296">
        <f t="shared" si="28"/>
        <v>187</v>
      </c>
      <c r="C206" s="297">
        <f t="shared" si="30"/>
        <v>0</v>
      </c>
      <c r="D206" s="298">
        <f t="shared" si="29"/>
        <v>0</v>
      </c>
      <c r="E206" s="299">
        <f t="shared" si="31"/>
        <v>0</v>
      </c>
      <c r="F206" s="299">
        <f t="shared" si="24"/>
        <v>0</v>
      </c>
      <c r="G206" s="299">
        <f t="shared" si="26"/>
        <v>0</v>
      </c>
      <c r="H206" s="298">
        <f t="shared" si="27"/>
        <v>0</v>
      </c>
      <c r="I206" s="294"/>
      <c r="O206" s="295">
        <f t="shared" si="25"/>
        <v>187</v>
      </c>
    </row>
    <row r="207" spans="1:15">
      <c r="A207" s="286"/>
      <c r="B207" s="296">
        <f t="shared" si="28"/>
        <v>188</v>
      </c>
      <c r="C207" s="297">
        <f t="shared" si="30"/>
        <v>0</v>
      </c>
      <c r="D207" s="298">
        <f t="shared" si="29"/>
        <v>0</v>
      </c>
      <c r="E207" s="299">
        <f t="shared" si="31"/>
        <v>0</v>
      </c>
      <c r="F207" s="299">
        <f t="shared" si="24"/>
        <v>0</v>
      </c>
      <c r="G207" s="299">
        <f t="shared" si="26"/>
        <v>0</v>
      </c>
      <c r="H207" s="298">
        <f t="shared" si="27"/>
        <v>0</v>
      </c>
      <c r="I207" s="294"/>
      <c r="O207" s="295">
        <f t="shared" si="25"/>
        <v>188</v>
      </c>
    </row>
    <row r="208" spans="1:15">
      <c r="A208" s="286"/>
      <c r="B208" s="296">
        <f t="shared" si="28"/>
        <v>189</v>
      </c>
      <c r="C208" s="297">
        <f t="shared" si="30"/>
        <v>0</v>
      </c>
      <c r="D208" s="298">
        <f t="shared" si="29"/>
        <v>0</v>
      </c>
      <c r="E208" s="299">
        <f t="shared" si="31"/>
        <v>0</v>
      </c>
      <c r="F208" s="299">
        <f t="shared" si="24"/>
        <v>0</v>
      </c>
      <c r="G208" s="299">
        <f t="shared" si="26"/>
        <v>0</v>
      </c>
      <c r="H208" s="298">
        <f t="shared" si="27"/>
        <v>0</v>
      </c>
      <c r="I208" s="294"/>
      <c r="O208" s="295">
        <f t="shared" si="25"/>
        <v>189</v>
      </c>
    </row>
    <row r="209" spans="1:15">
      <c r="A209" s="286"/>
      <c r="B209" s="296">
        <f t="shared" si="28"/>
        <v>190</v>
      </c>
      <c r="C209" s="297">
        <f t="shared" si="30"/>
        <v>0</v>
      </c>
      <c r="D209" s="298">
        <f t="shared" si="29"/>
        <v>0</v>
      </c>
      <c r="E209" s="299">
        <f t="shared" si="31"/>
        <v>0</v>
      </c>
      <c r="F209" s="299">
        <f t="shared" si="24"/>
        <v>0</v>
      </c>
      <c r="G209" s="299">
        <f t="shared" si="26"/>
        <v>0</v>
      </c>
      <c r="H209" s="298">
        <f t="shared" si="27"/>
        <v>0</v>
      </c>
      <c r="I209" s="294"/>
      <c r="O209" s="295">
        <f t="shared" si="25"/>
        <v>190</v>
      </c>
    </row>
    <row r="210" spans="1:15">
      <c r="A210" s="286"/>
      <c r="B210" s="296">
        <f t="shared" si="28"/>
        <v>191</v>
      </c>
      <c r="C210" s="297">
        <f t="shared" si="30"/>
        <v>0</v>
      </c>
      <c r="D210" s="298">
        <f t="shared" si="29"/>
        <v>0</v>
      </c>
      <c r="E210" s="299">
        <f t="shared" si="31"/>
        <v>0</v>
      </c>
      <c r="F210" s="299">
        <f t="shared" si="24"/>
        <v>0</v>
      </c>
      <c r="G210" s="299">
        <f t="shared" si="26"/>
        <v>0</v>
      </c>
      <c r="H210" s="298">
        <f t="shared" si="27"/>
        <v>0</v>
      </c>
      <c r="I210" s="294"/>
      <c r="O210" s="295">
        <f t="shared" si="25"/>
        <v>191</v>
      </c>
    </row>
    <row r="211" spans="1:15">
      <c r="A211" s="286"/>
      <c r="B211" s="300">
        <f t="shared" si="28"/>
        <v>192</v>
      </c>
      <c r="C211" s="301">
        <f t="shared" si="30"/>
        <v>0</v>
      </c>
      <c r="D211" s="302">
        <f t="shared" si="29"/>
        <v>0</v>
      </c>
      <c r="E211" s="303">
        <f t="shared" si="31"/>
        <v>0</v>
      </c>
      <c r="F211" s="303">
        <f t="shared" si="24"/>
        <v>0</v>
      </c>
      <c r="G211" s="303">
        <f t="shared" si="26"/>
        <v>0</v>
      </c>
      <c r="H211" s="302">
        <f t="shared" si="27"/>
        <v>0</v>
      </c>
      <c r="I211" s="304" t="e">
        <f>H211/$D$5</f>
        <v>#VALUE!</v>
      </c>
      <c r="J211" s="305"/>
      <c r="K211" s="305"/>
      <c r="L211" s="305"/>
      <c r="M211" s="305"/>
      <c r="N211" s="305"/>
      <c r="O211" s="306">
        <f t="shared" si="25"/>
        <v>192</v>
      </c>
    </row>
    <row r="212" spans="1:15">
      <c r="A212" s="286"/>
      <c r="B212" s="296">
        <f t="shared" si="28"/>
        <v>193</v>
      </c>
      <c r="C212" s="297">
        <f t="shared" si="30"/>
        <v>0</v>
      </c>
      <c r="D212" s="298">
        <f t="shared" si="29"/>
        <v>0</v>
      </c>
      <c r="E212" s="299">
        <f t="shared" si="31"/>
        <v>0</v>
      </c>
      <c r="F212" s="299">
        <f t="shared" ref="F212:F271" si="32">E212-G212</f>
        <v>0</v>
      </c>
      <c r="G212" s="299">
        <f t="shared" si="26"/>
        <v>0</v>
      </c>
      <c r="H212" s="298">
        <f t="shared" si="27"/>
        <v>0</v>
      </c>
      <c r="I212" s="294"/>
      <c r="O212" s="295">
        <f t="shared" ref="O212:O275" si="33">IF(H212=0,B212,"n.a.")</f>
        <v>193</v>
      </c>
    </row>
    <row r="213" spans="1:15">
      <c r="A213" s="286"/>
      <c r="B213" s="296">
        <f t="shared" si="28"/>
        <v>194</v>
      </c>
      <c r="C213" s="297">
        <f t="shared" si="30"/>
        <v>0</v>
      </c>
      <c r="D213" s="298">
        <f t="shared" si="29"/>
        <v>0</v>
      </c>
      <c r="E213" s="299">
        <f t="shared" si="31"/>
        <v>0</v>
      </c>
      <c r="F213" s="299">
        <f t="shared" si="32"/>
        <v>0</v>
      </c>
      <c r="G213" s="299">
        <f t="shared" ref="G213:G276" si="34">C213*(D213/365)*30</f>
        <v>0</v>
      </c>
      <c r="H213" s="298">
        <f t="shared" ref="H213:H276" si="35">IF((D213+G213-E213)&lt;0,0,D213+G213-E213)</f>
        <v>0</v>
      </c>
      <c r="I213" s="294"/>
      <c r="O213" s="295">
        <f t="shared" si="33"/>
        <v>194</v>
      </c>
    </row>
    <row r="214" spans="1:15">
      <c r="A214" s="286"/>
      <c r="B214" s="296">
        <f t="shared" ref="B214:B277" si="36">B213+1</f>
        <v>195</v>
      </c>
      <c r="C214" s="297">
        <f t="shared" si="30"/>
        <v>0</v>
      </c>
      <c r="D214" s="298">
        <f t="shared" ref="D214:D277" si="37">H213</f>
        <v>0</v>
      </c>
      <c r="E214" s="299">
        <f t="shared" si="31"/>
        <v>0</v>
      </c>
      <c r="F214" s="299">
        <f t="shared" si="32"/>
        <v>0</v>
      </c>
      <c r="G214" s="299">
        <f t="shared" si="34"/>
        <v>0</v>
      </c>
      <c r="H214" s="298">
        <f t="shared" si="35"/>
        <v>0</v>
      </c>
      <c r="I214" s="294"/>
      <c r="O214" s="295">
        <f t="shared" si="33"/>
        <v>195</v>
      </c>
    </row>
    <row r="215" spans="1:15">
      <c r="A215" s="286"/>
      <c r="B215" s="296">
        <f t="shared" si="36"/>
        <v>196</v>
      </c>
      <c r="C215" s="297">
        <f t="shared" si="30"/>
        <v>0</v>
      </c>
      <c r="D215" s="298">
        <f t="shared" si="37"/>
        <v>0</v>
      </c>
      <c r="E215" s="299">
        <f t="shared" si="31"/>
        <v>0</v>
      </c>
      <c r="F215" s="299">
        <f t="shared" si="32"/>
        <v>0</v>
      </c>
      <c r="G215" s="299">
        <f t="shared" si="34"/>
        <v>0</v>
      </c>
      <c r="H215" s="298">
        <f t="shared" si="35"/>
        <v>0</v>
      </c>
      <c r="I215" s="294"/>
      <c r="O215" s="295">
        <f t="shared" si="33"/>
        <v>196</v>
      </c>
    </row>
    <row r="216" spans="1:15">
      <c r="A216" s="286"/>
      <c r="B216" s="296">
        <f t="shared" si="36"/>
        <v>197</v>
      </c>
      <c r="C216" s="297">
        <f t="shared" si="30"/>
        <v>0</v>
      </c>
      <c r="D216" s="298">
        <f t="shared" si="37"/>
        <v>0</v>
      </c>
      <c r="E216" s="299">
        <f t="shared" si="31"/>
        <v>0</v>
      </c>
      <c r="F216" s="299">
        <f t="shared" si="32"/>
        <v>0</v>
      </c>
      <c r="G216" s="299">
        <f t="shared" si="34"/>
        <v>0</v>
      </c>
      <c r="H216" s="298">
        <f t="shared" si="35"/>
        <v>0</v>
      </c>
      <c r="I216" s="294"/>
      <c r="O216" s="295">
        <f t="shared" si="33"/>
        <v>197</v>
      </c>
    </row>
    <row r="217" spans="1:15">
      <c r="A217" s="286"/>
      <c r="B217" s="296">
        <f t="shared" si="36"/>
        <v>198</v>
      </c>
      <c r="C217" s="297">
        <f t="shared" si="30"/>
        <v>0</v>
      </c>
      <c r="D217" s="298">
        <f t="shared" si="37"/>
        <v>0</v>
      </c>
      <c r="E217" s="299">
        <f t="shared" si="31"/>
        <v>0</v>
      </c>
      <c r="F217" s="299">
        <f t="shared" si="32"/>
        <v>0</v>
      </c>
      <c r="G217" s="299">
        <f t="shared" si="34"/>
        <v>0</v>
      </c>
      <c r="H217" s="298">
        <f t="shared" si="35"/>
        <v>0</v>
      </c>
      <c r="I217" s="294"/>
      <c r="O217" s="295">
        <f t="shared" si="33"/>
        <v>198</v>
      </c>
    </row>
    <row r="218" spans="1:15">
      <c r="A218" s="286"/>
      <c r="B218" s="296">
        <f t="shared" si="36"/>
        <v>199</v>
      </c>
      <c r="C218" s="297">
        <f t="shared" si="30"/>
        <v>0</v>
      </c>
      <c r="D218" s="298">
        <f t="shared" si="37"/>
        <v>0</v>
      </c>
      <c r="E218" s="299">
        <f t="shared" si="31"/>
        <v>0</v>
      </c>
      <c r="F218" s="299">
        <f t="shared" si="32"/>
        <v>0</v>
      </c>
      <c r="G218" s="299">
        <f t="shared" si="34"/>
        <v>0</v>
      </c>
      <c r="H218" s="298">
        <f t="shared" si="35"/>
        <v>0</v>
      </c>
      <c r="I218" s="294"/>
      <c r="O218" s="295">
        <f t="shared" si="33"/>
        <v>199</v>
      </c>
    </row>
    <row r="219" spans="1:15">
      <c r="A219" s="286"/>
      <c r="B219" s="296">
        <f t="shared" si="36"/>
        <v>200</v>
      </c>
      <c r="C219" s="297">
        <f t="shared" si="30"/>
        <v>0</v>
      </c>
      <c r="D219" s="298">
        <f t="shared" si="37"/>
        <v>0</v>
      </c>
      <c r="E219" s="299">
        <f t="shared" si="31"/>
        <v>0</v>
      </c>
      <c r="F219" s="299">
        <f t="shared" si="32"/>
        <v>0</v>
      </c>
      <c r="G219" s="299">
        <f t="shared" si="34"/>
        <v>0</v>
      </c>
      <c r="H219" s="298">
        <f t="shared" si="35"/>
        <v>0</v>
      </c>
      <c r="I219" s="294"/>
      <c r="O219" s="295">
        <f t="shared" si="33"/>
        <v>200</v>
      </c>
    </row>
    <row r="220" spans="1:15">
      <c r="A220" s="286"/>
      <c r="B220" s="296">
        <f t="shared" si="36"/>
        <v>201</v>
      </c>
      <c r="C220" s="297">
        <f t="shared" si="30"/>
        <v>0</v>
      </c>
      <c r="D220" s="298">
        <f t="shared" si="37"/>
        <v>0</v>
      </c>
      <c r="E220" s="299">
        <f t="shared" si="31"/>
        <v>0</v>
      </c>
      <c r="F220" s="299">
        <f t="shared" si="32"/>
        <v>0</v>
      </c>
      <c r="G220" s="299">
        <f t="shared" si="34"/>
        <v>0</v>
      </c>
      <c r="H220" s="298">
        <f t="shared" si="35"/>
        <v>0</v>
      </c>
      <c r="I220" s="294"/>
      <c r="O220" s="295">
        <f t="shared" si="33"/>
        <v>201</v>
      </c>
    </row>
    <row r="221" spans="1:15">
      <c r="A221" s="286"/>
      <c r="B221" s="296">
        <f t="shared" si="36"/>
        <v>202</v>
      </c>
      <c r="C221" s="297">
        <f t="shared" si="30"/>
        <v>0</v>
      </c>
      <c r="D221" s="298">
        <f t="shared" si="37"/>
        <v>0</v>
      </c>
      <c r="E221" s="299">
        <f t="shared" si="31"/>
        <v>0</v>
      </c>
      <c r="F221" s="299">
        <f t="shared" si="32"/>
        <v>0</v>
      </c>
      <c r="G221" s="299">
        <f t="shared" si="34"/>
        <v>0</v>
      </c>
      <c r="H221" s="298">
        <f t="shared" si="35"/>
        <v>0</v>
      </c>
      <c r="I221" s="294"/>
      <c r="O221" s="295">
        <f t="shared" si="33"/>
        <v>202</v>
      </c>
    </row>
    <row r="222" spans="1:15">
      <c r="A222" s="286"/>
      <c r="B222" s="296">
        <f t="shared" si="36"/>
        <v>203</v>
      </c>
      <c r="C222" s="297">
        <f t="shared" si="30"/>
        <v>0</v>
      </c>
      <c r="D222" s="298">
        <f t="shared" si="37"/>
        <v>0</v>
      </c>
      <c r="E222" s="299">
        <f t="shared" si="31"/>
        <v>0</v>
      </c>
      <c r="F222" s="299">
        <f t="shared" si="32"/>
        <v>0</v>
      </c>
      <c r="G222" s="299">
        <f t="shared" si="34"/>
        <v>0</v>
      </c>
      <c r="H222" s="298">
        <f t="shared" si="35"/>
        <v>0</v>
      </c>
      <c r="I222" s="294"/>
      <c r="O222" s="295">
        <f t="shared" si="33"/>
        <v>203</v>
      </c>
    </row>
    <row r="223" spans="1:15">
      <c r="A223" s="286"/>
      <c r="B223" s="300">
        <f t="shared" si="36"/>
        <v>204</v>
      </c>
      <c r="C223" s="301">
        <f t="shared" si="30"/>
        <v>0</v>
      </c>
      <c r="D223" s="302">
        <f t="shared" si="37"/>
        <v>0</v>
      </c>
      <c r="E223" s="303">
        <f t="shared" si="31"/>
        <v>0</v>
      </c>
      <c r="F223" s="303">
        <f t="shared" si="32"/>
        <v>0</v>
      </c>
      <c r="G223" s="303">
        <f t="shared" si="34"/>
        <v>0</v>
      </c>
      <c r="H223" s="302">
        <f t="shared" si="35"/>
        <v>0</v>
      </c>
      <c r="I223" s="304" t="e">
        <f>H223/$D$5</f>
        <v>#VALUE!</v>
      </c>
      <c r="J223" s="305"/>
      <c r="K223" s="305"/>
      <c r="L223" s="305"/>
      <c r="M223" s="305"/>
      <c r="N223" s="305"/>
      <c r="O223" s="306">
        <f t="shared" si="33"/>
        <v>204</v>
      </c>
    </row>
    <row r="224" spans="1:15">
      <c r="A224" s="286"/>
      <c r="B224" s="296">
        <f t="shared" si="36"/>
        <v>205</v>
      </c>
      <c r="C224" s="297">
        <f t="shared" si="30"/>
        <v>0</v>
      </c>
      <c r="D224" s="298">
        <f t="shared" si="37"/>
        <v>0</v>
      </c>
      <c r="E224" s="299">
        <f t="shared" si="31"/>
        <v>0</v>
      </c>
      <c r="F224" s="299">
        <f t="shared" si="32"/>
        <v>0</v>
      </c>
      <c r="G224" s="299">
        <f t="shared" si="34"/>
        <v>0</v>
      </c>
      <c r="H224" s="298">
        <f t="shared" si="35"/>
        <v>0</v>
      </c>
      <c r="I224" s="294"/>
      <c r="O224" s="295">
        <f t="shared" si="33"/>
        <v>205</v>
      </c>
    </row>
    <row r="225" spans="1:15">
      <c r="A225" s="286"/>
      <c r="B225" s="296">
        <f t="shared" si="36"/>
        <v>206</v>
      </c>
      <c r="C225" s="297">
        <f t="shared" si="30"/>
        <v>0</v>
      </c>
      <c r="D225" s="298">
        <f t="shared" si="37"/>
        <v>0</v>
      </c>
      <c r="E225" s="299">
        <f t="shared" si="31"/>
        <v>0</v>
      </c>
      <c r="F225" s="299">
        <f t="shared" si="32"/>
        <v>0</v>
      </c>
      <c r="G225" s="299">
        <f t="shared" si="34"/>
        <v>0</v>
      </c>
      <c r="H225" s="298">
        <f t="shared" si="35"/>
        <v>0</v>
      </c>
      <c r="I225" s="294"/>
      <c r="O225" s="295">
        <f t="shared" si="33"/>
        <v>206</v>
      </c>
    </row>
    <row r="226" spans="1:15">
      <c r="A226" s="286"/>
      <c r="B226" s="296">
        <f t="shared" si="36"/>
        <v>207</v>
      </c>
      <c r="C226" s="297">
        <f t="shared" si="30"/>
        <v>0</v>
      </c>
      <c r="D226" s="298">
        <f t="shared" si="37"/>
        <v>0</v>
      </c>
      <c r="E226" s="299">
        <f t="shared" si="31"/>
        <v>0</v>
      </c>
      <c r="F226" s="299">
        <f t="shared" si="32"/>
        <v>0</v>
      </c>
      <c r="G226" s="299">
        <f t="shared" si="34"/>
        <v>0</v>
      </c>
      <c r="H226" s="298">
        <f t="shared" si="35"/>
        <v>0</v>
      </c>
      <c r="I226" s="294"/>
      <c r="O226" s="295">
        <f t="shared" si="33"/>
        <v>207</v>
      </c>
    </row>
    <row r="227" spans="1:15">
      <c r="A227" s="286"/>
      <c r="B227" s="296">
        <f t="shared" si="36"/>
        <v>208</v>
      </c>
      <c r="C227" s="297">
        <f t="shared" si="30"/>
        <v>0</v>
      </c>
      <c r="D227" s="298">
        <f t="shared" si="37"/>
        <v>0</v>
      </c>
      <c r="E227" s="299">
        <f t="shared" si="31"/>
        <v>0</v>
      </c>
      <c r="F227" s="299">
        <f t="shared" si="32"/>
        <v>0</v>
      </c>
      <c r="G227" s="299">
        <f t="shared" si="34"/>
        <v>0</v>
      </c>
      <c r="H227" s="298">
        <f t="shared" si="35"/>
        <v>0</v>
      </c>
      <c r="I227" s="294"/>
      <c r="O227" s="295">
        <f t="shared" si="33"/>
        <v>208</v>
      </c>
    </row>
    <row r="228" spans="1:15">
      <c r="A228" s="286"/>
      <c r="B228" s="296">
        <f t="shared" si="36"/>
        <v>209</v>
      </c>
      <c r="C228" s="297">
        <f t="shared" si="30"/>
        <v>0</v>
      </c>
      <c r="D228" s="298">
        <f t="shared" si="37"/>
        <v>0</v>
      </c>
      <c r="E228" s="299">
        <f t="shared" si="31"/>
        <v>0</v>
      </c>
      <c r="F228" s="299">
        <f t="shared" si="32"/>
        <v>0</v>
      </c>
      <c r="G228" s="299">
        <f t="shared" si="34"/>
        <v>0</v>
      </c>
      <c r="H228" s="298">
        <f t="shared" si="35"/>
        <v>0</v>
      </c>
      <c r="I228" s="294"/>
      <c r="O228" s="295">
        <f t="shared" si="33"/>
        <v>209</v>
      </c>
    </row>
    <row r="229" spans="1:15">
      <c r="A229" s="286"/>
      <c r="B229" s="296">
        <f t="shared" si="36"/>
        <v>210</v>
      </c>
      <c r="C229" s="297">
        <f t="shared" si="30"/>
        <v>0</v>
      </c>
      <c r="D229" s="298">
        <f t="shared" si="37"/>
        <v>0</v>
      </c>
      <c r="E229" s="299">
        <f t="shared" si="31"/>
        <v>0</v>
      </c>
      <c r="F229" s="299">
        <f t="shared" si="32"/>
        <v>0</v>
      </c>
      <c r="G229" s="299">
        <f t="shared" si="34"/>
        <v>0</v>
      </c>
      <c r="H229" s="298">
        <f t="shared" si="35"/>
        <v>0</v>
      </c>
      <c r="I229" s="294"/>
      <c r="O229" s="295">
        <f t="shared" si="33"/>
        <v>210</v>
      </c>
    </row>
    <row r="230" spans="1:15">
      <c r="A230" s="286"/>
      <c r="B230" s="296">
        <f t="shared" si="36"/>
        <v>211</v>
      </c>
      <c r="C230" s="297">
        <f t="shared" si="30"/>
        <v>0</v>
      </c>
      <c r="D230" s="298">
        <f t="shared" si="37"/>
        <v>0</v>
      </c>
      <c r="E230" s="299">
        <f t="shared" si="31"/>
        <v>0</v>
      </c>
      <c r="F230" s="299">
        <f t="shared" si="32"/>
        <v>0</v>
      </c>
      <c r="G230" s="299">
        <f t="shared" si="34"/>
        <v>0</v>
      </c>
      <c r="H230" s="298">
        <f t="shared" si="35"/>
        <v>0</v>
      </c>
      <c r="I230" s="294"/>
      <c r="O230" s="295">
        <f t="shared" si="33"/>
        <v>211</v>
      </c>
    </row>
    <row r="231" spans="1:15">
      <c r="A231" s="286"/>
      <c r="B231" s="296">
        <f t="shared" si="36"/>
        <v>212</v>
      </c>
      <c r="C231" s="297">
        <f t="shared" si="30"/>
        <v>0</v>
      </c>
      <c r="D231" s="298">
        <f t="shared" si="37"/>
        <v>0</v>
      </c>
      <c r="E231" s="299">
        <f t="shared" si="31"/>
        <v>0</v>
      </c>
      <c r="F231" s="299">
        <f t="shared" si="32"/>
        <v>0</v>
      </c>
      <c r="G231" s="299">
        <f t="shared" si="34"/>
        <v>0</v>
      </c>
      <c r="H231" s="298">
        <f t="shared" si="35"/>
        <v>0</v>
      </c>
      <c r="I231" s="294"/>
      <c r="O231" s="295">
        <f t="shared" si="33"/>
        <v>212</v>
      </c>
    </row>
    <row r="232" spans="1:15">
      <c r="A232" s="286"/>
      <c r="B232" s="296">
        <f t="shared" si="36"/>
        <v>213</v>
      </c>
      <c r="C232" s="297">
        <f t="shared" si="30"/>
        <v>0</v>
      </c>
      <c r="D232" s="298">
        <f t="shared" si="37"/>
        <v>0</v>
      </c>
      <c r="E232" s="299">
        <f t="shared" si="31"/>
        <v>0</v>
      </c>
      <c r="F232" s="299">
        <f t="shared" si="32"/>
        <v>0</v>
      </c>
      <c r="G232" s="299">
        <f t="shared" si="34"/>
        <v>0</v>
      </c>
      <c r="H232" s="298">
        <f t="shared" si="35"/>
        <v>0</v>
      </c>
      <c r="I232" s="294"/>
      <c r="O232" s="295">
        <f t="shared" si="33"/>
        <v>213</v>
      </c>
    </row>
    <row r="233" spans="1:15">
      <c r="A233" s="286"/>
      <c r="B233" s="296">
        <f t="shared" si="36"/>
        <v>214</v>
      </c>
      <c r="C233" s="297">
        <f t="shared" si="30"/>
        <v>0</v>
      </c>
      <c r="D233" s="298">
        <f t="shared" si="37"/>
        <v>0</v>
      </c>
      <c r="E233" s="299">
        <f t="shared" si="31"/>
        <v>0</v>
      </c>
      <c r="F233" s="299">
        <f t="shared" si="32"/>
        <v>0</v>
      </c>
      <c r="G233" s="299">
        <f t="shared" si="34"/>
        <v>0</v>
      </c>
      <c r="H233" s="298">
        <f t="shared" si="35"/>
        <v>0</v>
      </c>
      <c r="I233" s="294"/>
      <c r="O233" s="295">
        <f t="shared" si="33"/>
        <v>214</v>
      </c>
    </row>
    <row r="234" spans="1:15">
      <c r="A234" s="286"/>
      <c r="B234" s="296">
        <f t="shared" si="36"/>
        <v>215</v>
      </c>
      <c r="C234" s="297">
        <f t="shared" si="30"/>
        <v>0</v>
      </c>
      <c r="D234" s="298">
        <f t="shared" si="37"/>
        <v>0</v>
      </c>
      <c r="E234" s="299">
        <f t="shared" si="31"/>
        <v>0</v>
      </c>
      <c r="F234" s="299">
        <f t="shared" si="32"/>
        <v>0</v>
      </c>
      <c r="G234" s="299">
        <f t="shared" si="34"/>
        <v>0</v>
      </c>
      <c r="H234" s="298">
        <f t="shared" si="35"/>
        <v>0</v>
      </c>
      <c r="I234" s="294"/>
      <c r="O234" s="295">
        <f t="shared" si="33"/>
        <v>215</v>
      </c>
    </row>
    <row r="235" spans="1:15">
      <c r="A235" s="286"/>
      <c r="B235" s="300">
        <f t="shared" si="36"/>
        <v>216</v>
      </c>
      <c r="C235" s="301">
        <f t="shared" si="30"/>
        <v>0</v>
      </c>
      <c r="D235" s="302">
        <f t="shared" si="37"/>
        <v>0</v>
      </c>
      <c r="E235" s="303">
        <f t="shared" si="31"/>
        <v>0</v>
      </c>
      <c r="F235" s="303">
        <f t="shared" si="32"/>
        <v>0</v>
      </c>
      <c r="G235" s="303">
        <f t="shared" si="34"/>
        <v>0</v>
      </c>
      <c r="H235" s="302">
        <f t="shared" si="35"/>
        <v>0</v>
      </c>
      <c r="I235" s="304" t="e">
        <f>H235/$D$5</f>
        <v>#VALUE!</v>
      </c>
      <c r="J235" s="305"/>
      <c r="K235" s="305"/>
      <c r="L235" s="305"/>
      <c r="M235" s="305"/>
      <c r="N235" s="305"/>
      <c r="O235" s="306">
        <f t="shared" si="33"/>
        <v>216</v>
      </c>
    </row>
    <row r="236" spans="1:15">
      <c r="A236" s="286"/>
      <c r="B236" s="296">
        <f t="shared" si="36"/>
        <v>217</v>
      </c>
      <c r="C236" s="297">
        <f t="shared" si="30"/>
        <v>0</v>
      </c>
      <c r="D236" s="298">
        <f t="shared" si="37"/>
        <v>0</v>
      </c>
      <c r="E236" s="299">
        <f t="shared" si="31"/>
        <v>0</v>
      </c>
      <c r="F236" s="299">
        <f t="shared" si="32"/>
        <v>0</v>
      </c>
      <c r="G236" s="299">
        <f t="shared" si="34"/>
        <v>0</v>
      </c>
      <c r="H236" s="298">
        <f t="shared" si="35"/>
        <v>0</v>
      </c>
      <c r="I236" s="294"/>
      <c r="O236" s="295">
        <f t="shared" si="33"/>
        <v>217</v>
      </c>
    </row>
    <row r="237" spans="1:15">
      <c r="A237" s="286"/>
      <c r="B237" s="296">
        <f t="shared" si="36"/>
        <v>218</v>
      </c>
      <c r="C237" s="297">
        <f t="shared" si="30"/>
        <v>0</v>
      </c>
      <c r="D237" s="298">
        <f t="shared" si="37"/>
        <v>0</v>
      </c>
      <c r="E237" s="299">
        <f t="shared" si="31"/>
        <v>0</v>
      </c>
      <c r="F237" s="299">
        <f t="shared" si="32"/>
        <v>0</v>
      </c>
      <c r="G237" s="299">
        <f t="shared" si="34"/>
        <v>0</v>
      </c>
      <c r="H237" s="298">
        <f t="shared" si="35"/>
        <v>0</v>
      </c>
      <c r="I237" s="294"/>
      <c r="O237" s="295">
        <f t="shared" si="33"/>
        <v>218</v>
      </c>
    </row>
    <row r="238" spans="1:15">
      <c r="A238" s="286"/>
      <c r="B238" s="296">
        <f t="shared" si="36"/>
        <v>219</v>
      </c>
      <c r="C238" s="297">
        <f t="shared" si="30"/>
        <v>0</v>
      </c>
      <c r="D238" s="298">
        <f t="shared" si="37"/>
        <v>0</v>
      </c>
      <c r="E238" s="299">
        <f t="shared" si="31"/>
        <v>0</v>
      </c>
      <c r="F238" s="299">
        <f t="shared" si="32"/>
        <v>0</v>
      </c>
      <c r="G238" s="299">
        <f t="shared" si="34"/>
        <v>0</v>
      </c>
      <c r="H238" s="298">
        <f t="shared" si="35"/>
        <v>0</v>
      </c>
      <c r="I238" s="294"/>
      <c r="O238" s="295">
        <f t="shared" si="33"/>
        <v>219</v>
      </c>
    </row>
    <row r="239" spans="1:15">
      <c r="A239" s="286"/>
      <c r="B239" s="296">
        <f t="shared" si="36"/>
        <v>220</v>
      </c>
      <c r="C239" s="297">
        <f t="shared" si="30"/>
        <v>0</v>
      </c>
      <c r="D239" s="298">
        <f t="shared" si="37"/>
        <v>0</v>
      </c>
      <c r="E239" s="299">
        <f t="shared" si="31"/>
        <v>0</v>
      </c>
      <c r="F239" s="299">
        <f t="shared" si="32"/>
        <v>0</v>
      </c>
      <c r="G239" s="299">
        <f t="shared" si="34"/>
        <v>0</v>
      </c>
      <c r="H239" s="298">
        <f t="shared" si="35"/>
        <v>0</v>
      </c>
      <c r="I239" s="294"/>
      <c r="O239" s="295">
        <f t="shared" si="33"/>
        <v>220</v>
      </c>
    </row>
    <row r="240" spans="1:15">
      <c r="A240" s="286"/>
      <c r="B240" s="296">
        <f t="shared" si="36"/>
        <v>221</v>
      </c>
      <c r="C240" s="297">
        <f t="shared" si="30"/>
        <v>0</v>
      </c>
      <c r="D240" s="298">
        <f t="shared" si="37"/>
        <v>0</v>
      </c>
      <c r="E240" s="299">
        <f t="shared" si="31"/>
        <v>0</v>
      </c>
      <c r="F240" s="299">
        <f t="shared" si="32"/>
        <v>0</v>
      </c>
      <c r="G240" s="299">
        <f t="shared" si="34"/>
        <v>0</v>
      </c>
      <c r="H240" s="298">
        <f t="shared" si="35"/>
        <v>0</v>
      </c>
      <c r="I240" s="294"/>
      <c r="O240" s="295">
        <f t="shared" si="33"/>
        <v>221</v>
      </c>
    </row>
    <row r="241" spans="1:15">
      <c r="A241" s="286"/>
      <c r="B241" s="296">
        <f t="shared" si="36"/>
        <v>222</v>
      </c>
      <c r="C241" s="297">
        <f t="shared" si="30"/>
        <v>0</v>
      </c>
      <c r="D241" s="298">
        <f t="shared" si="37"/>
        <v>0</v>
      </c>
      <c r="E241" s="299">
        <f t="shared" si="31"/>
        <v>0</v>
      </c>
      <c r="F241" s="299">
        <f t="shared" si="32"/>
        <v>0</v>
      </c>
      <c r="G241" s="299">
        <f t="shared" si="34"/>
        <v>0</v>
      </c>
      <c r="H241" s="298">
        <f t="shared" si="35"/>
        <v>0</v>
      </c>
      <c r="I241" s="294"/>
      <c r="O241" s="295">
        <f t="shared" si="33"/>
        <v>222</v>
      </c>
    </row>
    <row r="242" spans="1:15">
      <c r="A242" s="286"/>
      <c r="B242" s="296">
        <f t="shared" si="36"/>
        <v>223</v>
      </c>
      <c r="C242" s="297">
        <f t="shared" si="30"/>
        <v>0</v>
      </c>
      <c r="D242" s="298">
        <f t="shared" si="37"/>
        <v>0</v>
      </c>
      <c r="E242" s="299">
        <f t="shared" si="31"/>
        <v>0</v>
      </c>
      <c r="F242" s="299">
        <f t="shared" si="32"/>
        <v>0</v>
      </c>
      <c r="G242" s="299">
        <f t="shared" si="34"/>
        <v>0</v>
      </c>
      <c r="H242" s="298">
        <f t="shared" si="35"/>
        <v>0</v>
      </c>
      <c r="I242" s="294"/>
      <c r="O242" s="295">
        <f t="shared" si="33"/>
        <v>223</v>
      </c>
    </row>
    <row r="243" spans="1:15">
      <c r="A243" s="286"/>
      <c r="B243" s="296">
        <f t="shared" si="36"/>
        <v>224</v>
      </c>
      <c r="C243" s="297">
        <f t="shared" si="30"/>
        <v>0</v>
      </c>
      <c r="D243" s="298">
        <f t="shared" si="37"/>
        <v>0</v>
      </c>
      <c r="E243" s="299">
        <f t="shared" si="31"/>
        <v>0</v>
      </c>
      <c r="F243" s="299">
        <f t="shared" si="32"/>
        <v>0</v>
      </c>
      <c r="G243" s="299">
        <f t="shared" si="34"/>
        <v>0</v>
      </c>
      <c r="H243" s="298">
        <f t="shared" si="35"/>
        <v>0</v>
      </c>
      <c r="I243" s="294"/>
      <c r="O243" s="295">
        <f t="shared" si="33"/>
        <v>224</v>
      </c>
    </row>
    <row r="244" spans="1:15">
      <c r="A244" s="286"/>
      <c r="B244" s="296">
        <f t="shared" si="36"/>
        <v>225</v>
      </c>
      <c r="C244" s="297">
        <f t="shared" si="30"/>
        <v>0</v>
      </c>
      <c r="D244" s="298">
        <f t="shared" si="37"/>
        <v>0</v>
      </c>
      <c r="E244" s="299">
        <f t="shared" si="31"/>
        <v>0</v>
      </c>
      <c r="F244" s="299">
        <f t="shared" si="32"/>
        <v>0</v>
      </c>
      <c r="G244" s="299">
        <f t="shared" si="34"/>
        <v>0</v>
      </c>
      <c r="H244" s="298">
        <f t="shared" si="35"/>
        <v>0</v>
      </c>
      <c r="I244" s="294"/>
      <c r="O244" s="295">
        <f t="shared" si="33"/>
        <v>225</v>
      </c>
    </row>
    <row r="245" spans="1:15">
      <c r="A245" s="286"/>
      <c r="B245" s="296">
        <f t="shared" si="36"/>
        <v>226</v>
      </c>
      <c r="C245" s="297">
        <f t="shared" si="30"/>
        <v>0</v>
      </c>
      <c r="D245" s="298">
        <f t="shared" si="37"/>
        <v>0</v>
      </c>
      <c r="E245" s="299">
        <f t="shared" si="31"/>
        <v>0</v>
      </c>
      <c r="F245" s="299">
        <f t="shared" si="32"/>
        <v>0</v>
      </c>
      <c r="G245" s="299">
        <f t="shared" si="34"/>
        <v>0</v>
      </c>
      <c r="H245" s="298">
        <f t="shared" si="35"/>
        <v>0</v>
      </c>
      <c r="I245" s="294"/>
      <c r="O245" s="295">
        <f t="shared" si="33"/>
        <v>226</v>
      </c>
    </row>
    <row r="246" spans="1:15">
      <c r="A246" s="286"/>
      <c r="B246" s="296">
        <f t="shared" si="36"/>
        <v>227</v>
      </c>
      <c r="C246" s="297">
        <f t="shared" si="30"/>
        <v>0</v>
      </c>
      <c r="D246" s="298">
        <f t="shared" si="37"/>
        <v>0</v>
      </c>
      <c r="E246" s="299">
        <f t="shared" si="31"/>
        <v>0</v>
      </c>
      <c r="F246" s="299">
        <f t="shared" si="32"/>
        <v>0</v>
      </c>
      <c r="G246" s="299">
        <f t="shared" si="34"/>
        <v>0</v>
      </c>
      <c r="H246" s="298">
        <f t="shared" si="35"/>
        <v>0</v>
      </c>
      <c r="I246" s="294"/>
      <c r="O246" s="295">
        <f t="shared" si="33"/>
        <v>227</v>
      </c>
    </row>
    <row r="247" spans="1:15">
      <c r="A247" s="286"/>
      <c r="B247" s="300">
        <f t="shared" si="36"/>
        <v>228</v>
      </c>
      <c r="C247" s="301">
        <f t="shared" si="30"/>
        <v>0</v>
      </c>
      <c r="D247" s="302">
        <f t="shared" si="37"/>
        <v>0</v>
      </c>
      <c r="E247" s="303">
        <f t="shared" si="31"/>
        <v>0</v>
      </c>
      <c r="F247" s="303">
        <f t="shared" si="32"/>
        <v>0</v>
      </c>
      <c r="G247" s="303">
        <f t="shared" si="34"/>
        <v>0</v>
      </c>
      <c r="H247" s="302">
        <f t="shared" si="35"/>
        <v>0</v>
      </c>
      <c r="I247" s="304" t="e">
        <f>H247/$D$5</f>
        <v>#VALUE!</v>
      </c>
      <c r="J247" s="305"/>
      <c r="K247" s="305"/>
      <c r="L247" s="305"/>
      <c r="M247" s="305"/>
      <c r="N247" s="305"/>
      <c r="O247" s="306">
        <f t="shared" si="33"/>
        <v>228</v>
      </c>
    </row>
    <row r="248" spans="1:15">
      <c r="A248" s="286"/>
      <c r="B248" s="296">
        <f t="shared" si="36"/>
        <v>229</v>
      </c>
      <c r="C248" s="297">
        <f t="shared" ref="C248:C311" si="38">IF(D248&gt;0,$F$7,0)</f>
        <v>0</v>
      </c>
      <c r="D248" s="298">
        <f t="shared" si="37"/>
        <v>0</v>
      </c>
      <c r="E248" s="299">
        <f t="shared" si="31"/>
        <v>0</v>
      </c>
      <c r="F248" s="299">
        <f t="shared" si="32"/>
        <v>0</v>
      </c>
      <c r="G248" s="299">
        <f t="shared" si="34"/>
        <v>0</v>
      </c>
      <c r="H248" s="298">
        <f t="shared" si="35"/>
        <v>0</v>
      </c>
      <c r="I248" s="294"/>
      <c r="O248" s="295">
        <f t="shared" si="33"/>
        <v>229</v>
      </c>
    </row>
    <row r="249" spans="1:15">
      <c r="A249" s="286"/>
      <c r="B249" s="296">
        <f t="shared" si="36"/>
        <v>230</v>
      </c>
      <c r="C249" s="297">
        <f t="shared" si="38"/>
        <v>0</v>
      </c>
      <c r="D249" s="298">
        <f t="shared" si="37"/>
        <v>0</v>
      </c>
      <c r="E249" s="299">
        <f t="shared" si="31"/>
        <v>0</v>
      </c>
      <c r="F249" s="299">
        <f t="shared" si="32"/>
        <v>0</v>
      </c>
      <c r="G249" s="299">
        <f t="shared" si="34"/>
        <v>0</v>
      </c>
      <c r="H249" s="298">
        <f t="shared" si="35"/>
        <v>0</v>
      </c>
      <c r="I249" s="294"/>
      <c r="O249" s="295">
        <f t="shared" si="33"/>
        <v>230</v>
      </c>
    </row>
    <row r="250" spans="1:15">
      <c r="A250" s="286"/>
      <c r="B250" s="296">
        <f t="shared" si="36"/>
        <v>231</v>
      </c>
      <c r="C250" s="297">
        <f t="shared" si="38"/>
        <v>0</v>
      </c>
      <c r="D250" s="298">
        <f t="shared" si="37"/>
        <v>0</v>
      </c>
      <c r="E250" s="299">
        <f t="shared" si="31"/>
        <v>0</v>
      </c>
      <c r="F250" s="299">
        <f t="shared" si="32"/>
        <v>0</v>
      </c>
      <c r="G250" s="299">
        <f t="shared" si="34"/>
        <v>0</v>
      </c>
      <c r="H250" s="298">
        <f t="shared" si="35"/>
        <v>0</v>
      </c>
      <c r="I250" s="294"/>
      <c r="O250" s="295">
        <f t="shared" si="33"/>
        <v>231</v>
      </c>
    </row>
    <row r="251" spans="1:15">
      <c r="A251" s="286"/>
      <c r="B251" s="296">
        <f t="shared" si="36"/>
        <v>232</v>
      </c>
      <c r="C251" s="297">
        <f t="shared" si="38"/>
        <v>0</v>
      </c>
      <c r="D251" s="298">
        <f t="shared" si="37"/>
        <v>0</v>
      </c>
      <c r="E251" s="299">
        <f t="shared" si="31"/>
        <v>0</v>
      </c>
      <c r="F251" s="299">
        <f t="shared" si="32"/>
        <v>0</v>
      </c>
      <c r="G251" s="299">
        <f t="shared" si="34"/>
        <v>0</v>
      </c>
      <c r="H251" s="298">
        <f t="shared" si="35"/>
        <v>0</v>
      </c>
      <c r="I251" s="294"/>
      <c r="O251" s="295">
        <f t="shared" si="33"/>
        <v>232</v>
      </c>
    </row>
    <row r="252" spans="1:15">
      <c r="A252" s="286"/>
      <c r="B252" s="296">
        <f t="shared" si="36"/>
        <v>233</v>
      </c>
      <c r="C252" s="297">
        <f t="shared" si="38"/>
        <v>0</v>
      </c>
      <c r="D252" s="298">
        <f t="shared" si="37"/>
        <v>0</v>
      </c>
      <c r="E252" s="299">
        <f t="shared" si="31"/>
        <v>0</v>
      </c>
      <c r="F252" s="299">
        <f t="shared" si="32"/>
        <v>0</v>
      </c>
      <c r="G252" s="299">
        <f t="shared" si="34"/>
        <v>0</v>
      </c>
      <c r="H252" s="298">
        <f t="shared" si="35"/>
        <v>0</v>
      </c>
      <c r="I252" s="294"/>
      <c r="O252" s="295">
        <f t="shared" si="33"/>
        <v>233</v>
      </c>
    </row>
    <row r="253" spans="1:15">
      <c r="A253" s="286"/>
      <c r="B253" s="296">
        <f t="shared" si="36"/>
        <v>234</v>
      </c>
      <c r="C253" s="297">
        <f t="shared" si="38"/>
        <v>0</v>
      </c>
      <c r="D253" s="298">
        <f t="shared" si="37"/>
        <v>0</v>
      </c>
      <c r="E253" s="299">
        <f t="shared" si="31"/>
        <v>0</v>
      </c>
      <c r="F253" s="299">
        <f t="shared" si="32"/>
        <v>0</v>
      </c>
      <c r="G253" s="299">
        <f t="shared" si="34"/>
        <v>0</v>
      </c>
      <c r="H253" s="298">
        <f t="shared" si="35"/>
        <v>0</v>
      </c>
      <c r="I253" s="294"/>
      <c r="O253" s="295">
        <f t="shared" si="33"/>
        <v>234</v>
      </c>
    </row>
    <row r="254" spans="1:15">
      <c r="A254" s="286"/>
      <c r="B254" s="296">
        <f t="shared" si="36"/>
        <v>235</v>
      </c>
      <c r="C254" s="297">
        <f t="shared" si="38"/>
        <v>0</v>
      </c>
      <c r="D254" s="298">
        <f t="shared" si="37"/>
        <v>0</v>
      </c>
      <c r="E254" s="299">
        <f t="shared" si="31"/>
        <v>0</v>
      </c>
      <c r="F254" s="299">
        <f t="shared" si="32"/>
        <v>0</v>
      </c>
      <c r="G254" s="299">
        <f t="shared" si="34"/>
        <v>0</v>
      </c>
      <c r="H254" s="298">
        <f t="shared" si="35"/>
        <v>0</v>
      </c>
      <c r="I254" s="294"/>
      <c r="O254" s="295">
        <f t="shared" si="33"/>
        <v>235</v>
      </c>
    </row>
    <row r="255" spans="1:15">
      <c r="A255" s="286"/>
      <c r="B255" s="296">
        <f t="shared" si="36"/>
        <v>236</v>
      </c>
      <c r="C255" s="297">
        <f t="shared" si="38"/>
        <v>0</v>
      </c>
      <c r="D255" s="298">
        <f t="shared" si="37"/>
        <v>0</v>
      </c>
      <c r="E255" s="299">
        <f t="shared" si="31"/>
        <v>0</v>
      </c>
      <c r="F255" s="299">
        <f t="shared" si="32"/>
        <v>0</v>
      </c>
      <c r="G255" s="299">
        <f t="shared" si="34"/>
        <v>0</v>
      </c>
      <c r="H255" s="298">
        <f t="shared" si="35"/>
        <v>0</v>
      </c>
      <c r="I255" s="294"/>
      <c r="O255" s="295">
        <f t="shared" si="33"/>
        <v>236</v>
      </c>
    </row>
    <row r="256" spans="1:15">
      <c r="A256" s="286"/>
      <c r="B256" s="296">
        <f t="shared" si="36"/>
        <v>237</v>
      </c>
      <c r="C256" s="297">
        <f t="shared" si="38"/>
        <v>0</v>
      </c>
      <c r="D256" s="298">
        <f t="shared" si="37"/>
        <v>0</v>
      </c>
      <c r="E256" s="299">
        <f t="shared" si="31"/>
        <v>0</v>
      </c>
      <c r="F256" s="299">
        <f t="shared" si="32"/>
        <v>0</v>
      </c>
      <c r="G256" s="299">
        <f t="shared" si="34"/>
        <v>0</v>
      </c>
      <c r="H256" s="298">
        <f t="shared" si="35"/>
        <v>0</v>
      </c>
      <c r="I256" s="294"/>
      <c r="O256" s="295">
        <f t="shared" si="33"/>
        <v>237</v>
      </c>
    </row>
    <row r="257" spans="1:15">
      <c r="A257" s="286"/>
      <c r="B257" s="296">
        <f t="shared" si="36"/>
        <v>238</v>
      </c>
      <c r="C257" s="297">
        <f t="shared" si="38"/>
        <v>0</v>
      </c>
      <c r="D257" s="298">
        <f t="shared" si="37"/>
        <v>0</v>
      </c>
      <c r="E257" s="299">
        <f t="shared" si="31"/>
        <v>0</v>
      </c>
      <c r="F257" s="299">
        <f t="shared" si="32"/>
        <v>0</v>
      </c>
      <c r="G257" s="299">
        <f t="shared" si="34"/>
        <v>0</v>
      </c>
      <c r="H257" s="298">
        <f t="shared" si="35"/>
        <v>0</v>
      </c>
      <c r="I257" s="294"/>
      <c r="O257" s="295">
        <f t="shared" si="33"/>
        <v>238</v>
      </c>
    </row>
    <row r="258" spans="1:15">
      <c r="A258" s="286"/>
      <c r="B258" s="296">
        <f t="shared" si="36"/>
        <v>239</v>
      </c>
      <c r="C258" s="297">
        <f t="shared" si="38"/>
        <v>0</v>
      </c>
      <c r="D258" s="298">
        <f t="shared" si="37"/>
        <v>0</v>
      </c>
      <c r="E258" s="299">
        <f t="shared" si="31"/>
        <v>0</v>
      </c>
      <c r="F258" s="299">
        <f t="shared" si="32"/>
        <v>0</v>
      </c>
      <c r="G258" s="299">
        <f t="shared" si="34"/>
        <v>0</v>
      </c>
      <c r="H258" s="298">
        <f t="shared" si="35"/>
        <v>0</v>
      </c>
      <c r="I258" s="294"/>
      <c r="O258" s="295">
        <f t="shared" si="33"/>
        <v>239</v>
      </c>
    </row>
    <row r="259" spans="1:15">
      <c r="A259" s="286"/>
      <c r="B259" s="300">
        <f t="shared" si="36"/>
        <v>240</v>
      </c>
      <c r="C259" s="301">
        <f t="shared" si="38"/>
        <v>0</v>
      </c>
      <c r="D259" s="302">
        <f t="shared" si="37"/>
        <v>0</v>
      </c>
      <c r="E259" s="303">
        <f t="shared" si="31"/>
        <v>0</v>
      </c>
      <c r="F259" s="303">
        <f t="shared" si="32"/>
        <v>0</v>
      </c>
      <c r="G259" s="303">
        <f t="shared" si="34"/>
        <v>0</v>
      </c>
      <c r="H259" s="302">
        <f t="shared" si="35"/>
        <v>0</v>
      </c>
      <c r="I259" s="304" t="e">
        <f>H259/$D$5</f>
        <v>#VALUE!</v>
      </c>
      <c r="J259" s="305"/>
      <c r="K259" s="305"/>
      <c r="L259" s="305"/>
      <c r="M259" s="305"/>
      <c r="N259" s="305"/>
      <c r="O259" s="306">
        <f t="shared" si="33"/>
        <v>240</v>
      </c>
    </row>
    <row r="260" spans="1:15">
      <c r="A260" s="286"/>
      <c r="B260" s="296">
        <f t="shared" si="36"/>
        <v>241</v>
      </c>
      <c r="C260" s="297">
        <f t="shared" si="38"/>
        <v>0</v>
      </c>
      <c r="D260" s="298">
        <f t="shared" si="37"/>
        <v>0</v>
      </c>
      <c r="E260" s="299">
        <f t="shared" ref="E260:E271" si="39">IF(H259&lt;=E259,H259+G260,$H$10)</f>
        <v>0</v>
      </c>
      <c r="F260" s="299">
        <f t="shared" si="32"/>
        <v>0</v>
      </c>
      <c r="G260" s="299">
        <f t="shared" si="34"/>
        <v>0</v>
      </c>
      <c r="H260" s="298">
        <f t="shared" si="35"/>
        <v>0</v>
      </c>
      <c r="I260" s="294"/>
      <c r="O260" s="295">
        <f t="shared" si="33"/>
        <v>241</v>
      </c>
    </row>
    <row r="261" spans="1:15">
      <c r="A261" s="286"/>
      <c r="B261" s="296">
        <f t="shared" si="36"/>
        <v>242</v>
      </c>
      <c r="C261" s="297">
        <f t="shared" si="38"/>
        <v>0</v>
      </c>
      <c r="D261" s="298">
        <f t="shared" si="37"/>
        <v>0</v>
      </c>
      <c r="E261" s="299">
        <f t="shared" si="39"/>
        <v>0</v>
      </c>
      <c r="F261" s="299">
        <f t="shared" si="32"/>
        <v>0</v>
      </c>
      <c r="G261" s="299">
        <f t="shared" si="34"/>
        <v>0</v>
      </c>
      <c r="H261" s="298">
        <f t="shared" si="35"/>
        <v>0</v>
      </c>
      <c r="I261" s="294"/>
      <c r="O261" s="295">
        <f t="shared" si="33"/>
        <v>242</v>
      </c>
    </row>
    <row r="262" spans="1:15">
      <c r="A262" s="286"/>
      <c r="B262" s="296">
        <f t="shared" si="36"/>
        <v>243</v>
      </c>
      <c r="C262" s="297">
        <f t="shared" si="38"/>
        <v>0</v>
      </c>
      <c r="D262" s="298">
        <f t="shared" si="37"/>
        <v>0</v>
      </c>
      <c r="E262" s="299">
        <f t="shared" si="39"/>
        <v>0</v>
      </c>
      <c r="F262" s="299">
        <f t="shared" si="32"/>
        <v>0</v>
      </c>
      <c r="G262" s="299">
        <f t="shared" si="34"/>
        <v>0</v>
      </c>
      <c r="H262" s="298">
        <f t="shared" si="35"/>
        <v>0</v>
      </c>
      <c r="I262" s="294"/>
      <c r="O262" s="295">
        <f t="shared" si="33"/>
        <v>243</v>
      </c>
    </row>
    <row r="263" spans="1:15">
      <c r="A263" s="286"/>
      <c r="B263" s="296">
        <f t="shared" si="36"/>
        <v>244</v>
      </c>
      <c r="C263" s="297">
        <f t="shared" si="38"/>
        <v>0</v>
      </c>
      <c r="D263" s="298">
        <f t="shared" si="37"/>
        <v>0</v>
      </c>
      <c r="E263" s="299">
        <f t="shared" si="39"/>
        <v>0</v>
      </c>
      <c r="F263" s="299">
        <f t="shared" si="32"/>
        <v>0</v>
      </c>
      <c r="G263" s="299">
        <f t="shared" si="34"/>
        <v>0</v>
      </c>
      <c r="H263" s="298">
        <f t="shared" si="35"/>
        <v>0</v>
      </c>
      <c r="I263" s="294"/>
      <c r="O263" s="295">
        <f t="shared" si="33"/>
        <v>244</v>
      </c>
    </row>
    <row r="264" spans="1:15">
      <c r="A264" s="286"/>
      <c r="B264" s="296">
        <f t="shared" si="36"/>
        <v>245</v>
      </c>
      <c r="C264" s="297">
        <f t="shared" si="38"/>
        <v>0</v>
      </c>
      <c r="D264" s="298">
        <f t="shared" si="37"/>
        <v>0</v>
      </c>
      <c r="E264" s="299">
        <f t="shared" si="39"/>
        <v>0</v>
      </c>
      <c r="F264" s="299">
        <f t="shared" si="32"/>
        <v>0</v>
      </c>
      <c r="G264" s="299">
        <f t="shared" si="34"/>
        <v>0</v>
      </c>
      <c r="H264" s="298">
        <f t="shared" si="35"/>
        <v>0</v>
      </c>
      <c r="I264" s="294"/>
      <c r="O264" s="295">
        <f t="shared" si="33"/>
        <v>245</v>
      </c>
    </row>
    <row r="265" spans="1:15">
      <c r="A265" s="286"/>
      <c r="B265" s="296">
        <f t="shared" si="36"/>
        <v>246</v>
      </c>
      <c r="C265" s="297">
        <f t="shared" si="38"/>
        <v>0</v>
      </c>
      <c r="D265" s="298">
        <f t="shared" si="37"/>
        <v>0</v>
      </c>
      <c r="E265" s="299">
        <f t="shared" si="39"/>
        <v>0</v>
      </c>
      <c r="F265" s="299">
        <f t="shared" si="32"/>
        <v>0</v>
      </c>
      <c r="G265" s="299">
        <f t="shared" si="34"/>
        <v>0</v>
      </c>
      <c r="H265" s="298">
        <f t="shared" si="35"/>
        <v>0</v>
      </c>
      <c r="I265" s="294"/>
      <c r="O265" s="295">
        <f t="shared" si="33"/>
        <v>246</v>
      </c>
    </row>
    <row r="266" spans="1:15">
      <c r="A266" s="286"/>
      <c r="B266" s="296">
        <f t="shared" si="36"/>
        <v>247</v>
      </c>
      <c r="C266" s="297">
        <f t="shared" si="38"/>
        <v>0</v>
      </c>
      <c r="D266" s="298">
        <f t="shared" si="37"/>
        <v>0</v>
      </c>
      <c r="E266" s="299">
        <f t="shared" si="39"/>
        <v>0</v>
      </c>
      <c r="F266" s="299">
        <f t="shared" si="32"/>
        <v>0</v>
      </c>
      <c r="G266" s="299">
        <f t="shared" si="34"/>
        <v>0</v>
      </c>
      <c r="H266" s="298">
        <f t="shared" si="35"/>
        <v>0</v>
      </c>
      <c r="I266" s="294"/>
      <c r="O266" s="295">
        <f t="shared" si="33"/>
        <v>247</v>
      </c>
    </row>
    <row r="267" spans="1:15">
      <c r="A267" s="286"/>
      <c r="B267" s="296">
        <f t="shared" si="36"/>
        <v>248</v>
      </c>
      <c r="C267" s="297">
        <f t="shared" si="38"/>
        <v>0</v>
      </c>
      <c r="D267" s="298">
        <f t="shared" si="37"/>
        <v>0</v>
      </c>
      <c r="E267" s="299">
        <f t="shared" si="39"/>
        <v>0</v>
      </c>
      <c r="F267" s="299">
        <f t="shared" si="32"/>
        <v>0</v>
      </c>
      <c r="G267" s="299">
        <f t="shared" si="34"/>
        <v>0</v>
      </c>
      <c r="H267" s="298">
        <f t="shared" si="35"/>
        <v>0</v>
      </c>
      <c r="I267" s="294"/>
      <c r="O267" s="295">
        <f t="shared" si="33"/>
        <v>248</v>
      </c>
    </row>
    <row r="268" spans="1:15">
      <c r="A268" s="286"/>
      <c r="B268" s="296">
        <f t="shared" si="36"/>
        <v>249</v>
      </c>
      <c r="C268" s="297">
        <f t="shared" si="38"/>
        <v>0</v>
      </c>
      <c r="D268" s="298">
        <f t="shared" si="37"/>
        <v>0</v>
      </c>
      <c r="E268" s="299">
        <f t="shared" si="39"/>
        <v>0</v>
      </c>
      <c r="F268" s="299">
        <f t="shared" si="32"/>
        <v>0</v>
      </c>
      <c r="G268" s="299">
        <f t="shared" si="34"/>
        <v>0</v>
      </c>
      <c r="H268" s="298">
        <f t="shared" si="35"/>
        <v>0</v>
      </c>
      <c r="I268" s="294"/>
      <c r="O268" s="295">
        <f t="shared" si="33"/>
        <v>249</v>
      </c>
    </row>
    <row r="269" spans="1:15">
      <c r="A269" s="286"/>
      <c r="B269" s="296">
        <f t="shared" si="36"/>
        <v>250</v>
      </c>
      <c r="C269" s="297">
        <f t="shared" si="38"/>
        <v>0</v>
      </c>
      <c r="D269" s="298">
        <f t="shared" si="37"/>
        <v>0</v>
      </c>
      <c r="E269" s="299">
        <f t="shared" si="39"/>
        <v>0</v>
      </c>
      <c r="F269" s="299">
        <f t="shared" si="32"/>
        <v>0</v>
      </c>
      <c r="G269" s="299">
        <f t="shared" si="34"/>
        <v>0</v>
      </c>
      <c r="H269" s="298">
        <f t="shared" si="35"/>
        <v>0</v>
      </c>
      <c r="I269" s="294"/>
      <c r="O269" s="295">
        <f t="shared" si="33"/>
        <v>250</v>
      </c>
    </row>
    <row r="270" spans="1:15">
      <c r="A270" s="286"/>
      <c r="B270" s="296">
        <f t="shared" si="36"/>
        <v>251</v>
      </c>
      <c r="C270" s="297">
        <f t="shared" si="38"/>
        <v>0</v>
      </c>
      <c r="D270" s="298">
        <f t="shared" si="37"/>
        <v>0</v>
      </c>
      <c r="E270" s="299">
        <f t="shared" si="39"/>
        <v>0</v>
      </c>
      <c r="F270" s="299">
        <f t="shared" si="32"/>
        <v>0</v>
      </c>
      <c r="G270" s="299">
        <f t="shared" si="34"/>
        <v>0</v>
      </c>
      <c r="H270" s="298">
        <f t="shared" si="35"/>
        <v>0</v>
      </c>
      <c r="I270" s="294"/>
      <c r="O270" s="295">
        <f t="shared" si="33"/>
        <v>251</v>
      </c>
    </row>
    <row r="271" spans="1:15">
      <c r="A271" s="286"/>
      <c r="B271" s="300">
        <f t="shared" si="36"/>
        <v>252</v>
      </c>
      <c r="C271" s="301">
        <f t="shared" si="38"/>
        <v>0</v>
      </c>
      <c r="D271" s="302">
        <f t="shared" si="37"/>
        <v>0</v>
      </c>
      <c r="E271" s="303">
        <f t="shared" si="39"/>
        <v>0</v>
      </c>
      <c r="F271" s="303">
        <f t="shared" si="32"/>
        <v>0</v>
      </c>
      <c r="G271" s="303">
        <f t="shared" si="34"/>
        <v>0</v>
      </c>
      <c r="H271" s="302">
        <f t="shared" si="35"/>
        <v>0</v>
      </c>
      <c r="I271" s="304" t="e">
        <f>H271/$D$5</f>
        <v>#VALUE!</v>
      </c>
      <c r="J271" s="305"/>
      <c r="K271" s="305"/>
      <c r="L271" s="305"/>
      <c r="M271" s="305"/>
      <c r="N271" s="305"/>
      <c r="O271" s="306">
        <f t="shared" si="33"/>
        <v>252</v>
      </c>
    </row>
    <row r="272" spans="1:15">
      <c r="A272" s="286"/>
      <c r="B272" s="296">
        <f t="shared" si="36"/>
        <v>253</v>
      </c>
      <c r="C272" s="297">
        <f t="shared" si="38"/>
        <v>0</v>
      </c>
      <c r="D272" s="298">
        <f t="shared" si="37"/>
        <v>0</v>
      </c>
      <c r="E272" s="299">
        <f>IF(H271&lt;=E271,H271+G272,$H$10)</f>
        <v>0</v>
      </c>
      <c r="F272" s="299">
        <f>E272-G272</f>
        <v>0</v>
      </c>
      <c r="G272" s="299">
        <f t="shared" si="34"/>
        <v>0</v>
      </c>
      <c r="H272" s="298">
        <f t="shared" si="35"/>
        <v>0</v>
      </c>
      <c r="I272" s="294"/>
      <c r="O272" s="295">
        <f t="shared" si="33"/>
        <v>253</v>
      </c>
    </row>
    <row r="273" spans="1:15">
      <c r="A273" s="286"/>
      <c r="B273" s="296">
        <f t="shared" si="36"/>
        <v>254</v>
      </c>
      <c r="C273" s="297">
        <f t="shared" si="38"/>
        <v>0</v>
      </c>
      <c r="D273" s="298">
        <f t="shared" si="37"/>
        <v>0</v>
      </c>
      <c r="E273" s="299">
        <f>IF(H272&lt;=E272,H272+G273,$H$10)</f>
        <v>0</v>
      </c>
      <c r="F273" s="299">
        <f t="shared" ref="F273:F336" si="40">E273-G273</f>
        <v>0</v>
      </c>
      <c r="G273" s="299">
        <f t="shared" si="34"/>
        <v>0</v>
      </c>
      <c r="H273" s="298">
        <f t="shared" si="35"/>
        <v>0</v>
      </c>
      <c r="I273" s="294"/>
      <c r="O273" s="295">
        <f t="shared" si="33"/>
        <v>254</v>
      </c>
    </row>
    <row r="274" spans="1:15">
      <c r="A274" s="286"/>
      <c r="B274" s="296">
        <f t="shared" si="36"/>
        <v>255</v>
      </c>
      <c r="C274" s="297">
        <f t="shared" si="38"/>
        <v>0</v>
      </c>
      <c r="D274" s="298">
        <f t="shared" si="37"/>
        <v>0</v>
      </c>
      <c r="E274" s="299">
        <f>IF(H273&lt;=E273,H273+G274,$H$10)</f>
        <v>0</v>
      </c>
      <c r="F274" s="299">
        <f t="shared" si="40"/>
        <v>0</v>
      </c>
      <c r="G274" s="299">
        <f t="shared" si="34"/>
        <v>0</v>
      </c>
      <c r="H274" s="298">
        <f t="shared" si="35"/>
        <v>0</v>
      </c>
      <c r="I274" s="294"/>
      <c r="O274" s="295">
        <f t="shared" si="33"/>
        <v>255</v>
      </c>
    </row>
    <row r="275" spans="1:15">
      <c r="A275" s="286"/>
      <c r="B275" s="296">
        <f t="shared" si="36"/>
        <v>256</v>
      </c>
      <c r="C275" s="297">
        <f t="shared" si="38"/>
        <v>0</v>
      </c>
      <c r="D275" s="298">
        <f t="shared" si="37"/>
        <v>0</v>
      </c>
      <c r="E275" s="299">
        <f t="shared" ref="E275:E338" si="41">IF(H274&lt;=E274,H274+G275,$H$10)</f>
        <v>0</v>
      </c>
      <c r="F275" s="299">
        <f t="shared" si="40"/>
        <v>0</v>
      </c>
      <c r="G275" s="299">
        <f t="shared" si="34"/>
        <v>0</v>
      </c>
      <c r="H275" s="298">
        <f t="shared" si="35"/>
        <v>0</v>
      </c>
      <c r="I275" s="294"/>
      <c r="O275" s="295">
        <f t="shared" si="33"/>
        <v>256</v>
      </c>
    </row>
    <row r="276" spans="1:15">
      <c r="A276" s="286"/>
      <c r="B276" s="296">
        <f t="shared" si="36"/>
        <v>257</v>
      </c>
      <c r="C276" s="297">
        <f t="shared" si="38"/>
        <v>0</v>
      </c>
      <c r="D276" s="298">
        <f t="shared" si="37"/>
        <v>0</v>
      </c>
      <c r="E276" s="299">
        <f t="shared" si="41"/>
        <v>0</v>
      </c>
      <c r="F276" s="299">
        <f t="shared" si="40"/>
        <v>0</v>
      </c>
      <c r="G276" s="299">
        <f t="shared" si="34"/>
        <v>0</v>
      </c>
      <c r="H276" s="298">
        <f t="shared" si="35"/>
        <v>0</v>
      </c>
      <c r="I276" s="294"/>
      <c r="O276" s="295">
        <f t="shared" ref="O276:O339" si="42">IF(H276=0,B276,"n.a.")</f>
        <v>257</v>
      </c>
    </row>
    <row r="277" spans="1:15">
      <c r="A277" s="286"/>
      <c r="B277" s="296">
        <f t="shared" si="36"/>
        <v>258</v>
      </c>
      <c r="C277" s="297">
        <f t="shared" si="38"/>
        <v>0</v>
      </c>
      <c r="D277" s="298">
        <f t="shared" si="37"/>
        <v>0</v>
      </c>
      <c r="E277" s="299">
        <f t="shared" si="41"/>
        <v>0</v>
      </c>
      <c r="F277" s="299">
        <f t="shared" si="40"/>
        <v>0</v>
      </c>
      <c r="G277" s="299">
        <f t="shared" ref="G277:G340" si="43">C277*(D277/365)*30</f>
        <v>0</v>
      </c>
      <c r="H277" s="298">
        <f t="shared" ref="H277:H340" si="44">IF((D277+G277-E277)&lt;0,0,D277+G277-E277)</f>
        <v>0</v>
      </c>
      <c r="I277" s="294"/>
      <c r="O277" s="295">
        <f t="shared" si="42"/>
        <v>258</v>
      </c>
    </row>
    <row r="278" spans="1:15">
      <c r="A278" s="286"/>
      <c r="B278" s="296">
        <f t="shared" ref="B278:B341" si="45">B277+1</f>
        <v>259</v>
      </c>
      <c r="C278" s="297">
        <f t="shared" si="38"/>
        <v>0</v>
      </c>
      <c r="D278" s="298">
        <f t="shared" ref="D278:D341" si="46">H277</f>
        <v>0</v>
      </c>
      <c r="E278" s="299">
        <f t="shared" si="41"/>
        <v>0</v>
      </c>
      <c r="F278" s="299">
        <f t="shared" si="40"/>
        <v>0</v>
      </c>
      <c r="G278" s="299">
        <f t="shared" si="43"/>
        <v>0</v>
      </c>
      <c r="H278" s="298">
        <f t="shared" si="44"/>
        <v>0</v>
      </c>
      <c r="I278" s="294"/>
      <c r="O278" s="295">
        <f t="shared" si="42"/>
        <v>259</v>
      </c>
    </row>
    <row r="279" spans="1:15">
      <c r="A279" s="286"/>
      <c r="B279" s="296">
        <f t="shared" si="45"/>
        <v>260</v>
      </c>
      <c r="C279" s="297">
        <f t="shared" si="38"/>
        <v>0</v>
      </c>
      <c r="D279" s="298">
        <f t="shared" si="46"/>
        <v>0</v>
      </c>
      <c r="E279" s="299">
        <f t="shared" si="41"/>
        <v>0</v>
      </c>
      <c r="F279" s="299">
        <f t="shared" si="40"/>
        <v>0</v>
      </c>
      <c r="G279" s="299">
        <f t="shared" si="43"/>
        <v>0</v>
      </c>
      <c r="H279" s="298">
        <f t="shared" si="44"/>
        <v>0</v>
      </c>
      <c r="I279" s="294"/>
      <c r="O279" s="295">
        <f t="shared" si="42"/>
        <v>260</v>
      </c>
    </row>
    <row r="280" spans="1:15">
      <c r="A280" s="286"/>
      <c r="B280" s="296">
        <f t="shared" si="45"/>
        <v>261</v>
      </c>
      <c r="C280" s="297">
        <f t="shared" si="38"/>
        <v>0</v>
      </c>
      <c r="D280" s="298">
        <f t="shared" si="46"/>
        <v>0</v>
      </c>
      <c r="E280" s="299">
        <f t="shared" si="41"/>
        <v>0</v>
      </c>
      <c r="F280" s="299">
        <f t="shared" si="40"/>
        <v>0</v>
      </c>
      <c r="G280" s="299">
        <f t="shared" si="43"/>
        <v>0</v>
      </c>
      <c r="H280" s="298">
        <f t="shared" si="44"/>
        <v>0</v>
      </c>
      <c r="I280" s="294"/>
      <c r="O280" s="295">
        <f t="shared" si="42"/>
        <v>261</v>
      </c>
    </row>
    <row r="281" spans="1:15">
      <c r="A281" s="286"/>
      <c r="B281" s="296">
        <f t="shared" si="45"/>
        <v>262</v>
      </c>
      <c r="C281" s="297">
        <f t="shared" si="38"/>
        <v>0</v>
      </c>
      <c r="D281" s="298">
        <f t="shared" si="46"/>
        <v>0</v>
      </c>
      <c r="E281" s="299">
        <f t="shared" si="41"/>
        <v>0</v>
      </c>
      <c r="F281" s="299">
        <f t="shared" si="40"/>
        <v>0</v>
      </c>
      <c r="G281" s="299">
        <f t="shared" si="43"/>
        <v>0</v>
      </c>
      <c r="H281" s="298">
        <f t="shared" si="44"/>
        <v>0</v>
      </c>
      <c r="I281" s="294"/>
      <c r="O281" s="295">
        <f t="shared" si="42"/>
        <v>262</v>
      </c>
    </row>
    <row r="282" spans="1:15">
      <c r="A282" s="286"/>
      <c r="B282" s="296">
        <f t="shared" si="45"/>
        <v>263</v>
      </c>
      <c r="C282" s="297">
        <f t="shared" si="38"/>
        <v>0</v>
      </c>
      <c r="D282" s="298">
        <f t="shared" si="46"/>
        <v>0</v>
      </c>
      <c r="E282" s="299">
        <f t="shared" si="41"/>
        <v>0</v>
      </c>
      <c r="F282" s="299">
        <f t="shared" si="40"/>
        <v>0</v>
      </c>
      <c r="G282" s="299">
        <f t="shared" si="43"/>
        <v>0</v>
      </c>
      <c r="H282" s="298">
        <f t="shared" si="44"/>
        <v>0</v>
      </c>
      <c r="I282" s="294"/>
      <c r="O282" s="295">
        <f t="shared" si="42"/>
        <v>263</v>
      </c>
    </row>
    <row r="283" spans="1:15">
      <c r="A283" s="286"/>
      <c r="B283" s="300">
        <f t="shared" si="45"/>
        <v>264</v>
      </c>
      <c r="C283" s="301">
        <f t="shared" si="38"/>
        <v>0</v>
      </c>
      <c r="D283" s="302">
        <f t="shared" si="46"/>
        <v>0</v>
      </c>
      <c r="E283" s="303">
        <f t="shared" si="41"/>
        <v>0</v>
      </c>
      <c r="F283" s="303">
        <f t="shared" si="40"/>
        <v>0</v>
      </c>
      <c r="G283" s="303">
        <f t="shared" si="43"/>
        <v>0</v>
      </c>
      <c r="H283" s="302">
        <f t="shared" si="44"/>
        <v>0</v>
      </c>
      <c r="I283" s="304" t="e">
        <f>H283/$D$5</f>
        <v>#VALUE!</v>
      </c>
      <c r="J283" s="305"/>
      <c r="K283" s="305"/>
      <c r="L283" s="305"/>
      <c r="M283" s="305"/>
      <c r="N283" s="305"/>
      <c r="O283" s="306">
        <f t="shared" si="42"/>
        <v>264</v>
      </c>
    </row>
    <row r="284" spans="1:15">
      <c r="A284" s="286"/>
      <c r="B284" s="296">
        <f t="shared" si="45"/>
        <v>265</v>
      </c>
      <c r="C284" s="297">
        <f t="shared" si="38"/>
        <v>0</v>
      </c>
      <c r="D284" s="298">
        <f t="shared" si="46"/>
        <v>0</v>
      </c>
      <c r="E284" s="299">
        <f t="shared" si="41"/>
        <v>0</v>
      </c>
      <c r="F284" s="299">
        <f t="shared" si="40"/>
        <v>0</v>
      </c>
      <c r="G284" s="299">
        <f t="shared" si="43"/>
        <v>0</v>
      </c>
      <c r="H284" s="298">
        <f t="shared" si="44"/>
        <v>0</v>
      </c>
      <c r="I284" s="294"/>
      <c r="O284" s="295">
        <f t="shared" si="42"/>
        <v>265</v>
      </c>
    </row>
    <row r="285" spans="1:15">
      <c r="A285" s="286"/>
      <c r="B285" s="296">
        <f t="shared" si="45"/>
        <v>266</v>
      </c>
      <c r="C285" s="297">
        <f t="shared" si="38"/>
        <v>0</v>
      </c>
      <c r="D285" s="298">
        <f t="shared" si="46"/>
        <v>0</v>
      </c>
      <c r="E285" s="299">
        <f t="shared" si="41"/>
        <v>0</v>
      </c>
      <c r="F285" s="299">
        <f t="shared" si="40"/>
        <v>0</v>
      </c>
      <c r="G285" s="299">
        <f t="shared" si="43"/>
        <v>0</v>
      </c>
      <c r="H285" s="298">
        <f t="shared" si="44"/>
        <v>0</v>
      </c>
      <c r="I285" s="294"/>
      <c r="O285" s="295">
        <f t="shared" si="42"/>
        <v>266</v>
      </c>
    </row>
    <row r="286" spans="1:15">
      <c r="A286" s="286"/>
      <c r="B286" s="296">
        <f t="shared" si="45"/>
        <v>267</v>
      </c>
      <c r="C286" s="297">
        <f t="shared" si="38"/>
        <v>0</v>
      </c>
      <c r="D286" s="298">
        <f t="shared" si="46"/>
        <v>0</v>
      </c>
      <c r="E286" s="299">
        <f t="shared" si="41"/>
        <v>0</v>
      </c>
      <c r="F286" s="299">
        <f t="shared" si="40"/>
        <v>0</v>
      </c>
      <c r="G286" s="299">
        <f t="shared" si="43"/>
        <v>0</v>
      </c>
      <c r="H286" s="298">
        <f t="shared" si="44"/>
        <v>0</v>
      </c>
      <c r="I286" s="294"/>
      <c r="O286" s="295">
        <f t="shared" si="42"/>
        <v>267</v>
      </c>
    </row>
    <row r="287" spans="1:15">
      <c r="A287" s="286"/>
      <c r="B287" s="296">
        <f t="shared" si="45"/>
        <v>268</v>
      </c>
      <c r="C287" s="297">
        <f t="shared" si="38"/>
        <v>0</v>
      </c>
      <c r="D287" s="298">
        <f t="shared" si="46"/>
        <v>0</v>
      </c>
      <c r="E287" s="299">
        <f t="shared" si="41"/>
        <v>0</v>
      </c>
      <c r="F287" s="299">
        <f t="shared" si="40"/>
        <v>0</v>
      </c>
      <c r="G287" s="299">
        <f t="shared" si="43"/>
        <v>0</v>
      </c>
      <c r="H287" s="298">
        <f t="shared" si="44"/>
        <v>0</v>
      </c>
      <c r="I287" s="294"/>
      <c r="O287" s="295">
        <f t="shared" si="42"/>
        <v>268</v>
      </c>
    </row>
    <row r="288" spans="1:15">
      <c r="A288" s="286"/>
      <c r="B288" s="296">
        <f t="shared" si="45"/>
        <v>269</v>
      </c>
      <c r="C288" s="297">
        <f t="shared" si="38"/>
        <v>0</v>
      </c>
      <c r="D288" s="298">
        <f t="shared" si="46"/>
        <v>0</v>
      </c>
      <c r="E288" s="299">
        <f t="shared" si="41"/>
        <v>0</v>
      </c>
      <c r="F288" s="299">
        <f t="shared" si="40"/>
        <v>0</v>
      </c>
      <c r="G288" s="299">
        <f t="shared" si="43"/>
        <v>0</v>
      </c>
      <c r="H288" s="298">
        <f t="shared" si="44"/>
        <v>0</v>
      </c>
      <c r="I288" s="294"/>
      <c r="O288" s="295">
        <f t="shared" si="42"/>
        <v>269</v>
      </c>
    </row>
    <row r="289" spans="1:15">
      <c r="A289" s="286"/>
      <c r="B289" s="296">
        <f t="shared" si="45"/>
        <v>270</v>
      </c>
      <c r="C289" s="297">
        <f t="shared" si="38"/>
        <v>0</v>
      </c>
      <c r="D289" s="298">
        <f t="shared" si="46"/>
        <v>0</v>
      </c>
      <c r="E289" s="299">
        <f t="shared" si="41"/>
        <v>0</v>
      </c>
      <c r="F289" s="299">
        <f t="shared" si="40"/>
        <v>0</v>
      </c>
      <c r="G289" s="299">
        <f t="shared" si="43"/>
        <v>0</v>
      </c>
      <c r="H289" s="298">
        <f t="shared" si="44"/>
        <v>0</v>
      </c>
      <c r="I289" s="294"/>
      <c r="O289" s="295">
        <f t="shared" si="42"/>
        <v>270</v>
      </c>
    </row>
    <row r="290" spans="1:15">
      <c r="A290" s="286"/>
      <c r="B290" s="296">
        <f t="shared" si="45"/>
        <v>271</v>
      </c>
      <c r="C290" s="297">
        <f t="shared" si="38"/>
        <v>0</v>
      </c>
      <c r="D290" s="298">
        <f t="shared" si="46"/>
        <v>0</v>
      </c>
      <c r="E290" s="299">
        <f t="shared" si="41"/>
        <v>0</v>
      </c>
      <c r="F290" s="299">
        <f t="shared" si="40"/>
        <v>0</v>
      </c>
      <c r="G290" s="299">
        <f t="shared" si="43"/>
        <v>0</v>
      </c>
      <c r="H290" s="298">
        <f t="shared" si="44"/>
        <v>0</v>
      </c>
      <c r="I290" s="294"/>
      <c r="O290" s="295">
        <f t="shared" si="42"/>
        <v>271</v>
      </c>
    </row>
    <row r="291" spans="1:15">
      <c r="A291" s="286"/>
      <c r="B291" s="296">
        <f t="shared" si="45"/>
        <v>272</v>
      </c>
      <c r="C291" s="297">
        <f t="shared" si="38"/>
        <v>0</v>
      </c>
      <c r="D291" s="298">
        <f t="shared" si="46"/>
        <v>0</v>
      </c>
      <c r="E291" s="299">
        <f t="shared" si="41"/>
        <v>0</v>
      </c>
      <c r="F291" s="299">
        <f t="shared" si="40"/>
        <v>0</v>
      </c>
      <c r="G291" s="299">
        <f t="shared" si="43"/>
        <v>0</v>
      </c>
      <c r="H291" s="298">
        <f t="shared" si="44"/>
        <v>0</v>
      </c>
      <c r="I291" s="294"/>
      <c r="O291" s="295">
        <f t="shared" si="42"/>
        <v>272</v>
      </c>
    </row>
    <row r="292" spans="1:15">
      <c r="A292" s="286"/>
      <c r="B292" s="296">
        <f t="shared" si="45"/>
        <v>273</v>
      </c>
      <c r="C292" s="297">
        <f t="shared" si="38"/>
        <v>0</v>
      </c>
      <c r="D292" s="298">
        <f t="shared" si="46"/>
        <v>0</v>
      </c>
      <c r="E292" s="299">
        <f t="shared" si="41"/>
        <v>0</v>
      </c>
      <c r="F292" s="299">
        <f t="shared" si="40"/>
        <v>0</v>
      </c>
      <c r="G292" s="299">
        <f t="shared" si="43"/>
        <v>0</v>
      </c>
      <c r="H292" s="298">
        <f t="shared" si="44"/>
        <v>0</v>
      </c>
      <c r="I292" s="294"/>
      <c r="O292" s="295">
        <f t="shared" si="42"/>
        <v>273</v>
      </c>
    </row>
    <row r="293" spans="1:15">
      <c r="A293" s="286"/>
      <c r="B293" s="296">
        <f t="shared" si="45"/>
        <v>274</v>
      </c>
      <c r="C293" s="297">
        <f t="shared" si="38"/>
        <v>0</v>
      </c>
      <c r="D293" s="298">
        <f t="shared" si="46"/>
        <v>0</v>
      </c>
      <c r="E293" s="299">
        <f t="shared" si="41"/>
        <v>0</v>
      </c>
      <c r="F293" s="299">
        <f t="shared" si="40"/>
        <v>0</v>
      </c>
      <c r="G293" s="299">
        <f t="shared" si="43"/>
        <v>0</v>
      </c>
      <c r="H293" s="298">
        <f t="shared" si="44"/>
        <v>0</v>
      </c>
      <c r="I293" s="294"/>
      <c r="O293" s="295">
        <f t="shared" si="42"/>
        <v>274</v>
      </c>
    </row>
    <row r="294" spans="1:15">
      <c r="A294" s="286"/>
      <c r="B294" s="296">
        <f t="shared" si="45"/>
        <v>275</v>
      </c>
      <c r="C294" s="297">
        <f t="shared" si="38"/>
        <v>0</v>
      </c>
      <c r="D294" s="298">
        <f t="shared" si="46"/>
        <v>0</v>
      </c>
      <c r="E294" s="299">
        <f t="shared" si="41"/>
        <v>0</v>
      </c>
      <c r="F294" s="299">
        <f t="shared" si="40"/>
        <v>0</v>
      </c>
      <c r="G294" s="299">
        <f t="shared" si="43"/>
        <v>0</v>
      </c>
      <c r="H294" s="298">
        <f t="shared" si="44"/>
        <v>0</v>
      </c>
      <c r="I294" s="294"/>
      <c r="O294" s="295">
        <f t="shared" si="42"/>
        <v>275</v>
      </c>
    </row>
    <row r="295" spans="1:15">
      <c r="A295" s="286"/>
      <c r="B295" s="300">
        <f t="shared" si="45"/>
        <v>276</v>
      </c>
      <c r="C295" s="301">
        <f t="shared" si="38"/>
        <v>0</v>
      </c>
      <c r="D295" s="302">
        <f t="shared" si="46"/>
        <v>0</v>
      </c>
      <c r="E295" s="303">
        <f t="shared" si="41"/>
        <v>0</v>
      </c>
      <c r="F295" s="303">
        <f t="shared" si="40"/>
        <v>0</v>
      </c>
      <c r="G295" s="303">
        <f t="shared" si="43"/>
        <v>0</v>
      </c>
      <c r="H295" s="302">
        <f t="shared" si="44"/>
        <v>0</v>
      </c>
      <c r="I295" s="304" t="e">
        <f>H295/$D$5</f>
        <v>#VALUE!</v>
      </c>
      <c r="J295" s="305"/>
      <c r="K295" s="305"/>
      <c r="L295" s="305"/>
      <c r="M295" s="305"/>
      <c r="N295" s="305"/>
      <c r="O295" s="306">
        <f t="shared" si="42"/>
        <v>276</v>
      </c>
    </row>
    <row r="296" spans="1:15">
      <c r="A296" s="286"/>
      <c r="B296" s="296">
        <f t="shared" si="45"/>
        <v>277</v>
      </c>
      <c r="C296" s="297">
        <f t="shared" si="38"/>
        <v>0</v>
      </c>
      <c r="D296" s="298">
        <f t="shared" si="46"/>
        <v>0</v>
      </c>
      <c r="E296" s="299">
        <f t="shared" si="41"/>
        <v>0</v>
      </c>
      <c r="F296" s="299">
        <f t="shared" si="40"/>
        <v>0</v>
      </c>
      <c r="G296" s="299">
        <f t="shared" si="43"/>
        <v>0</v>
      </c>
      <c r="H296" s="298">
        <f t="shared" si="44"/>
        <v>0</v>
      </c>
      <c r="I296" s="294"/>
      <c r="O296" s="295">
        <f t="shared" si="42"/>
        <v>277</v>
      </c>
    </row>
    <row r="297" spans="1:15">
      <c r="A297" s="286"/>
      <c r="B297" s="296">
        <f t="shared" si="45"/>
        <v>278</v>
      </c>
      <c r="C297" s="297">
        <f t="shared" si="38"/>
        <v>0</v>
      </c>
      <c r="D297" s="298">
        <f t="shared" si="46"/>
        <v>0</v>
      </c>
      <c r="E297" s="299">
        <f t="shared" si="41"/>
        <v>0</v>
      </c>
      <c r="F297" s="299">
        <f t="shared" si="40"/>
        <v>0</v>
      </c>
      <c r="G297" s="299">
        <f t="shared" si="43"/>
        <v>0</v>
      </c>
      <c r="H297" s="298">
        <f t="shared" si="44"/>
        <v>0</v>
      </c>
      <c r="I297" s="294"/>
      <c r="O297" s="295">
        <f t="shared" si="42"/>
        <v>278</v>
      </c>
    </row>
    <row r="298" spans="1:15">
      <c r="A298" s="286"/>
      <c r="B298" s="296">
        <f t="shared" si="45"/>
        <v>279</v>
      </c>
      <c r="C298" s="297">
        <f t="shared" si="38"/>
        <v>0</v>
      </c>
      <c r="D298" s="298">
        <f t="shared" si="46"/>
        <v>0</v>
      </c>
      <c r="E298" s="299">
        <f t="shared" si="41"/>
        <v>0</v>
      </c>
      <c r="F298" s="299">
        <f t="shared" si="40"/>
        <v>0</v>
      </c>
      <c r="G298" s="299">
        <f t="shared" si="43"/>
        <v>0</v>
      </c>
      <c r="H298" s="298">
        <f t="shared" si="44"/>
        <v>0</v>
      </c>
      <c r="I298" s="294"/>
      <c r="O298" s="295">
        <f t="shared" si="42"/>
        <v>279</v>
      </c>
    </row>
    <row r="299" spans="1:15">
      <c r="A299" s="286"/>
      <c r="B299" s="296">
        <f t="shared" si="45"/>
        <v>280</v>
      </c>
      <c r="C299" s="297">
        <f t="shared" si="38"/>
        <v>0</v>
      </c>
      <c r="D299" s="298">
        <f t="shared" si="46"/>
        <v>0</v>
      </c>
      <c r="E299" s="299">
        <f t="shared" si="41"/>
        <v>0</v>
      </c>
      <c r="F299" s="299">
        <f t="shared" si="40"/>
        <v>0</v>
      </c>
      <c r="G299" s="299">
        <f t="shared" si="43"/>
        <v>0</v>
      </c>
      <c r="H299" s="298">
        <f t="shared" si="44"/>
        <v>0</v>
      </c>
      <c r="I299" s="294"/>
      <c r="O299" s="295">
        <f t="shared" si="42"/>
        <v>280</v>
      </c>
    </row>
    <row r="300" spans="1:15">
      <c r="A300" s="286"/>
      <c r="B300" s="296">
        <f t="shared" si="45"/>
        <v>281</v>
      </c>
      <c r="C300" s="297">
        <f t="shared" si="38"/>
        <v>0</v>
      </c>
      <c r="D300" s="298">
        <f t="shared" si="46"/>
        <v>0</v>
      </c>
      <c r="E300" s="299">
        <f t="shared" si="41"/>
        <v>0</v>
      </c>
      <c r="F300" s="299">
        <f t="shared" si="40"/>
        <v>0</v>
      </c>
      <c r="G300" s="299">
        <f t="shared" si="43"/>
        <v>0</v>
      </c>
      <c r="H300" s="298">
        <f t="shared" si="44"/>
        <v>0</v>
      </c>
      <c r="I300" s="294"/>
      <c r="O300" s="295">
        <f t="shared" si="42"/>
        <v>281</v>
      </c>
    </row>
    <row r="301" spans="1:15">
      <c r="A301" s="286"/>
      <c r="B301" s="296">
        <f t="shared" si="45"/>
        <v>282</v>
      </c>
      <c r="C301" s="297">
        <f t="shared" si="38"/>
        <v>0</v>
      </c>
      <c r="D301" s="298">
        <f t="shared" si="46"/>
        <v>0</v>
      </c>
      <c r="E301" s="299">
        <f t="shared" si="41"/>
        <v>0</v>
      </c>
      <c r="F301" s="299">
        <f t="shared" si="40"/>
        <v>0</v>
      </c>
      <c r="G301" s="299">
        <f t="shared" si="43"/>
        <v>0</v>
      </c>
      <c r="H301" s="298">
        <f t="shared" si="44"/>
        <v>0</v>
      </c>
      <c r="I301" s="294"/>
      <c r="O301" s="295">
        <f t="shared" si="42"/>
        <v>282</v>
      </c>
    </row>
    <row r="302" spans="1:15">
      <c r="A302" s="286"/>
      <c r="B302" s="296">
        <f t="shared" si="45"/>
        <v>283</v>
      </c>
      <c r="C302" s="297">
        <f t="shared" si="38"/>
        <v>0</v>
      </c>
      <c r="D302" s="298">
        <f t="shared" si="46"/>
        <v>0</v>
      </c>
      <c r="E302" s="299">
        <f t="shared" si="41"/>
        <v>0</v>
      </c>
      <c r="F302" s="299">
        <f t="shared" si="40"/>
        <v>0</v>
      </c>
      <c r="G302" s="299">
        <f t="shared" si="43"/>
        <v>0</v>
      </c>
      <c r="H302" s="298">
        <f t="shared" si="44"/>
        <v>0</v>
      </c>
      <c r="I302" s="294"/>
      <c r="O302" s="295">
        <f t="shared" si="42"/>
        <v>283</v>
      </c>
    </row>
    <row r="303" spans="1:15">
      <c r="A303" s="286"/>
      <c r="B303" s="296">
        <f t="shared" si="45"/>
        <v>284</v>
      </c>
      <c r="C303" s="297">
        <f t="shared" si="38"/>
        <v>0</v>
      </c>
      <c r="D303" s="298">
        <f t="shared" si="46"/>
        <v>0</v>
      </c>
      <c r="E303" s="299">
        <f t="shared" si="41"/>
        <v>0</v>
      </c>
      <c r="F303" s="299">
        <f t="shared" si="40"/>
        <v>0</v>
      </c>
      <c r="G303" s="299">
        <f t="shared" si="43"/>
        <v>0</v>
      </c>
      <c r="H303" s="298">
        <f t="shared" si="44"/>
        <v>0</v>
      </c>
      <c r="I303" s="294"/>
      <c r="O303" s="295">
        <f t="shared" si="42"/>
        <v>284</v>
      </c>
    </row>
    <row r="304" spans="1:15">
      <c r="A304" s="286"/>
      <c r="B304" s="296">
        <f t="shared" si="45"/>
        <v>285</v>
      </c>
      <c r="C304" s="297">
        <f t="shared" si="38"/>
        <v>0</v>
      </c>
      <c r="D304" s="298">
        <f t="shared" si="46"/>
        <v>0</v>
      </c>
      <c r="E304" s="299">
        <f t="shared" si="41"/>
        <v>0</v>
      </c>
      <c r="F304" s="299">
        <f t="shared" si="40"/>
        <v>0</v>
      </c>
      <c r="G304" s="299">
        <f t="shared" si="43"/>
        <v>0</v>
      </c>
      <c r="H304" s="298">
        <f t="shared" si="44"/>
        <v>0</v>
      </c>
      <c r="I304" s="294"/>
      <c r="O304" s="295">
        <f t="shared" si="42"/>
        <v>285</v>
      </c>
    </row>
    <row r="305" spans="1:15">
      <c r="A305" s="286"/>
      <c r="B305" s="296">
        <f t="shared" si="45"/>
        <v>286</v>
      </c>
      <c r="C305" s="297">
        <f t="shared" si="38"/>
        <v>0</v>
      </c>
      <c r="D305" s="298">
        <f t="shared" si="46"/>
        <v>0</v>
      </c>
      <c r="E305" s="299">
        <f t="shared" si="41"/>
        <v>0</v>
      </c>
      <c r="F305" s="299">
        <f t="shared" si="40"/>
        <v>0</v>
      </c>
      <c r="G305" s="299">
        <f t="shared" si="43"/>
        <v>0</v>
      </c>
      <c r="H305" s="298">
        <f t="shared" si="44"/>
        <v>0</v>
      </c>
      <c r="I305" s="294"/>
      <c r="O305" s="295">
        <f t="shared" si="42"/>
        <v>286</v>
      </c>
    </row>
    <row r="306" spans="1:15">
      <c r="A306" s="286"/>
      <c r="B306" s="296">
        <f t="shared" si="45"/>
        <v>287</v>
      </c>
      <c r="C306" s="297">
        <f t="shared" si="38"/>
        <v>0</v>
      </c>
      <c r="D306" s="298">
        <f t="shared" si="46"/>
        <v>0</v>
      </c>
      <c r="E306" s="299">
        <f t="shared" si="41"/>
        <v>0</v>
      </c>
      <c r="F306" s="299">
        <f t="shared" si="40"/>
        <v>0</v>
      </c>
      <c r="G306" s="299">
        <f t="shared" si="43"/>
        <v>0</v>
      </c>
      <c r="H306" s="298">
        <f t="shared" si="44"/>
        <v>0</v>
      </c>
      <c r="I306" s="294"/>
      <c r="O306" s="295">
        <f t="shared" si="42"/>
        <v>287</v>
      </c>
    </row>
    <row r="307" spans="1:15">
      <c r="A307" s="286"/>
      <c r="B307" s="300">
        <f t="shared" si="45"/>
        <v>288</v>
      </c>
      <c r="C307" s="301">
        <f t="shared" si="38"/>
        <v>0</v>
      </c>
      <c r="D307" s="302">
        <f t="shared" si="46"/>
        <v>0</v>
      </c>
      <c r="E307" s="303">
        <f t="shared" si="41"/>
        <v>0</v>
      </c>
      <c r="F307" s="303">
        <f t="shared" si="40"/>
        <v>0</v>
      </c>
      <c r="G307" s="303">
        <f t="shared" si="43"/>
        <v>0</v>
      </c>
      <c r="H307" s="302">
        <f t="shared" si="44"/>
        <v>0</v>
      </c>
      <c r="I307" s="304" t="e">
        <f>H307/$D$5</f>
        <v>#VALUE!</v>
      </c>
      <c r="J307" s="305"/>
      <c r="K307" s="305"/>
      <c r="L307" s="305"/>
      <c r="M307" s="305"/>
      <c r="N307" s="305"/>
      <c r="O307" s="306">
        <f t="shared" si="42"/>
        <v>288</v>
      </c>
    </row>
    <row r="308" spans="1:15">
      <c r="A308" s="286"/>
      <c r="B308" s="296">
        <f t="shared" si="45"/>
        <v>289</v>
      </c>
      <c r="C308" s="297">
        <f t="shared" si="38"/>
        <v>0</v>
      </c>
      <c r="D308" s="298">
        <f t="shared" si="46"/>
        <v>0</v>
      </c>
      <c r="E308" s="299">
        <f t="shared" si="41"/>
        <v>0</v>
      </c>
      <c r="F308" s="299">
        <f t="shared" si="40"/>
        <v>0</v>
      </c>
      <c r="G308" s="299">
        <f t="shared" si="43"/>
        <v>0</v>
      </c>
      <c r="H308" s="298">
        <f t="shared" si="44"/>
        <v>0</v>
      </c>
      <c r="I308" s="294"/>
      <c r="O308" s="295">
        <f t="shared" si="42"/>
        <v>289</v>
      </c>
    </row>
    <row r="309" spans="1:15">
      <c r="A309" s="286"/>
      <c r="B309" s="296">
        <f t="shared" si="45"/>
        <v>290</v>
      </c>
      <c r="C309" s="297">
        <f t="shared" si="38"/>
        <v>0</v>
      </c>
      <c r="D309" s="298">
        <f t="shared" si="46"/>
        <v>0</v>
      </c>
      <c r="E309" s="299">
        <f t="shared" si="41"/>
        <v>0</v>
      </c>
      <c r="F309" s="299">
        <f t="shared" si="40"/>
        <v>0</v>
      </c>
      <c r="G309" s="299">
        <f t="shared" si="43"/>
        <v>0</v>
      </c>
      <c r="H309" s="298">
        <f t="shared" si="44"/>
        <v>0</v>
      </c>
      <c r="I309" s="294"/>
      <c r="O309" s="295">
        <f t="shared" si="42"/>
        <v>290</v>
      </c>
    </row>
    <row r="310" spans="1:15">
      <c r="A310" s="286"/>
      <c r="B310" s="296">
        <f t="shared" si="45"/>
        <v>291</v>
      </c>
      <c r="C310" s="297">
        <f t="shared" si="38"/>
        <v>0</v>
      </c>
      <c r="D310" s="298">
        <f t="shared" si="46"/>
        <v>0</v>
      </c>
      <c r="E310" s="299">
        <f t="shared" si="41"/>
        <v>0</v>
      </c>
      <c r="F310" s="299">
        <f t="shared" si="40"/>
        <v>0</v>
      </c>
      <c r="G310" s="299">
        <f t="shared" si="43"/>
        <v>0</v>
      </c>
      <c r="H310" s="298">
        <f t="shared" si="44"/>
        <v>0</v>
      </c>
      <c r="I310" s="294"/>
      <c r="O310" s="295">
        <f t="shared" si="42"/>
        <v>291</v>
      </c>
    </row>
    <row r="311" spans="1:15">
      <c r="A311" s="286"/>
      <c r="B311" s="296">
        <f t="shared" si="45"/>
        <v>292</v>
      </c>
      <c r="C311" s="297">
        <f t="shared" si="38"/>
        <v>0</v>
      </c>
      <c r="D311" s="298">
        <f t="shared" si="46"/>
        <v>0</v>
      </c>
      <c r="E311" s="299">
        <f t="shared" si="41"/>
        <v>0</v>
      </c>
      <c r="F311" s="299">
        <f t="shared" si="40"/>
        <v>0</v>
      </c>
      <c r="G311" s="299">
        <f t="shared" si="43"/>
        <v>0</v>
      </c>
      <c r="H311" s="298">
        <f t="shared" si="44"/>
        <v>0</v>
      </c>
      <c r="I311" s="294"/>
      <c r="O311" s="295">
        <f t="shared" si="42"/>
        <v>292</v>
      </c>
    </row>
    <row r="312" spans="1:15">
      <c r="A312" s="286"/>
      <c r="B312" s="296">
        <f t="shared" si="45"/>
        <v>293</v>
      </c>
      <c r="C312" s="297">
        <f t="shared" ref="C312:C375" si="47">IF(D312&gt;0,$F$7,0)</f>
        <v>0</v>
      </c>
      <c r="D312" s="298">
        <f t="shared" si="46"/>
        <v>0</v>
      </c>
      <c r="E312" s="299">
        <f t="shared" si="41"/>
        <v>0</v>
      </c>
      <c r="F312" s="299">
        <f t="shared" si="40"/>
        <v>0</v>
      </c>
      <c r="G312" s="299">
        <f t="shared" si="43"/>
        <v>0</v>
      </c>
      <c r="H312" s="298">
        <f t="shared" si="44"/>
        <v>0</v>
      </c>
      <c r="I312" s="294"/>
      <c r="O312" s="295">
        <f t="shared" si="42"/>
        <v>293</v>
      </c>
    </row>
    <row r="313" spans="1:15">
      <c r="A313" s="286"/>
      <c r="B313" s="296">
        <f t="shared" si="45"/>
        <v>294</v>
      </c>
      <c r="C313" s="297">
        <f t="shared" si="47"/>
        <v>0</v>
      </c>
      <c r="D313" s="298">
        <f t="shared" si="46"/>
        <v>0</v>
      </c>
      <c r="E313" s="299">
        <f t="shared" si="41"/>
        <v>0</v>
      </c>
      <c r="F313" s="299">
        <f t="shared" si="40"/>
        <v>0</v>
      </c>
      <c r="G313" s="299">
        <f t="shared" si="43"/>
        <v>0</v>
      </c>
      <c r="H313" s="298">
        <f t="shared" si="44"/>
        <v>0</v>
      </c>
      <c r="I313" s="294"/>
      <c r="O313" s="295">
        <f t="shared" si="42"/>
        <v>294</v>
      </c>
    </row>
    <row r="314" spans="1:15">
      <c r="A314" s="286"/>
      <c r="B314" s="296">
        <f t="shared" si="45"/>
        <v>295</v>
      </c>
      <c r="C314" s="297">
        <f t="shared" si="47"/>
        <v>0</v>
      </c>
      <c r="D314" s="298">
        <f t="shared" si="46"/>
        <v>0</v>
      </c>
      <c r="E314" s="299">
        <f t="shared" si="41"/>
        <v>0</v>
      </c>
      <c r="F314" s="299">
        <f t="shared" si="40"/>
        <v>0</v>
      </c>
      <c r="G314" s="299">
        <f t="shared" si="43"/>
        <v>0</v>
      </c>
      <c r="H314" s="298">
        <f t="shared" si="44"/>
        <v>0</v>
      </c>
      <c r="I314" s="294"/>
      <c r="O314" s="295">
        <f t="shared" si="42"/>
        <v>295</v>
      </c>
    </row>
    <row r="315" spans="1:15">
      <c r="A315" s="286"/>
      <c r="B315" s="296">
        <f t="shared" si="45"/>
        <v>296</v>
      </c>
      <c r="C315" s="297">
        <f t="shared" si="47"/>
        <v>0</v>
      </c>
      <c r="D315" s="298">
        <f t="shared" si="46"/>
        <v>0</v>
      </c>
      <c r="E315" s="299">
        <f t="shared" si="41"/>
        <v>0</v>
      </c>
      <c r="F315" s="299">
        <f t="shared" si="40"/>
        <v>0</v>
      </c>
      <c r="G315" s="299">
        <f t="shared" si="43"/>
        <v>0</v>
      </c>
      <c r="H315" s="298">
        <f t="shared" si="44"/>
        <v>0</v>
      </c>
      <c r="I315" s="294"/>
      <c r="O315" s="295">
        <f t="shared" si="42"/>
        <v>296</v>
      </c>
    </row>
    <row r="316" spans="1:15">
      <c r="A316" s="286"/>
      <c r="B316" s="296">
        <f t="shared" si="45"/>
        <v>297</v>
      </c>
      <c r="C316" s="297">
        <f t="shared" si="47"/>
        <v>0</v>
      </c>
      <c r="D316" s="298">
        <f t="shared" si="46"/>
        <v>0</v>
      </c>
      <c r="E316" s="299">
        <f t="shared" si="41"/>
        <v>0</v>
      </c>
      <c r="F316" s="299">
        <f t="shared" si="40"/>
        <v>0</v>
      </c>
      <c r="G316" s="299">
        <f t="shared" si="43"/>
        <v>0</v>
      </c>
      <c r="H316" s="298">
        <f t="shared" si="44"/>
        <v>0</v>
      </c>
      <c r="I316" s="294"/>
      <c r="O316" s="295">
        <f t="shared" si="42"/>
        <v>297</v>
      </c>
    </row>
    <row r="317" spans="1:15">
      <c r="A317" s="286"/>
      <c r="B317" s="296">
        <f t="shared" si="45"/>
        <v>298</v>
      </c>
      <c r="C317" s="297">
        <f t="shared" si="47"/>
        <v>0</v>
      </c>
      <c r="D317" s="298">
        <f t="shared" si="46"/>
        <v>0</v>
      </c>
      <c r="E317" s="299">
        <f t="shared" si="41"/>
        <v>0</v>
      </c>
      <c r="F317" s="299">
        <f t="shared" si="40"/>
        <v>0</v>
      </c>
      <c r="G317" s="299">
        <f t="shared" si="43"/>
        <v>0</v>
      </c>
      <c r="H317" s="298">
        <f t="shared" si="44"/>
        <v>0</v>
      </c>
      <c r="I317" s="294"/>
      <c r="O317" s="295">
        <f t="shared" si="42"/>
        <v>298</v>
      </c>
    </row>
    <row r="318" spans="1:15">
      <c r="A318" s="286"/>
      <c r="B318" s="296">
        <f t="shared" si="45"/>
        <v>299</v>
      </c>
      <c r="C318" s="297">
        <f t="shared" si="47"/>
        <v>0</v>
      </c>
      <c r="D318" s="298">
        <f t="shared" si="46"/>
        <v>0</v>
      </c>
      <c r="E318" s="299">
        <f t="shared" si="41"/>
        <v>0</v>
      </c>
      <c r="F318" s="299">
        <f t="shared" si="40"/>
        <v>0</v>
      </c>
      <c r="G318" s="299">
        <f t="shared" si="43"/>
        <v>0</v>
      </c>
      <c r="H318" s="298">
        <f t="shared" si="44"/>
        <v>0</v>
      </c>
      <c r="I318" s="294"/>
      <c r="O318" s="295">
        <f t="shared" si="42"/>
        <v>299</v>
      </c>
    </row>
    <row r="319" spans="1:15">
      <c r="A319" s="286"/>
      <c r="B319" s="300">
        <f t="shared" si="45"/>
        <v>300</v>
      </c>
      <c r="C319" s="301">
        <f t="shared" si="47"/>
        <v>0</v>
      </c>
      <c r="D319" s="302">
        <f t="shared" si="46"/>
        <v>0</v>
      </c>
      <c r="E319" s="303">
        <f t="shared" si="41"/>
        <v>0</v>
      </c>
      <c r="F319" s="303">
        <f t="shared" si="40"/>
        <v>0</v>
      </c>
      <c r="G319" s="303">
        <f t="shared" si="43"/>
        <v>0</v>
      </c>
      <c r="H319" s="302">
        <f t="shared" si="44"/>
        <v>0</v>
      </c>
      <c r="I319" s="304" t="e">
        <f>H319/$D$5</f>
        <v>#VALUE!</v>
      </c>
      <c r="J319" s="305"/>
      <c r="K319" s="305"/>
      <c r="L319" s="305"/>
      <c r="M319" s="305"/>
      <c r="N319" s="305"/>
      <c r="O319" s="306">
        <f t="shared" si="42"/>
        <v>300</v>
      </c>
    </row>
    <row r="320" spans="1:15">
      <c r="A320" s="286"/>
      <c r="B320" s="296">
        <f t="shared" si="45"/>
        <v>301</v>
      </c>
      <c r="C320" s="297">
        <f t="shared" si="47"/>
        <v>0</v>
      </c>
      <c r="D320" s="298">
        <f t="shared" si="46"/>
        <v>0</v>
      </c>
      <c r="E320" s="299">
        <f t="shared" si="41"/>
        <v>0</v>
      </c>
      <c r="F320" s="299">
        <f t="shared" si="40"/>
        <v>0</v>
      </c>
      <c r="G320" s="299">
        <f t="shared" si="43"/>
        <v>0</v>
      </c>
      <c r="H320" s="298">
        <f t="shared" si="44"/>
        <v>0</v>
      </c>
      <c r="I320" s="294"/>
      <c r="O320" s="295">
        <f t="shared" si="42"/>
        <v>301</v>
      </c>
    </row>
    <row r="321" spans="1:15">
      <c r="A321" s="286"/>
      <c r="B321" s="296">
        <f t="shared" si="45"/>
        <v>302</v>
      </c>
      <c r="C321" s="297">
        <f t="shared" si="47"/>
        <v>0</v>
      </c>
      <c r="D321" s="298">
        <f t="shared" si="46"/>
        <v>0</v>
      </c>
      <c r="E321" s="299">
        <f t="shared" si="41"/>
        <v>0</v>
      </c>
      <c r="F321" s="299">
        <f t="shared" si="40"/>
        <v>0</v>
      </c>
      <c r="G321" s="299">
        <f t="shared" si="43"/>
        <v>0</v>
      </c>
      <c r="H321" s="298">
        <f t="shared" si="44"/>
        <v>0</v>
      </c>
      <c r="I321" s="294"/>
      <c r="O321" s="295">
        <f t="shared" si="42"/>
        <v>302</v>
      </c>
    </row>
    <row r="322" spans="1:15">
      <c r="A322" s="286"/>
      <c r="B322" s="296">
        <f t="shared" si="45"/>
        <v>303</v>
      </c>
      <c r="C322" s="297">
        <f t="shared" si="47"/>
        <v>0</v>
      </c>
      <c r="D322" s="298">
        <f t="shared" si="46"/>
        <v>0</v>
      </c>
      <c r="E322" s="299">
        <f t="shared" si="41"/>
        <v>0</v>
      </c>
      <c r="F322" s="299">
        <f t="shared" si="40"/>
        <v>0</v>
      </c>
      <c r="G322" s="299">
        <f t="shared" si="43"/>
        <v>0</v>
      </c>
      <c r="H322" s="298">
        <f t="shared" si="44"/>
        <v>0</v>
      </c>
      <c r="I322" s="294"/>
      <c r="O322" s="295">
        <f t="shared" si="42"/>
        <v>303</v>
      </c>
    </row>
    <row r="323" spans="1:15">
      <c r="A323" s="286"/>
      <c r="B323" s="296">
        <f t="shared" si="45"/>
        <v>304</v>
      </c>
      <c r="C323" s="297">
        <f t="shared" si="47"/>
        <v>0</v>
      </c>
      <c r="D323" s="298">
        <f t="shared" si="46"/>
        <v>0</v>
      </c>
      <c r="E323" s="299">
        <f t="shared" si="41"/>
        <v>0</v>
      </c>
      <c r="F323" s="299">
        <f t="shared" si="40"/>
        <v>0</v>
      </c>
      <c r="G323" s="299">
        <f t="shared" si="43"/>
        <v>0</v>
      </c>
      <c r="H323" s="298">
        <f t="shared" si="44"/>
        <v>0</v>
      </c>
      <c r="I323" s="294"/>
      <c r="O323" s="295">
        <f t="shared" si="42"/>
        <v>304</v>
      </c>
    </row>
    <row r="324" spans="1:15">
      <c r="A324" s="286"/>
      <c r="B324" s="296">
        <f t="shared" si="45"/>
        <v>305</v>
      </c>
      <c r="C324" s="297">
        <f t="shared" si="47"/>
        <v>0</v>
      </c>
      <c r="D324" s="298">
        <f t="shared" si="46"/>
        <v>0</v>
      </c>
      <c r="E324" s="299">
        <f t="shared" si="41"/>
        <v>0</v>
      </c>
      <c r="F324" s="299">
        <f t="shared" si="40"/>
        <v>0</v>
      </c>
      <c r="G324" s="299">
        <f t="shared" si="43"/>
        <v>0</v>
      </c>
      <c r="H324" s="298">
        <f t="shared" si="44"/>
        <v>0</v>
      </c>
      <c r="I324" s="294"/>
      <c r="O324" s="295">
        <f t="shared" si="42"/>
        <v>305</v>
      </c>
    </row>
    <row r="325" spans="1:15">
      <c r="A325" s="286"/>
      <c r="B325" s="296">
        <f t="shared" si="45"/>
        <v>306</v>
      </c>
      <c r="C325" s="297">
        <f t="shared" si="47"/>
        <v>0</v>
      </c>
      <c r="D325" s="298">
        <f t="shared" si="46"/>
        <v>0</v>
      </c>
      <c r="E325" s="299">
        <f t="shared" si="41"/>
        <v>0</v>
      </c>
      <c r="F325" s="299">
        <f t="shared" si="40"/>
        <v>0</v>
      </c>
      <c r="G325" s="299">
        <f t="shared" si="43"/>
        <v>0</v>
      </c>
      <c r="H325" s="298">
        <f t="shared" si="44"/>
        <v>0</v>
      </c>
      <c r="I325" s="294"/>
      <c r="O325" s="295">
        <f t="shared" si="42"/>
        <v>306</v>
      </c>
    </row>
    <row r="326" spans="1:15">
      <c r="A326" s="286"/>
      <c r="B326" s="296">
        <f t="shared" si="45"/>
        <v>307</v>
      </c>
      <c r="C326" s="297">
        <f t="shared" si="47"/>
        <v>0</v>
      </c>
      <c r="D326" s="298">
        <f t="shared" si="46"/>
        <v>0</v>
      </c>
      <c r="E326" s="299">
        <f t="shared" si="41"/>
        <v>0</v>
      </c>
      <c r="F326" s="299">
        <f t="shared" si="40"/>
        <v>0</v>
      </c>
      <c r="G326" s="299">
        <f t="shared" si="43"/>
        <v>0</v>
      </c>
      <c r="H326" s="298">
        <f t="shared" si="44"/>
        <v>0</v>
      </c>
      <c r="I326" s="294"/>
      <c r="O326" s="295">
        <f t="shared" si="42"/>
        <v>307</v>
      </c>
    </row>
    <row r="327" spans="1:15">
      <c r="A327" s="286"/>
      <c r="B327" s="296">
        <f t="shared" si="45"/>
        <v>308</v>
      </c>
      <c r="C327" s="297">
        <f t="shared" si="47"/>
        <v>0</v>
      </c>
      <c r="D327" s="298">
        <f t="shared" si="46"/>
        <v>0</v>
      </c>
      <c r="E327" s="299">
        <f t="shared" si="41"/>
        <v>0</v>
      </c>
      <c r="F327" s="299">
        <f t="shared" si="40"/>
        <v>0</v>
      </c>
      <c r="G327" s="299">
        <f t="shared" si="43"/>
        <v>0</v>
      </c>
      <c r="H327" s="298">
        <f t="shared" si="44"/>
        <v>0</v>
      </c>
      <c r="I327" s="294"/>
      <c r="O327" s="295">
        <f t="shared" si="42"/>
        <v>308</v>
      </c>
    </row>
    <row r="328" spans="1:15">
      <c r="A328" s="286"/>
      <c r="B328" s="296">
        <f t="shared" si="45"/>
        <v>309</v>
      </c>
      <c r="C328" s="297">
        <f t="shared" si="47"/>
        <v>0</v>
      </c>
      <c r="D328" s="298">
        <f t="shared" si="46"/>
        <v>0</v>
      </c>
      <c r="E328" s="299">
        <f t="shared" si="41"/>
        <v>0</v>
      </c>
      <c r="F328" s="299">
        <f t="shared" si="40"/>
        <v>0</v>
      </c>
      <c r="G328" s="299">
        <f t="shared" si="43"/>
        <v>0</v>
      </c>
      <c r="H328" s="298">
        <f t="shared" si="44"/>
        <v>0</v>
      </c>
      <c r="I328" s="294"/>
      <c r="O328" s="295">
        <f t="shared" si="42"/>
        <v>309</v>
      </c>
    </row>
    <row r="329" spans="1:15">
      <c r="A329" s="286"/>
      <c r="B329" s="296">
        <f t="shared" si="45"/>
        <v>310</v>
      </c>
      <c r="C329" s="297">
        <f t="shared" si="47"/>
        <v>0</v>
      </c>
      <c r="D329" s="298">
        <f t="shared" si="46"/>
        <v>0</v>
      </c>
      <c r="E329" s="299">
        <f t="shared" si="41"/>
        <v>0</v>
      </c>
      <c r="F329" s="299">
        <f t="shared" si="40"/>
        <v>0</v>
      </c>
      <c r="G329" s="299">
        <f t="shared" si="43"/>
        <v>0</v>
      </c>
      <c r="H329" s="298">
        <f t="shared" si="44"/>
        <v>0</v>
      </c>
      <c r="I329" s="294"/>
      <c r="O329" s="295">
        <f t="shared" si="42"/>
        <v>310</v>
      </c>
    </row>
    <row r="330" spans="1:15">
      <c r="A330" s="286"/>
      <c r="B330" s="296">
        <f t="shared" si="45"/>
        <v>311</v>
      </c>
      <c r="C330" s="297">
        <f t="shared" si="47"/>
        <v>0</v>
      </c>
      <c r="D330" s="298">
        <f t="shared" si="46"/>
        <v>0</v>
      </c>
      <c r="E330" s="299">
        <f t="shared" si="41"/>
        <v>0</v>
      </c>
      <c r="F330" s="299">
        <f t="shared" si="40"/>
        <v>0</v>
      </c>
      <c r="G330" s="299">
        <f t="shared" si="43"/>
        <v>0</v>
      </c>
      <c r="H330" s="298">
        <f t="shared" si="44"/>
        <v>0</v>
      </c>
      <c r="I330" s="294"/>
      <c r="O330" s="295">
        <f t="shared" si="42"/>
        <v>311</v>
      </c>
    </row>
    <row r="331" spans="1:15">
      <c r="A331" s="286"/>
      <c r="B331" s="300">
        <f t="shared" si="45"/>
        <v>312</v>
      </c>
      <c r="C331" s="301">
        <f t="shared" si="47"/>
        <v>0</v>
      </c>
      <c r="D331" s="302">
        <f t="shared" si="46"/>
        <v>0</v>
      </c>
      <c r="E331" s="303">
        <f t="shared" si="41"/>
        <v>0</v>
      </c>
      <c r="F331" s="303">
        <f t="shared" si="40"/>
        <v>0</v>
      </c>
      <c r="G331" s="303">
        <f t="shared" si="43"/>
        <v>0</v>
      </c>
      <c r="H331" s="302">
        <f t="shared" si="44"/>
        <v>0</v>
      </c>
      <c r="I331" s="304" t="e">
        <f>H331/$D$5</f>
        <v>#VALUE!</v>
      </c>
      <c r="J331" s="305"/>
      <c r="K331" s="305"/>
      <c r="L331" s="305"/>
      <c r="M331" s="305"/>
      <c r="N331" s="305"/>
      <c r="O331" s="306">
        <f t="shared" si="42"/>
        <v>312</v>
      </c>
    </row>
    <row r="332" spans="1:15">
      <c r="A332" s="286"/>
      <c r="B332" s="296">
        <f t="shared" si="45"/>
        <v>313</v>
      </c>
      <c r="C332" s="297">
        <f t="shared" si="47"/>
        <v>0</v>
      </c>
      <c r="D332" s="298">
        <f t="shared" si="46"/>
        <v>0</v>
      </c>
      <c r="E332" s="299">
        <f t="shared" si="41"/>
        <v>0</v>
      </c>
      <c r="F332" s="299">
        <f t="shared" si="40"/>
        <v>0</v>
      </c>
      <c r="G332" s="299">
        <f t="shared" si="43"/>
        <v>0</v>
      </c>
      <c r="H332" s="298">
        <f t="shared" si="44"/>
        <v>0</v>
      </c>
      <c r="I332" s="294"/>
      <c r="O332" s="295">
        <f t="shared" si="42"/>
        <v>313</v>
      </c>
    </row>
    <row r="333" spans="1:15">
      <c r="A333" s="286"/>
      <c r="B333" s="296">
        <f t="shared" si="45"/>
        <v>314</v>
      </c>
      <c r="C333" s="297">
        <f t="shared" si="47"/>
        <v>0</v>
      </c>
      <c r="D333" s="298">
        <f t="shared" si="46"/>
        <v>0</v>
      </c>
      <c r="E333" s="299">
        <f t="shared" si="41"/>
        <v>0</v>
      </c>
      <c r="F333" s="299">
        <f t="shared" si="40"/>
        <v>0</v>
      </c>
      <c r="G333" s="299">
        <f t="shared" si="43"/>
        <v>0</v>
      </c>
      <c r="H333" s="298">
        <f t="shared" si="44"/>
        <v>0</v>
      </c>
      <c r="I333" s="294"/>
      <c r="O333" s="295">
        <f t="shared" si="42"/>
        <v>314</v>
      </c>
    </row>
    <row r="334" spans="1:15">
      <c r="A334" s="286"/>
      <c r="B334" s="296">
        <f t="shared" si="45"/>
        <v>315</v>
      </c>
      <c r="C334" s="297">
        <f t="shared" si="47"/>
        <v>0</v>
      </c>
      <c r="D334" s="298">
        <f t="shared" si="46"/>
        <v>0</v>
      </c>
      <c r="E334" s="299">
        <f t="shared" si="41"/>
        <v>0</v>
      </c>
      <c r="F334" s="299">
        <f t="shared" si="40"/>
        <v>0</v>
      </c>
      <c r="G334" s="299">
        <f t="shared" si="43"/>
        <v>0</v>
      </c>
      <c r="H334" s="298">
        <f t="shared" si="44"/>
        <v>0</v>
      </c>
      <c r="I334" s="294"/>
      <c r="O334" s="295">
        <f t="shared" si="42"/>
        <v>315</v>
      </c>
    </row>
    <row r="335" spans="1:15">
      <c r="A335" s="286"/>
      <c r="B335" s="296">
        <f t="shared" si="45"/>
        <v>316</v>
      </c>
      <c r="C335" s="297">
        <f t="shared" si="47"/>
        <v>0</v>
      </c>
      <c r="D335" s="298">
        <f t="shared" si="46"/>
        <v>0</v>
      </c>
      <c r="E335" s="299">
        <f t="shared" si="41"/>
        <v>0</v>
      </c>
      <c r="F335" s="299">
        <f t="shared" si="40"/>
        <v>0</v>
      </c>
      <c r="G335" s="299">
        <f t="shared" si="43"/>
        <v>0</v>
      </c>
      <c r="H335" s="298">
        <f t="shared" si="44"/>
        <v>0</v>
      </c>
      <c r="I335" s="294"/>
      <c r="O335" s="295">
        <f t="shared" si="42"/>
        <v>316</v>
      </c>
    </row>
    <row r="336" spans="1:15">
      <c r="A336" s="286"/>
      <c r="B336" s="296">
        <f t="shared" si="45"/>
        <v>317</v>
      </c>
      <c r="C336" s="297">
        <f t="shared" si="47"/>
        <v>0</v>
      </c>
      <c r="D336" s="298">
        <f t="shared" si="46"/>
        <v>0</v>
      </c>
      <c r="E336" s="299">
        <f t="shared" si="41"/>
        <v>0</v>
      </c>
      <c r="F336" s="299">
        <f t="shared" si="40"/>
        <v>0</v>
      </c>
      <c r="G336" s="299">
        <f t="shared" si="43"/>
        <v>0</v>
      </c>
      <c r="H336" s="298">
        <f t="shared" si="44"/>
        <v>0</v>
      </c>
      <c r="I336" s="294"/>
      <c r="O336" s="295">
        <f t="shared" si="42"/>
        <v>317</v>
      </c>
    </row>
    <row r="337" spans="1:15">
      <c r="A337" s="286"/>
      <c r="B337" s="296">
        <f t="shared" si="45"/>
        <v>318</v>
      </c>
      <c r="C337" s="297">
        <f t="shared" si="47"/>
        <v>0</v>
      </c>
      <c r="D337" s="298">
        <f t="shared" si="46"/>
        <v>0</v>
      </c>
      <c r="E337" s="299">
        <f t="shared" si="41"/>
        <v>0</v>
      </c>
      <c r="F337" s="299">
        <f t="shared" ref="F337:F400" si="48">E337-G337</f>
        <v>0</v>
      </c>
      <c r="G337" s="299">
        <f t="shared" si="43"/>
        <v>0</v>
      </c>
      <c r="H337" s="298">
        <f t="shared" si="44"/>
        <v>0</v>
      </c>
      <c r="I337" s="294"/>
      <c r="O337" s="295">
        <f t="shared" si="42"/>
        <v>318</v>
      </c>
    </row>
    <row r="338" spans="1:15">
      <c r="A338" s="286"/>
      <c r="B338" s="296">
        <f t="shared" si="45"/>
        <v>319</v>
      </c>
      <c r="C338" s="297">
        <f t="shared" si="47"/>
        <v>0</v>
      </c>
      <c r="D338" s="298">
        <f t="shared" si="46"/>
        <v>0</v>
      </c>
      <c r="E338" s="299">
        <f t="shared" si="41"/>
        <v>0</v>
      </c>
      <c r="F338" s="299">
        <f t="shared" si="48"/>
        <v>0</v>
      </c>
      <c r="G338" s="299">
        <f t="shared" si="43"/>
        <v>0</v>
      </c>
      <c r="H338" s="298">
        <f t="shared" si="44"/>
        <v>0</v>
      </c>
      <c r="I338" s="294"/>
      <c r="O338" s="295">
        <f t="shared" si="42"/>
        <v>319</v>
      </c>
    </row>
    <row r="339" spans="1:15">
      <c r="A339" s="286"/>
      <c r="B339" s="296">
        <f t="shared" si="45"/>
        <v>320</v>
      </c>
      <c r="C339" s="297">
        <f t="shared" si="47"/>
        <v>0</v>
      </c>
      <c r="D339" s="298">
        <f t="shared" si="46"/>
        <v>0</v>
      </c>
      <c r="E339" s="299">
        <f t="shared" ref="E339:E402" si="49">IF(H338&lt;=E338,H338+G339,$H$10)</f>
        <v>0</v>
      </c>
      <c r="F339" s="299">
        <f t="shared" si="48"/>
        <v>0</v>
      </c>
      <c r="G339" s="299">
        <f t="shared" si="43"/>
        <v>0</v>
      </c>
      <c r="H339" s="298">
        <f t="shared" si="44"/>
        <v>0</v>
      </c>
      <c r="I339" s="294"/>
      <c r="O339" s="295">
        <f t="shared" si="42"/>
        <v>320</v>
      </c>
    </row>
    <row r="340" spans="1:15">
      <c r="A340" s="286"/>
      <c r="B340" s="296">
        <f t="shared" si="45"/>
        <v>321</v>
      </c>
      <c r="C340" s="297">
        <f t="shared" si="47"/>
        <v>0</v>
      </c>
      <c r="D340" s="298">
        <f t="shared" si="46"/>
        <v>0</v>
      </c>
      <c r="E340" s="299">
        <f t="shared" si="49"/>
        <v>0</v>
      </c>
      <c r="F340" s="299">
        <f t="shared" si="48"/>
        <v>0</v>
      </c>
      <c r="G340" s="299">
        <f t="shared" si="43"/>
        <v>0</v>
      </c>
      <c r="H340" s="298">
        <f t="shared" si="44"/>
        <v>0</v>
      </c>
      <c r="I340" s="294"/>
      <c r="O340" s="295">
        <f t="shared" ref="O340:O379" si="50">IF(H340=0,B340,"n.a.")</f>
        <v>321</v>
      </c>
    </row>
    <row r="341" spans="1:15">
      <c r="A341" s="286"/>
      <c r="B341" s="296">
        <f t="shared" si="45"/>
        <v>322</v>
      </c>
      <c r="C341" s="297">
        <f t="shared" si="47"/>
        <v>0</v>
      </c>
      <c r="D341" s="298">
        <f t="shared" si="46"/>
        <v>0</v>
      </c>
      <c r="E341" s="299">
        <f t="shared" si="49"/>
        <v>0</v>
      </c>
      <c r="F341" s="299">
        <f t="shared" si="48"/>
        <v>0</v>
      </c>
      <c r="G341" s="299">
        <f t="shared" ref="G341:G404" si="51">C341*(D341/365)*30</f>
        <v>0</v>
      </c>
      <c r="H341" s="298">
        <f t="shared" ref="H341:H404" si="52">IF((D341+G341-E341)&lt;0,0,D341+G341-E341)</f>
        <v>0</v>
      </c>
      <c r="I341" s="294"/>
      <c r="O341" s="295">
        <f t="shared" si="50"/>
        <v>322</v>
      </c>
    </row>
    <row r="342" spans="1:15">
      <c r="A342" s="286"/>
      <c r="B342" s="296">
        <f t="shared" ref="B342:B405" si="53">B341+1</f>
        <v>323</v>
      </c>
      <c r="C342" s="297">
        <f t="shared" si="47"/>
        <v>0</v>
      </c>
      <c r="D342" s="298">
        <f t="shared" ref="D342:D405" si="54">H341</f>
        <v>0</v>
      </c>
      <c r="E342" s="299">
        <f t="shared" si="49"/>
        <v>0</v>
      </c>
      <c r="F342" s="299">
        <f t="shared" si="48"/>
        <v>0</v>
      </c>
      <c r="G342" s="299">
        <f t="shared" si="51"/>
        <v>0</v>
      </c>
      <c r="H342" s="298">
        <f t="shared" si="52"/>
        <v>0</v>
      </c>
      <c r="I342" s="294"/>
      <c r="O342" s="295">
        <f t="shared" si="50"/>
        <v>323</v>
      </c>
    </row>
    <row r="343" spans="1:15">
      <c r="A343" s="286"/>
      <c r="B343" s="300">
        <f t="shared" si="53"/>
        <v>324</v>
      </c>
      <c r="C343" s="301">
        <f t="shared" si="47"/>
        <v>0</v>
      </c>
      <c r="D343" s="302">
        <f t="shared" si="54"/>
        <v>0</v>
      </c>
      <c r="E343" s="303">
        <f t="shared" si="49"/>
        <v>0</v>
      </c>
      <c r="F343" s="303">
        <f t="shared" si="48"/>
        <v>0</v>
      </c>
      <c r="G343" s="303">
        <f t="shared" si="51"/>
        <v>0</v>
      </c>
      <c r="H343" s="302">
        <f t="shared" si="52"/>
        <v>0</v>
      </c>
      <c r="I343" s="304" t="e">
        <f>H343/$D$5</f>
        <v>#VALUE!</v>
      </c>
      <c r="J343" s="305"/>
      <c r="K343" s="305"/>
      <c r="L343" s="305"/>
      <c r="M343" s="305"/>
      <c r="N343" s="305"/>
      <c r="O343" s="306">
        <f t="shared" si="50"/>
        <v>324</v>
      </c>
    </row>
    <row r="344" spans="1:15">
      <c r="A344" s="286"/>
      <c r="B344" s="296">
        <f t="shared" si="53"/>
        <v>325</v>
      </c>
      <c r="C344" s="297">
        <f t="shared" si="47"/>
        <v>0</v>
      </c>
      <c r="D344" s="298">
        <f t="shared" si="54"/>
        <v>0</v>
      </c>
      <c r="E344" s="299">
        <f t="shared" si="49"/>
        <v>0</v>
      </c>
      <c r="F344" s="299">
        <f t="shared" si="48"/>
        <v>0</v>
      </c>
      <c r="G344" s="299">
        <f t="shared" si="51"/>
        <v>0</v>
      </c>
      <c r="H344" s="298">
        <f t="shared" si="52"/>
        <v>0</v>
      </c>
      <c r="I344" s="294"/>
      <c r="O344" s="295">
        <f t="shared" si="50"/>
        <v>325</v>
      </c>
    </row>
    <row r="345" spans="1:15">
      <c r="A345" s="286"/>
      <c r="B345" s="296">
        <f t="shared" si="53"/>
        <v>326</v>
      </c>
      <c r="C345" s="297">
        <f t="shared" si="47"/>
        <v>0</v>
      </c>
      <c r="D345" s="298">
        <f t="shared" si="54"/>
        <v>0</v>
      </c>
      <c r="E345" s="299">
        <f t="shared" si="49"/>
        <v>0</v>
      </c>
      <c r="F345" s="299">
        <f t="shared" si="48"/>
        <v>0</v>
      </c>
      <c r="G345" s="299">
        <f t="shared" si="51"/>
        <v>0</v>
      </c>
      <c r="H345" s="298">
        <f t="shared" si="52"/>
        <v>0</v>
      </c>
      <c r="I345" s="294"/>
      <c r="O345" s="295">
        <f t="shared" si="50"/>
        <v>326</v>
      </c>
    </row>
    <row r="346" spans="1:15">
      <c r="A346" s="286"/>
      <c r="B346" s="296">
        <f t="shared" si="53"/>
        <v>327</v>
      </c>
      <c r="C346" s="297">
        <f t="shared" si="47"/>
        <v>0</v>
      </c>
      <c r="D346" s="298">
        <f t="shared" si="54"/>
        <v>0</v>
      </c>
      <c r="E346" s="299">
        <f t="shared" si="49"/>
        <v>0</v>
      </c>
      <c r="F346" s="299">
        <f t="shared" si="48"/>
        <v>0</v>
      </c>
      <c r="G346" s="299">
        <f t="shared" si="51"/>
        <v>0</v>
      </c>
      <c r="H346" s="298">
        <f t="shared" si="52"/>
        <v>0</v>
      </c>
      <c r="I346" s="294"/>
      <c r="O346" s="295">
        <f t="shared" si="50"/>
        <v>327</v>
      </c>
    </row>
    <row r="347" spans="1:15">
      <c r="A347" s="286"/>
      <c r="B347" s="296">
        <f t="shared" si="53"/>
        <v>328</v>
      </c>
      <c r="C347" s="297">
        <f t="shared" si="47"/>
        <v>0</v>
      </c>
      <c r="D347" s="298">
        <f t="shared" si="54"/>
        <v>0</v>
      </c>
      <c r="E347" s="299">
        <f t="shared" si="49"/>
        <v>0</v>
      </c>
      <c r="F347" s="299">
        <f t="shared" si="48"/>
        <v>0</v>
      </c>
      <c r="G347" s="299">
        <f t="shared" si="51"/>
        <v>0</v>
      </c>
      <c r="H347" s="298">
        <f t="shared" si="52"/>
        <v>0</v>
      </c>
      <c r="I347" s="294"/>
      <c r="O347" s="295">
        <f t="shared" si="50"/>
        <v>328</v>
      </c>
    </row>
    <row r="348" spans="1:15">
      <c r="A348" s="286"/>
      <c r="B348" s="296">
        <f t="shared" si="53"/>
        <v>329</v>
      </c>
      <c r="C348" s="297">
        <f t="shared" si="47"/>
        <v>0</v>
      </c>
      <c r="D348" s="298">
        <f t="shared" si="54"/>
        <v>0</v>
      </c>
      <c r="E348" s="299">
        <f t="shared" si="49"/>
        <v>0</v>
      </c>
      <c r="F348" s="299">
        <f t="shared" si="48"/>
        <v>0</v>
      </c>
      <c r="G348" s="299">
        <f t="shared" si="51"/>
        <v>0</v>
      </c>
      <c r="H348" s="298">
        <f t="shared" si="52"/>
        <v>0</v>
      </c>
      <c r="I348" s="294"/>
      <c r="O348" s="295">
        <f t="shared" si="50"/>
        <v>329</v>
      </c>
    </row>
    <row r="349" spans="1:15">
      <c r="A349" s="286"/>
      <c r="B349" s="296">
        <f t="shared" si="53"/>
        <v>330</v>
      </c>
      <c r="C349" s="297">
        <f t="shared" si="47"/>
        <v>0</v>
      </c>
      <c r="D349" s="298">
        <f t="shared" si="54"/>
        <v>0</v>
      </c>
      <c r="E349" s="299">
        <f t="shared" si="49"/>
        <v>0</v>
      </c>
      <c r="F349" s="299">
        <f t="shared" si="48"/>
        <v>0</v>
      </c>
      <c r="G349" s="299">
        <f t="shared" si="51"/>
        <v>0</v>
      </c>
      <c r="H349" s="298">
        <f t="shared" si="52"/>
        <v>0</v>
      </c>
      <c r="I349" s="294"/>
      <c r="O349" s="295">
        <f t="shared" si="50"/>
        <v>330</v>
      </c>
    </row>
    <row r="350" spans="1:15">
      <c r="A350" s="286"/>
      <c r="B350" s="296">
        <f t="shared" si="53"/>
        <v>331</v>
      </c>
      <c r="C350" s="307">
        <f t="shared" si="47"/>
        <v>0</v>
      </c>
      <c r="D350" s="298">
        <f t="shared" si="54"/>
        <v>0</v>
      </c>
      <c r="E350" s="299">
        <f t="shared" si="49"/>
        <v>0</v>
      </c>
      <c r="F350" s="299">
        <f t="shared" si="48"/>
        <v>0</v>
      </c>
      <c r="G350" s="299">
        <f t="shared" si="51"/>
        <v>0</v>
      </c>
      <c r="H350" s="298">
        <f t="shared" si="52"/>
        <v>0</v>
      </c>
      <c r="I350" s="294"/>
      <c r="O350" s="295">
        <f t="shared" si="50"/>
        <v>331</v>
      </c>
    </row>
    <row r="351" spans="1:15">
      <c r="A351" s="286"/>
      <c r="B351" s="296">
        <f t="shared" si="53"/>
        <v>332</v>
      </c>
      <c r="C351" s="307">
        <f t="shared" si="47"/>
        <v>0</v>
      </c>
      <c r="D351" s="298">
        <f t="shared" si="54"/>
        <v>0</v>
      </c>
      <c r="E351" s="299">
        <f t="shared" si="49"/>
        <v>0</v>
      </c>
      <c r="F351" s="299">
        <f t="shared" si="48"/>
        <v>0</v>
      </c>
      <c r="G351" s="299">
        <f t="shared" si="51"/>
        <v>0</v>
      </c>
      <c r="H351" s="298">
        <f t="shared" si="52"/>
        <v>0</v>
      </c>
      <c r="I351" s="294"/>
      <c r="O351" s="295">
        <f t="shared" si="50"/>
        <v>332</v>
      </c>
    </row>
    <row r="352" spans="1:15">
      <c r="A352" s="286"/>
      <c r="B352" s="296">
        <f t="shared" si="53"/>
        <v>333</v>
      </c>
      <c r="C352" s="307">
        <f t="shared" si="47"/>
        <v>0</v>
      </c>
      <c r="D352" s="298">
        <f t="shared" si="54"/>
        <v>0</v>
      </c>
      <c r="E352" s="299">
        <f t="shared" si="49"/>
        <v>0</v>
      </c>
      <c r="F352" s="299">
        <f t="shared" si="48"/>
        <v>0</v>
      </c>
      <c r="G352" s="299">
        <f t="shared" si="51"/>
        <v>0</v>
      </c>
      <c r="H352" s="298">
        <f t="shared" si="52"/>
        <v>0</v>
      </c>
      <c r="I352" s="294"/>
      <c r="O352" s="295">
        <f t="shared" si="50"/>
        <v>333</v>
      </c>
    </row>
    <row r="353" spans="1:15">
      <c r="A353" s="286"/>
      <c r="B353" s="296">
        <f t="shared" si="53"/>
        <v>334</v>
      </c>
      <c r="C353" s="307">
        <f t="shared" si="47"/>
        <v>0</v>
      </c>
      <c r="D353" s="298">
        <f t="shared" si="54"/>
        <v>0</v>
      </c>
      <c r="E353" s="299">
        <f t="shared" si="49"/>
        <v>0</v>
      </c>
      <c r="F353" s="299">
        <f t="shared" si="48"/>
        <v>0</v>
      </c>
      <c r="G353" s="299">
        <f t="shared" si="51"/>
        <v>0</v>
      </c>
      <c r="H353" s="298">
        <f t="shared" si="52"/>
        <v>0</v>
      </c>
      <c r="I353" s="294"/>
      <c r="O353" s="295">
        <f t="shared" si="50"/>
        <v>334</v>
      </c>
    </row>
    <row r="354" spans="1:15">
      <c r="A354" s="286"/>
      <c r="B354" s="296">
        <f t="shared" si="53"/>
        <v>335</v>
      </c>
      <c r="C354" s="307">
        <f t="shared" si="47"/>
        <v>0</v>
      </c>
      <c r="D354" s="298">
        <f t="shared" si="54"/>
        <v>0</v>
      </c>
      <c r="E354" s="299">
        <f t="shared" si="49"/>
        <v>0</v>
      </c>
      <c r="F354" s="299">
        <f t="shared" si="48"/>
        <v>0</v>
      </c>
      <c r="G354" s="299">
        <f t="shared" si="51"/>
        <v>0</v>
      </c>
      <c r="H354" s="298">
        <f t="shared" si="52"/>
        <v>0</v>
      </c>
      <c r="I354" s="294"/>
      <c r="O354" s="295">
        <f t="shared" si="50"/>
        <v>335</v>
      </c>
    </row>
    <row r="355" spans="1:15">
      <c r="A355" s="286"/>
      <c r="B355" s="300">
        <f t="shared" si="53"/>
        <v>336</v>
      </c>
      <c r="C355" s="308">
        <f t="shared" si="47"/>
        <v>0</v>
      </c>
      <c r="D355" s="302">
        <f t="shared" si="54"/>
        <v>0</v>
      </c>
      <c r="E355" s="303">
        <f t="shared" si="49"/>
        <v>0</v>
      </c>
      <c r="F355" s="303">
        <f t="shared" si="48"/>
        <v>0</v>
      </c>
      <c r="G355" s="303">
        <f t="shared" si="51"/>
        <v>0</v>
      </c>
      <c r="H355" s="302">
        <f t="shared" si="52"/>
        <v>0</v>
      </c>
      <c r="I355" s="304" t="e">
        <f>H355/$D$5</f>
        <v>#VALUE!</v>
      </c>
      <c r="J355" s="305"/>
      <c r="K355" s="305"/>
      <c r="L355" s="305"/>
      <c r="M355" s="305"/>
      <c r="N355" s="305"/>
      <c r="O355" s="306">
        <f t="shared" si="50"/>
        <v>336</v>
      </c>
    </row>
    <row r="356" spans="1:15">
      <c r="A356" s="286"/>
      <c r="B356" s="296">
        <f t="shared" si="53"/>
        <v>337</v>
      </c>
      <c r="C356" s="307">
        <f t="shared" si="47"/>
        <v>0</v>
      </c>
      <c r="D356" s="298">
        <f t="shared" si="54"/>
        <v>0</v>
      </c>
      <c r="E356" s="299">
        <f t="shared" si="49"/>
        <v>0</v>
      </c>
      <c r="F356" s="299">
        <f t="shared" si="48"/>
        <v>0</v>
      </c>
      <c r="G356" s="299">
        <f t="shared" si="51"/>
        <v>0</v>
      </c>
      <c r="H356" s="298">
        <f t="shared" si="52"/>
        <v>0</v>
      </c>
      <c r="I356" s="294"/>
      <c r="O356" s="295">
        <f t="shared" si="50"/>
        <v>337</v>
      </c>
    </row>
    <row r="357" spans="1:15">
      <c r="A357" s="286"/>
      <c r="B357" s="296">
        <f t="shared" si="53"/>
        <v>338</v>
      </c>
      <c r="C357" s="307">
        <f t="shared" si="47"/>
        <v>0</v>
      </c>
      <c r="D357" s="298">
        <f t="shared" si="54"/>
        <v>0</v>
      </c>
      <c r="E357" s="299">
        <f t="shared" si="49"/>
        <v>0</v>
      </c>
      <c r="F357" s="299">
        <f t="shared" si="48"/>
        <v>0</v>
      </c>
      <c r="G357" s="299">
        <f t="shared" si="51"/>
        <v>0</v>
      </c>
      <c r="H357" s="298">
        <f t="shared" si="52"/>
        <v>0</v>
      </c>
      <c r="I357" s="294"/>
      <c r="O357" s="295">
        <f t="shared" si="50"/>
        <v>338</v>
      </c>
    </row>
    <row r="358" spans="1:15">
      <c r="A358" s="286"/>
      <c r="B358" s="296">
        <f t="shared" si="53"/>
        <v>339</v>
      </c>
      <c r="C358" s="307">
        <f t="shared" si="47"/>
        <v>0</v>
      </c>
      <c r="D358" s="298">
        <f t="shared" si="54"/>
        <v>0</v>
      </c>
      <c r="E358" s="299">
        <f t="shared" si="49"/>
        <v>0</v>
      </c>
      <c r="F358" s="299">
        <f t="shared" si="48"/>
        <v>0</v>
      </c>
      <c r="G358" s="299">
        <f t="shared" si="51"/>
        <v>0</v>
      </c>
      <c r="H358" s="298">
        <f t="shared" si="52"/>
        <v>0</v>
      </c>
      <c r="I358" s="294"/>
      <c r="O358" s="295">
        <f t="shared" si="50"/>
        <v>339</v>
      </c>
    </row>
    <row r="359" spans="1:15">
      <c r="A359" s="286"/>
      <c r="B359" s="296">
        <f t="shared" si="53"/>
        <v>340</v>
      </c>
      <c r="C359" s="307">
        <f t="shared" si="47"/>
        <v>0</v>
      </c>
      <c r="D359" s="298">
        <f t="shared" si="54"/>
        <v>0</v>
      </c>
      <c r="E359" s="299">
        <f t="shared" si="49"/>
        <v>0</v>
      </c>
      <c r="F359" s="299">
        <f t="shared" si="48"/>
        <v>0</v>
      </c>
      <c r="G359" s="299">
        <f t="shared" si="51"/>
        <v>0</v>
      </c>
      <c r="H359" s="298">
        <f t="shared" si="52"/>
        <v>0</v>
      </c>
      <c r="I359" s="294"/>
      <c r="O359" s="295">
        <f t="shared" si="50"/>
        <v>340</v>
      </c>
    </row>
    <row r="360" spans="1:15">
      <c r="A360" s="286"/>
      <c r="B360" s="296">
        <f t="shared" si="53"/>
        <v>341</v>
      </c>
      <c r="C360" s="307">
        <f t="shared" si="47"/>
        <v>0</v>
      </c>
      <c r="D360" s="298">
        <f t="shared" si="54"/>
        <v>0</v>
      </c>
      <c r="E360" s="299">
        <f t="shared" si="49"/>
        <v>0</v>
      </c>
      <c r="F360" s="299">
        <f t="shared" si="48"/>
        <v>0</v>
      </c>
      <c r="G360" s="299">
        <f t="shared" si="51"/>
        <v>0</v>
      </c>
      <c r="H360" s="298">
        <f t="shared" si="52"/>
        <v>0</v>
      </c>
      <c r="I360" s="294"/>
      <c r="O360" s="295">
        <f t="shared" si="50"/>
        <v>341</v>
      </c>
    </row>
    <row r="361" spans="1:15">
      <c r="A361" s="286"/>
      <c r="B361" s="296">
        <f t="shared" si="53"/>
        <v>342</v>
      </c>
      <c r="C361" s="307">
        <f t="shared" si="47"/>
        <v>0</v>
      </c>
      <c r="D361" s="298">
        <f t="shared" si="54"/>
        <v>0</v>
      </c>
      <c r="E361" s="299">
        <f t="shared" si="49"/>
        <v>0</v>
      </c>
      <c r="F361" s="299">
        <f t="shared" si="48"/>
        <v>0</v>
      </c>
      <c r="G361" s="299">
        <f t="shared" si="51"/>
        <v>0</v>
      </c>
      <c r="H361" s="298">
        <f t="shared" si="52"/>
        <v>0</v>
      </c>
      <c r="I361" s="294"/>
      <c r="O361" s="295">
        <f t="shared" si="50"/>
        <v>342</v>
      </c>
    </row>
    <row r="362" spans="1:15">
      <c r="A362" s="286"/>
      <c r="B362" s="296">
        <f t="shared" si="53"/>
        <v>343</v>
      </c>
      <c r="C362" s="307">
        <f t="shared" si="47"/>
        <v>0</v>
      </c>
      <c r="D362" s="298">
        <f t="shared" si="54"/>
        <v>0</v>
      </c>
      <c r="E362" s="299">
        <f t="shared" si="49"/>
        <v>0</v>
      </c>
      <c r="F362" s="299">
        <f t="shared" si="48"/>
        <v>0</v>
      </c>
      <c r="G362" s="299">
        <f t="shared" si="51"/>
        <v>0</v>
      </c>
      <c r="H362" s="298">
        <f t="shared" si="52"/>
        <v>0</v>
      </c>
      <c r="I362" s="294"/>
      <c r="O362" s="295">
        <f t="shared" si="50"/>
        <v>343</v>
      </c>
    </row>
    <row r="363" spans="1:15">
      <c r="A363" s="286"/>
      <c r="B363" s="296">
        <f t="shared" si="53"/>
        <v>344</v>
      </c>
      <c r="C363" s="307">
        <f t="shared" si="47"/>
        <v>0</v>
      </c>
      <c r="D363" s="298">
        <f t="shared" si="54"/>
        <v>0</v>
      </c>
      <c r="E363" s="299">
        <f t="shared" si="49"/>
        <v>0</v>
      </c>
      <c r="F363" s="299">
        <f t="shared" si="48"/>
        <v>0</v>
      </c>
      <c r="G363" s="299">
        <f t="shared" si="51"/>
        <v>0</v>
      </c>
      <c r="H363" s="298">
        <f t="shared" si="52"/>
        <v>0</v>
      </c>
      <c r="I363" s="294"/>
      <c r="O363" s="295">
        <f t="shared" si="50"/>
        <v>344</v>
      </c>
    </row>
    <row r="364" spans="1:15">
      <c r="A364" s="286"/>
      <c r="B364" s="296">
        <f t="shared" si="53"/>
        <v>345</v>
      </c>
      <c r="C364" s="307">
        <f t="shared" si="47"/>
        <v>0</v>
      </c>
      <c r="D364" s="298">
        <f t="shared" si="54"/>
        <v>0</v>
      </c>
      <c r="E364" s="299">
        <f t="shared" si="49"/>
        <v>0</v>
      </c>
      <c r="F364" s="299">
        <f t="shared" si="48"/>
        <v>0</v>
      </c>
      <c r="G364" s="299">
        <f t="shared" si="51"/>
        <v>0</v>
      </c>
      <c r="H364" s="298">
        <f t="shared" si="52"/>
        <v>0</v>
      </c>
      <c r="I364" s="294"/>
      <c r="O364" s="295">
        <f t="shared" si="50"/>
        <v>345</v>
      </c>
    </row>
    <row r="365" spans="1:15">
      <c r="A365" s="286"/>
      <c r="B365" s="296">
        <f t="shared" si="53"/>
        <v>346</v>
      </c>
      <c r="C365" s="307">
        <f t="shared" si="47"/>
        <v>0</v>
      </c>
      <c r="D365" s="298">
        <f t="shared" si="54"/>
        <v>0</v>
      </c>
      <c r="E365" s="299">
        <f t="shared" si="49"/>
        <v>0</v>
      </c>
      <c r="F365" s="299">
        <f t="shared" si="48"/>
        <v>0</v>
      </c>
      <c r="G365" s="299">
        <f t="shared" si="51"/>
        <v>0</v>
      </c>
      <c r="H365" s="298">
        <f t="shared" si="52"/>
        <v>0</v>
      </c>
      <c r="I365" s="294"/>
      <c r="O365" s="295">
        <f t="shared" si="50"/>
        <v>346</v>
      </c>
    </row>
    <row r="366" spans="1:15">
      <c r="A366" s="286"/>
      <c r="B366" s="296">
        <f t="shared" si="53"/>
        <v>347</v>
      </c>
      <c r="C366" s="307">
        <f t="shared" si="47"/>
        <v>0</v>
      </c>
      <c r="D366" s="298">
        <f t="shared" si="54"/>
        <v>0</v>
      </c>
      <c r="E366" s="299">
        <f t="shared" si="49"/>
        <v>0</v>
      </c>
      <c r="F366" s="299">
        <f t="shared" si="48"/>
        <v>0</v>
      </c>
      <c r="G366" s="299">
        <f t="shared" si="51"/>
        <v>0</v>
      </c>
      <c r="H366" s="298">
        <f t="shared" si="52"/>
        <v>0</v>
      </c>
      <c r="I366" s="294"/>
      <c r="O366" s="295">
        <f t="shared" si="50"/>
        <v>347</v>
      </c>
    </row>
    <row r="367" spans="1:15">
      <c r="A367" s="286"/>
      <c r="B367" s="300">
        <f t="shared" si="53"/>
        <v>348</v>
      </c>
      <c r="C367" s="308">
        <f t="shared" si="47"/>
        <v>0</v>
      </c>
      <c r="D367" s="302">
        <f t="shared" si="54"/>
        <v>0</v>
      </c>
      <c r="E367" s="303">
        <f t="shared" si="49"/>
        <v>0</v>
      </c>
      <c r="F367" s="303">
        <f t="shared" si="48"/>
        <v>0</v>
      </c>
      <c r="G367" s="303">
        <f t="shared" si="51"/>
        <v>0</v>
      </c>
      <c r="H367" s="302">
        <f t="shared" si="52"/>
        <v>0</v>
      </c>
      <c r="I367" s="304" t="e">
        <f>H367/$D$5</f>
        <v>#VALUE!</v>
      </c>
      <c r="J367" s="305"/>
      <c r="K367" s="305"/>
      <c r="L367" s="305"/>
      <c r="M367" s="305"/>
      <c r="N367" s="305"/>
      <c r="O367" s="306">
        <f t="shared" si="50"/>
        <v>348</v>
      </c>
    </row>
    <row r="368" spans="1:15">
      <c r="A368" s="286"/>
      <c r="B368" s="296">
        <f t="shared" si="53"/>
        <v>349</v>
      </c>
      <c r="C368" s="307">
        <f t="shared" si="47"/>
        <v>0</v>
      </c>
      <c r="D368" s="298">
        <f t="shared" si="54"/>
        <v>0</v>
      </c>
      <c r="E368" s="299">
        <f t="shared" si="49"/>
        <v>0</v>
      </c>
      <c r="F368" s="299">
        <f t="shared" si="48"/>
        <v>0</v>
      </c>
      <c r="G368" s="299">
        <f t="shared" si="51"/>
        <v>0</v>
      </c>
      <c r="H368" s="298">
        <f t="shared" si="52"/>
        <v>0</v>
      </c>
      <c r="I368" s="294"/>
      <c r="O368" s="295">
        <f t="shared" si="50"/>
        <v>349</v>
      </c>
    </row>
    <row r="369" spans="1:15">
      <c r="A369" s="286"/>
      <c r="B369" s="296">
        <f t="shared" si="53"/>
        <v>350</v>
      </c>
      <c r="C369" s="307">
        <f t="shared" si="47"/>
        <v>0</v>
      </c>
      <c r="D369" s="298">
        <f t="shared" si="54"/>
        <v>0</v>
      </c>
      <c r="E369" s="299">
        <f t="shared" si="49"/>
        <v>0</v>
      </c>
      <c r="F369" s="299">
        <f t="shared" si="48"/>
        <v>0</v>
      </c>
      <c r="G369" s="299">
        <f t="shared" si="51"/>
        <v>0</v>
      </c>
      <c r="H369" s="298">
        <f t="shared" si="52"/>
        <v>0</v>
      </c>
      <c r="I369" s="294"/>
      <c r="O369" s="295">
        <f t="shared" si="50"/>
        <v>350</v>
      </c>
    </row>
    <row r="370" spans="1:15">
      <c r="A370" s="286"/>
      <c r="B370" s="296">
        <f t="shared" si="53"/>
        <v>351</v>
      </c>
      <c r="C370" s="307">
        <f t="shared" si="47"/>
        <v>0</v>
      </c>
      <c r="D370" s="298">
        <f t="shared" si="54"/>
        <v>0</v>
      </c>
      <c r="E370" s="299">
        <f t="shared" si="49"/>
        <v>0</v>
      </c>
      <c r="F370" s="299">
        <f t="shared" si="48"/>
        <v>0</v>
      </c>
      <c r="G370" s="299">
        <f t="shared" si="51"/>
        <v>0</v>
      </c>
      <c r="H370" s="298">
        <f t="shared" si="52"/>
        <v>0</v>
      </c>
      <c r="I370" s="294"/>
      <c r="O370" s="295">
        <f t="shared" si="50"/>
        <v>351</v>
      </c>
    </row>
    <row r="371" spans="1:15">
      <c r="A371" s="286"/>
      <c r="B371" s="296">
        <f t="shared" si="53"/>
        <v>352</v>
      </c>
      <c r="C371" s="307">
        <f t="shared" si="47"/>
        <v>0</v>
      </c>
      <c r="D371" s="298">
        <f t="shared" si="54"/>
        <v>0</v>
      </c>
      <c r="E371" s="299">
        <f t="shared" si="49"/>
        <v>0</v>
      </c>
      <c r="F371" s="299">
        <f t="shared" si="48"/>
        <v>0</v>
      </c>
      <c r="G371" s="299">
        <f t="shared" si="51"/>
        <v>0</v>
      </c>
      <c r="H371" s="298">
        <f t="shared" si="52"/>
        <v>0</v>
      </c>
      <c r="I371" s="294"/>
      <c r="O371" s="295">
        <f t="shared" si="50"/>
        <v>352</v>
      </c>
    </row>
    <row r="372" spans="1:15">
      <c r="A372" s="286"/>
      <c r="B372" s="296">
        <f t="shared" si="53"/>
        <v>353</v>
      </c>
      <c r="C372" s="307">
        <f t="shared" si="47"/>
        <v>0</v>
      </c>
      <c r="D372" s="298">
        <f t="shared" si="54"/>
        <v>0</v>
      </c>
      <c r="E372" s="299">
        <f t="shared" si="49"/>
        <v>0</v>
      </c>
      <c r="F372" s="299">
        <f t="shared" si="48"/>
        <v>0</v>
      </c>
      <c r="G372" s="299">
        <f t="shared" si="51"/>
        <v>0</v>
      </c>
      <c r="H372" s="298">
        <f t="shared" si="52"/>
        <v>0</v>
      </c>
      <c r="I372" s="294"/>
      <c r="O372" s="295">
        <f t="shared" si="50"/>
        <v>353</v>
      </c>
    </row>
    <row r="373" spans="1:15">
      <c r="A373" s="286"/>
      <c r="B373" s="296">
        <f t="shared" si="53"/>
        <v>354</v>
      </c>
      <c r="C373" s="307">
        <f t="shared" si="47"/>
        <v>0</v>
      </c>
      <c r="D373" s="298">
        <f t="shared" si="54"/>
        <v>0</v>
      </c>
      <c r="E373" s="299">
        <f t="shared" si="49"/>
        <v>0</v>
      </c>
      <c r="F373" s="299">
        <f t="shared" si="48"/>
        <v>0</v>
      </c>
      <c r="G373" s="299">
        <f t="shared" si="51"/>
        <v>0</v>
      </c>
      <c r="H373" s="298">
        <f t="shared" si="52"/>
        <v>0</v>
      </c>
      <c r="I373" s="294"/>
      <c r="O373" s="295">
        <f t="shared" si="50"/>
        <v>354</v>
      </c>
    </row>
    <row r="374" spans="1:15">
      <c r="A374" s="286"/>
      <c r="B374" s="296">
        <f t="shared" si="53"/>
        <v>355</v>
      </c>
      <c r="C374" s="307">
        <f t="shared" si="47"/>
        <v>0</v>
      </c>
      <c r="D374" s="298">
        <f t="shared" si="54"/>
        <v>0</v>
      </c>
      <c r="E374" s="299">
        <f t="shared" si="49"/>
        <v>0</v>
      </c>
      <c r="F374" s="299">
        <f t="shared" si="48"/>
        <v>0</v>
      </c>
      <c r="G374" s="299">
        <f t="shared" si="51"/>
        <v>0</v>
      </c>
      <c r="H374" s="298">
        <f t="shared" si="52"/>
        <v>0</v>
      </c>
      <c r="I374" s="294"/>
      <c r="O374" s="295">
        <f t="shared" si="50"/>
        <v>355</v>
      </c>
    </row>
    <row r="375" spans="1:15">
      <c r="A375" s="286"/>
      <c r="B375" s="296">
        <f t="shared" si="53"/>
        <v>356</v>
      </c>
      <c r="C375" s="307">
        <f t="shared" si="47"/>
        <v>0</v>
      </c>
      <c r="D375" s="298">
        <f t="shared" si="54"/>
        <v>0</v>
      </c>
      <c r="E375" s="299">
        <f t="shared" si="49"/>
        <v>0</v>
      </c>
      <c r="F375" s="299">
        <f t="shared" si="48"/>
        <v>0</v>
      </c>
      <c r="G375" s="299">
        <f t="shared" si="51"/>
        <v>0</v>
      </c>
      <c r="H375" s="298">
        <f t="shared" si="52"/>
        <v>0</v>
      </c>
      <c r="I375" s="294"/>
      <c r="O375" s="295">
        <f t="shared" si="50"/>
        <v>356</v>
      </c>
    </row>
    <row r="376" spans="1:15">
      <c r="A376" s="286"/>
      <c r="B376" s="296">
        <f t="shared" si="53"/>
        <v>357</v>
      </c>
      <c r="C376" s="307">
        <f t="shared" ref="C376:C431" si="55">IF(D376&gt;0,$F$7,0)</f>
        <v>0</v>
      </c>
      <c r="D376" s="298">
        <f t="shared" si="54"/>
        <v>0</v>
      </c>
      <c r="E376" s="299">
        <f t="shared" si="49"/>
        <v>0</v>
      </c>
      <c r="F376" s="299">
        <f t="shared" si="48"/>
        <v>0</v>
      </c>
      <c r="G376" s="299">
        <f t="shared" si="51"/>
        <v>0</v>
      </c>
      <c r="H376" s="298">
        <f t="shared" si="52"/>
        <v>0</v>
      </c>
      <c r="I376" s="294"/>
      <c r="O376" s="295">
        <f t="shared" si="50"/>
        <v>357</v>
      </c>
    </row>
    <row r="377" spans="1:15">
      <c r="A377" s="286"/>
      <c r="B377" s="296">
        <f t="shared" si="53"/>
        <v>358</v>
      </c>
      <c r="C377" s="307">
        <f t="shared" si="55"/>
        <v>0</v>
      </c>
      <c r="D377" s="298">
        <f t="shared" si="54"/>
        <v>0</v>
      </c>
      <c r="E377" s="299">
        <f t="shared" si="49"/>
        <v>0</v>
      </c>
      <c r="F377" s="299">
        <f t="shared" si="48"/>
        <v>0</v>
      </c>
      <c r="G377" s="299">
        <f t="shared" si="51"/>
        <v>0</v>
      </c>
      <c r="H377" s="298">
        <f t="shared" si="52"/>
        <v>0</v>
      </c>
      <c r="I377" s="294"/>
      <c r="O377" s="295">
        <f t="shared" si="50"/>
        <v>358</v>
      </c>
    </row>
    <row r="378" spans="1:15">
      <c r="A378" s="286"/>
      <c r="B378" s="296">
        <f t="shared" si="53"/>
        <v>359</v>
      </c>
      <c r="C378" s="307">
        <f t="shared" si="55"/>
        <v>0</v>
      </c>
      <c r="D378" s="298">
        <f t="shared" si="54"/>
        <v>0</v>
      </c>
      <c r="E378" s="299">
        <f t="shared" si="49"/>
        <v>0</v>
      </c>
      <c r="F378" s="299">
        <f t="shared" si="48"/>
        <v>0</v>
      </c>
      <c r="G378" s="299">
        <f t="shared" si="51"/>
        <v>0</v>
      </c>
      <c r="H378" s="298">
        <f t="shared" si="52"/>
        <v>0</v>
      </c>
      <c r="I378" s="294"/>
      <c r="O378" s="295">
        <f t="shared" si="50"/>
        <v>359</v>
      </c>
    </row>
    <row r="379" spans="1:15">
      <c r="A379" s="286"/>
      <c r="B379" s="309">
        <f t="shared" si="53"/>
        <v>360</v>
      </c>
      <c r="C379" s="310">
        <f t="shared" si="55"/>
        <v>0</v>
      </c>
      <c r="D379" s="311">
        <f t="shared" si="54"/>
        <v>0</v>
      </c>
      <c r="E379" s="312">
        <f t="shared" si="49"/>
        <v>0</v>
      </c>
      <c r="F379" s="312">
        <f t="shared" si="48"/>
        <v>0</v>
      </c>
      <c r="G379" s="312">
        <f t="shared" si="51"/>
        <v>0</v>
      </c>
      <c r="H379" s="311">
        <f t="shared" si="52"/>
        <v>0</v>
      </c>
      <c r="I379" s="304" t="e">
        <f>H379/$D$5</f>
        <v>#VALUE!</v>
      </c>
      <c r="J379" s="305"/>
      <c r="K379" s="305"/>
      <c r="L379" s="305"/>
      <c r="M379" s="305"/>
      <c r="N379" s="305"/>
      <c r="O379" s="306">
        <f t="shared" si="50"/>
        <v>360</v>
      </c>
    </row>
    <row r="380" spans="1:15">
      <c r="B380" s="296">
        <f t="shared" si="53"/>
        <v>361</v>
      </c>
      <c r="C380" s="307">
        <f t="shared" si="55"/>
        <v>0</v>
      </c>
      <c r="D380" s="298">
        <f t="shared" si="54"/>
        <v>0</v>
      </c>
      <c r="E380" s="299">
        <f t="shared" si="49"/>
        <v>0</v>
      </c>
      <c r="F380" s="299">
        <f t="shared" si="48"/>
        <v>0</v>
      </c>
      <c r="G380" s="299">
        <f t="shared" si="51"/>
        <v>0</v>
      </c>
      <c r="H380" s="298">
        <f t="shared" si="52"/>
        <v>0</v>
      </c>
    </row>
    <row r="381" spans="1:15">
      <c r="B381" s="296">
        <f t="shared" si="53"/>
        <v>362</v>
      </c>
      <c r="C381" s="307">
        <f t="shared" si="55"/>
        <v>0</v>
      </c>
      <c r="D381" s="298">
        <f t="shared" si="54"/>
        <v>0</v>
      </c>
      <c r="E381" s="299">
        <f t="shared" si="49"/>
        <v>0</v>
      </c>
      <c r="F381" s="299">
        <f t="shared" si="48"/>
        <v>0</v>
      </c>
      <c r="G381" s="299">
        <f t="shared" si="51"/>
        <v>0</v>
      </c>
      <c r="H381" s="298">
        <f t="shared" si="52"/>
        <v>0</v>
      </c>
    </row>
    <row r="382" spans="1:15">
      <c r="B382" s="296">
        <f t="shared" si="53"/>
        <v>363</v>
      </c>
      <c r="C382" s="307">
        <f t="shared" si="55"/>
        <v>0</v>
      </c>
      <c r="D382" s="298">
        <f t="shared" si="54"/>
        <v>0</v>
      </c>
      <c r="E382" s="299">
        <f t="shared" si="49"/>
        <v>0</v>
      </c>
      <c r="F382" s="299">
        <f t="shared" si="48"/>
        <v>0</v>
      </c>
      <c r="G382" s="299">
        <f t="shared" si="51"/>
        <v>0</v>
      </c>
      <c r="H382" s="298">
        <f t="shared" si="52"/>
        <v>0</v>
      </c>
    </row>
    <row r="383" spans="1:15">
      <c r="B383" s="296">
        <f t="shared" si="53"/>
        <v>364</v>
      </c>
      <c r="C383" s="307">
        <f t="shared" si="55"/>
        <v>0</v>
      </c>
      <c r="D383" s="298">
        <f t="shared" si="54"/>
        <v>0</v>
      </c>
      <c r="E383" s="299">
        <f t="shared" si="49"/>
        <v>0</v>
      </c>
      <c r="F383" s="299">
        <f t="shared" si="48"/>
        <v>0</v>
      </c>
      <c r="G383" s="299">
        <f t="shared" si="51"/>
        <v>0</v>
      </c>
      <c r="H383" s="298">
        <f t="shared" si="52"/>
        <v>0</v>
      </c>
    </row>
    <row r="384" spans="1:15">
      <c r="B384" s="296">
        <f t="shared" si="53"/>
        <v>365</v>
      </c>
      <c r="C384" s="307">
        <f t="shared" si="55"/>
        <v>0</v>
      </c>
      <c r="D384" s="298">
        <f t="shared" si="54"/>
        <v>0</v>
      </c>
      <c r="E384" s="299">
        <f t="shared" si="49"/>
        <v>0</v>
      </c>
      <c r="F384" s="299">
        <f t="shared" si="48"/>
        <v>0</v>
      </c>
      <c r="G384" s="299">
        <f t="shared" si="51"/>
        <v>0</v>
      </c>
      <c r="H384" s="298">
        <f t="shared" si="52"/>
        <v>0</v>
      </c>
    </row>
    <row r="385" spans="2:8" s="252" customFormat="1">
      <c r="B385" s="296">
        <f t="shared" si="53"/>
        <v>366</v>
      </c>
      <c r="C385" s="307">
        <f t="shared" si="55"/>
        <v>0</v>
      </c>
      <c r="D385" s="298">
        <f t="shared" si="54"/>
        <v>0</v>
      </c>
      <c r="E385" s="299">
        <f t="shared" si="49"/>
        <v>0</v>
      </c>
      <c r="F385" s="299">
        <f t="shared" si="48"/>
        <v>0</v>
      </c>
      <c r="G385" s="299">
        <f t="shared" si="51"/>
        <v>0</v>
      </c>
      <c r="H385" s="298">
        <f t="shared" si="52"/>
        <v>0</v>
      </c>
    </row>
    <row r="386" spans="2:8" s="252" customFormat="1">
      <c r="B386" s="296">
        <f t="shared" si="53"/>
        <v>367</v>
      </c>
      <c r="C386" s="307">
        <f t="shared" si="55"/>
        <v>0</v>
      </c>
      <c r="D386" s="298">
        <f t="shared" si="54"/>
        <v>0</v>
      </c>
      <c r="E386" s="299">
        <f t="shared" si="49"/>
        <v>0</v>
      </c>
      <c r="F386" s="299">
        <f t="shared" si="48"/>
        <v>0</v>
      </c>
      <c r="G386" s="299">
        <f t="shared" si="51"/>
        <v>0</v>
      </c>
      <c r="H386" s="298">
        <f t="shared" si="52"/>
        <v>0</v>
      </c>
    </row>
    <row r="387" spans="2:8" s="252" customFormat="1">
      <c r="B387" s="296">
        <f t="shared" si="53"/>
        <v>368</v>
      </c>
      <c r="C387" s="307">
        <f t="shared" si="55"/>
        <v>0</v>
      </c>
      <c r="D387" s="298">
        <f t="shared" si="54"/>
        <v>0</v>
      </c>
      <c r="E387" s="299">
        <f t="shared" si="49"/>
        <v>0</v>
      </c>
      <c r="F387" s="299">
        <f t="shared" si="48"/>
        <v>0</v>
      </c>
      <c r="G387" s="299">
        <f t="shared" si="51"/>
        <v>0</v>
      </c>
      <c r="H387" s="298">
        <f t="shared" si="52"/>
        <v>0</v>
      </c>
    </row>
    <row r="388" spans="2:8" s="252" customFormat="1">
      <c r="B388" s="296">
        <f t="shared" si="53"/>
        <v>369</v>
      </c>
      <c r="C388" s="307">
        <f t="shared" si="55"/>
        <v>0</v>
      </c>
      <c r="D388" s="298">
        <f t="shared" si="54"/>
        <v>0</v>
      </c>
      <c r="E388" s="299">
        <f t="shared" si="49"/>
        <v>0</v>
      </c>
      <c r="F388" s="299">
        <f t="shared" si="48"/>
        <v>0</v>
      </c>
      <c r="G388" s="299">
        <f t="shared" si="51"/>
        <v>0</v>
      </c>
      <c r="H388" s="298">
        <f t="shared" si="52"/>
        <v>0</v>
      </c>
    </row>
    <row r="389" spans="2:8" s="252" customFormat="1">
      <c r="B389" s="296">
        <f t="shared" si="53"/>
        <v>370</v>
      </c>
      <c r="C389" s="307">
        <f t="shared" si="55"/>
        <v>0</v>
      </c>
      <c r="D389" s="298">
        <f t="shared" si="54"/>
        <v>0</v>
      </c>
      <c r="E389" s="299">
        <f t="shared" si="49"/>
        <v>0</v>
      </c>
      <c r="F389" s="299">
        <f t="shared" si="48"/>
        <v>0</v>
      </c>
      <c r="G389" s="299">
        <f t="shared" si="51"/>
        <v>0</v>
      </c>
      <c r="H389" s="298">
        <f t="shared" si="52"/>
        <v>0</v>
      </c>
    </row>
    <row r="390" spans="2:8" s="252" customFormat="1">
      <c r="B390" s="296">
        <f t="shared" si="53"/>
        <v>371</v>
      </c>
      <c r="C390" s="307">
        <f t="shared" si="55"/>
        <v>0</v>
      </c>
      <c r="D390" s="298">
        <f t="shared" si="54"/>
        <v>0</v>
      </c>
      <c r="E390" s="299">
        <f t="shared" si="49"/>
        <v>0</v>
      </c>
      <c r="F390" s="299">
        <f t="shared" si="48"/>
        <v>0</v>
      </c>
      <c r="G390" s="299">
        <f t="shared" si="51"/>
        <v>0</v>
      </c>
      <c r="H390" s="298">
        <f t="shared" si="52"/>
        <v>0</v>
      </c>
    </row>
    <row r="391" spans="2:8" s="252" customFormat="1">
      <c r="B391" s="309">
        <f t="shared" si="53"/>
        <v>372</v>
      </c>
      <c r="C391" s="310">
        <f t="shared" si="55"/>
        <v>0</v>
      </c>
      <c r="D391" s="311">
        <f t="shared" si="54"/>
        <v>0</v>
      </c>
      <c r="E391" s="312">
        <f t="shared" si="49"/>
        <v>0</v>
      </c>
      <c r="F391" s="312">
        <f t="shared" si="48"/>
        <v>0</v>
      </c>
      <c r="G391" s="312">
        <f t="shared" si="51"/>
        <v>0</v>
      </c>
      <c r="H391" s="311">
        <f t="shared" si="52"/>
        <v>0</v>
      </c>
    </row>
    <row r="392" spans="2:8" s="252" customFormat="1">
      <c r="B392" s="296">
        <f t="shared" si="53"/>
        <v>373</v>
      </c>
      <c r="C392" s="307">
        <f t="shared" si="55"/>
        <v>0</v>
      </c>
      <c r="D392" s="298">
        <f t="shared" si="54"/>
        <v>0</v>
      </c>
      <c r="E392" s="299">
        <f t="shared" si="49"/>
        <v>0</v>
      </c>
      <c r="F392" s="299">
        <f t="shared" si="48"/>
        <v>0</v>
      </c>
      <c r="G392" s="299">
        <f t="shared" si="51"/>
        <v>0</v>
      </c>
      <c r="H392" s="298">
        <f t="shared" si="52"/>
        <v>0</v>
      </c>
    </row>
    <row r="393" spans="2:8" s="252" customFormat="1">
      <c r="B393" s="296">
        <f t="shared" si="53"/>
        <v>374</v>
      </c>
      <c r="C393" s="307">
        <f t="shared" si="55"/>
        <v>0</v>
      </c>
      <c r="D393" s="298">
        <f t="shared" si="54"/>
        <v>0</v>
      </c>
      <c r="E393" s="299">
        <f t="shared" si="49"/>
        <v>0</v>
      </c>
      <c r="F393" s="299">
        <f t="shared" si="48"/>
        <v>0</v>
      </c>
      <c r="G393" s="299">
        <f t="shared" si="51"/>
        <v>0</v>
      </c>
      <c r="H393" s="298">
        <f t="shared" si="52"/>
        <v>0</v>
      </c>
    </row>
    <row r="394" spans="2:8" s="252" customFormat="1">
      <c r="B394" s="296">
        <f t="shared" si="53"/>
        <v>375</v>
      </c>
      <c r="C394" s="307">
        <f t="shared" si="55"/>
        <v>0</v>
      </c>
      <c r="D394" s="298">
        <f t="shared" si="54"/>
        <v>0</v>
      </c>
      <c r="E394" s="299">
        <f t="shared" si="49"/>
        <v>0</v>
      </c>
      <c r="F394" s="299">
        <f t="shared" si="48"/>
        <v>0</v>
      </c>
      <c r="G394" s="299">
        <f t="shared" si="51"/>
        <v>0</v>
      </c>
      <c r="H394" s="298">
        <f t="shared" si="52"/>
        <v>0</v>
      </c>
    </row>
    <row r="395" spans="2:8" s="252" customFormat="1">
      <c r="B395" s="296">
        <f t="shared" si="53"/>
        <v>376</v>
      </c>
      <c r="C395" s="307">
        <f t="shared" si="55"/>
        <v>0</v>
      </c>
      <c r="D395" s="298">
        <f t="shared" si="54"/>
        <v>0</v>
      </c>
      <c r="E395" s="299">
        <f t="shared" si="49"/>
        <v>0</v>
      </c>
      <c r="F395" s="299">
        <f t="shared" si="48"/>
        <v>0</v>
      </c>
      <c r="G395" s="299">
        <f t="shared" si="51"/>
        <v>0</v>
      </c>
      <c r="H395" s="298">
        <f t="shared" si="52"/>
        <v>0</v>
      </c>
    </row>
    <row r="396" spans="2:8" s="252" customFormat="1">
      <c r="B396" s="296">
        <f t="shared" si="53"/>
        <v>377</v>
      </c>
      <c r="C396" s="307">
        <f t="shared" si="55"/>
        <v>0</v>
      </c>
      <c r="D396" s="298">
        <f t="shared" si="54"/>
        <v>0</v>
      </c>
      <c r="E396" s="299">
        <f t="shared" si="49"/>
        <v>0</v>
      </c>
      <c r="F396" s="299">
        <f t="shared" si="48"/>
        <v>0</v>
      </c>
      <c r="G396" s="299">
        <f t="shared" si="51"/>
        <v>0</v>
      </c>
      <c r="H396" s="298">
        <f t="shared" si="52"/>
        <v>0</v>
      </c>
    </row>
    <row r="397" spans="2:8" s="252" customFormat="1">
      <c r="B397" s="296">
        <f t="shared" si="53"/>
        <v>378</v>
      </c>
      <c r="C397" s="307">
        <f t="shared" si="55"/>
        <v>0</v>
      </c>
      <c r="D397" s="298">
        <f t="shared" si="54"/>
        <v>0</v>
      </c>
      <c r="E397" s="299">
        <f t="shared" si="49"/>
        <v>0</v>
      </c>
      <c r="F397" s="299">
        <f t="shared" si="48"/>
        <v>0</v>
      </c>
      <c r="G397" s="299">
        <f t="shared" si="51"/>
        <v>0</v>
      </c>
      <c r="H397" s="298">
        <f t="shared" si="52"/>
        <v>0</v>
      </c>
    </row>
    <row r="398" spans="2:8" s="252" customFormat="1">
      <c r="B398" s="296">
        <f t="shared" si="53"/>
        <v>379</v>
      </c>
      <c r="C398" s="307">
        <f t="shared" si="55"/>
        <v>0</v>
      </c>
      <c r="D398" s="298">
        <f t="shared" si="54"/>
        <v>0</v>
      </c>
      <c r="E398" s="299">
        <f t="shared" si="49"/>
        <v>0</v>
      </c>
      <c r="F398" s="299">
        <f t="shared" si="48"/>
        <v>0</v>
      </c>
      <c r="G398" s="299">
        <f t="shared" si="51"/>
        <v>0</v>
      </c>
      <c r="H398" s="298">
        <f t="shared" si="52"/>
        <v>0</v>
      </c>
    </row>
    <row r="399" spans="2:8" s="252" customFormat="1">
      <c r="B399" s="296">
        <f t="shared" si="53"/>
        <v>380</v>
      </c>
      <c r="C399" s="307">
        <f t="shared" si="55"/>
        <v>0</v>
      </c>
      <c r="D399" s="298">
        <f t="shared" si="54"/>
        <v>0</v>
      </c>
      <c r="E399" s="299">
        <f t="shared" si="49"/>
        <v>0</v>
      </c>
      <c r="F399" s="299">
        <f t="shared" si="48"/>
        <v>0</v>
      </c>
      <c r="G399" s="299">
        <f t="shared" si="51"/>
        <v>0</v>
      </c>
      <c r="H399" s="298">
        <f t="shared" si="52"/>
        <v>0</v>
      </c>
    </row>
    <row r="400" spans="2:8" s="252" customFormat="1">
      <c r="B400" s="296">
        <f t="shared" si="53"/>
        <v>381</v>
      </c>
      <c r="C400" s="307">
        <f t="shared" si="55"/>
        <v>0</v>
      </c>
      <c r="D400" s="298">
        <f t="shared" si="54"/>
        <v>0</v>
      </c>
      <c r="E400" s="299">
        <f t="shared" si="49"/>
        <v>0</v>
      </c>
      <c r="F400" s="299">
        <f t="shared" si="48"/>
        <v>0</v>
      </c>
      <c r="G400" s="299">
        <f t="shared" si="51"/>
        <v>0</v>
      </c>
      <c r="H400" s="298">
        <f t="shared" si="52"/>
        <v>0</v>
      </c>
    </row>
    <row r="401" spans="2:8" s="252" customFormat="1">
      <c r="B401" s="296">
        <f t="shared" si="53"/>
        <v>382</v>
      </c>
      <c r="C401" s="307">
        <f t="shared" si="55"/>
        <v>0</v>
      </c>
      <c r="D401" s="298">
        <f t="shared" si="54"/>
        <v>0</v>
      </c>
      <c r="E401" s="299">
        <f t="shared" si="49"/>
        <v>0</v>
      </c>
      <c r="F401" s="299">
        <f t="shared" ref="F401:F439" si="56">E401-G401</f>
        <v>0</v>
      </c>
      <c r="G401" s="299">
        <f t="shared" si="51"/>
        <v>0</v>
      </c>
      <c r="H401" s="298">
        <f t="shared" si="52"/>
        <v>0</v>
      </c>
    </row>
    <row r="402" spans="2:8" s="252" customFormat="1">
      <c r="B402" s="296">
        <f t="shared" si="53"/>
        <v>383</v>
      </c>
      <c r="C402" s="307">
        <f t="shared" si="55"/>
        <v>0</v>
      </c>
      <c r="D402" s="298">
        <f t="shared" si="54"/>
        <v>0</v>
      </c>
      <c r="E402" s="299">
        <f t="shared" si="49"/>
        <v>0</v>
      </c>
      <c r="F402" s="299">
        <f t="shared" si="56"/>
        <v>0</v>
      </c>
      <c r="G402" s="299">
        <f t="shared" si="51"/>
        <v>0</v>
      </c>
      <c r="H402" s="298">
        <f t="shared" si="52"/>
        <v>0</v>
      </c>
    </row>
    <row r="403" spans="2:8" s="252" customFormat="1">
      <c r="B403" s="309">
        <f t="shared" si="53"/>
        <v>384</v>
      </c>
      <c r="C403" s="310">
        <f t="shared" si="55"/>
        <v>0</v>
      </c>
      <c r="D403" s="311">
        <f t="shared" si="54"/>
        <v>0</v>
      </c>
      <c r="E403" s="312">
        <f t="shared" ref="E403:E439" si="57">IF(H402&lt;=E402,H402+G403,$H$10)</f>
        <v>0</v>
      </c>
      <c r="F403" s="312">
        <f t="shared" si="56"/>
        <v>0</v>
      </c>
      <c r="G403" s="312">
        <f t="shared" si="51"/>
        <v>0</v>
      </c>
      <c r="H403" s="311">
        <f t="shared" si="52"/>
        <v>0</v>
      </c>
    </row>
    <row r="404" spans="2:8" s="252" customFormat="1">
      <c r="B404" s="296">
        <f t="shared" si="53"/>
        <v>385</v>
      </c>
      <c r="C404" s="307">
        <f t="shared" si="55"/>
        <v>0</v>
      </c>
      <c r="D404" s="298">
        <f t="shared" si="54"/>
        <v>0</v>
      </c>
      <c r="E404" s="299">
        <f t="shared" si="57"/>
        <v>0</v>
      </c>
      <c r="F404" s="299">
        <f t="shared" si="56"/>
        <v>0</v>
      </c>
      <c r="G404" s="299">
        <f t="shared" si="51"/>
        <v>0</v>
      </c>
      <c r="H404" s="298">
        <f t="shared" si="52"/>
        <v>0</v>
      </c>
    </row>
    <row r="405" spans="2:8" s="252" customFormat="1">
      <c r="B405" s="296">
        <f t="shared" si="53"/>
        <v>386</v>
      </c>
      <c r="C405" s="307">
        <f t="shared" si="55"/>
        <v>0</v>
      </c>
      <c r="D405" s="298">
        <f t="shared" si="54"/>
        <v>0</v>
      </c>
      <c r="E405" s="299">
        <f t="shared" si="57"/>
        <v>0</v>
      </c>
      <c r="F405" s="299">
        <f t="shared" si="56"/>
        <v>0</v>
      </c>
      <c r="G405" s="299">
        <f t="shared" ref="G405:G439" si="58">C405*(D405/365)*30</f>
        <v>0</v>
      </c>
      <c r="H405" s="298">
        <f t="shared" ref="H405:H439" si="59">IF((D405+G405-E405)&lt;0,0,D405+G405-E405)</f>
        <v>0</v>
      </c>
    </row>
    <row r="406" spans="2:8" s="252" customFormat="1">
      <c r="B406" s="296">
        <f t="shared" ref="B406:B439" si="60">B405+1</f>
        <v>387</v>
      </c>
      <c r="C406" s="307">
        <f t="shared" si="55"/>
        <v>0</v>
      </c>
      <c r="D406" s="298">
        <f t="shared" ref="D406:D439" si="61">H405</f>
        <v>0</v>
      </c>
      <c r="E406" s="299">
        <f t="shared" si="57"/>
        <v>0</v>
      </c>
      <c r="F406" s="299">
        <f t="shared" si="56"/>
        <v>0</v>
      </c>
      <c r="G406" s="299">
        <f t="shared" si="58"/>
        <v>0</v>
      </c>
      <c r="H406" s="298">
        <f t="shared" si="59"/>
        <v>0</v>
      </c>
    </row>
    <row r="407" spans="2:8" s="252" customFormat="1">
      <c r="B407" s="296">
        <f t="shared" si="60"/>
        <v>388</v>
      </c>
      <c r="C407" s="307">
        <f t="shared" si="55"/>
        <v>0</v>
      </c>
      <c r="D407" s="298">
        <f t="shared" si="61"/>
        <v>0</v>
      </c>
      <c r="E407" s="299">
        <f t="shared" si="57"/>
        <v>0</v>
      </c>
      <c r="F407" s="299">
        <f t="shared" si="56"/>
        <v>0</v>
      </c>
      <c r="G407" s="299">
        <f t="shared" si="58"/>
        <v>0</v>
      </c>
      <c r="H407" s="298">
        <f t="shared" si="59"/>
        <v>0</v>
      </c>
    </row>
    <row r="408" spans="2:8" s="252" customFormat="1">
      <c r="B408" s="296">
        <f t="shared" si="60"/>
        <v>389</v>
      </c>
      <c r="C408" s="307">
        <f t="shared" si="55"/>
        <v>0</v>
      </c>
      <c r="D408" s="298">
        <f t="shared" si="61"/>
        <v>0</v>
      </c>
      <c r="E408" s="299">
        <f t="shared" si="57"/>
        <v>0</v>
      </c>
      <c r="F408" s="299">
        <f t="shared" si="56"/>
        <v>0</v>
      </c>
      <c r="G408" s="299">
        <f t="shared" si="58"/>
        <v>0</v>
      </c>
      <c r="H408" s="298">
        <f t="shared" si="59"/>
        <v>0</v>
      </c>
    </row>
    <row r="409" spans="2:8" s="252" customFormat="1">
      <c r="B409" s="296">
        <f t="shared" si="60"/>
        <v>390</v>
      </c>
      <c r="C409" s="307">
        <f t="shared" si="55"/>
        <v>0</v>
      </c>
      <c r="D409" s="298">
        <f t="shared" si="61"/>
        <v>0</v>
      </c>
      <c r="E409" s="299">
        <f t="shared" si="57"/>
        <v>0</v>
      </c>
      <c r="F409" s="299">
        <f t="shared" si="56"/>
        <v>0</v>
      </c>
      <c r="G409" s="299">
        <f t="shared" si="58"/>
        <v>0</v>
      </c>
      <c r="H409" s="298">
        <f t="shared" si="59"/>
        <v>0</v>
      </c>
    </row>
    <row r="410" spans="2:8" s="252" customFormat="1">
      <c r="B410" s="296">
        <f t="shared" si="60"/>
        <v>391</v>
      </c>
      <c r="C410" s="307">
        <f t="shared" si="55"/>
        <v>0</v>
      </c>
      <c r="D410" s="298">
        <f t="shared" si="61"/>
        <v>0</v>
      </c>
      <c r="E410" s="299">
        <f t="shared" si="57"/>
        <v>0</v>
      </c>
      <c r="F410" s="299">
        <f t="shared" si="56"/>
        <v>0</v>
      </c>
      <c r="G410" s="299">
        <f t="shared" si="58"/>
        <v>0</v>
      </c>
      <c r="H410" s="298">
        <f t="shared" si="59"/>
        <v>0</v>
      </c>
    </row>
    <row r="411" spans="2:8" s="252" customFormat="1">
      <c r="B411" s="296">
        <f t="shared" si="60"/>
        <v>392</v>
      </c>
      <c r="C411" s="307">
        <f t="shared" si="55"/>
        <v>0</v>
      </c>
      <c r="D411" s="298">
        <f t="shared" si="61"/>
        <v>0</v>
      </c>
      <c r="E411" s="299">
        <f t="shared" si="57"/>
        <v>0</v>
      </c>
      <c r="F411" s="299">
        <f t="shared" si="56"/>
        <v>0</v>
      </c>
      <c r="G411" s="299">
        <f t="shared" si="58"/>
        <v>0</v>
      </c>
      <c r="H411" s="298">
        <f t="shared" si="59"/>
        <v>0</v>
      </c>
    </row>
    <row r="412" spans="2:8" s="252" customFormat="1">
      <c r="B412" s="296">
        <f t="shared" si="60"/>
        <v>393</v>
      </c>
      <c r="C412" s="307">
        <f t="shared" si="55"/>
        <v>0</v>
      </c>
      <c r="D412" s="298">
        <f t="shared" si="61"/>
        <v>0</v>
      </c>
      <c r="E412" s="299">
        <f t="shared" si="57"/>
        <v>0</v>
      </c>
      <c r="F412" s="299">
        <f t="shared" si="56"/>
        <v>0</v>
      </c>
      <c r="G412" s="299">
        <f t="shared" si="58"/>
        <v>0</v>
      </c>
      <c r="H412" s="298">
        <f t="shared" si="59"/>
        <v>0</v>
      </c>
    </row>
    <row r="413" spans="2:8" s="252" customFormat="1">
      <c r="B413" s="296">
        <f t="shared" si="60"/>
        <v>394</v>
      </c>
      <c r="C413" s="307">
        <f t="shared" si="55"/>
        <v>0</v>
      </c>
      <c r="D413" s="298">
        <f t="shared" si="61"/>
        <v>0</v>
      </c>
      <c r="E413" s="299">
        <f t="shared" si="57"/>
        <v>0</v>
      </c>
      <c r="F413" s="299">
        <f t="shared" si="56"/>
        <v>0</v>
      </c>
      <c r="G413" s="299">
        <f t="shared" si="58"/>
        <v>0</v>
      </c>
      <c r="H413" s="298">
        <f t="shared" si="59"/>
        <v>0</v>
      </c>
    </row>
    <row r="414" spans="2:8" s="252" customFormat="1">
      <c r="B414" s="296">
        <f t="shared" si="60"/>
        <v>395</v>
      </c>
      <c r="C414" s="307">
        <f t="shared" si="55"/>
        <v>0</v>
      </c>
      <c r="D414" s="298">
        <f t="shared" si="61"/>
        <v>0</v>
      </c>
      <c r="E414" s="299">
        <f t="shared" si="57"/>
        <v>0</v>
      </c>
      <c r="F414" s="299">
        <f t="shared" si="56"/>
        <v>0</v>
      </c>
      <c r="G414" s="299">
        <f t="shared" si="58"/>
        <v>0</v>
      </c>
      <c r="H414" s="298">
        <f t="shared" si="59"/>
        <v>0</v>
      </c>
    </row>
    <row r="415" spans="2:8" s="252" customFormat="1">
      <c r="B415" s="309">
        <f t="shared" si="60"/>
        <v>396</v>
      </c>
      <c r="C415" s="310">
        <f t="shared" si="55"/>
        <v>0</v>
      </c>
      <c r="D415" s="311">
        <f t="shared" si="61"/>
        <v>0</v>
      </c>
      <c r="E415" s="312">
        <f t="shared" si="57"/>
        <v>0</v>
      </c>
      <c r="F415" s="312">
        <f t="shared" si="56"/>
        <v>0</v>
      </c>
      <c r="G415" s="312">
        <f t="shared" si="58"/>
        <v>0</v>
      </c>
      <c r="H415" s="311">
        <f t="shared" si="59"/>
        <v>0</v>
      </c>
    </row>
    <row r="416" spans="2:8" s="252" customFormat="1">
      <c r="B416" s="296">
        <f t="shared" si="60"/>
        <v>397</v>
      </c>
      <c r="C416" s="307">
        <f t="shared" si="55"/>
        <v>0</v>
      </c>
      <c r="D416" s="298">
        <f t="shared" si="61"/>
        <v>0</v>
      </c>
      <c r="E416" s="299">
        <f t="shared" si="57"/>
        <v>0</v>
      </c>
      <c r="F416" s="299">
        <f t="shared" si="56"/>
        <v>0</v>
      </c>
      <c r="G416" s="299">
        <f t="shared" si="58"/>
        <v>0</v>
      </c>
      <c r="H416" s="298">
        <f t="shared" si="59"/>
        <v>0</v>
      </c>
    </row>
    <row r="417" spans="2:8" s="252" customFormat="1">
      <c r="B417" s="296">
        <f t="shared" si="60"/>
        <v>398</v>
      </c>
      <c r="C417" s="307">
        <f t="shared" si="55"/>
        <v>0</v>
      </c>
      <c r="D417" s="298">
        <f t="shared" si="61"/>
        <v>0</v>
      </c>
      <c r="E417" s="299">
        <f t="shared" si="57"/>
        <v>0</v>
      </c>
      <c r="F417" s="299">
        <f t="shared" si="56"/>
        <v>0</v>
      </c>
      <c r="G417" s="299">
        <f t="shared" si="58"/>
        <v>0</v>
      </c>
      <c r="H417" s="298">
        <f t="shared" si="59"/>
        <v>0</v>
      </c>
    </row>
    <row r="418" spans="2:8" s="252" customFormat="1">
      <c r="B418" s="296">
        <f t="shared" si="60"/>
        <v>399</v>
      </c>
      <c r="C418" s="307">
        <f t="shared" si="55"/>
        <v>0</v>
      </c>
      <c r="D418" s="298">
        <f t="shared" si="61"/>
        <v>0</v>
      </c>
      <c r="E418" s="299">
        <f t="shared" si="57"/>
        <v>0</v>
      </c>
      <c r="F418" s="299">
        <f t="shared" si="56"/>
        <v>0</v>
      </c>
      <c r="G418" s="299">
        <f t="shared" si="58"/>
        <v>0</v>
      </c>
      <c r="H418" s="298">
        <f t="shared" si="59"/>
        <v>0</v>
      </c>
    </row>
    <row r="419" spans="2:8" s="252" customFormat="1">
      <c r="B419" s="296">
        <f t="shared" si="60"/>
        <v>400</v>
      </c>
      <c r="C419" s="307">
        <f t="shared" si="55"/>
        <v>0</v>
      </c>
      <c r="D419" s="298">
        <f t="shared" si="61"/>
        <v>0</v>
      </c>
      <c r="E419" s="299">
        <f t="shared" si="57"/>
        <v>0</v>
      </c>
      <c r="F419" s="299">
        <f t="shared" si="56"/>
        <v>0</v>
      </c>
      <c r="G419" s="299">
        <f t="shared" si="58"/>
        <v>0</v>
      </c>
      <c r="H419" s="298">
        <f t="shared" si="59"/>
        <v>0</v>
      </c>
    </row>
    <row r="420" spans="2:8" s="252" customFormat="1">
      <c r="B420" s="296">
        <f t="shared" si="60"/>
        <v>401</v>
      </c>
      <c r="C420" s="307">
        <f t="shared" si="55"/>
        <v>0</v>
      </c>
      <c r="D420" s="298">
        <f t="shared" si="61"/>
        <v>0</v>
      </c>
      <c r="E420" s="299">
        <f t="shared" si="57"/>
        <v>0</v>
      </c>
      <c r="F420" s="299">
        <f t="shared" si="56"/>
        <v>0</v>
      </c>
      <c r="G420" s="299">
        <f t="shared" si="58"/>
        <v>0</v>
      </c>
      <c r="H420" s="298">
        <f t="shared" si="59"/>
        <v>0</v>
      </c>
    </row>
    <row r="421" spans="2:8" s="252" customFormat="1">
      <c r="B421" s="296">
        <f t="shared" si="60"/>
        <v>402</v>
      </c>
      <c r="C421" s="307">
        <f t="shared" si="55"/>
        <v>0</v>
      </c>
      <c r="D421" s="298">
        <f t="shared" si="61"/>
        <v>0</v>
      </c>
      <c r="E421" s="299">
        <f t="shared" si="57"/>
        <v>0</v>
      </c>
      <c r="F421" s="299">
        <f t="shared" si="56"/>
        <v>0</v>
      </c>
      <c r="G421" s="299">
        <f t="shared" si="58"/>
        <v>0</v>
      </c>
      <c r="H421" s="298">
        <f t="shared" si="59"/>
        <v>0</v>
      </c>
    </row>
    <row r="422" spans="2:8" s="252" customFormat="1">
      <c r="B422" s="296">
        <f t="shared" si="60"/>
        <v>403</v>
      </c>
      <c r="C422" s="307">
        <f t="shared" si="55"/>
        <v>0</v>
      </c>
      <c r="D422" s="298">
        <f t="shared" si="61"/>
        <v>0</v>
      </c>
      <c r="E422" s="299">
        <f t="shared" si="57"/>
        <v>0</v>
      </c>
      <c r="F422" s="299">
        <f t="shared" si="56"/>
        <v>0</v>
      </c>
      <c r="G422" s="299">
        <f t="shared" si="58"/>
        <v>0</v>
      </c>
      <c r="H422" s="298">
        <f t="shared" si="59"/>
        <v>0</v>
      </c>
    </row>
    <row r="423" spans="2:8" s="252" customFormat="1">
      <c r="B423" s="296">
        <f t="shared" si="60"/>
        <v>404</v>
      </c>
      <c r="C423" s="307">
        <f t="shared" si="55"/>
        <v>0</v>
      </c>
      <c r="D423" s="298">
        <f t="shared" si="61"/>
        <v>0</v>
      </c>
      <c r="E423" s="299">
        <f t="shared" si="57"/>
        <v>0</v>
      </c>
      <c r="F423" s="299">
        <f t="shared" si="56"/>
        <v>0</v>
      </c>
      <c r="G423" s="299">
        <f t="shared" si="58"/>
        <v>0</v>
      </c>
      <c r="H423" s="298">
        <f t="shared" si="59"/>
        <v>0</v>
      </c>
    </row>
    <row r="424" spans="2:8" s="252" customFormat="1">
      <c r="B424" s="296">
        <f t="shared" si="60"/>
        <v>405</v>
      </c>
      <c r="C424" s="307">
        <f t="shared" si="55"/>
        <v>0</v>
      </c>
      <c r="D424" s="298">
        <f t="shared" si="61"/>
        <v>0</v>
      </c>
      <c r="E424" s="299">
        <f t="shared" si="57"/>
        <v>0</v>
      </c>
      <c r="F424" s="299">
        <f t="shared" si="56"/>
        <v>0</v>
      </c>
      <c r="G424" s="299">
        <f t="shared" si="58"/>
        <v>0</v>
      </c>
      <c r="H424" s="298">
        <f t="shared" si="59"/>
        <v>0</v>
      </c>
    </row>
    <row r="425" spans="2:8" s="252" customFormat="1">
      <c r="B425" s="296">
        <f t="shared" si="60"/>
        <v>406</v>
      </c>
      <c r="C425" s="307">
        <f t="shared" si="55"/>
        <v>0</v>
      </c>
      <c r="D425" s="298">
        <f t="shared" si="61"/>
        <v>0</v>
      </c>
      <c r="E425" s="299">
        <f t="shared" si="57"/>
        <v>0</v>
      </c>
      <c r="F425" s="299">
        <f t="shared" si="56"/>
        <v>0</v>
      </c>
      <c r="G425" s="299">
        <f t="shared" si="58"/>
        <v>0</v>
      </c>
      <c r="H425" s="298">
        <f t="shared" si="59"/>
        <v>0</v>
      </c>
    </row>
    <row r="426" spans="2:8" s="252" customFormat="1">
      <c r="B426" s="296">
        <f t="shared" si="60"/>
        <v>407</v>
      </c>
      <c r="C426" s="307">
        <f t="shared" si="55"/>
        <v>0</v>
      </c>
      <c r="D426" s="298">
        <f t="shared" si="61"/>
        <v>0</v>
      </c>
      <c r="E426" s="299">
        <f t="shared" si="57"/>
        <v>0</v>
      </c>
      <c r="F426" s="299">
        <f t="shared" si="56"/>
        <v>0</v>
      </c>
      <c r="G426" s="299">
        <f t="shared" si="58"/>
        <v>0</v>
      </c>
      <c r="H426" s="298">
        <f t="shared" si="59"/>
        <v>0</v>
      </c>
    </row>
    <row r="427" spans="2:8" s="252" customFormat="1">
      <c r="B427" s="309">
        <f t="shared" si="60"/>
        <v>408</v>
      </c>
      <c r="C427" s="310">
        <f t="shared" si="55"/>
        <v>0</v>
      </c>
      <c r="D427" s="311">
        <f t="shared" si="61"/>
        <v>0</v>
      </c>
      <c r="E427" s="312">
        <f t="shared" si="57"/>
        <v>0</v>
      </c>
      <c r="F427" s="312">
        <f t="shared" si="56"/>
        <v>0</v>
      </c>
      <c r="G427" s="312">
        <f t="shared" si="58"/>
        <v>0</v>
      </c>
      <c r="H427" s="311">
        <f t="shared" si="59"/>
        <v>0</v>
      </c>
    </row>
    <row r="428" spans="2:8" s="252" customFormat="1">
      <c r="B428" s="296">
        <f t="shared" si="60"/>
        <v>409</v>
      </c>
      <c r="C428" s="307">
        <f t="shared" si="55"/>
        <v>0</v>
      </c>
      <c r="D428" s="298">
        <f t="shared" si="61"/>
        <v>0</v>
      </c>
      <c r="E428" s="299">
        <f t="shared" si="57"/>
        <v>0</v>
      </c>
      <c r="F428" s="299">
        <f t="shared" si="56"/>
        <v>0</v>
      </c>
      <c r="G428" s="299">
        <f t="shared" si="58"/>
        <v>0</v>
      </c>
      <c r="H428" s="298">
        <f t="shared" si="59"/>
        <v>0</v>
      </c>
    </row>
    <row r="429" spans="2:8" s="252" customFormat="1">
      <c r="B429" s="296">
        <f t="shared" si="60"/>
        <v>410</v>
      </c>
      <c r="C429" s="307">
        <f t="shared" si="55"/>
        <v>0</v>
      </c>
      <c r="D429" s="298">
        <f t="shared" si="61"/>
        <v>0</v>
      </c>
      <c r="E429" s="299">
        <f t="shared" si="57"/>
        <v>0</v>
      </c>
      <c r="F429" s="299">
        <f t="shared" si="56"/>
        <v>0</v>
      </c>
      <c r="G429" s="299">
        <f t="shared" si="58"/>
        <v>0</v>
      </c>
      <c r="H429" s="298">
        <f t="shared" si="59"/>
        <v>0</v>
      </c>
    </row>
    <row r="430" spans="2:8" s="252" customFormat="1">
      <c r="B430" s="296">
        <f t="shared" si="60"/>
        <v>411</v>
      </c>
      <c r="C430" s="307">
        <f t="shared" si="55"/>
        <v>0</v>
      </c>
      <c r="D430" s="298">
        <f t="shared" si="61"/>
        <v>0</v>
      </c>
      <c r="E430" s="299">
        <f t="shared" si="57"/>
        <v>0</v>
      </c>
      <c r="F430" s="299">
        <f t="shared" si="56"/>
        <v>0</v>
      </c>
      <c r="G430" s="299">
        <f t="shared" si="58"/>
        <v>0</v>
      </c>
      <c r="H430" s="298">
        <f t="shared" si="59"/>
        <v>0</v>
      </c>
    </row>
    <row r="431" spans="2:8" s="252" customFormat="1">
      <c r="B431" s="296">
        <f t="shared" si="60"/>
        <v>412</v>
      </c>
      <c r="C431" s="307">
        <f t="shared" si="55"/>
        <v>0</v>
      </c>
      <c r="D431" s="298">
        <f t="shared" si="61"/>
        <v>0</v>
      </c>
      <c r="E431" s="299">
        <f t="shared" si="57"/>
        <v>0</v>
      </c>
      <c r="F431" s="299">
        <f t="shared" si="56"/>
        <v>0</v>
      </c>
      <c r="G431" s="299">
        <f t="shared" si="58"/>
        <v>0</v>
      </c>
      <c r="H431" s="298">
        <f t="shared" si="59"/>
        <v>0</v>
      </c>
    </row>
    <row r="432" spans="2:8" s="252" customFormat="1">
      <c r="B432" s="296">
        <f t="shared" si="60"/>
        <v>413</v>
      </c>
      <c r="C432" s="307">
        <v>0</v>
      </c>
      <c r="D432" s="298">
        <f t="shared" si="61"/>
        <v>0</v>
      </c>
      <c r="E432" s="299">
        <f t="shared" si="57"/>
        <v>0</v>
      </c>
      <c r="F432" s="299">
        <f t="shared" si="56"/>
        <v>0</v>
      </c>
      <c r="G432" s="299">
        <f t="shared" si="58"/>
        <v>0</v>
      </c>
      <c r="H432" s="298">
        <f t="shared" si="59"/>
        <v>0</v>
      </c>
    </row>
    <row r="433" spans="2:8" s="252" customFormat="1">
      <c r="B433" s="296">
        <f t="shared" si="60"/>
        <v>414</v>
      </c>
      <c r="C433" s="307">
        <f t="shared" ref="C433:C439" si="62">IF(D433&gt;0,$F$7,0)</f>
        <v>0</v>
      </c>
      <c r="D433" s="298">
        <f t="shared" si="61"/>
        <v>0</v>
      </c>
      <c r="E433" s="299">
        <f t="shared" si="57"/>
        <v>0</v>
      </c>
      <c r="F433" s="299">
        <f t="shared" si="56"/>
        <v>0</v>
      </c>
      <c r="G433" s="299">
        <f t="shared" si="58"/>
        <v>0</v>
      </c>
      <c r="H433" s="298">
        <f t="shared" si="59"/>
        <v>0</v>
      </c>
    </row>
    <row r="434" spans="2:8" s="252" customFormat="1">
      <c r="B434" s="296">
        <f t="shared" si="60"/>
        <v>415</v>
      </c>
      <c r="C434" s="307">
        <f t="shared" si="62"/>
        <v>0</v>
      </c>
      <c r="D434" s="298">
        <f t="shared" si="61"/>
        <v>0</v>
      </c>
      <c r="E434" s="299">
        <f t="shared" si="57"/>
        <v>0</v>
      </c>
      <c r="F434" s="299">
        <f t="shared" si="56"/>
        <v>0</v>
      </c>
      <c r="G434" s="299">
        <f t="shared" si="58"/>
        <v>0</v>
      </c>
      <c r="H434" s="298">
        <f t="shared" si="59"/>
        <v>0</v>
      </c>
    </row>
    <row r="435" spans="2:8" s="252" customFormat="1">
      <c r="B435" s="296">
        <f t="shared" si="60"/>
        <v>416</v>
      </c>
      <c r="C435" s="307">
        <f t="shared" si="62"/>
        <v>0</v>
      </c>
      <c r="D435" s="298">
        <f t="shared" si="61"/>
        <v>0</v>
      </c>
      <c r="E435" s="299">
        <f t="shared" si="57"/>
        <v>0</v>
      </c>
      <c r="F435" s="299">
        <f t="shared" si="56"/>
        <v>0</v>
      </c>
      <c r="G435" s="299">
        <f t="shared" si="58"/>
        <v>0</v>
      </c>
      <c r="H435" s="298">
        <f t="shared" si="59"/>
        <v>0</v>
      </c>
    </row>
    <row r="436" spans="2:8" s="252" customFormat="1">
      <c r="B436" s="296">
        <f t="shared" si="60"/>
        <v>417</v>
      </c>
      <c r="C436" s="307">
        <f t="shared" si="62"/>
        <v>0</v>
      </c>
      <c r="D436" s="298">
        <f t="shared" si="61"/>
        <v>0</v>
      </c>
      <c r="E436" s="299">
        <f t="shared" si="57"/>
        <v>0</v>
      </c>
      <c r="F436" s="299">
        <f t="shared" si="56"/>
        <v>0</v>
      </c>
      <c r="G436" s="299">
        <f t="shared" si="58"/>
        <v>0</v>
      </c>
      <c r="H436" s="298">
        <f t="shared" si="59"/>
        <v>0</v>
      </c>
    </row>
    <row r="437" spans="2:8" s="252" customFormat="1">
      <c r="B437" s="296">
        <f t="shared" si="60"/>
        <v>418</v>
      </c>
      <c r="C437" s="307">
        <f t="shared" si="62"/>
        <v>0</v>
      </c>
      <c r="D437" s="298">
        <f t="shared" si="61"/>
        <v>0</v>
      </c>
      <c r="E437" s="299">
        <f t="shared" si="57"/>
        <v>0</v>
      </c>
      <c r="F437" s="299">
        <f t="shared" si="56"/>
        <v>0</v>
      </c>
      <c r="G437" s="299">
        <f t="shared" si="58"/>
        <v>0</v>
      </c>
      <c r="H437" s="298">
        <f t="shared" si="59"/>
        <v>0</v>
      </c>
    </row>
    <row r="438" spans="2:8" s="252" customFormat="1">
      <c r="B438" s="296">
        <f t="shared" si="60"/>
        <v>419</v>
      </c>
      <c r="C438" s="307">
        <f t="shared" si="62"/>
        <v>0</v>
      </c>
      <c r="D438" s="298">
        <f t="shared" si="61"/>
        <v>0</v>
      </c>
      <c r="E438" s="299">
        <f t="shared" si="57"/>
        <v>0</v>
      </c>
      <c r="F438" s="299">
        <f t="shared" si="56"/>
        <v>0</v>
      </c>
      <c r="G438" s="299">
        <f t="shared" si="58"/>
        <v>0</v>
      </c>
      <c r="H438" s="298">
        <f t="shared" si="59"/>
        <v>0</v>
      </c>
    </row>
    <row r="439" spans="2:8" s="252" customFormat="1">
      <c r="B439" s="309">
        <f t="shared" si="60"/>
        <v>420</v>
      </c>
      <c r="C439" s="310">
        <f t="shared" si="62"/>
        <v>0</v>
      </c>
      <c r="D439" s="311">
        <f t="shared" si="61"/>
        <v>0</v>
      </c>
      <c r="E439" s="312">
        <f t="shared" si="57"/>
        <v>0</v>
      </c>
      <c r="F439" s="312">
        <f t="shared" si="56"/>
        <v>0</v>
      </c>
      <c r="G439" s="312">
        <f t="shared" si="58"/>
        <v>0</v>
      </c>
      <c r="H439" s="311">
        <f t="shared" si="59"/>
        <v>0</v>
      </c>
    </row>
  </sheetData>
  <sheetProtection algorithmName="SHA-512" hashValue="i63Wp1CBFI5dJtZfOv9pKBfRVx+eC2IfmyKuiUxDc/KctDZ1M8pzigizNQewHnt95Ar/q7+X5yutMzMmRU+k4A==" saltValue="vYhoJ7L5T7O5Y2xW6ORXIQ==" spinCount="100000" sheet="1" objects="1" scenarios="1" selectLockedCells="1" selectUnlockedCells="1"/>
  <mergeCells count="8">
    <mergeCell ref="B15:C15"/>
    <mergeCell ref="B17:C17"/>
    <mergeCell ref="B1:G1"/>
    <mergeCell ref="B6:C6"/>
    <mergeCell ref="B8:C9"/>
    <mergeCell ref="B12:C12"/>
    <mergeCell ref="B13:C13"/>
    <mergeCell ref="B14:C14"/>
  </mergeCells>
  <conditionalFormatting sqref="G15:I15">
    <cfRule type="cellIs" dxfId="13" priority="1" operator="lessThan">
      <formula>#REF!</formula>
    </cfRule>
    <cfRule type="cellIs" dxfId="12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HL (อัตราดอกเบี้ยนำเสนอลด)</oddHeader>
    <oddFooter>&amp;Lv202506&amp;Cหมายเหตุ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
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6665D3-0ABB-425A-A5EC-55FFE7523257}">
          <x14:formula1>
            <xm:f>pam!$L$2:$L$4</xm:f>
          </x14:formula1>
          <xm:sqref>G3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44BC-447C-4B78-B686-1C84AE41C7E5}">
  <sheetPr codeName="Sheet8">
    <tabColor rgb="FFC00000"/>
    <pageSetUpPr fitToPage="1"/>
  </sheetPr>
  <dimension ref="A1:O439"/>
  <sheetViews>
    <sheetView showGridLines="0" zoomScaleNormal="100" workbookViewId="0">
      <selection activeCell="A2" sqref="A2"/>
    </sheetView>
  </sheetViews>
  <sheetFormatPr defaultRowHeight="11.25"/>
  <cols>
    <col min="1" max="1" width="2.28515625" style="271" customWidth="1"/>
    <col min="2" max="2" width="8.5703125" style="252" customWidth="1"/>
    <col min="3" max="3" width="15.28515625" style="252" customWidth="1"/>
    <col min="4" max="7" width="15.28515625" style="271" customWidth="1"/>
    <col min="8" max="8" width="13.140625" style="252" hidden="1" customWidth="1"/>
    <col min="9" max="9" width="12.85546875" style="252" hidden="1" customWidth="1"/>
    <col min="10" max="12" width="14.42578125" style="271" customWidth="1"/>
    <col min="13" max="15" width="0" style="271" hidden="1" customWidth="1"/>
    <col min="16" max="256" width="9.140625" style="271"/>
    <col min="257" max="257" width="2.28515625" style="271" customWidth="1"/>
    <col min="258" max="258" width="5.7109375" style="271" customWidth="1"/>
    <col min="259" max="264" width="13.140625" style="271" customWidth="1"/>
    <col min="265" max="265" width="0" style="271" hidden="1" customWidth="1"/>
    <col min="266" max="268" width="14.42578125" style="271" customWidth="1"/>
    <col min="269" max="271" width="0" style="271" hidden="1" customWidth="1"/>
    <col min="272" max="512" width="9.140625" style="271"/>
    <col min="513" max="513" width="2.28515625" style="271" customWidth="1"/>
    <col min="514" max="514" width="5.7109375" style="271" customWidth="1"/>
    <col min="515" max="520" width="13.140625" style="271" customWidth="1"/>
    <col min="521" max="521" width="0" style="271" hidden="1" customWidth="1"/>
    <col min="522" max="524" width="14.42578125" style="271" customWidth="1"/>
    <col min="525" max="527" width="0" style="271" hidden="1" customWidth="1"/>
    <col min="528" max="768" width="9.140625" style="271"/>
    <col min="769" max="769" width="2.28515625" style="271" customWidth="1"/>
    <col min="770" max="770" width="5.7109375" style="271" customWidth="1"/>
    <col min="771" max="776" width="13.140625" style="271" customWidth="1"/>
    <col min="777" max="777" width="0" style="271" hidden="1" customWidth="1"/>
    <col min="778" max="780" width="14.42578125" style="271" customWidth="1"/>
    <col min="781" max="783" width="0" style="271" hidden="1" customWidth="1"/>
    <col min="784" max="1024" width="9.140625" style="271"/>
    <col min="1025" max="1025" width="2.28515625" style="271" customWidth="1"/>
    <col min="1026" max="1026" width="5.7109375" style="271" customWidth="1"/>
    <col min="1027" max="1032" width="13.140625" style="271" customWidth="1"/>
    <col min="1033" max="1033" width="0" style="271" hidden="1" customWidth="1"/>
    <col min="1034" max="1036" width="14.42578125" style="271" customWidth="1"/>
    <col min="1037" max="1039" width="0" style="271" hidden="1" customWidth="1"/>
    <col min="1040" max="1280" width="9.140625" style="271"/>
    <col min="1281" max="1281" width="2.28515625" style="271" customWidth="1"/>
    <col min="1282" max="1282" width="5.7109375" style="271" customWidth="1"/>
    <col min="1283" max="1288" width="13.140625" style="271" customWidth="1"/>
    <col min="1289" max="1289" width="0" style="271" hidden="1" customWidth="1"/>
    <col min="1290" max="1292" width="14.42578125" style="271" customWidth="1"/>
    <col min="1293" max="1295" width="0" style="271" hidden="1" customWidth="1"/>
    <col min="1296" max="1536" width="9.140625" style="271"/>
    <col min="1537" max="1537" width="2.28515625" style="271" customWidth="1"/>
    <col min="1538" max="1538" width="5.7109375" style="271" customWidth="1"/>
    <col min="1539" max="1544" width="13.140625" style="271" customWidth="1"/>
    <col min="1545" max="1545" width="0" style="271" hidden="1" customWidth="1"/>
    <col min="1546" max="1548" width="14.42578125" style="271" customWidth="1"/>
    <col min="1549" max="1551" width="0" style="271" hidden="1" customWidth="1"/>
    <col min="1552" max="1792" width="9.140625" style="271"/>
    <col min="1793" max="1793" width="2.28515625" style="271" customWidth="1"/>
    <col min="1794" max="1794" width="5.7109375" style="271" customWidth="1"/>
    <col min="1795" max="1800" width="13.140625" style="271" customWidth="1"/>
    <col min="1801" max="1801" width="0" style="271" hidden="1" customWidth="1"/>
    <col min="1802" max="1804" width="14.42578125" style="271" customWidth="1"/>
    <col min="1805" max="1807" width="0" style="271" hidden="1" customWidth="1"/>
    <col min="1808" max="2048" width="9.140625" style="271"/>
    <col min="2049" max="2049" width="2.28515625" style="271" customWidth="1"/>
    <col min="2050" max="2050" width="5.7109375" style="271" customWidth="1"/>
    <col min="2051" max="2056" width="13.140625" style="271" customWidth="1"/>
    <col min="2057" max="2057" width="0" style="271" hidden="1" customWidth="1"/>
    <col min="2058" max="2060" width="14.42578125" style="271" customWidth="1"/>
    <col min="2061" max="2063" width="0" style="271" hidden="1" customWidth="1"/>
    <col min="2064" max="2304" width="9.140625" style="271"/>
    <col min="2305" max="2305" width="2.28515625" style="271" customWidth="1"/>
    <col min="2306" max="2306" width="5.7109375" style="271" customWidth="1"/>
    <col min="2307" max="2312" width="13.140625" style="271" customWidth="1"/>
    <col min="2313" max="2313" width="0" style="271" hidden="1" customWidth="1"/>
    <col min="2314" max="2316" width="14.42578125" style="271" customWidth="1"/>
    <col min="2317" max="2319" width="0" style="271" hidden="1" customWidth="1"/>
    <col min="2320" max="2560" width="9.140625" style="271"/>
    <col min="2561" max="2561" width="2.28515625" style="271" customWidth="1"/>
    <col min="2562" max="2562" width="5.7109375" style="271" customWidth="1"/>
    <col min="2563" max="2568" width="13.140625" style="271" customWidth="1"/>
    <col min="2569" max="2569" width="0" style="271" hidden="1" customWidth="1"/>
    <col min="2570" max="2572" width="14.42578125" style="271" customWidth="1"/>
    <col min="2573" max="2575" width="0" style="271" hidden="1" customWidth="1"/>
    <col min="2576" max="2816" width="9.140625" style="271"/>
    <col min="2817" max="2817" width="2.28515625" style="271" customWidth="1"/>
    <col min="2818" max="2818" width="5.7109375" style="271" customWidth="1"/>
    <col min="2819" max="2824" width="13.140625" style="271" customWidth="1"/>
    <col min="2825" max="2825" width="0" style="271" hidden="1" customWidth="1"/>
    <col min="2826" max="2828" width="14.42578125" style="271" customWidth="1"/>
    <col min="2829" max="2831" width="0" style="271" hidden="1" customWidth="1"/>
    <col min="2832" max="3072" width="9.140625" style="271"/>
    <col min="3073" max="3073" width="2.28515625" style="271" customWidth="1"/>
    <col min="3074" max="3074" width="5.7109375" style="271" customWidth="1"/>
    <col min="3075" max="3080" width="13.140625" style="271" customWidth="1"/>
    <col min="3081" max="3081" width="0" style="271" hidden="1" customWidth="1"/>
    <col min="3082" max="3084" width="14.42578125" style="271" customWidth="1"/>
    <col min="3085" max="3087" width="0" style="271" hidden="1" customWidth="1"/>
    <col min="3088" max="3328" width="9.140625" style="271"/>
    <col min="3329" max="3329" width="2.28515625" style="271" customWidth="1"/>
    <col min="3330" max="3330" width="5.7109375" style="271" customWidth="1"/>
    <col min="3331" max="3336" width="13.140625" style="271" customWidth="1"/>
    <col min="3337" max="3337" width="0" style="271" hidden="1" customWidth="1"/>
    <col min="3338" max="3340" width="14.42578125" style="271" customWidth="1"/>
    <col min="3341" max="3343" width="0" style="271" hidden="1" customWidth="1"/>
    <col min="3344" max="3584" width="9.140625" style="271"/>
    <col min="3585" max="3585" width="2.28515625" style="271" customWidth="1"/>
    <col min="3586" max="3586" width="5.7109375" style="271" customWidth="1"/>
    <col min="3587" max="3592" width="13.140625" style="271" customWidth="1"/>
    <col min="3593" max="3593" width="0" style="271" hidden="1" customWidth="1"/>
    <col min="3594" max="3596" width="14.42578125" style="271" customWidth="1"/>
    <col min="3597" max="3599" width="0" style="271" hidden="1" customWidth="1"/>
    <col min="3600" max="3840" width="9.140625" style="271"/>
    <col min="3841" max="3841" width="2.28515625" style="271" customWidth="1"/>
    <col min="3842" max="3842" width="5.7109375" style="271" customWidth="1"/>
    <col min="3843" max="3848" width="13.140625" style="271" customWidth="1"/>
    <col min="3849" max="3849" width="0" style="271" hidden="1" customWidth="1"/>
    <col min="3850" max="3852" width="14.42578125" style="271" customWidth="1"/>
    <col min="3853" max="3855" width="0" style="271" hidden="1" customWidth="1"/>
    <col min="3856" max="4096" width="9.140625" style="271"/>
    <col min="4097" max="4097" width="2.28515625" style="271" customWidth="1"/>
    <col min="4098" max="4098" width="5.7109375" style="271" customWidth="1"/>
    <col min="4099" max="4104" width="13.140625" style="271" customWidth="1"/>
    <col min="4105" max="4105" width="0" style="271" hidden="1" customWidth="1"/>
    <col min="4106" max="4108" width="14.42578125" style="271" customWidth="1"/>
    <col min="4109" max="4111" width="0" style="271" hidden="1" customWidth="1"/>
    <col min="4112" max="4352" width="9.140625" style="271"/>
    <col min="4353" max="4353" width="2.28515625" style="271" customWidth="1"/>
    <col min="4354" max="4354" width="5.7109375" style="271" customWidth="1"/>
    <col min="4355" max="4360" width="13.140625" style="271" customWidth="1"/>
    <col min="4361" max="4361" width="0" style="271" hidden="1" customWidth="1"/>
    <col min="4362" max="4364" width="14.42578125" style="271" customWidth="1"/>
    <col min="4365" max="4367" width="0" style="271" hidden="1" customWidth="1"/>
    <col min="4368" max="4608" width="9.140625" style="271"/>
    <col min="4609" max="4609" width="2.28515625" style="271" customWidth="1"/>
    <col min="4610" max="4610" width="5.7109375" style="271" customWidth="1"/>
    <col min="4611" max="4616" width="13.140625" style="271" customWidth="1"/>
    <col min="4617" max="4617" width="0" style="271" hidden="1" customWidth="1"/>
    <col min="4618" max="4620" width="14.42578125" style="271" customWidth="1"/>
    <col min="4621" max="4623" width="0" style="271" hidden="1" customWidth="1"/>
    <col min="4624" max="4864" width="9.140625" style="271"/>
    <col min="4865" max="4865" width="2.28515625" style="271" customWidth="1"/>
    <col min="4866" max="4866" width="5.7109375" style="271" customWidth="1"/>
    <col min="4867" max="4872" width="13.140625" style="271" customWidth="1"/>
    <col min="4873" max="4873" width="0" style="271" hidden="1" customWidth="1"/>
    <col min="4874" max="4876" width="14.42578125" style="271" customWidth="1"/>
    <col min="4877" max="4879" width="0" style="271" hidden="1" customWidth="1"/>
    <col min="4880" max="5120" width="9.140625" style="271"/>
    <col min="5121" max="5121" width="2.28515625" style="271" customWidth="1"/>
    <col min="5122" max="5122" width="5.7109375" style="271" customWidth="1"/>
    <col min="5123" max="5128" width="13.140625" style="271" customWidth="1"/>
    <col min="5129" max="5129" width="0" style="271" hidden="1" customWidth="1"/>
    <col min="5130" max="5132" width="14.42578125" style="271" customWidth="1"/>
    <col min="5133" max="5135" width="0" style="271" hidden="1" customWidth="1"/>
    <col min="5136" max="5376" width="9.140625" style="271"/>
    <col min="5377" max="5377" width="2.28515625" style="271" customWidth="1"/>
    <col min="5378" max="5378" width="5.7109375" style="271" customWidth="1"/>
    <col min="5379" max="5384" width="13.140625" style="271" customWidth="1"/>
    <col min="5385" max="5385" width="0" style="271" hidden="1" customWidth="1"/>
    <col min="5386" max="5388" width="14.42578125" style="271" customWidth="1"/>
    <col min="5389" max="5391" width="0" style="271" hidden="1" customWidth="1"/>
    <col min="5392" max="5632" width="9.140625" style="271"/>
    <col min="5633" max="5633" width="2.28515625" style="271" customWidth="1"/>
    <col min="5634" max="5634" width="5.7109375" style="271" customWidth="1"/>
    <col min="5635" max="5640" width="13.140625" style="271" customWidth="1"/>
    <col min="5641" max="5641" width="0" style="271" hidden="1" customWidth="1"/>
    <col min="5642" max="5644" width="14.42578125" style="271" customWidth="1"/>
    <col min="5645" max="5647" width="0" style="271" hidden="1" customWidth="1"/>
    <col min="5648" max="5888" width="9.140625" style="271"/>
    <col min="5889" max="5889" width="2.28515625" style="271" customWidth="1"/>
    <col min="5890" max="5890" width="5.7109375" style="271" customWidth="1"/>
    <col min="5891" max="5896" width="13.140625" style="271" customWidth="1"/>
    <col min="5897" max="5897" width="0" style="271" hidden="1" customWidth="1"/>
    <col min="5898" max="5900" width="14.42578125" style="271" customWidth="1"/>
    <col min="5901" max="5903" width="0" style="271" hidden="1" customWidth="1"/>
    <col min="5904" max="6144" width="9.140625" style="271"/>
    <col min="6145" max="6145" width="2.28515625" style="271" customWidth="1"/>
    <col min="6146" max="6146" width="5.7109375" style="271" customWidth="1"/>
    <col min="6147" max="6152" width="13.140625" style="271" customWidth="1"/>
    <col min="6153" max="6153" width="0" style="271" hidden="1" customWidth="1"/>
    <col min="6154" max="6156" width="14.42578125" style="271" customWidth="1"/>
    <col min="6157" max="6159" width="0" style="271" hidden="1" customWidth="1"/>
    <col min="6160" max="6400" width="9.140625" style="271"/>
    <col min="6401" max="6401" width="2.28515625" style="271" customWidth="1"/>
    <col min="6402" max="6402" width="5.7109375" style="271" customWidth="1"/>
    <col min="6403" max="6408" width="13.140625" style="271" customWidth="1"/>
    <col min="6409" max="6409" width="0" style="271" hidden="1" customWidth="1"/>
    <col min="6410" max="6412" width="14.42578125" style="271" customWidth="1"/>
    <col min="6413" max="6415" width="0" style="271" hidden="1" customWidth="1"/>
    <col min="6416" max="6656" width="9.140625" style="271"/>
    <col min="6657" max="6657" width="2.28515625" style="271" customWidth="1"/>
    <col min="6658" max="6658" width="5.7109375" style="271" customWidth="1"/>
    <col min="6659" max="6664" width="13.140625" style="271" customWidth="1"/>
    <col min="6665" max="6665" width="0" style="271" hidden="1" customWidth="1"/>
    <col min="6666" max="6668" width="14.42578125" style="271" customWidth="1"/>
    <col min="6669" max="6671" width="0" style="271" hidden="1" customWidth="1"/>
    <col min="6672" max="6912" width="9.140625" style="271"/>
    <col min="6913" max="6913" width="2.28515625" style="271" customWidth="1"/>
    <col min="6914" max="6914" width="5.7109375" style="271" customWidth="1"/>
    <col min="6915" max="6920" width="13.140625" style="271" customWidth="1"/>
    <col min="6921" max="6921" width="0" style="271" hidden="1" customWidth="1"/>
    <col min="6922" max="6924" width="14.42578125" style="271" customWidth="1"/>
    <col min="6925" max="6927" width="0" style="271" hidden="1" customWidth="1"/>
    <col min="6928" max="7168" width="9.140625" style="271"/>
    <col min="7169" max="7169" width="2.28515625" style="271" customWidth="1"/>
    <col min="7170" max="7170" width="5.7109375" style="271" customWidth="1"/>
    <col min="7171" max="7176" width="13.140625" style="271" customWidth="1"/>
    <col min="7177" max="7177" width="0" style="271" hidden="1" customWidth="1"/>
    <col min="7178" max="7180" width="14.42578125" style="271" customWidth="1"/>
    <col min="7181" max="7183" width="0" style="271" hidden="1" customWidth="1"/>
    <col min="7184" max="7424" width="9.140625" style="271"/>
    <col min="7425" max="7425" width="2.28515625" style="271" customWidth="1"/>
    <col min="7426" max="7426" width="5.7109375" style="271" customWidth="1"/>
    <col min="7427" max="7432" width="13.140625" style="271" customWidth="1"/>
    <col min="7433" max="7433" width="0" style="271" hidden="1" customWidth="1"/>
    <col min="7434" max="7436" width="14.42578125" style="271" customWidth="1"/>
    <col min="7437" max="7439" width="0" style="271" hidden="1" customWidth="1"/>
    <col min="7440" max="7680" width="9.140625" style="271"/>
    <col min="7681" max="7681" width="2.28515625" style="271" customWidth="1"/>
    <col min="7682" max="7682" width="5.7109375" style="271" customWidth="1"/>
    <col min="7683" max="7688" width="13.140625" style="271" customWidth="1"/>
    <col min="7689" max="7689" width="0" style="271" hidden="1" customWidth="1"/>
    <col min="7690" max="7692" width="14.42578125" style="271" customWidth="1"/>
    <col min="7693" max="7695" width="0" style="271" hidden="1" customWidth="1"/>
    <col min="7696" max="7936" width="9.140625" style="271"/>
    <col min="7937" max="7937" width="2.28515625" style="271" customWidth="1"/>
    <col min="7938" max="7938" width="5.7109375" style="271" customWidth="1"/>
    <col min="7939" max="7944" width="13.140625" style="271" customWidth="1"/>
    <col min="7945" max="7945" width="0" style="271" hidden="1" customWidth="1"/>
    <col min="7946" max="7948" width="14.42578125" style="271" customWidth="1"/>
    <col min="7949" max="7951" width="0" style="271" hidden="1" customWidth="1"/>
    <col min="7952" max="8192" width="9.140625" style="271"/>
    <col min="8193" max="8193" width="2.28515625" style="271" customWidth="1"/>
    <col min="8194" max="8194" width="5.7109375" style="271" customWidth="1"/>
    <col min="8195" max="8200" width="13.140625" style="271" customWidth="1"/>
    <col min="8201" max="8201" width="0" style="271" hidden="1" customWidth="1"/>
    <col min="8202" max="8204" width="14.42578125" style="271" customWidth="1"/>
    <col min="8205" max="8207" width="0" style="271" hidden="1" customWidth="1"/>
    <col min="8208" max="8448" width="9.140625" style="271"/>
    <col min="8449" max="8449" width="2.28515625" style="271" customWidth="1"/>
    <col min="8450" max="8450" width="5.7109375" style="271" customWidth="1"/>
    <col min="8451" max="8456" width="13.140625" style="271" customWidth="1"/>
    <col min="8457" max="8457" width="0" style="271" hidden="1" customWidth="1"/>
    <col min="8458" max="8460" width="14.42578125" style="271" customWidth="1"/>
    <col min="8461" max="8463" width="0" style="271" hidden="1" customWidth="1"/>
    <col min="8464" max="8704" width="9.140625" style="271"/>
    <col min="8705" max="8705" width="2.28515625" style="271" customWidth="1"/>
    <col min="8706" max="8706" width="5.7109375" style="271" customWidth="1"/>
    <col min="8707" max="8712" width="13.140625" style="271" customWidth="1"/>
    <col min="8713" max="8713" width="0" style="271" hidden="1" customWidth="1"/>
    <col min="8714" max="8716" width="14.42578125" style="271" customWidth="1"/>
    <col min="8717" max="8719" width="0" style="271" hidden="1" customWidth="1"/>
    <col min="8720" max="8960" width="9.140625" style="271"/>
    <col min="8961" max="8961" width="2.28515625" style="271" customWidth="1"/>
    <col min="8962" max="8962" width="5.7109375" style="271" customWidth="1"/>
    <col min="8963" max="8968" width="13.140625" style="271" customWidth="1"/>
    <col min="8969" max="8969" width="0" style="271" hidden="1" customWidth="1"/>
    <col min="8970" max="8972" width="14.42578125" style="271" customWidth="1"/>
    <col min="8973" max="8975" width="0" style="271" hidden="1" customWidth="1"/>
    <col min="8976" max="9216" width="9.140625" style="271"/>
    <col min="9217" max="9217" width="2.28515625" style="271" customWidth="1"/>
    <col min="9218" max="9218" width="5.7109375" style="271" customWidth="1"/>
    <col min="9219" max="9224" width="13.140625" style="271" customWidth="1"/>
    <col min="9225" max="9225" width="0" style="271" hidden="1" customWidth="1"/>
    <col min="9226" max="9228" width="14.42578125" style="271" customWidth="1"/>
    <col min="9229" max="9231" width="0" style="271" hidden="1" customWidth="1"/>
    <col min="9232" max="9472" width="9.140625" style="271"/>
    <col min="9473" max="9473" width="2.28515625" style="271" customWidth="1"/>
    <col min="9474" max="9474" width="5.7109375" style="271" customWidth="1"/>
    <col min="9475" max="9480" width="13.140625" style="271" customWidth="1"/>
    <col min="9481" max="9481" width="0" style="271" hidden="1" customWidth="1"/>
    <col min="9482" max="9484" width="14.42578125" style="271" customWidth="1"/>
    <col min="9485" max="9487" width="0" style="271" hidden="1" customWidth="1"/>
    <col min="9488" max="9728" width="9.140625" style="271"/>
    <col min="9729" max="9729" width="2.28515625" style="271" customWidth="1"/>
    <col min="9730" max="9730" width="5.7109375" style="271" customWidth="1"/>
    <col min="9731" max="9736" width="13.140625" style="271" customWidth="1"/>
    <col min="9737" max="9737" width="0" style="271" hidden="1" customWidth="1"/>
    <col min="9738" max="9740" width="14.42578125" style="271" customWidth="1"/>
    <col min="9741" max="9743" width="0" style="271" hidden="1" customWidth="1"/>
    <col min="9744" max="9984" width="9.140625" style="271"/>
    <col min="9985" max="9985" width="2.28515625" style="271" customWidth="1"/>
    <col min="9986" max="9986" width="5.7109375" style="271" customWidth="1"/>
    <col min="9987" max="9992" width="13.140625" style="271" customWidth="1"/>
    <col min="9993" max="9993" width="0" style="271" hidden="1" customWidth="1"/>
    <col min="9994" max="9996" width="14.42578125" style="271" customWidth="1"/>
    <col min="9997" max="9999" width="0" style="271" hidden="1" customWidth="1"/>
    <col min="10000" max="10240" width="9.140625" style="271"/>
    <col min="10241" max="10241" width="2.28515625" style="271" customWidth="1"/>
    <col min="10242" max="10242" width="5.7109375" style="271" customWidth="1"/>
    <col min="10243" max="10248" width="13.140625" style="271" customWidth="1"/>
    <col min="10249" max="10249" width="0" style="271" hidden="1" customWidth="1"/>
    <col min="10250" max="10252" width="14.42578125" style="271" customWidth="1"/>
    <col min="10253" max="10255" width="0" style="271" hidden="1" customWidth="1"/>
    <col min="10256" max="10496" width="9.140625" style="271"/>
    <col min="10497" max="10497" width="2.28515625" style="271" customWidth="1"/>
    <col min="10498" max="10498" width="5.7109375" style="271" customWidth="1"/>
    <col min="10499" max="10504" width="13.140625" style="271" customWidth="1"/>
    <col min="10505" max="10505" width="0" style="271" hidden="1" customWidth="1"/>
    <col min="10506" max="10508" width="14.42578125" style="271" customWidth="1"/>
    <col min="10509" max="10511" width="0" style="271" hidden="1" customWidth="1"/>
    <col min="10512" max="10752" width="9.140625" style="271"/>
    <col min="10753" max="10753" width="2.28515625" style="271" customWidth="1"/>
    <col min="10754" max="10754" width="5.7109375" style="271" customWidth="1"/>
    <col min="10755" max="10760" width="13.140625" style="271" customWidth="1"/>
    <col min="10761" max="10761" width="0" style="271" hidden="1" customWidth="1"/>
    <col min="10762" max="10764" width="14.42578125" style="271" customWidth="1"/>
    <col min="10765" max="10767" width="0" style="271" hidden="1" customWidth="1"/>
    <col min="10768" max="11008" width="9.140625" style="271"/>
    <col min="11009" max="11009" width="2.28515625" style="271" customWidth="1"/>
    <col min="11010" max="11010" width="5.7109375" style="271" customWidth="1"/>
    <col min="11011" max="11016" width="13.140625" style="271" customWidth="1"/>
    <col min="11017" max="11017" width="0" style="271" hidden="1" customWidth="1"/>
    <col min="11018" max="11020" width="14.42578125" style="271" customWidth="1"/>
    <col min="11021" max="11023" width="0" style="271" hidden="1" customWidth="1"/>
    <col min="11024" max="11264" width="9.140625" style="271"/>
    <col min="11265" max="11265" width="2.28515625" style="271" customWidth="1"/>
    <col min="11266" max="11266" width="5.7109375" style="271" customWidth="1"/>
    <col min="11267" max="11272" width="13.140625" style="271" customWidth="1"/>
    <col min="11273" max="11273" width="0" style="271" hidden="1" customWidth="1"/>
    <col min="11274" max="11276" width="14.42578125" style="271" customWidth="1"/>
    <col min="11277" max="11279" width="0" style="271" hidden="1" customWidth="1"/>
    <col min="11280" max="11520" width="9.140625" style="271"/>
    <col min="11521" max="11521" width="2.28515625" style="271" customWidth="1"/>
    <col min="11522" max="11522" width="5.7109375" style="271" customWidth="1"/>
    <col min="11523" max="11528" width="13.140625" style="271" customWidth="1"/>
    <col min="11529" max="11529" width="0" style="271" hidden="1" customWidth="1"/>
    <col min="11530" max="11532" width="14.42578125" style="271" customWidth="1"/>
    <col min="11533" max="11535" width="0" style="271" hidden="1" customWidth="1"/>
    <col min="11536" max="11776" width="9.140625" style="271"/>
    <col min="11777" max="11777" width="2.28515625" style="271" customWidth="1"/>
    <col min="11778" max="11778" width="5.7109375" style="271" customWidth="1"/>
    <col min="11779" max="11784" width="13.140625" style="271" customWidth="1"/>
    <col min="11785" max="11785" width="0" style="271" hidden="1" customWidth="1"/>
    <col min="11786" max="11788" width="14.42578125" style="271" customWidth="1"/>
    <col min="11789" max="11791" width="0" style="271" hidden="1" customWidth="1"/>
    <col min="11792" max="12032" width="9.140625" style="271"/>
    <col min="12033" max="12033" width="2.28515625" style="271" customWidth="1"/>
    <col min="12034" max="12034" width="5.7109375" style="271" customWidth="1"/>
    <col min="12035" max="12040" width="13.140625" style="271" customWidth="1"/>
    <col min="12041" max="12041" width="0" style="271" hidden="1" customWidth="1"/>
    <col min="12042" max="12044" width="14.42578125" style="271" customWidth="1"/>
    <col min="12045" max="12047" width="0" style="271" hidden="1" customWidth="1"/>
    <col min="12048" max="12288" width="9.140625" style="271"/>
    <col min="12289" max="12289" width="2.28515625" style="271" customWidth="1"/>
    <col min="12290" max="12290" width="5.7109375" style="271" customWidth="1"/>
    <col min="12291" max="12296" width="13.140625" style="271" customWidth="1"/>
    <col min="12297" max="12297" width="0" style="271" hidden="1" customWidth="1"/>
    <col min="12298" max="12300" width="14.42578125" style="271" customWidth="1"/>
    <col min="12301" max="12303" width="0" style="271" hidden="1" customWidth="1"/>
    <col min="12304" max="12544" width="9.140625" style="271"/>
    <col min="12545" max="12545" width="2.28515625" style="271" customWidth="1"/>
    <col min="12546" max="12546" width="5.7109375" style="271" customWidth="1"/>
    <col min="12547" max="12552" width="13.140625" style="271" customWidth="1"/>
    <col min="12553" max="12553" width="0" style="271" hidden="1" customWidth="1"/>
    <col min="12554" max="12556" width="14.42578125" style="271" customWidth="1"/>
    <col min="12557" max="12559" width="0" style="271" hidden="1" customWidth="1"/>
    <col min="12560" max="12800" width="9.140625" style="271"/>
    <col min="12801" max="12801" width="2.28515625" style="271" customWidth="1"/>
    <col min="12802" max="12802" width="5.7109375" style="271" customWidth="1"/>
    <col min="12803" max="12808" width="13.140625" style="271" customWidth="1"/>
    <col min="12809" max="12809" width="0" style="271" hidden="1" customWidth="1"/>
    <col min="12810" max="12812" width="14.42578125" style="271" customWidth="1"/>
    <col min="12813" max="12815" width="0" style="271" hidden="1" customWidth="1"/>
    <col min="12816" max="13056" width="9.140625" style="271"/>
    <col min="13057" max="13057" width="2.28515625" style="271" customWidth="1"/>
    <col min="13058" max="13058" width="5.7109375" style="271" customWidth="1"/>
    <col min="13059" max="13064" width="13.140625" style="271" customWidth="1"/>
    <col min="13065" max="13065" width="0" style="271" hidden="1" customWidth="1"/>
    <col min="13066" max="13068" width="14.42578125" style="271" customWidth="1"/>
    <col min="13069" max="13071" width="0" style="271" hidden="1" customWidth="1"/>
    <col min="13072" max="13312" width="9.140625" style="271"/>
    <col min="13313" max="13313" width="2.28515625" style="271" customWidth="1"/>
    <col min="13314" max="13314" width="5.7109375" style="271" customWidth="1"/>
    <col min="13315" max="13320" width="13.140625" style="271" customWidth="1"/>
    <col min="13321" max="13321" width="0" style="271" hidden="1" customWidth="1"/>
    <col min="13322" max="13324" width="14.42578125" style="271" customWidth="1"/>
    <col min="13325" max="13327" width="0" style="271" hidden="1" customWidth="1"/>
    <col min="13328" max="13568" width="9.140625" style="271"/>
    <col min="13569" max="13569" width="2.28515625" style="271" customWidth="1"/>
    <col min="13570" max="13570" width="5.7109375" style="271" customWidth="1"/>
    <col min="13571" max="13576" width="13.140625" style="271" customWidth="1"/>
    <col min="13577" max="13577" width="0" style="271" hidden="1" customWidth="1"/>
    <col min="13578" max="13580" width="14.42578125" style="271" customWidth="1"/>
    <col min="13581" max="13583" width="0" style="271" hidden="1" customWidth="1"/>
    <col min="13584" max="13824" width="9.140625" style="271"/>
    <col min="13825" max="13825" width="2.28515625" style="271" customWidth="1"/>
    <col min="13826" max="13826" width="5.7109375" style="271" customWidth="1"/>
    <col min="13827" max="13832" width="13.140625" style="271" customWidth="1"/>
    <col min="13833" max="13833" width="0" style="271" hidden="1" customWidth="1"/>
    <col min="13834" max="13836" width="14.42578125" style="271" customWidth="1"/>
    <col min="13837" max="13839" width="0" style="271" hidden="1" customWidth="1"/>
    <col min="13840" max="14080" width="9.140625" style="271"/>
    <col min="14081" max="14081" width="2.28515625" style="271" customWidth="1"/>
    <col min="14082" max="14082" width="5.7109375" style="271" customWidth="1"/>
    <col min="14083" max="14088" width="13.140625" style="271" customWidth="1"/>
    <col min="14089" max="14089" width="0" style="271" hidden="1" customWidth="1"/>
    <col min="14090" max="14092" width="14.42578125" style="271" customWidth="1"/>
    <col min="14093" max="14095" width="0" style="271" hidden="1" customWidth="1"/>
    <col min="14096" max="14336" width="9.140625" style="271"/>
    <col min="14337" max="14337" width="2.28515625" style="271" customWidth="1"/>
    <col min="14338" max="14338" width="5.7109375" style="271" customWidth="1"/>
    <col min="14339" max="14344" width="13.140625" style="271" customWidth="1"/>
    <col min="14345" max="14345" width="0" style="271" hidden="1" customWidth="1"/>
    <col min="14346" max="14348" width="14.42578125" style="271" customWidth="1"/>
    <col min="14349" max="14351" width="0" style="271" hidden="1" customWidth="1"/>
    <col min="14352" max="14592" width="9.140625" style="271"/>
    <col min="14593" max="14593" width="2.28515625" style="271" customWidth="1"/>
    <col min="14594" max="14594" width="5.7109375" style="271" customWidth="1"/>
    <col min="14595" max="14600" width="13.140625" style="271" customWidth="1"/>
    <col min="14601" max="14601" width="0" style="271" hidden="1" customWidth="1"/>
    <col min="14602" max="14604" width="14.42578125" style="271" customWidth="1"/>
    <col min="14605" max="14607" width="0" style="271" hidden="1" customWidth="1"/>
    <col min="14608" max="14848" width="9.140625" style="271"/>
    <col min="14849" max="14849" width="2.28515625" style="271" customWidth="1"/>
    <col min="14850" max="14850" width="5.7109375" style="271" customWidth="1"/>
    <col min="14851" max="14856" width="13.140625" style="271" customWidth="1"/>
    <col min="14857" max="14857" width="0" style="271" hidden="1" customWidth="1"/>
    <col min="14858" max="14860" width="14.42578125" style="271" customWidth="1"/>
    <col min="14861" max="14863" width="0" style="271" hidden="1" customWidth="1"/>
    <col min="14864" max="15104" width="9.140625" style="271"/>
    <col min="15105" max="15105" width="2.28515625" style="271" customWidth="1"/>
    <col min="15106" max="15106" width="5.7109375" style="271" customWidth="1"/>
    <col min="15107" max="15112" width="13.140625" style="271" customWidth="1"/>
    <col min="15113" max="15113" width="0" style="271" hidden="1" customWidth="1"/>
    <col min="15114" max="15116" width="14.42578125" style="271" customWidth="1"/>
    <col min="15117" max="15119" width="0" style="271" hidden="1" customWidth="1"/>
    <col min="15120" max="15360" width="9.140625" style="271"/>
    <col min="15361" max="15361" width="2.28515625" style="271" customWidth="1"/>
    <col min="15362" max="15362" width="5.7109375" style="271" customWidth="1"/>
    <col min="15363" max="15368" width="13.140625" style="271" customWidth="1"/>
    <col min="15369" max="15369" width="0" style="271" hidden="1" customWidth="1"/>
    <col min="15370" max="15372" width="14.42578125" style="271" customWidth="1"/>
    <col min="15373" max="15375" width="0" style="271" hidden="1" customWidth="1"/>
    <col min="15376" max="15616" width="9.140625" style="271"/>
    <col min="15617" max="15617" width="2.28515625" style="271" customWidth="1"/>
    <col min="15618" max="15618" width="5.7109375" style="271" customWidth="1"/>
    <col min="15619" max="15624" width="13.140625" style="271" customWidth="1"/>
    <col min="15625" max="15625" width="0" style="271" hidden="1" customWidth="1"/>
    <col min="15626" max="15628" width="14.42578125" style="271" customWidth="1"/>
    <col min="15629" max="15631" width="0" style="271" hidden="1" customWidth="1"/>
    <col min="15632" max="15872" width="9.140625" style="271"/>
    <col min="15873" max="15873" width="2.28515625" style="271" customWidth="1"/>
    <col min="15874" max="15874" width="5.7109375" style="271" customWidth="1"/>
    <col min="15875" max="15880" width="13.140625" style="271" customWidth="1"/>
    <col min="15881" max="15881" width="0" style="271" hidden="1" customWidth="1"/>
    <col min="15882" max="15884" width="14.42578125" style="271" customWidth="1"/>
    <col min="15885" max="15887" width="0" style="271" hidden="1" customWidth="1"/>
    <col min="15888" max="16128" width="9.140625" style="271"/>
    <col min="16129" max="16129" width="2.28515625" style="271" customWidth="1"/>
    <col min="16130" max="16130" width="5.7109375" style="271" customWidth="1"/>
    <col min="16131" max="16136" width="13.140625" style="271" customWidth="1"/>
    <col min="16137" max="16137" width="0" style="271" hidden="1" customWidth="1"/>
    <col min="16138" max="16140" width="14.42578125" style="271" customWidth="1"/>
    <col min="16141" max="16143" width="0" style="271" hidden="1" customWidth="1"/>
    <col min="16144" max="16384" width="9.140625" style="271"/>
  </cols>
  <sheetData>
    <row r="1" spans="2:9" ht="14.25" customHeight="1">
      <c r="B1" s="473" t="s">
        <v>1241</v>
      </c>
      <c r="C1" s="474"/>
      <c r="D1" s="474"/>
      <c r="E1" s="474"/>
      <c r="F1" s="474"/>
      <c r="G1" s="475"/>
      <c r="H1" s="270"/>
      <c r="I1" s="271"/>
    </row>
    <row r="2" spans="2:9" ht="14.25" customHeight="1">
      <c r="B2" s="320" t="s">
        <v>1216</v>
      </c>
      <c r="C2" s="328">
        <f>'1.ลดดอกเบี้ย'!C3</f>
        <v>0</v>
      </c>
      <c r="D2" s="328"/>
      <c r="E2" s="316"/>
      <c r="F2" s="269"/>
      <c r="G2" s="274" t="s">
        <v>191</v>
      </c>
      <c r="H2" s="272"/>
      <c r="I2" s="271"/>
    </row>
    <row r="3" spans="2:9" ht="14.25" customHeight="1">
      <c r="B3" s="320" t="s">
        <v>1238</v>
      </c>
      <c r="C3" s="326">
        <f>'1.ลดดอกเบี้ย'!C4</f>
        <v>0</v>
      </c>
      <c r="D3" s="327"/>
      <c r="F3" s="313" t="s">
        <v>208</v>
      </c>
      <c r="G3" s="330" cm="1">
        <f t="array" ref="G3:H3">'1.ลดดอกเบี้ย'!C26:D26</f>
        <v>0</v>
      </c>
      <c r="H3" s="272">
        <v>0</v>
      </c>
      <c r="I3" s="271"/>
    </row>
    <row r="4" spans="2:9" ht="14.25" customHeight="1">
      <c r="B4" s="319" t="s">
        <v>57</v>
      </c>
      <c r="C4" s="321">
        <f>'2.นำเสนอดอกเบี้ย'!G14</f>
        <v>0</v>
      </c>
      <c r="D4" s="324" t="s">
        <v>1235</v>
      </c>
      <c r="E4" s="313" t="s">
        <v>59</v>
      </c>
      <c r="F4" s="317">
        <f>'2.นำเสนอดอกเบี้ย'!H3</f>
        <v>0</v>
      </c>
      <c r="G4" s="276">
        <f>'1.ลดดอกเบี้ย'!C28</f>
        <v>0</v>
      </c>
      <c r="H4" s="273"/>
      <c r="I4" s="271"/>
    </row>
    <row r="5" spans="2:9" ht="14.25" customHeight="1">
      <c r="B5" s="322" t="s">
        <v>1234</v>
      </c>
      <c r="C5" s="323">
        <f>'1.ลดดอกเบี้ย'!C9</f>
        <v>0</v>
      </c>
      <c r="D5" s="325" t="s">
        <v>1236</v>
      </c>
      <c r="E5" s="313" t="s">
        <v>60</v>
      </c>
      <c r="F5" s="317">
        <f>'2.นำเสนอดอกเบี้ย'!H4</f>
        <v>0</v>
      </c>
      <c r="G5" s="276">
        <f>'1.ลดดอกเบี้ย'!C29</f>
        <v>0</v>
      </c>
      <c r="H5" s="275" t="e">
        <f>SUM(I6:I10)/#REF!</f>
        <v>#REF!</v>
      </c>
      <c r="I5" s="271"/>
    </row>
    <row r="6" spans="2:9" ht="14.25" customHeight="1">
      <c r="B6" s="476"/>
      <c r="C6" s="477"/>
      <c r="E6" s="313" t="s">
        <v>61</v>
      </c>
      <c r="F6" s="317">
        <f>'2.นำเสนอดอกเบี้ย'!H5</f>
        <v>0</v>
      </c>
      <c r="G6" s="276">
        <f>'1.ลดดอกเบี้ย'!C30</f>
        <v>0</v>
      </c>
      <c r="H6" s="277">
        <f>F4*12</f>
        <v>0</v>
      </c>
      <c r="I6" s="271"/>
    </row>
    <row r="7" spans="2:9" ht="14.25" customHeight="1">
      <c r="B7" s="249"/>
      <c r="C7" s="280" t="s">
        <v>1222</v>
      </c>
      <c r="D7" s="329">
        <v>0.01</v>
      </c>
      <c r="E7" s="278" t="s">
        <v>1250</v>
      </c>
      <c r="F7" s="318">
        <f>'2.นำเสนอดอกเบี้ย'!H6</f>
        <v>0</v>
      </c>
      <c r="G7" s="279">
        <f>'1.ลดดอกเบี้ย'!C31</f>
        <v>0</v>
      </c>
      <c r="H7" s="277">
        <f>F5*12</f>
        <v>0</v>
      </c>
      <c r="I7" s="271"/>
    </row>
    <row r="8" spans="2:9" ht="12" hidden="1" customHeight="1">
      <c r="B8" s="476"/>
      <c r="C8" s="477"/>
      <c r="D8" s="314"/>
      <c r="H8" s="277">
        <f>F6*12</f>
        <v>0</v>
      </c>
      <c r="I8" s="271"/>
    </row>
    <row r="9" spans="2:9" ht="12" hidden="1" customHeight="1">
      <c r="B9" s="478"/>
      <c r="C9" s="479"/>
      <c r="D9" s="315"/>
      <c r="H9" s="277">
        <f>F7*12</f>
        <v>0</v>
      </c>
      <c r="I9" s="271"/>
    </row>
    <row r="10" spans="2:9" ht="12" hidden="1" customHeight="1">
      <c r="B10" s="249"/>
      <c r="C10" s="250"/>
      <c r="D10" s="250"/>
      <c r="E10" s="250"/>
      <c r="F10" s="278" t="s">
        <v>1223</v>
      </c>
      <c r="G10" s="251">
        <f>F7</f>
        <v>0</v>
      </c>
      <c r="H10" s="279">
        <f>IF(G3="เท่ากันทุกเดือน",'1.ลดดอกเบี้ย'!#REF!,'1.ลดดอกเบี้ย'!C31)</f>
        <v>0</v>
      </c>
      <c r="I10" s="277" t="e">
        <f>G10*(#REF!-48)</f>
        <v>#REF!</v>
      </c>
    </row>
    <row r="11" spans="2:9" ht="3" customHeight="1">
      <c r="C11" s="253"/>
      <c r="D11" s="248">
        <f>12*3</f>
        <v>36</v>
      </c>
      <c r="E11" s="248">
        <f>12*5</f>
        <v>60</v>
      </c>
      <c r="F11" s="248">
        <f>12*7</f>
        <v>84</v>
      </c>
      <c r="G11" s="248">
        <f>12*10</f>
        <v>120</v>
      </c>
      <c r="H11" s="248">
        <f>12*30</f>
        <v>360</v>
      </c>
      <c r="I11" s="280">
        <f>12*15</f>
        <v>180</v>
      </c>
    </row>
    <row r="12" spans="2:9" ht="12.75" hidden="1" customHeight="1">
      <c r="B12" s="480"/>
      <c r="C12" s="480"/>
      <c r="D12" s="254" t="s">
        <v>1224</v>
      </c>
      <c r="E12" s="255" t="s">
        <v>1225</v>
      </c>
      <c r="F12" s="255" t="s">
        <v>1226</v>
      </c>
      <c r="G12" s="255" t="s">
        <v>1227</v>
      </c>
      <c r="H12" s="255" t="s">
        <v>1228</v>
      </c>
      <c r="I12" s="255" t="s">
        <v>1229</v>
      </c>
    </row>
    <row r="13" spans="2:9" ht="14.25" hidden="1" customHeight="1">
      <c r="B13" s="481" t="s">
        <v>1230</v>
      </c>
      <c r="C13" s="481"/>
      <c r="D13" s="256">
        <f>SUM($G$20:$G$55)</f>
        <v>0</v>
      </c>
      <c r="E13" s="257">
        <f>SUM($G$20:$G$79)</f>
        <v>0</v>
      </c>
      <c r="F13" s="256">
        <f>SUM($G$20:$G$103)</f>
        <v>0</v>
      </c>
      <c r="G13" s="256">
        <f>SUM($G$20:$G$139)</f>
        <v>0</v>
      </c>
      <c r="H13" s="256">
        <f>SUM($G$20:$G$379)</f>
        <v>0</v>
      </c>
      <c r="I13" s="256">
        <f>SUM($G$20:$G$199)</f>
        <v>0</v>
      </c>
    </row>
    <row r="14" spans="2:9" ht="14.25" hidden="1" customHeight="1">
      <c r="B14" s="482" t="s">
        <v>1231</v>
      </c>
      <c r="C14" s="482"/>
      <c r="D14" s="258">
        <f>AVERAGE($D$20:$D$55)</f>
        <v>0</v>
      </c>
      <c r="E14" s="259">
        <f>AVERAGE($D$20:$D$79)</f>
        <v>0</v>
      </c>
      <c r="F14" s="258">
        <f>AVERAGE($D$20:$D$103)</f>
        <v>0</v>
      </c>
      <c r="G14" s="258">
        <f>AVERAGE($D$20:$D$139)</f>
        <v>0</v>
      </c>
      <c r="H14" s="258">
        <f>AVERAGE($D$20:$D$379)</f>
        <v>0</v>
      </c>
      <c r="I14" s="258">
        <f>AVERAGE($D$20:$D$199)</f>
        <v>0</v>
      </c>
    </row>
    <row r="15" spans="2:9" ht="14.25" hidden="1" customHeight="1">
      <c r="B15" s="470" t="s">
        <v>1232</v>
      </c>
      <c r="C15" s="470"/>
      <c r="D15" s="260" t="e">
        <f t="shared" ref="D15:I15" si="0">D13/D14/(D11/12)</f>
        <v>#DIV/0!</v>
      </c>
      <c r="E15" s="261" t="e">
        <f t="shared" si="0"/>
        <v>#DIV/0!</v>
      </c>
      <c r="F15" s="260" t="e">
        <f t="shared" si="0"/>
        <v>#DIV/0!</v>
      </c>
      <c r="G15" s="260" t="e">
        <f t="shared" si="0"/>
        <v>#DIV/0!</v>
      </c>
      <c r="H15" s="260" t="e">
        <f t="shared" si="0"/>
        <v>#DIV/0!</v>
      </c>
      <c r="I15" s="262" t="e">
        <f t="shared" si="0"/>
        <v>#DIV/0!</v>
      </c>
    </row>
    <row r="16" spans="2:9" ht="5.25" hidden="1" customHeight="1">
      <c r="C16" s="263"/>
      <c r="D16" s="281"/>
      <c r="E16" s="282"/>
      <c r="F16" s="281"/>
      <c r="G16" s="283"/>
      <c r="H16" s="271"/>
      <c r="I16" s="271"/>
    </row>
    <row r="17" spans="1:15" ht="14.25" hidden="1" customHeight="1">
      <c r="B17" s="471" t="s">
        <v>1233</v>
      </c>
      <c r="C17" s="472"/>
      <c r="D17" s="264">
        <f>AVERAGE($C$20:$C$55)</f>
        <v>0</v>
      </c>
      <c r="E17" s="265">
        <f>AVERAGE($C$20:$C$79)</f>
        <v>0</v>
      </c>
      <c r="F17" s="264">
        <f>AVERAGE($C$20:$C$103)</f>
        <v>0</v>
      </c>
      <c r="G17" s="264">
        <f>AVERAGE($C$20:$C$139)</f>
        <v>0</v>
      </c>
      <c r="H17" s="264">
        <f>AVERAGE($C$20:$C$379)</f>
        <v>0</v>
      </c>
      <c r="I17" s="266">
        <f>AVERAGE(C20:C199)</f>
        <v>0</v>
      </c>
    </row>
    <row r="18" spans="1:15" ht="4.5" customHeight="1">
      <c r="D18" s="284"/>
      <c r="E18" s="285"/>
    </row>
    <row r="19" spans="1:15" ht="14.25" customHeight="1">
      <c r="A19" s="286"/>
      <c r="B19" s="267" t="s">
        <v>1215</v>
      </c>
      <c r="C19" s="267" t="s">
        <v>208</v>
      </c>
      <c r="D19" s="267" t="s">
        <v>1237</v>
      </c>
      <c r="E19" s="267" t="s">
        <v>1217</v>
      </c>
      <c r="F19" s="267" t="s">
        <v>1218</v>
      </c>
      <c r="G19" s="267" t="s">
        <v>1219</v>
      </c>
      <c r="H19" s="267" t="s">
        <v>1237</v>
      </c>
      <c r="I19" s="268" t="s">
        <v>115</v>
      </c>
      <c r="J19" s="287"/>
      <c r="K19" s="287"/>
      <c r="L19" s="287"/>
      <c r="M19" s="287"/>
      <c r="N19" s="287"/>
      <c r="O19" s="288" t="s">
        <v>97</v>
      </c>
    </row>
    <row r="20" spans="1:15">
      <c r="A20" s="286"/>
      <c r="B20" s="289">
        <v>1</v>
      </c>
      <c r="C20" s="290">
        <f t="shared" ref="C20:C31" si="1">IF(D20&gt;0,$F$4,0)</f>
        <v>0</v>
      </c>
      <c r="D20" s="291">
        <f>C4</f>
        <v>0</v>
      </c>
      <c r="E20" s="292">
        <f>G4</f>
        <v>0</v>
      </c>
      <c r="F20" s="292">
        <f t="shared" ref="F20:F83" si="2">E20-G20</f>
        <v>0</v>
      </c>
      <c r="G20" s="292">
        <f>C20*(D20/365)*30</f>
        <v>0</v>
      </c>
      <c r="H20" s="293">
        <f>IF((D20+G20-E20)&lt;0,0,D20+G20-E20)</f>
        <v>0</v>
      </c>
      <c r="I20" s="294"/>
      <c r="O20" s="295">
        <f t="shared" ref="O20:O83" si="3">IF(H20=0,B20,"n.a.")</f>
        <v>1</v>
      </c>
    </row>
    <row r="21" spans="1:15">
      <c r="A21" s="286"/>
      <c r="B21" s="296">
        <f>B20+1</f>
        <v>2</v>
      </c>
      <c r="C21" s="297">
        <f t="shared" si="1"/>
        <v>0</v>
      </c>
      <c r="D21" s="298">
        <f>H20</f>
        <v>0</v>
      </c>
      <c r="E21" s="299">
        <f t="shared" ref="E21:E31" si="4">IF(H20&lt;=E20,H20+G21,$G$4)</f>
        <v>0</v>
      </c>
      <c r="F21" s="299">
        <f t="shared" si="2"/>
        <v>0</v>
      </c>
      <c r="G21" s="299">
        <f t="shared" ref="G21:G84" si="5">C21*(D21/365)*30</f>
        <v>0</v>
      </c>
      <c r="H21" s="298">
        <f t="shared" ref="H21:H84" si="6">IF((D21+G21-E21)&lt;0,0,D21+G21-E21)</f>
        <v>0</v>
      </c>
      <c r="I21" s="294"/>
      <c r="O21" s="295">
        <f t="shared" si="3"/>
        <v>2</v>
      </c>
    </row>
    <row r="22" spans="1:15">
      <c r="A22" s="286"/>
      <c r="B22" s="296">
        <f t="shared" ref="B22:B85" si="7">B21+1</f>
        <v>3</v>
      </c>
      <c r="C22" s="297">
        <f t="shared" si="1"/>
        <v>0</v>
      </c>
      <c r="D22" s="298">
        <f t="shared" ref="D22:D85" si="8">H21</f>
        <v>0</v>
      </c>
      <c r="E22" s="299">
        <f t="shared" si="4"/>
        <v>0</v>
      </c>
      <c r="F22" s="299">
        <f t="shared" si="2"/>
        <v>0</v>
      </c>
      <c r="G22" s="299">
        <f t="shared" si="5"/>
        <v>0</v>
      </c>
      <c r="H22" s="298">
        <f t="shared" si="6"/>
        <v>0</v>
      </c>
      <c r="I22" s="294"/>
      <c r="O22" s="295">
        <f t="shared" si="3"/>
        <v>3</v>
      </c>
    </row>
    <row r="23" spans="1:15">
      <c r="A23" s="286"/>
      <c r="B23" s="296">
        <f t="shared" si="7"/>
        <v>4</v>
      </c>
      <c r="C23" s="297">
        <f t="shared" si="1"/>
        <v>0</v>
      </c>
      <c r="D23" s="298">
        <f t="shared" si="8"/>
        <v>0</v>
      </c>
      <c r="E23" s="299">
        <f t="shared" si="4"/>
        <v>0</v>
      </c>
      <c r="F23" s="299">
        <f t="shared" si="2"/>
        <v>0</v>
      </c>
      <c r="G23" s="299">
        <f t="shared" si="5"/>
        <v>0</v>
      </c>
      <c r="H23" s="298">
        <f t="shared" si="6"/>
        <v>0</v>
      </c>
      <c r="I23" s="294"/>
      <c r="O23" s="295">
        <f t="shared" si="3"/>
        <v>4</v>
      </c>
    </row>
    <row r="24" spans="1:15">
      <c r="A24" s="286"/>
      <c r="B24" s="296">
        <f t="shared" si="7"/>
        <v>5</v>
      </c>
      <c r="C24" s="297">
        <f t="shared" si="1"/>
        <v>0</v>
      </c>
      <c r="D24" s="298">
        <f t="shared" si="8"/>
        <v>0</v>
      </c>
      <c r="E24" s="299">
        <f t="shared" si="4"/>
        <v>0</v>
      </c>
      <c r="F24" s="299">
        <f t="shared" si="2"/>
        <v>0</v>
      </c>
      <c r="G24" s="299">
        <f t="shared" si="5"/>
        <v>0</v>
      </c>
      <c r="H24" s="298">
        <f t="shared" si="6"/>
        <v>0</v>
      </c>
      <c r="I24" s="294"/>
      <c r="O24" s="295">
        <f t="shared" si="3"/>
        <v>5</v>
      </c>
    </row>
    <row r="25" spans="1:15">
      <c r="A25" s="286"/>
      <c r="B25" s="296">
        <f t="shared" si="7"/>
        <v>6</v>
      </c>
      <c r="C25" s="297">
        <f t="shared" si="1"/>
        <v>0</v>
      </c>
      <c r="D25" s="298">
        <f t="shared" si="8"/>
        <v>0</v>
      </c>
      <c r="E25" s="299">
        <f t="shared" si="4"/>
        <v>0</v>
      </c>
      <c r="F25" s="299">
        <f t="shared" si="2"/>
        <v>0</v>
      </c>
      <c r="G25" s="299">
        <f t="shared" si="5"/>
        <v>0</v>
      </c>
      <c r="H25" s="298">
        <f t="shared" si="6"/>
        <v>0</v>
      </c>
      <c r="I25" s="294"/>
      <c r="O25" s="295">
        <f t="shared" si="3"/>
        <v>6</v>
      </c>
    </row>
    <row r="26" spans="1:15">
      <c r="A26" s="286"/>
      <c r="B26" s="296">
        <f t="shared" si="7"/>
        <v>7</v>
      </c>
      <c r="C26" s="297">
        <f t="shared" si="1"/>
        <v>0</v>
      </c>
      <c r="D26" s="298">
        <f t="shared" si="8"/>
        <v>0</v>
      </c>
      <c r="E26" s="299">
        <f t="shared" si="4"/>
        <v>0</v>
      </c>
      <c r="F26" s="299">
        <f t="shared" si="2"/>
        <v>0</v>
      </c>
      <c r="G26" s="299">
        <f t="shared" si="5"/>
        <v>0</v>
      </c>
      <c r="H26" s="298">
        <f t="shared" si="6"/>
        <v>0</v>
      </c>
      <c r="I26" s="294"/>
      <c r="O26" s="295">
        <f t="shared" si="3"/>
        <v>7</v>
      </c>
    </row>
    <row r="27" spans="1:15">
      <c r="A27" s="286"/>
      <c r="B27" s="296">
        <f t="shared" si="7"/>
        <v>8</v>
      </c>
      <c r="C27" s="297">
        <f t="shared" si="1"/>
        <v>0</v>
      </c>
      <c r="D27" s="298">
        <f t="shared" si="8"/>
        <v>0</v>
      </c>
      <c r="E27" s="299">
        <f t="shared" si="4"/>
        <v>0</v>
      </c>
      <c r="F27" s="299">
        <f t="shared" si="2"/>
        <v>0</v>
      </c>
      <c r="G27" s="299">
        <f t="shared" si="5"/>
        <v>0</v>
      </c>
      <c r="H27" s="298">
        <f t="shared" si="6"/>
        <v>0</v>
      </c>
      <c r="I27" s="294"/>
      <c r="O27" s="295">
        <f t="shared" si="3"/>
        <v>8</v>
      </c>
    </row>
    <row r="28" spans="1:15">
      <c r="A28" s="286"/>
      <c r="B28" s="296">
        <f t="shared" si="7"/>
        <v>9</v>
      </c>
      <c r="C28" s="297">
        <f t="shared" si="1"/>
        <v>0</v>
      </c>
      <c r="D28" s="298">
        <f t="shared" si="8"/>
        <v>0</v>
      </c>
      <c r="E28" s="299">
        <f t="shared" si="4"/>
        <v>0</v>
      </c>
      <c r="F28" s="299">
        <f t="shared" si="2"/>
        <v>0</v>
      </c>
      <c r="G28" s="299">
        <f t="shared" si="5"/>
        <v>0</v>
      </c>
      <c r="H28" s="298">
        <f t="shared" si="6"/>
        <v>0</v>
      </c>
      <c r="I28" s="294"/>
      <c r="O28" s="295">
        <f t="shared" si="3"/>
        <v>9</v>
      </c>
    </row>
    <row r="29" spans="1:15">
      <c r="A29" s="286"/>
      <c r="B29" s="296">
        <f t="shared" si="7"/>
        <v>10</v>
      </c>
      <c r="C29" s="297">
        <f t="shared" si="1"/>
        <v>0</v>
      </c>
      <c r="D29" s="298">
        <f t="shared" si="8"/>
        <v>0</v>
      </c>
      <c r="E29" s="299">
        <f t="shared" si="4"/>
        <v>0</v>
      </c>
      <c r="F29" s="299">
        <f t="shared" si="2"/>
        <v>0</v>
      </c>
      <c r="G29" s="299">
        <f t="shared" si="5"/>
        <v>0</v>
      </c>
      <c r="H29" s="298">
        <f t="shared" si="6"/>
        <v>0</v>
      </c>
      <c r="I29" s="294"/>
      <c r="O29" s="295">
        <f t="shared" si="3"/>
        <v>10</v>
      </c>
    </row>
    <row r="30" spans="1:15">
      <c r="A30" s="286"/>
      <c r="B30" s="296">
        <f t="shared" si="7"/>
        <v>11</v>
      </c>
      <c r="C30" s="297">
        <f t="shared" si="1"/>
        <v>0</v>
      </c>
      <c r="D30" s="298">
        <f t="shared" si="8"/>
        <v>0</v>
      </c>
      <c r="E30" s="299">
        <f t="shared" si="4"/>
        <v>0</v>
      </c>
      <c r="F30" s="299">
        <f t="shared" si="2"/>
        <v>0</v>
      </c>
      <c r="G30" s="299">
        <f t="shared" si="5"/>
        <v>0</v>
      </c>
      <c r="H30" s="298">
        <f t="shared" si="6"/>
        <v>0</v>
      </c>
      <c r="I30" s="294"/>
      <c r="O30" s="295">
        <f t="shared" si="3"/>
        <v>11</v>
      </c>
    </row>
    <row r="31" spans="1:15">
      <c r="A31" s="286"/>
      <c r="B31" s="300">
        <f t="shared" si="7"/>
        <v>12</v>
      </c>
      <c r="C31" s="301">
        <f t="shared" si="1"/>
        <v>0</v>
      </c>
      <c r="D31" s="302">
        <f t="shared" si="8"/>
        <v>0</v>
      </c>
      <c r="E31" s="303">
        <f t="shared" si="4"/>
        <v>0</v>
      </c>
      <c r="F31" s="303">
        <f t="shared" si="2"/>
        <v>0</v>
      </c>
      <c r="G31" s="303">
        <f t="shared" si="5"/>
        <v>0</v>
      </c>
      <c r="H31" s="302">
        <f t="shared" si="6"/>
        <v>0</v>
      </c>
      <c r="I31" s="304" t="e">
        <f>H31/$D$5</f>
        <v>#VALUE!</v>
      </c>
      <c r="J31" s="305"/>
      <c r="K31" s="305"/>
      <c r="L31" s="305"/>
      <c r="M31" s="305"/>
      <c r="N31" s="305"/>
      <c r="O31" s="306">
        <f t="shared" si="3"/>
        <v>12</v>
      </c>
    </row>
    <row r="32" spans="1:15">
      <c r="A32" s="286"/>
      <c r="B32" s="296">
        <f t="shared" si="7"/>
        <v>13</v>
      </c>
      <c r="C32" s="297">
        <f t="shared" ref="C32:C43" si="9">IF(D32&gt;0,$F$5,0)</f>
        <v>0</v>
      </c>
      <c r="D32" s="298">
        <f t="shared" si="8"/>
        <v>0</v>
      </c>
      <c r="E32" s="299">
        <f t="shared" ref="E32:E43" si="10">IF(H31&lt;=E31,H31+G32,$G$5)</f>
        <v>0</v>
      </c>
      <c r="F32" s="299">
        <f t="shared" si="2"/>
        <v>0</v>
      </c>
      <c r="G32" s="299">
        <f t="shared" si="5"/>
        <v>0</v>
      </c>
      <c r="H32" s="298">
        <f t="shared" si="6"/>
        <v>0</v>
      </c>
      <c r="I32" s="294"/>
      <c r="O32" s="295">
        <f t="shared" si="3"/>
        <v>13</v>
      </c>
    </row>
    <row r="33" spans="1:15">
      <c r="A33" s="286"/>
      <c r="B33" s="296">
        <f t="shared" si="7"/>
        <v>14</v>
      </c>
      <c r="C33" s="297">
        <f t="shared" si="9"/>
        <v>0</v>
      </c>
      <c r="D33" s="298">
        <f t="shared" si="8"/>
        <v>0</v>
      </c>
      <c r="E33" s="299">
        <f t="shared" si="10"/>
        <v>0</v>
      </c>
      <c r="F33" s="299">
        <f t="shared" si="2"/>
        <v>0</v>
      </c>
      <c r="G33" s="299">
        <f t="shared" si="5"/>
        <v>0</v>
      </c>
      <c r="H33" s="298">
        <f t="shared" si="6"/>
        <v>0</v>
      </c>
      <c r="I33" s="294"/>
      <c r="O33" s="295">
        <f t="shared" si="3"/>
        <v>14</v>
      </c>
    </row>
    <row r="34" spans="1:15">
      <c r="A34" s="286"/>
      <c r="B34" s="296">
        <f t="shared" si="7"/>
        <v>15</v>
      </c>
      <c r="C34" s="297">
        <f t="shared" si="9"/>
        <v>0</v>
      </c>
      <c r="D34" s="298">
        <f t="shared" si="8"/>
        <v>0</v>
      </c>
      <c r="E34" s="299">
        <f t="shared" si="10"/>
        <v>0</v>
      </c>
      <c r="F34" s="299">
        <f t="shared" si="2"/>
        <v>0</v>
      </c>
      <c r="G34" s="299">
        <f t="shared" si="5"/>
        <v>0</v>
      </c>
      <c r="H34" s="298">
        <f t="shared" si="6"/>
        <v>0</v>
      </c>
      <c r="I34" s="294"/>
      <c r="O34" s="295">
        <f t="shared" si="3"/>
        <v>15</v>
      </c>
    </row>
    <row r="35" spans="1:15">
      <c r="A35" s="286"/>
      <c r="B35" s="296">
        <f t="shared" si="7"/>
        <v>16</v>
      </c>
      <c r="C35" s="297">
        <f t="shared" si="9"/>
        <v>0</v>
      </c>
      <c r="D35" s="298">
        <f t="shared" si="8"/>
        <v>0</v>
      </c>
      <c r="E35" s="299">
        <f t="shared" si="10"/>
        <v>0</v>
      </c>
      <c r="F35" s="299">
        <f t="shared" si="2"/>
        <v>0</v>
      </c>
      <c r="G35" s="299">
        <f t="shared" si="5"/>
        <v>0</v>
      </c>
      <c r="H35" s="298">
        <f t="shared" si="6"/>
        <v>0</v>
      </c>
      <c r="I35" s="294"/>
      <c r="O35" s="295">
        <f t="shared" si="3"/>
        <v>16</v>
      </c>
    </row>
    <row r="36" spans="1:15">
      <c r="A36" s="286"/>
      <c r="B36" s="296">
        <f t="shared" si="7"/>
        <v>17</v>
      </c>
      <c r="C36" s="297">
        <f t="shared" si="9"/>
        <v>0</v>
      </c>
      <c r="D36" s="298">
        <f t="shared" si="8"/>
        <v>0</v>
      </c>
      <c r="E36" s="299">
        <f t="shared" si="10"/>
        <v>0</v>
      </c>
      <c r="F36" s="299">
        <f t="shared" si="2"/>
        <v>0</v>
      </c>
      <c r="G36" s="299">
        <f t="shared" si="5"/>
        <v>0</v>
      </c>
      <c r="H36" s="298">
        <f t="shared" si="6"/>
        <v>0</v>
      </c>
      <c r="I36" s="294"/>
      <c r="O36" s="295">
        <f t="shared" si="3"/>
        <v>17</v>
      </c>
    </row>
    <row r="37" spans="1:15">
      <c r="A37" s="286"/>
      <c r="B37" s="296">
        <f t="shared" si="7"/>
        <v>18</v>
      </c>
      <c r="C37" s="297">
        <f t="shared" si="9"/>
        <v>0</v>
      </c>
      <c r="D37" s="298">
        <f t="shared" si="8"/>
        <v>0</v>
      </c>
      <c r="E37" s="299">
        <f t="shared" si="10"/>
        <v>0</v>
      </c>
      <c r="F37" s="299">
        <f t="shared" si="2"/>
        <v>0</v>
      </c>
      <c r="G37" s="299">
        <f t="shared" si="5"/>
        <v>0</v>
      </c>
      <c r="H37" s="298">
        <f t="shared" si="6"/>
        <v>0</v>
      </c>
      <c r="I37" s="294"/>
      <c r="O37" s="295">
        <f t="shared" si="3"/>
        <v>18</v>
      </c>
    </row>
    <row r="38" spans="1:15">
      <c r="A38" s="286"/>
      <c r="B38" s="296">
        <f t="shared" si="7"/>
        <v>19</v>
      </c>
      <c r="C38" s="297">
        <f t="shared" si="9"/>
        <v>0</v>
      </c>
      <c r="D38" s="298">
        <f t="shared" si="8"/>
        <v>0</v>
      </c>
      <c r="E38" s="299">
        <f t="shared" si="10"/>
        <v>0</v>
      </c>
      <c r="F38" s="299">
        <f t="shared" si="2"/>
        <v>0</v>
      </c>
      <c r="G38" s="299">
        <f t="shared" si="5"/>
        <v>0</v>
      </c>
      <c r="H38" s="298">
        <f t="shared" si="6"/>
        <v>0</v>
      </c>
      <c r="I38" s="294"/>
      <c r="O38" s="295">
        <f t="shared" si="3"/>
        <v>19</v>
      </c>
    </row>
    <row r="39" spans="1:15">
      <c r="A39" s="286"/>
      <c r="B39" s="296">
        <f t="shared" si="7"/>
        <v>20</v>
      </c>
      <c r="C39" s="297">
        <f t="shared" si="9"/>
        <v>0</v>
      </c>
      <c r="D39" s="298">
        <f t="shared" si="8"/>
        <v>0</v>
      </c>
      <c r="E39" s="299">
        <f t="shared" si="10"/>
        <v>0</v>
      </c>
      <c r="F39" s="299">
        <f t="shared" si="2"/>
        <v>0</v>
      </c>
      <c r="G39" s="299">
        <f t="shared" si="5"/>
        <v>0</v>
      </c>
      <c r="H39" s="298">
        <f t="shared" si="6"/>
        <v>0</v>
      </c>
      <c r="I39" s="294"/>
      <c r="O39" s="295">
        <f t="shared" si="3"/>
        <v>20</v>
      </c>
    </row>
    <row r="40" spans="1:15">
      <c r="A40" s="286"/>
      <c r="B40" s="296">
        <f t="shared" si="7"/>
        <v>21</v>
      </c>
      <c r="C40" s="297">
        <f t="shared" si="9"/>
        <v>0</v>
      </c>
      <c r="D40" s="298">
        <f t="shared" si="8"/>
        <v>0</v>
      </c>
      <c r="E40" s="299">
        <f t="shared" si="10"/>
        <v>0</v>
      </c>
      <c r="F40" s="299">
        <f t="shared" si="2"/>
        <v>0</v>
      </c>
      <c r="G40" s="299">
        <f t="shared" si="5"/>
        <v>0</v>
      </c>
      <c r="H40" s="298">
        <f t="shared" si="6"/>
        <v>0</v>
      </c>
      <c r="I40" s="294"/>
      <c r="O40" s="295">
        <f t="shared" si="3"/>
        <v>21</v>
      </c>
    </row>
    <row r="41" spans="1:15">
      <c r="A41" s="286"/>
      <c r="B41" s="296">
        <f t="shared" si="7"/>
        <v>22</v>
      </c>
      <c r="C41" s="297">
        <f t="shared" si="9"/>
        <v>0</v>
      </c>
      <c r="D41" s="298">
        <f t="shared" si="8"/>
        <v>0</v>
      </c>
      <c r="E41" s="299">
        <f t="shared" si="10"/>
        <v>0</v>
      </c>
      <c r="F41" s="299">
        <f t="shared" si="2"/>
        <v>0</v>
      </c>
      <c r="G41" s="299">
        <f t="shared" si="5"/>
        <v>0</v>
      </c>
      <c r="H41" s="298">
        <f t="shared" si="6"/>
        <v>0</v>
      </c>
      <c r="I41" s="294"/>
      <c r="O41" s="295">
        <f t="shared" si="3"/>
        <v>22</v>
      </c>
    </row>
    <row r="42" spans="1:15">
      <c r="A42" s="286"/>
      <c r="B42" s="296">
        <f t="shared" si="7"/>
        <v>23</v>
      </c>
      <c r="C42" s="297">
        <f t="shared" si="9"/>
        <v>0</v>
      </c>
      <c r="D42" s="298">
        <f t="shared" si="8"/>
        <v>0</v>
      </c>
      <c r="E42" s="299">
        <f t="shared" si="10"/>
        <v>0</v>
      </c>
      <c r="F42" s="299">
        <f t="shared" si="2"/>
        <v>0</v>
      </c>
      <c r="G42" s="299">
        <f t="shared" si="5"/>
        <v>0</v>
      </c>
      <c r="H42" s="298">
        <f t="shared" si="6"/>
        <v>0</v>
      </c>
      <c r="I42" s="294"/>
      <c r="O42" s="295">
        <f t="shared" si="3"/>
        <v>23</v>
      </c>
    </row>
    <row r="43" spans="1:15">
      <c r="A43" s="286"/>
      <c r="B43" s="300">
        <f t="shared" si="7"/>
        <v>24</v>
      </c>
      <c r="C43" s="301">
        <f t="shared" si="9"/>
        <v>0</v>
      </c>
      <c r="D43" s="302">
        <f t="shared" si="8"/>
        <v>0</v>
      </c>
      <c r="E43" s="303">
        <f t="shared" si="10"/>
        <v>0</v>
      </c>
      <c r="F43" s="303">
        <f t="shared" si="2"/>
        <v>0</v>
      </c>
      <c r="G43" s="303">
        <f t="shared" si="5"/>
        <v>0</v>
      </c>
      <c r="H43" s="302">
        <f t="shared" si="6"/>
        <v>0</v>
      </c>
      <c r="I43" s="304" t="e">
        <f>H43/$D$5</f>
        <v>#VALUE!</v>
      </c>
      <c r="J43" s="305"/>
      <c r="K43" s="305"/>
      <c r="L43" s="305"/>
      <c r="M43" s="305"/>
      <c r="N43" s="305"/>
      <c r="O43" s="306">
        <f t="shared" si="3"/>
        <v>24</v>
      </c>
    </row>
    <row r="44" spans="1:15">
      <c r="A44" s="286"/>
      <c r="B44" s="296">
        <f t="shared" si="7"/>
        <v>25</v>
      </c>
      <c r="C44" s="297">
        <f t="shared" ref="C44:C55" si="11">IF(D44&gt;0,$F$6,0)</f>
        <v>0</v>
      </c>
      <c r="D44" s="298">
        <f t="shared" si="8"/>
        <v>0</v>
      </c>
      <c r="E44" s="299">
        <f t="shared" ref="E44:E55" si="12">IF(H43&lt;=E43,H43+G44,$G$6)</f>
        <v>0</v>
      </c>
      <c r="F44" s="299">
        <f t="shared" si="2"/>
        <v>0</v>
      </c>
      <c r="G44" s="299">
        <f t="shared" si="5"/>
        <v>0</v>
      </c>
      <c r="H44" s="298">
        <f t="shared" si="6"/>
        <v>0</v>
      </c>
      <c r="I44" s="294"/>
      <c r="O44" s="295">
        <f t="shared" si="3"/>
        <v>25</v>
      </c>
    </row>
    <row r="45" spans="1:15">
      <c r="A45" s="286"/>
      <c r="B45" s="296">
        <f t="shared" si="7"/>
        <v>26</v>
      </c>
      <c r="C45" s="297">
        <f t="shared" si="11"/>
        <v>0</v>
      </c>
      <c r="D45" s="298">
        <f t="shared" si="8"/>
        <v>0</v>
      </c>
      <c r="E45" s="299">
        <f t="shared" si="12"/>
        <v>0</v>
      </c>
      <c r="F45" s="299">
        <f t="shared" si="2"/>
        <v>0</v>
      </c>
      <c r="G45" s="299">
        <f t="shared" si="5"/>
        <v>0</v>
      </c>
      <c r="H45" s="298">
        <f t="shared" si="6"/>
        <v>0</v>
      </c>
      <c r="I45" s="294"/>
      <c r="O45" s="295">
        <f t="shared" si="3"/>
        <v>26</v>
      </c>
    </row>
    <row r="46" spans="1:15">
      <c r="A46" s="286"/>
      <c r="B46" s="296">
        <f t="shared" si="7"/>
        <v>27</v>
      </c>
      <c r="C46" s="297">
        <f t="shared" si="11"/>
        <v>0</v>
      </c>
      <c r="D46" s="298">
        <f t="shared" si="8"/>
        <v>0</v>
      </c>
      <c r="E46" s="299">
        <f t="shared" si="12"/>
        <v>0</v>
      </c>
      <c r="F46" s="299">
        <f t="shared" si="2"/>
        <v>0</v>
      </c>
      <c r="G46" s="299">
        <f t="shared" si="5"/>
        <v>0</v>
      </c>
      <c r="H46" s="298">
        <f t="shared" si="6"/>
        <v>0</v>
      </c>
      <c r="I46" s="294"/>
      <c r="O46" s="295">
        <f t="shared" si="3"/>
        <v>27</v>
      </c>
    </row>
    <row r="47" spans="1:15">
      <c r="A47" s="286"/>
      <c r="B47" s="296">
        <f t="shared" si="7"/>
        <v>28</v>
      </c>
      <c r="C47" s="297">
        <f t="shared" si="11"/>
        <v>0</v>
      </c>
      <c r="D47" s="298">
        <f t="shared" si="8"/>
        <v>0</v>
      </c>
      <c r="E47" s="299">
        <f t="shared" si="12"/>
        <v>0</v>
      </c>
      <c r="F47" s="299">
        <f t="shared" si="2"/>
        <v>0</v>
      </c>
      <c r="G47" s="299">
        <f t="shared" si="5"/>
        <v>0</v>
      </c>
      <c r="H47" s="298">
        <f t="shared" si="6"/>
        <v>0</v>
      </c>
      <c r="I47" s="294"/>
      <c r="O47" s="295">
        <f t="shared" si="3"/>
        <v>28</v>
      </c>
    </row>
    <row r="48" spans="1:15">
      <c r="A48" s="286"/>
      <c r="B48" s="296">
        <f t="shared" si="7"/>
        <v>29</v>
      </c>
      <c r="C48" s="297">
        <f t="shared" si="11"/>
        <v>0</v>
      </c>
      <c r="D48" s="298">
        <f t="shared" si="8"/>
        <v>0</v>
      </c>
      <c r="E48" s="299">
        <f t="shared" si="12"/>
        <v>0</v>
      </c>
      <c r="F48" s="299">
        <f t="shared" si="2"/>
        <v>0</v>
      </c>
      <c r="G48" s="299">
        <f t="shared" si="5"/>
        <v>0</v>
      </c>
      <c r="H48" s="298">
        <f t="shared" si="6"/>
        <v>0</v>
      </c>
      <c r="I48" s="294"/>
      <c r="O48" s="295">
        <f t="shared" si="3"/>
        <v>29</v>
      </c>
    </row>
    <row r="49" spans="1:15">
      <c r="A49" s="286"/>
      <c r="B49" s="296">
        <f t="shared" si="7"/>
        <v>30</v>
      </c>
      <c r="C49" s="297">
        <f t="shared" si="11"/>
        <v>0</v>
      </c>
      <c r="D49" s="298">
        <f t="shared" si="8"/>
        <v>0</v>
      </c>
      <c r="E49" s="299">
        <f t="shared" si="12"/>
        <v>0</v>
      </c>
      <c r="F49" s="299">
        <f t="shared" si="2"/>
        <v>0</v>
      </c>
      <c r="G49" s="299">
        <f t="shared" si="5"/>
        <v>0</v>
      </c>
      <c r="H49" s="298">
        <f t="shared" si="6"/>
        <v>0</v>
      </c>
      <c r="I49" s="294"/>
      <c r="O49" s="295">
        <f t="shared" si="3"/>
        <v>30</v>
      </c>
    </row>
    <row r="50" spans="1:15">
      <c r="A50" s="286"/>
      <c r="B50" s="296">
        <f t="shared" si="7"/>
        <v>31</v>
      </c>
      <c r="C50" s="297">
        <f t="shared" si="11"/>
        <v>0</v>
      </c>
      <c r="D50" s="298">
        <f t="shared" si="8"/>
        <v>0</v>
      </c>
      <c r="E50" s="299">
        <f t="shared" si="12"/>
        <v>0</v>
      </c>
      <c r="F50" s="299">
        <f t="shared" si="2"/>
        <v>0</v>
      </c>
      <c r="G50" s="299">
        <f t="shared" si="5"/>
        <v>0</v>
      </c>
      <c r="H50" s="298">
        <f t="shared" si="6"/>
        <v>0</v>
      </c>
      <c r="I50" s="294"/>
      <c r="O50" s="295">
        <f t="shared" si="3"/>
        <v>31</v>
      </c>
    </row>
    <row r="51" spans="1:15">
      <c r="A51" s="286"/>
      <c r="B51" s="296">
        <f t="shared" si="7"/>
        <v>32</v>
      </c>
      <c r="C51" s="297">
        <f t="shared" si="11"/>
        <v>0</v>
      </c>
      <c r="D51" s="298">
        <f t="shared" si="8"/>
        <v>0</v>
      </c>
      <c r="E51" s="299">
        <f t="shared" si="12"/>
        <v>0</v>
      </c>
      <c r="F51" s="299">
        <f t="shared" si="2"/>
        <v>0</v>
      </c>
      <c r="G51" s="299">
        <f t="shared" si="5"/>
        <v>0</v>
      </c>
      <c r="H51" s="298">
        <f t="shared" si="6"/>
        <v>0</v>
      </c>
      <c r="I51" s="294"/>
      <c r="O51" s="295">
        <f t="shared" si="3"/>
        <v>32</v>
      </c>
    </row>
    <row r="52" spans="1:15">
      <c r="A52" s="286"/>
      <c r="B52" s="296">
        <f t="shared" si="7"/>
        <v>33</v>
      </c>
      <c r="C52" s="297">
        <f t="shared" si="11"/>
        <v>0</v>
      </c>
      <c r="D52" s="298">
        <f t="shared" si="8"/>
        <v>0</v>
      </c>
      <c r="E52" s="299">
        <f t="shared" si="12"/>
        <v>0</v>
      </c>
      <c r="F52" s="299">
        <f t="shared" si="2"/>
        <v>0</v>
      </c>
      <c r="G52" s="299">
        <f t="shared" si="5"/>
        <v>0</v>
      </c>
      <c r="H52" s="298">
        <f t="shared" si="6"/>
        <v>0</v>
      </c>
      <c r="I52" s="294"/>
      <c r="O52" s="295">
        <f t="shared" si="3"/>
        <v>33</v>
      </c>
    </row>
    <row r="53" spans="1:15">
      <c r="A53" s="286"/>
      <c r="B53" s="296">
        <f t="shared" si="7"/>
        <v>34</v>
      </c>
      <c r="C53" s="297">
        <f t="shared" si="11"/>
        <v>0</v>
      </c>
      <c r="D53" s="298">
        <f t="shared" si="8"/>
        <v>0</v>
      </c>
      <c r="E53" s="299">
        <f t="shared" si="12"/>
        <v>0</v>
      </c>
      <c r="F53" s="299">
        <f t="shared" si="2"/>
        <v>0</v>
      </c>
      <c r="G53" s="299">
        <f t="shared" si="5"/>
        <v>0</v>
      </c>
      <c r="H53" s="298">
        <f t="shared" si="6"/>
        <v>0</v>
      </c>
      <c r="I53" s="294"/>
      <c r="O53" s="295">
        <f t="shared" si="3"/>
        <v>34</v>
      </c>
    </row>
    <row r="54" spans="1:15">
      <c r="A54" s="286"/>
      <c r="B54" s="296">
        <f t="shared" si="7"/>
        <v>35</v>
      </c>
      <c r="C54" s="297">
        <f t="shared" si="11"/>
        <v>0</v>
      </c>
      <c r="D54" s="298">
        <f t="shared" si="8"/>
        <v>0</v>
      </c>
      <c r="E54" s="299">
        <f t="shared" si="12"/>
        <v>0</v>
      </c>
      <c r="F54" s="299">
        <f t="shared" si="2"/>
        <v>0</v>
      </c>
      <c r="G54" s="299">
        <f t="shared" si="5"/>
        <v>0</v>
      </c>
      <c r="H54" s="298">
        <f t="shared" si="6"/>
        <v>0</v>
      </c>
      <c r="I54" s="294"/>
      <c r="O54" s="295">
        <f t="shared" si="3"/>
        <v>35</v>
      </c>
    </row>
    <row r="55" spans="1:15">
      <c r="A55" s="286"/>
      <c r="B55" s="300">
        <f t="shared" si="7"/>
        <v>36</v>
      </c>
      <c r="C55" s="301">
        <f t="shared" si="11"/>
        <v>0</v>
      </c>
      <c r="D55" s="302">
        <f t="shared" si="8"/>
        <v>0</v>
      </c>
      <c r="E55" s="303">
        <f t="shared" si="12"/>
        <v>0</v>
      </c>
      <c r="F55" s="303">
        <f t="shared" si="2"/>
        <v>0</v>
      </c>
      <c r="G55" s="303">
        <f t="shared" si="5"/>
        <v>0</v>
      </c>
      <c r="H55" s="302">
        <f t="shared" si="6"/>
        <v>0</v>
      </c>
      <c r="I55" s="304" t="e">
        <f>H55/$D$5</f>
        <v>#VALUE!</v>
      </c>
      <c r="J55" s="305"/>
      <c r="K55" s="305"/>
      <c r="L55" s="305"/>
      <c r="M55" s="305"/>
      <c r="N55" s="305"/>
      <c r="O55" s="306">
        <f t="shared" si="3"/>
        <v>36</v>
      </c>
    </row>
    <row r="56" spans="1:15">
      <c r="A56" s="286"/>
      <c r="B56" s="296">
        <f t="shared" si="7"/>
        <v>37</v>
      </c>
      <c r="C56" s="297">
        <f t="shared" ref="C56:C119" si="13">IF(D56&gt;0,$F$7,0)</f>
        <v>0</v>
      </c>
      <c r="D56" s="298">
        <f t="shared" si="8"/>
        <v>0</v>
      </c>
      <c r="E56" s="299">
        <f t="shared" ref="E56:E67" si="14">IF(H55&lt;=E55,H55+G56,$G$7)</f>
        <v>0</v>
      </c>
      <c r="F56" s="299">
        <f t="shared" si="2"/>
        <v>0</v>
      </c>
      <c r="G56" s="299">
        <f t="shared" si="5"/>
        <v>0</v>
      </c>
      <c r="H56" s="298">
        <f t="shared" si="6"/>
        <v>0</v>
      </c>
      <c r="I56" s="294"/>
      <c r="O56" s="295">
        <f t="shared" si="3"/>
        <v>37</v>
      </c>
    </row>
    <row r="57" spans="1:15">
      <c r="A57" s="286"/>
      <c r="B57" s="296">
        <f t="shared" si="7"/>
        <v>38</v>
      </c>
      <c r="C57" s="297">
        <f t="shared" si="13"/>
        <v>0</v>
      </c>
      <c r="D57" s="298">
        <f t="shared" si="8"/>
        <v>0</v>
      </c>
      <c r="E57" s="299">
        <f t="shared" si="14"/>
        <v>0</v>
      </c>
      <c r="F57" s="299">
        <f t="shared" si="2"/>
        <v>0</v>
      </c>
      <c r="G57" s="299">
        <f t="shared" si="5"/>
        <v>0</v>
      </c>
      <c r="H57" s="298">
        <f t="shared" si="6"/>
        <v>0</v>
      </c>
      <c r="I57" s="294"/>
      <c r="O57" s="295">
        <f t="shared" si="3"/>
        <v>38</v>
      </c>
    </row>
    <row r="58" spans="1:15">
      <c r="A58" s="286"/>
      <c r="B58" s="296">
        <f t="shared" si="7"/>
        <v>39</v>
      </c>
      <c r="C58" s="297">
        <f t="shared" si="13"/>
        <v>0</v>
      </c>
      <c r="D58" s="298">
        <f t="shared" si="8"/>
        <v>0</v>
      </c>
      <c r="E58" s="299">
        <f t="shared" si="14"/>
        <v>0</v>
      </c>
      <c r="F58" s="299">
        <f t="shared" si="2"/>
        <v>0</v>
      </c>
      <c r="G58" s="299">
        <f t="shared" si="5"/>
        <v>0</v>
      </c>
      <c r="H58" s="298">
        <f t="shared" si="6"/>
        <v>0</v>
      </c>
      <c r="I58" s="294"/>
      <c r="O58" s="295">
        <f t="shared" si="3"/>
        <v>39</v>
      </c>
    </row>
    <row r="59" spans="1:15">
      <c r="A59" s="286"/>
      <c r="B59" s="296">
        <f t="shared" si="7"/>
        <v>40</v>
      </c>
      <c r="C59" s="297">
        <f t="shared" si="13"/>
        <v>0</v>
      </c>
      <c r="D59" s="298">
        <f t="shared" si="8"/>
        <v>0</v>
      </c>
      <c r="E59" s="299">
        <f t="shared" si="14"/>
        <v>0</v>
      </c>
      <c r="F59" s="299">
        <f t="shared" si="2"/>
        <v>0</v>
      </c>
      <c r="G59" s="299">
        <f t="shared" si="5"/>
        <v>0</v>
      </c>
      <c r="H59" s="298">
        <f t="shared" si="6"/>
        <v>0</v>
      </c>
      <c r="I59" s="294"/>
      <c r="O59" s="295">
        <f t="shared" si="3"/>
        <v>40</v>
      </c>
    </row>
    <row r="60" spans="1:15">
      <c r="A60" s="286"/>
      <c r="B60" s="296">
        <f t="shared" si="7"/>
        <v>41</v>
      </c>
      <c r="C60" s="297">
        <f t="shared" si="13"/>
        <v>0</v>
      </c>
      <c r="D60" s="298">
        <f t="shared" si="8"/>
        <v>0</v>
      </c>
      <c r="E60" s="299">
        <f t="shared" si="14"/>
        <v>0</v>
      </c>
      <c r="F60" s="299">
        <f t="shared" si="2"/>
        <v>0</v>
      </c>
      <c r="G60" s="299">
        <f t="shared" si="5"/>
        <v>0</v>
      </c>
      <c r="H60" s="298">
        <f t="shared" si="6"/>
        <v>0</v>
      </c>
      <c r="I60" s="294"/>
      <c r="O60" s="295">
        <f t="shared" si="3"/>
        <v>41</v>
      </c>
    </row>
    <row r="61" spans="1:15">
      <c r="A61" s="286"/>
      <c r="B61" s="296">
        <f t="shared" si="7"/>
        <v>42</v>
      </c>
      <c r="C61" s="297">
        <f t="shared" si="13"/>
        <v>0</v>
      </c>
      <c r="D61" s="298">
        <f t="shared" si="8"/>
        <v>0</v>
      </c>
      <c r="E61" s="299">
        <f t="shared" si="14"/>
        <v>0</v>
      </c>
      <c r="F61" s="299">
        <f t="shared" si="2"/>
        <v>0</v>
      </c>
      <c r="G61" s="299">
        <f t="shared" si="5"/>
        <v>0</v>
      </c>
      <c r="H61" s="298">
        <f t="shared" si="6"/>
        <v>0</v>
      </c>
      <c r="I61" s="294"/>
      <c r="O61" s="295">
        <f t="shared" si="3"/>
        <v>42</v>
      </c>
    </row>
    <row r="62" spans="1:15">
      <c r="A62" s="286"/>
      <c r="B62" s="296">
        <f t="shared" si="7"/>
        <v>43</v>
      </c>
      <c r="C62" s="297">
        <f t="shared" si="13"/>
        <v>0</v>
      </c>
      <c r="D62" s="298">
        <f t="shared" si="8"/>
        <v>0</v>
      </c>
      <c r="E62" s="299">
        <f t="shared" si="14"/>
        <v>0</v>
      </c>
      <c r="F62" s="299">
        <f t="shared" si="2"/>
        <v>0</v>
      </c>
      <c r="G62" s="299">
        <f t="shared" si="5"/>
        <v>0</v>
      </c>
      <c r="H62" s="298">
        <f t="shared" si="6"/>
        <v>0</v>
      </c>
      <c r="I62" s="294"/>
      <c r="O62" s="295">
        <f t="shared" si="3"/>
        <v>43</v>
      </c>
    </row>
    <row r="63" spans="1:15">
      <c r="A63" s="286"/>
      <c r="B63" s="296">
        <f t="shared" si="7"/>
        <v>44</v>
      </c>
      <c r="C63" s="297">
        <f t="shared" si="13"/>
        <v>0</v>
      </c>
      <c r="D63" s="298">
        <f t="shared" si="8"/>
        <v>0</v>
      </c>
      <c r="E63" s="299">
        <f t="shared" si="14"/>
        <v>0</v>
      </c>
      <c r="F63" s="299">
        <f t="shared" si="2"/>
        <v>0</v>
      </c>
      <c r="G63" s="299">
        <f t="shared" si="5"/>
        <v>0</v>
      </c>
      <c r="H63" s="298">
        <f t="shared" si="6"/>
        <v>0</v>
      </c>
      <c r="I63" s="294"/>
      <c r="O63" s="295">
        <f t="shared" si="3"/>
        <v>44</v>
      </c>
    </row>
    <row r="64" spans="1:15">
      <c r="A64" s="286"/>
      <c r="B64" s="296">
        <f t="shared" si="7"/>
        <v>45</v>
      </c>
      <c r="C64" s="297">
        <f t="shared" si="13"/>
        <v>0</v>
      </c>
      <c r="D64" s="298">
        <f t="shared" si="8"/>
        <v>0</v>
      </c>
      <c r="E64" s="299">
        <f t="shared" si="14"/>
        <v>0</v>
      </c>
      <c r="F64" s="299">
        <f t="shared" si="2"/>
        <v>0</v>
      </c>
      <c r="G64" s="299">
        <f t="shared" si="5"/>
        <v>0</v>
      </c>
      <c r="H64" s="298">
        <f t="shared" si="6"/>
        <v>0</v>
      </c>
      <c r="I64" s="294"/>
      <c r="O64" s="295">
        <f t="shared" si="3"/>
        <v>45</v>
      </c>
    </row>
    <row r="65" spans="1:15">
      <c r="A65" s="286"/>
      <c r="B65" s="296">
        <f t="shared" si="7"/>
        <v>46</v>
      </c>
      <c r="C65" s="297">
        <f t="shared" si="13"/>
        <v>0</v>
      </c>
      <c r="D65" s="298">
        <f t="shared" si="8"/>
        <v>0</v>
      </c>
      <c r="E65" s="299">
        <f t="shared" si="14"/>
        <v>0</v>
      </c>
      <c r="F65" s="299">
        <f t="shared" si="2"/>
        <v>0</v>
      </c>
      <c r="G65" s="299">
        <f t="shared" si="5"/>
        <v>0</v>
      </c>
      <c r="H65" s="298">
        <f t="shared" si="6"/>
        <v>0</v>
      </c>
      <c r="I65" s="294"/>
      <c r="O65" s="295">
        <f t="shared" si="3"/>
        <v>46</v>
      </c>
    </row>
    <row r="66" spans="1:15">
      <c r="A66" s="286"/>
      <c r="B66" s="296">
        <f t="shared" si="7"/>
        <v>47</v>
      </c>
      <c r="C66" s="297">
        <f t="shared" si="13"/>
        <v>0</v>
      </c>
      <c r="D66" s="298">
        <f t="shared" si="8"/>
        <v>0</v>
      </c>
      <c r="E66" s="299">
        <f t="shared" si="14"/>
        <v>0</v>
      </c>
      <c r="F66" s="299">
        <f t="shared" si="2"/>
        <v>0</v>
      </c>
      <c r="G66" s="299">
        <f t="shared" si="5"/>
        <v>0</v>
      </c>
      <c r="H66" s="298">
        <f t="shared" si="6"/>
        <v>0</v>
      </c>
      <c r="I66" s="294"/>
      <c r="O66" s="295">
        <f t="shared" si="3"/>
        <v>47</v>
      </c>
    </row>
    <row r="67" spans="1:15">
      <c r="A67" s="286"/>
      <c r="B67" s="300">
        <f t="shared" si="7"/>
        <v>48</v>
      </c>
      <c r="C67" s="301">
        <f t="shared" si="13"/>
        <v>0</v>
      </c>
      <c r="D67" s="302">
        <f t="shared" si="8"/>
        <v>0</v>
      </c>
      <c r="E67" s="303">
        <f t="shared" si="14"/>
        <v>0</v>
      </c>
      <c r="F67" s="303">
        <f t="shared" si="2"/>
        <v>0</v>
      </c>
      <c r="G67" s="303">
        <f t="shared" si="5"/>
        <v>0</v>
      </c>
      <c r="H67" s="302">
        <f t="shared" si="6"/>
        <v>0</v>
      </c>
      <c r="I67" s="304" t="e">
        <f>H67/$D$5</f>
        <v>#VALUE!</v>
      </c>
      <c r="J67" s="305"/>
      <c r="K67" s="305"/>
      <c r="L67" s="305"/>
      <c r="M67" s="305"/>
      <c r="N67" s="305"/>
      <c r="O67" s="306">
        <f t="shared" si="3"/>
        <v>48</v>
      </c>
    </row>
    <row r="68" spans="1:15">
      <c r="A68" s="286"/>
      <c r="B68" s="296">
        <f t="shared" si="7"/>
        <v>49</v>
      </c>
      <c r="C68" s="297">
        <f t="shared" si="13"/>
        <v>0</v>
      </c>
      <c r="D68" s="298">
        <f t="shared" si="8"/>
        <v>0</v>
      </c>
      <c r="E68" s="299">
        <f t="shared" ref="E68:E131" si="15">IF(H67&lt;=E67,H67+G68,$H$10)</f>
        <v>0</v>
      </c>
      <c r="F68" s="299">
        <f t="shared" si="2"/>
        <v>0</v>
      </c>
      <c r="G68" s="299">
        <f t="shared" si="5"/>
        <v>0</v>
      </c>
      <c r="H68" s="298">
        <f t="shared" si="6"/>
        <v>0</v>
      </c>
      <c r="I68" s="294"/>
      <c r="O68" s="295">
        <f t="shared" si="3"/>
        <v>49</v>
      </c>
    </row>
    <row r="69" spans="1:15">
      <c r="A69" s="286"/>
      <c r="B69" s="296">
        <f t="shared" si="7"/>
        <v>50</v>
      </c>
      <c r="C69" s="297">
        <f t="shared" si="13"/>
        <v>0</v>
      </c>
      <c r="D69" s="298">
        <f t="shared" si="8"/>
        <v>0</v>
      </c>
      <c r="E69" s="299">
        <f t="shared" si="15"/>
        <v>0</v>
      </c>
      <c r="F69" s="299">
        <f t="shared" si="2"/>
        <v>0</v>
      </c>
      <c r="G69" s="299">
        <f t="shared" si="5"/>
        <v>0</v>
      </c>
      <c r="H69" s="298">
        <f t="shared" si="6"/>
        <v>0</v>
      </c>
      <c r="I69" s="294"/>
      <c r="O69" s="295">
        <f t="shared" si="3"/>
        <v>50</v>
      </c>
    </row>
    <row r="70" spans="1:15">
      <c r="A70" s="286"/>
      <c r="B70" s="296">
        <f t="shared" si="7"/>
        <v>51</v>
      </c>
      <c r="C70" s="297">
        <f t="shared" si="13"/>
        <v>0</v>
      </c>
      <c r="D70" s="298">
        <f t="shared" si="8"/>
        <v>0</v>
      </c>
      <c r="E70" s="299">
        <f t="shared" si="15"/>
        <v>0</v>
      </c>
      <c r="F70" s="299">
        <f t="shared" si="2"/>
        <v>0</v>
      </c>
      <c r="G70" s="299">
        <f t="shared" si="5"/>
        <v>0</v>
      </c>
      <c r="H70" s="298">
        <f t="shared" si="6"/>
        <v>0</v>
      </c>
      <c r="I70" s="294"/>
      <c r="O70" s="295">
        <f t="shared" si="3"/>
        <v>51</v>
      </c>
    </row>
    <row r="71" spans="1:15">
      <c r="A71" s="286"/>
      <c r="B71" s="296">
        <f t="shared" si="7"/>
        <v>52</v>
      </c>
      <c r="C71" s="297">
        <f t="shared" si="13"/>
        <v>0</v>
      </c>
      <c r="D71" s="298">
        <f t="shared" si="8"/>
        <v>0</v>
      </c>
      <c r="E71" s="299">
        <f t="shared" si="15"/>
        <v>0</v>
      </c>
      <c r="F71" s="299">
        <f t="shared" si="2"/>
        <v>0</v>
      </c>
      <c r="G71" s="299">
        <f t="shared" si="5"/>
        <v>0</v>
      </c>
      <c r="H71" s="298">
        <f t="shared" si="6"/>
        <v>0</v>
      </c>
      <c r="I71" s="294"/>
      <c r="O71" s="295">
        <f t="shared" si="3"/>
        <v>52</v>
      </c>
    </row>
    <row r="72" spans="1:15">
      <c r="A72" s="286"/>
      <c r="B72" s="296">
        <f t="shared" si="7"/>
        <v>53</v>
      </c>
      <c r="C72" s="297">
        <f t="shared" si="13"/>
        <v>0</v>
      </c>
      <c r="D72" s="298">
        <f t="shared" si="8"/>
        <v>0</v>
      </c>
      <c r="E72" s="299">
        <f t="shared" si="15"/>
        <v>0</v>
      </c>
      <c r="F72" s="299">
        <f t="shared" si="2"/>
        <v>0</v>
      </c>
      <c r="G72" s="299">
        <f t="shared" si="5"/>
        <v>0</v>
      </c>
      <c r="H72" s="298">
        <f t="shared" si="6"/>
        <v>0</v>
      </c>
      <c r="I72" s="294"/>
      <c r="O72" s="295">
        <f t="shared" si="3"/>
        <v>53</v>
      </c>
    </row>
    <row r="73" spans="1:15">
      <c r="A73" s="286"/>
      <c r="B73" s="296">
        <f t="shared" si="7"/>
        <v>54</v>
      </c>
      <c r="C73" s="297">
        <f t="shared" si="13"/>
        <v>0</v>
      </c>
      <c r="D73" s="298">
        <f t="shared" si="8"/>
        <v>0</v>
      </c>
      <c r="E73" s="299">
        <f t="shared" si="15"/>
        <v>0</v>
      </c>
      <c r="F73" s="299">
        <f t="shared" si="2"/>
        <v>0</v>
      </c>
      <c r="G73" s="299">
        <f t="shared" si="5"/>
        <v>0</v>
      </c>
      <c r="H73" s="298">
        <f t="shared" si="6"/>
        <v>0</v>
      </c>
      <c r="I73" s="294"/>
      <c r="O73" s="295">
        <f t="shared" si="3"/>
        <v>54</v>
      </c>
    </row>
    <row r="74" spans="1:15">
      <c r="A74" s="286"/>
      <c r="B74" s="296">
        <f t="shared" si="7"/>
        <v>55</v>
      </c>
      <c r="C74" s="297">
        <f t="shared" si="13"/>
        <v>0</v>
      </c>
      <c r="D74" s="298">
        <f t="shared" si="8"/>
        <v>0</v>
      </c>
      <c r="E74" s="299">
        <f t="shared" si="15"/>
        <v>0</v>
      </c>
      <c r="F74" s="299">
        <f t="shared" si="2"/>
        <v>0</v>
      </c>
      <c r="G74" s="299">
        <f t="shared" si="5"/>
        <v>0</v>
      </c>
      <c r="H74" s="298">
        <f t="shared" si="6"/>
        <v>0</v>
      </c>
      <c r="I74" s="294"/>
      <c r="O74" s="295">
        <f t="shared" si="3"/>
        <v>55</v>
      </c>
    </row>
    <row r="75" spans="1:15">
      <c r="A75" s="286"/>
      <c r="B75" s="296">
        <f t="shared" si="7"/>
        <v>56</v>
      </c>
      <c r="C75" s="297">
        <f t="shared" si="13"/>
        <v>0</v>
      </c>
      <c r="D75" s="298">
        <f t="shared" si="8"/>
        <v>0</v>
      </c>
      <c r="E75" s="299">
        <f t="shared" si="15"/>
        <v>0</v>
      </c>
      <c r="F75" s="299">
        <f t="shared" si="2"/>
        <v>0</v>
      </c>
      <c r="G75" s="299">
        <f t="shared" si="5"/>
        <v>0</v>
      </c>
      <c r="H75" s="298">
        <f t="shared" si="6"/>
        <v>0</v>
      </c>
      <c r="I75" s="294"/>
      <c r="O75" s="295">
        <f t="shared" si="3"/>
        <v>56</v>
      </c>
    </row>
    <row r="76" spans="1:15">
      <c r="A76" s="286"/>
      <c r="B76" s="296">
        <f t="shared" si="7"/>
        <v>57</v>
      </c>
      <c r="C76" s="297">
        <f t="shared" si="13"/>
        <v>0</v>
      </c>
      <c r="D76" s="298">
        <f t="shared" si="8"/>
        <v>0</v>
      </c>
      <c r="E76" s="299">
        <f t="shared" si="15"/>
        <v>0</v>
      </c>
      <c r="F76" s="299">
        <f t="shared" si="2"/>
        <v>0</v>
      </c>
      <c r="G76" s="299">
        <f t="shared" si="5"/>
        <v>0</v>
      </c>
      <c r="H76" s="298">
        <f t="shared" si="6"/>
        <v>0</v>
      </c>
      <c r="I76" s="294"/>
      <c r="O76" s="295">
        <f t="shared" si="3"/>
        <v>57</v>
      </c>
    </row>
    <row r="77" spans="1:15">
      <c r="A77" s="286"/>
      <c r="B77" s="296">
        <f t="shared" si="7"/>
        <v>58</v>
      </c>
      <c r="C77" s="297">
        <f t="shared" si="13"/>
        <v>0</v>
      </c>
      <c r="D77" s="298">
        <f t="shared" si="8"/>
        <v>0</v>
      </c>
      <c r="E77" s="299">
        <f t="shared" si="15"/>
        <v>0</v>
      </c>
      <c r="F77" s="299">
        <f t="shared" si="2"/>
        <v>0</v>
      </c>
      <c r="G77" s="299">
        <f t="shared" si="5"/>
        <v>0</v>
      </c>
      <c r="H77" s="298">
        <f t="shared" si="6"/>
        <v>0</v>
      </c>
      <c r="I77" s="294"/>
      <c r="O77" s="295">
        <f t="shared" si="3"/>
        <v>58</v>
      </c>
    </row>
    <row r="78" spans="1:15">
      <c r="A78" s="286"/>
      <c r="B78" s="296">
        <f t="shared" si="7"/>
        <v>59</v>
      </c>
      <c r="C78" s="297">
        <f t="shared" si="13"/>
        <v>0</v>
      </c>
      <c r="D78" s="298">
        <f t="shared" si="8"/>
        <v>0</v>
      </c>
      <c r="E78" s="299">
        <f t="shared" si="15"/>
        <v>0</v>
      </c>
      <c r="F78" s="299">
        <f t="shared" si="2"/>
        <v>0</v>
      </c>
      <c r="G78" s="299">
        <f t="shared" si="5"/>
        <v>0</v>
      </c>
      <c r="H78" s="298">
        <f t="shared" si="6"/>
        <v>0</v>
      </c>
      <c r="I78" s="294"/>
      <c r="O78" s="295">
        <f t="shared" si="3"/>
        <v>59</v>
      </c>
    </row>
    <row r="79" spans="1:15">
      <c r="A79" s="286"/>
      <c r="B79" s="300">
        <f t="shared" si="7"/>
        <v>60</v>
      </c>
      <c r="C79" s="301">
        <f t="shared" si="13"/>
        <v>0</v>
      </c>
      <c r="D79" s="302">
        <f t="shared" si="8"/>
        <v>0</v>
      </c>
      <c r="E79" s="303">
        <f t="shared" si="15"/>
        <v>0</v>
      </c>
      <c r="F79" s="303">
        <f t="shared" si="2"/>
        <v>0</v>
      </c>
      <c r="G79" s="303">
        <f t="shared" si="5"/>
        <v>0</v>
      </c>
      <c r="H79" s="302">
        <f t="shared" si="6"/>
        <v>0</v>
      </c>
      <c r="I79" s="304" t="e">
        <f>H79/$D$5</f>
        <v>#VALUE!</v>
      </c>
      <c r="J79" s="305"/>
      <c r="K79" s="305"/>
      <c r="L79" s="305"/>
      <c r="M79" s="305"/>
      <c r="N79" s="305"/>
      <c r="O79" s="306">
        <f t="shared" si="3"/>
        <v>60</v>
      </c>
    </row>
    <row r="80" spans="1:15">
      <c r="A80" s="286"/>
      <c r="B80" s="296">
        <f t="shared" si="7"/>
        <v>61</v>
      </c>
      <c r="C80" s="297">
        <f t="shared" si="13"/>
        <v>0</v>
      </c>
      <c r="D80" s="298">
        <f t="shared" si="8"/>
        <v>0</v>
      </c>
      <c r="E80" s="299">
        <f t="shared" si="15"/>
        <v>0</v>
      </c>
      <c r="F80" s="299">
        <f t="shared" si="2"/>
        <v>0</v>
      </c>
      <c r="G80" s="299">
        <f t="shared" si="5"/>
        <v>0</v>
      </c>
      <c r="H80" s="298">
        <f t="shared" si="6"/>
        <v>0</v>
      </c>
      <c r="I80" s="294"/>
      <c r="O80" s="295">
        <f t="shared" si="3"/>
        <v>61</v>
      </c>
    </row>
    <row r="81" spans="1:15">
      <c r="A81" s="286"/>
      <c r="B81" s="296">
        <f t="shared" si="7"/>
        <v>62</v>
      </c>
      <c r="C81" s="297">
        <f t="shared" si="13"/>
        <v>0</v>
      </c>
      <c r="D81" s="298">
        <f t="shared" si="8"/>
        <v>0</v>
      </c>
      <c r="E81" s="299">
        <f t="shared" si="15"/>
        <v>0</v>
      </c>
      <c r="F81" s="299">
        <f t="shared" si="2"/>
        <v>0</v>
      </c>
      <c r="G81" s="299">
        <f t="shared" si="5"/>
        <v>0</v>
      </c>
      <c r="H81" s="298">
        <f t="shared" si="6"/>
        <v>0</v>
      </c>
      <c r="I81" s="294"/>
      <c r="O81" s="295">
        <f t="shared" si="3"/>
        <v>62</v>
      </c>
    </row>
    <row r="82" spans="1:15">
      <c r="A82" s="286"/>
      <c r="B82" s="296">
        <f t="shared" si="7"/>
        <v>63</v>
      </c>
      <c r="C82" s="297">
        <f t="shared" si="13"/>
        <v>0</v>
      </c>
      <c r="D82" s="298">
        <f t="shared" si="8"/>
        <v>0</v>
      </c>
      <c r="E82" s="299">
        <f t="shared" si="15"/>
        <v>0</v>
      </c>
      <c r="F82" s="299">
        <f t="shared" si="2"/>
        <v>0</v>
      </c>
      <c r="G82" s="299">
        <f t="shared" si="5"/>
        <v>0</v>
      </c>
      <c r="H82" s="298">
        <f t="shared" si="6"/>
        <v>0</v>
      </c>
      <c r="I82" s="294"/>
      <c r="O82" s="295">
        <f t="shared" si="3"/>
        <v>63</v>
      </c>
    </row>
    <row r="83" spans="1:15">
      <c r="A83" s="286"/>
      <c r="B83" s="296">
        <f t="shared" si="7"/>
        <v>64</v>
      </c>
      <c r="C83" s="297">
        <f t="shared" si="13"/>
        <v>0</v>
      </c>
      <c r="D83" s="298">
        <f t="shared" si="8"/>
        <v>0</v>
      </c>
      <c r="E83" s="299">
        <f t="shared" si="15"/>
        <v>0</v>
      </c>
      <c r="F83" s="299">
        <f t="shared" si="2"/>
        <v>0</v>
      </c>
      <c r="G83" s="299">
        <f t="shared" si="5"/>
        <v>0</v>
      </c>
      <c r="H83" s="298">
        <f t="shared" si="6"/>
        <v>0</v>
      </c>
      <c r="I83" s="294"/>
      <c r="O83" s="295">
        <f t="shared" si="3"/>
        <v>64</v>
      </c>
    </row>
    <row r="84" spans="1:15">
      <c r="A84" s="286"/>
      <c r="B84" s="296">
        <f t="shared" si="7"/>
        <v>65</v>
      </c>
      <c r="C84" s="297">
        <f t="shared" si="13"/>
        <v>0</v>
      </c>
      <c r="D84" s="298">
        <f t="shared" si="8"/>
        <v>0</v>
      </c>
      <c r="E84" s="299">
        <f t="shared" si="15"/>
        <v>0</v>
      </c>
      <c r="F84" s="299">
        <f t="shared" ref="F84:F147" si="16">E84-G84</f>
        <v>0</v>
      </c>
      <c r="G84" s="299">
        <f t="shared" si="5"/>
        <v>0</v>
      </c>
      <c r="H84" s="298">
        <f t="shared" si="6"/>
        <v>0</v>
      </c>
      <c r="I84" s="294"/>
      <c r="O84" s="295">
        <f t="shared" ref="O84:O147" si="17">IF(H84=0,B84,"n.a.")</f>
        <v>65</v>
      </c>
    </row>
    <row r="85" spans="1:15">
      <c r="A85" s="286"/>
      <c r="B85" s="296">
        <f t="shared" si="7"/>
        <v>66</v>
      </c>
      <c r="C85" s="297">
        <f t="shared" si="13"/>
        <v>0</v>
      </c>
      <c r="D85" s="298">
        <f t="shared" si="8"/>
        <v>0</v>
      </c>
      <c r="E85" s="299">
        <f t="shared" si="15"/>
        <v>0</v>
      </c>
      <c r="F85" s="299">
        <f t="shared" si="16"/>
        <v>0</v>
      </c>
      <c r="G85" s="299">
        <f t="shared" ref="G85:G148" si="18">C85*(D85/365)*30</f>
        <v>0</v>
      </c>
      <c r="H85" s="298">
        <f t="shared" ref="H85:H148" si="19">IF((D85+G85-E85)&lt;0,0,D85+G85-E85)</f>
        <v>0</v>
      </c>
      <c r="I85" s="294"/>
      <c r="O85" s="295">
        <f t="shared" si="17"/>
        <v>66</v>
      </c>
    </row>
    <row r="86" spans="1:15">
      <c r="A86" s="286"/>
      <c r="B86" s="296">
        <f t="shared" ref="B86:B149" si="20">B85+1</f>
        <v>67</v>
      </c>
      <c r="C86" s="297">
        <f t="shared" si="13"/>
        <v>0</v>
      </c>
      <c r="D86" s="298">
        <f t="shared" ref="D86:D149" si="21">H85</f>
        <v>0</v>
      </c>
      <c r="E86" s="299">
        <f t="shared" si="15"/>
        <v>0</v>
      </c>
      <c r="F86" s="299">
        <f t="shared" si="16"/>
        <v>0</v>
      </c>
      <c r="G86" s="299">
        <f t="shared" si="18"/>
        <v>0</v>
      </c>
      <c r="H86" s="298">
        <f t="shared" si="19"/>
        <v>0</v>
      </c>
      <c r="I86" s="294"/>
      <c r="O86" s="295">
        <f t="shared" si="17"/>
        <v>67</v>
      </c>
    </row>
    <row r="87" spans="1:15">
      <c r="A87" s="286"/>
      <c r="B87" s="296">
        <f t="shared" si="20"/>
        <v>68</v>
      </c>
      <c r="C87" s="297">
        <f t="shared" si="13"/>
        <v>0</v>
      </c>
      <c r="D87" s="298">
        <f t="shared" si="21"/>
        <v>0</v>
      </c>
      <c r="E87" s="299">
        <f t="shared" si="15"/>
        <v>0</v>
      </c>
      <c r="F87" s="299">
        <f t="shared" si="16"/>
        <v>0</v>
      </c>
      <c r="G87" s="299">
        <f t="shared" si="18"/>
        <v>0</v>
      </c>
      <c r="H87" s="298">
        <f t="shared" si="19"/>
        <v>0</v>
      </c>
      <c r="I87" s="294"/>
      <c r="O87" s="295">
        <f t="shared" si="17"/>
        <v>68</v>
      </c>
    </row>
    <row r="88" spans="1:15">
      <c r="A88" s="286"/>
      <c r="B88" s="296">
        <f t="shared" si="20"/>
        <v>69</v>
      </c>
      <c r="C88" s="297">
        <f t="shared" si="13"/>
        <v>0</v>
      </c>
      <c r="D88" s="298">
        <f t="shared" si="21"/>
        <v>0</v>
      </c>
      <c r="E88" s="299">
        <f t="shared" si="15"/>
        <v>0</v>
      </c>
      <c r="F88" s="299">
        <f t="shared" si="16"/>
        <v>0</v>
      </c>
      <c r="G88" s="299">
        <f t="shared" si="18"/>
        <v>0</v>
      </c>
      <c r="H88" s="298">
        <f t="shared" si="19"/>
        <v>0</v>
      </c>
      <c r="I88" s="294"/>
      <c r="O88" s="295">
        <f t="shared" si="17"/>
        <v>69</v>
      </c>
    </row>
    <row r="89" spans="1:15">
      <c r="A89" s="286"/>
      <c r="B89" s="296">
        <f t="shared" si="20"/>
        <v>70</v>
      </c>
      <c r="C89" s="297">
        <f t="shared" si="13"/>
        <v>0</v>
      </c>
      <c r="D89" s="298">
        <f t="shared" si="21"/>
        <v>0</v>
      </c>
      <c r="E89" s="299">
        <f t="shared" si="15"/>
        <v>0</v>
      </c>
      <c r="F89" s="299">
        <f t="shared" si="16"/>
        <v>0</v>
      </c>
      <c r="G89" s="299">
        <f t="shared" si="18"/>
        <v>0</v>
      </c>
      <c r="H89" s="298">
        <f t="shared" si="19"/>
        <v>0</v>
      </c>
      <c r="I89" s="294"/>
      <c r="O89" s="295">
        <f t="shared" si="17"/>
        <v>70</v>
      </c>
    </row>
    <row r="90" spans="1:15">
      <c r="A90" s="286"/>
      <c r="B90" s="296">
        <f t="shared" si="20"/>
        <v>71</v>
      </c>
      <c r="C90" s="297">
        <f t="shared" si="13"/>
        <v>0</v>
      </c>
      <c r="D90" s="298">
        <f t="shared" si="21"/>
        <v>0</v>
      </c>
      <c r="E90" s="299">
        <f t="shared" si="15"/>
        <v>0</v>
      </c>
      <c r="F90" s="299">
        <f t="shared" si="16"/>
        <v>0</v>
      </c>
      <c r="G90" s="299">
        <f t="shared" si="18"/>
        <v>0</v>
      </c>
      <c r="H90" s="298">
        <f t="shared" si="19"/>
        <v>0</v>
      </c>
      <c r="I90" s="294"/>
      <c r="O90" s="295">
        <f t="shared" si="17"/>
        <v>71</v>
      </c>
    </row>
    <row r="91" spans="1:15">
      <c r="A91" s="286"/>
      <c r="B91" s="300">
        <f t="shared" si="20"/>
        <v>72</v>
      </c>
      <c r="C91" s="301">
        <f t="shared" si="13"/>
        <v>0</v>
      </c>
      <c r="D91" s="302">
        <f t="shared" si="21"/>
        <v>0</v>
      </c>
      <c r="E91" s="303">
        <f t="shared" si="15"/>
        <v>0</v>
      </c>
      <c r="F91" s="303">
        <f t="shared" si="16"/>
        <v>0</v>
      </c>
      <c r="G91" s="303">
        <f t="shared" si="18"/>
        <v>0</v>
      </c>
      <c r="H91" s="302">
        <f t="shared" si="19"/>
        <v>0</v>
      </c>
      <c r="I91" s="304" t="e">
        <f>H91/$D$5</f>
        <v>#VALUE!</v>
      </c>
      <c r="J91" s="305"/>
      <c r="K91" s="305"/>
      <c r="L91" s="305"/>
      <c r="M91" s="305"/>
      <c r="N91" s="305"/>
      <c r="O91" s="306">
        <f t="shared" si="17"/>
        <v>72</v>
      </c>
    </row>
    <row r="92" spans="1:15">
      <c r="A92" s="286"/>
      <c r="B92" s="296">
        <f t="shared" si="20"/>
        <v>73</v>
      </c>
      <c r="C92" s="297">
        <f t="shared" si="13"/>
        <v>0</v>
      </c>
      <c r="D92" s="298">
        <f t="shared" si="21"/>
        <v>0</v>
      </c>
      <c r="E92" s="299">
        <f t="shared" si="15"/>
        <v>0</v>
      </c>
      <c r="F92" s="299">
        <f t="shared" si="16"/>
        <v>0</v>
      </c>
      <c r="G92" s="299">
        <f t="shared" si="18"/>
        <v>0</v>
      </c>
      <c r="H92" s="298">
        <f t="shared" si="19"/>
        <v>0</v>
      </c>
      <c r="I92" s="294"/>
      <c r="O92" s="295">
        <f t="shared" si="17"/>
        <v>73</v>
      </c>
    </row>
    <row r="93" spans="1:15">
      <c r="A93" s="286"/>
      <c r="B93" s="296">
        <f t="shared" si="20"/>
        <v>74</v>
      </c>
      <c r="C93" s="297">
        <f t="shared" si="13"/>
        <v>0</v>
      </c>
      <c r="D93" s="298">
        <f t="shared" si="21"/>
        <v>0</v>
      </c>
      <c r="E93" s="299">
        <f t="shared" si="15"/>
        <v>0</v>
      </c>
      <c r="F93" s="299">
        <f t="shared" si="16"/>
        <v>0</v>
      </c>
      <c r="G93" s="299">
        <f t="shared" si="18"/>
        <v>0</v>
      </c>
      <c r="H93" s="298">
        <f t="shared" si="19"/>
        <v>0</v>
      </c>
      <c r="I93" s="294"/>
      <c r="O93" s="295">
        <f t="shared" si="17"/>
        <v>74</v>
      </c>
    </row>
    <row r="94" spans="1:15">
      <c r="A94" s="286"/>
      <c r="B94" s="296">
        <f t="shared" si="20"/>
        <v>75</v>
      </c>
      <c r="C94" s="297">
        <f t="shared" si="13"/>
        <v>0</v>
      </c>
      <c r="D94" s="298">
        <f t="shared" si="21"/>
        <v>0</v>
      </c>
      <c r="E94" s="299">
        <f t="shared" si="15"/>
        <v>0</v>
      </c>
      <c r="F94" s="299">
        <f t="shared" si="16"/>
        <v>0</v>
      </c>
      <c r="G94" s="299">
        <f t="shared" si="18"/>
        <v>0</v>
      </c>
      <c r="H94" s="298">
        <f t="shared" si="19"/>
        <v>0</v>
      </c>
      <c r="I94" s="294"/>
      <c r="O94" s="295">
        <f t="shared" si="17"/>
        <v>75</v>
      </c>
    </row>
    <row r="95" spans="1:15">
      <c r="A95" s="286"/>
      <c r="B95" s="296">
        <f t="shared" si="20"/>
        <v>76</v>
      </c>
      <c r="C95" s="297">
        <f t="shared" si="13"/>
        <v>0</v>
      </c>
      <c r="D95" s="298">
        <f t="shared" si="21"/>
        <v>0</v>
      </c>
      <c r="E95" s="299">
        <f t="shared" si="15"/>
        <v>0</v>
      </c>
      <c r="F95" s="299">
        <f t="shared" si="16"/>
        <v>0</v>
      </c>
      <c r="G95" s="299">
        <f t="shared" si="18"/>
        <v>0</v>
      </c>
      <c r="H95" s="298">
        <f t="shared" si="19"/>
        <v>0</v>
      </c>
      <c r="I95" s="294"/>
      <c r="O95" s="295">
        <f t="shared" si="17"/>
        <v>76</v>
      </c>
    </row>
    <row r="96" spans="1:15">
      <c r="A96" s="286"/>
      <c r="B96" s="296">
        <f t="shared" si="20"/>
        <v>77</v>
      </c>
      <c r="C96" s="297">
        <f t="shared" si="13"/>
        <v>0</v>
      </c>
      <c r="D96" s="298">
        <f t="shared" si="21"/>
        <v>0</v>
      </c>
      <c r="E96" s="299">
        <f t="shared" si="15"/>
        <v>0</v>
      </c>
      <c r="F96" s="299">
        <f t="shared" si="16"/>
        <v>0</v>
      </c>
      <c r="G96" s="299">
        <f t="shared" si="18"/>
        <v>0</v>
      </c>
      <c r="H96" s="298">
        <f t="shared" si="19"/>
        <v>0</v>
      </c>
      <c r="I96" s="294"/>
      <c r="O96" s="295">
        <f t="shared" si="17"/>
        <v>77</v>
      </c>
    </row>
    <row r="97" spans="1:15">
      <c r="A97" s="286"/>
      <c r="B97" s="296">
        <f t="shared" si="20"/>
        <v>78</v>
      </c>
      <c r="C97" s="297">
        <f t="shared" si="13"/>
        <v>0</v>
      </c>
      <c r="D97" s="298">
        <f t="shared" si="21"/>
        <v>0</v>
      </c>
      <c r="E97" s="299">
        <f t="shared" si="15"/>
        <v>0</v>
      </c>
      <c r="F97" s="299">
        <f t="shared" si="16"/>
        <v>0</v>
      </c>
      <c r="G97" s="299">
        <f t="shared" si="18"/>
        <v>0</v>
      </c>
      <c r="H97" s="298">
        <f t="shared" si="19"/>
        <v>0</v>
      </c>
      <c r="I97" s="294"/>
      <c r="O97" s="295">
        <f t="shared" si="17"/>
        <v>78</v>
      </c>
    </row>
    <row r="98" spans="1:15">
      <c r="A98" s="286"/>
      <c r="B98" s="296">
        <f t="shared" si="20"/>
        <v>79</v>
      </c>
      <c r="C98" s="297">
        <f t="shared" si="13"/>
        <v>0</v>
      </c>
      <c r="D98" s="298">
        <f t="shared" si="21"/>
        <v>0</v>
      </c>
      <c r="E98" s="299">
        <f t="shared" si="15"/>
        <v>0</v>
      </c>
      <c r="F98" s="299">
        <f t="shared" si="16"/>
        <v>0</v>
      </c>
      <c r="G98" s="299">
        <f t="shared" si="18"/>
        <v>0</v>
      </c>
      <c r="H98" s="298">
        <f t="shared" si="19"/>
        <v>0</v>
      </c>
      <c r="I98" s="294"/>
      <c r="O98" s="295">
        <f t="shared" si="17"/>
        <v>79</v>
      </c>
    </row>
    <row r="99" spans="1:15">
      <c r="A99" s="286"/>
      <c r="B99" s="296">
        <f t="shared" si="20"/>
        <v>80</v>
      </c>
      <c r="C99" s="297">
        <f t="shared" si="13"/>
        <v>0</v>
      </c>
      <c r="D99" s="298">
        <f t="shared" si="21"/>
        <v>0</v>
      </c>
      <c r="E99" s="299">
        <f t="shared" si="15"/>
        <v>0</v>
      </c>
      <c r="F99" s="299">
        <f t="shared" si="16"/>
        <v>0</v>
      </c>
      <c r="G99" s="299">
        <f t="shared" si="18"/>
        <v>0</v>
      </c>
      <c r="H99" s="298">
        <f t="shared" si="19"/>
        <v>0</v>
      </c>
      <c r="I99" s="294"/>
      <c r="O99" s="295">
        <f t="shared" si="17"/>
        <v>80</v>
      </c>
    </row>
    <row r="100" spans="1:15">
      <c r="A100" s="286"/>
      <c r="B100" s="296">
        <f t="shared" si="20"/>
        <v>81</v>
      </c>
      <c r="C100" s="297">
        <f t="shared" si="13"/>
        <v>0</v>
      </c>
      <c r="D100" s="298">
        <f t="shared" si="21"/>
        <v>0</v>
      </c>
      <c r="E100" s="299">
        <f t="shared" si="15"/>
        <v>0</v>
      </c>
      <c r="F100" s="299">
        <f t="shared" si="16"/>
        <v>0</v>
      </c>
      <c r="G100" s="299">
        <f t="shared" si="18"/>
        <v>0</v>
      </c>
      <c r="H100" s="298">
        <f t="shared" si="19"/>
        <v>0</v>
      </c>
      <c r="I100" s="294"/>
      <c r="O100" s="295">
        <f t="shared" si="17"/>
        <v>81</v>
      </c>
    </row>
    <row r="101" spans="1:15">
      <c r="A101" s="286"/>
      <c r="B101" s="296">
        <f t="shared" si="20"/>
        <v>82</v>
      </c>
      <c r="C101" s="297">
        <f t="shared" si="13"/>
        <v>0</v>
      </c>
      <c r="D101" s="298">
        <f t="shared" si="21"/>
        <v>0</v>
      </c>
      <c r="E101" s="299">
        <f t="shared" si="15"/>
        <v>0</v>
      </c>
      <c r="F101" s="299">
        <f t="shared" si="16"/>
        <v>0</v>
      </c>
      <c r="G101" s="299">
        <f t="shared" si="18"/>
        <v>0</v>
      </c>
      <c r="H101" s="298">
        <f t="shared" si="19"/>
        <v>0</v>
      </c>
      <c r="I101" s="294"/>
      <c r="O101" s="295">
        <f t="shared" si="17"/>
        <v>82</v>
      </c>
    </row>
    <row r="102" spans="1:15">
      <c r="A102" s="286"/>
      <c r="B102" s="296">
        <f t="shared" si="20"/>
        <v>83</v>
      </c>
      <c r="C102" s="297">
        <f t="shared" si="13"/>
        <v>0</v>
      </c>
      <c r="D102" s="298">
        <f t="shared" si="21"/>
        <v>0</v>
      </c>
      <c r="E102" s="299">
        <f t="shared" si="15"/>
        <v>0</v>
      </c>
      <c r="F102" s="299">
        <f t="shared" si="16"/>
        <v>0</v>
      </c>
      <c r="G102" s="299">
        <f t="shared" si="18"/>
        <v>0</v>
      </c>
      <c r="H102" s="298">
        <f t="shared" si="19"/>
        <v>0</v>
      </c>
      <c r="I102" s="294"/>
      <c r="O102" s="295">
        <f t="shared" si="17"/>
        <v>83</v>
      </c>
    </row>
    <row r="103" spans="1:15">
      <c r="A103" s="286"/>
      <c r="B103" s="300">
        <f t="shared" si="20"/>
        <v>84</v>
      </c>
      <c r="C103" s="301">
        <f t="shared" si="13"/>
        <v>0</v>
      </c>
      <c r="D103" s="302">
        <f t="shared" si="21"/>
        <v>0</v>
      </c>
      <c r="E103" s="303">
        <f t="shared" si="15"/>
        <v>0</v>
      </c>
      <c r="F103" s="303">
        <f t="shared" si="16"/>
        <v>0</v>
      </c>
      <c r="G103" s="303">
        <f t="shared" si="18"/>
        <v>0</v>
      </c>
      <c r="H103" s="302">
        <f t="shared" si="19"/>
        <v>0</v>
      </c>
      <c r="I103" s="304" t="e">
        <f>H103/$D$5</f>
        <v>#VALUE!</v>
      </c>
      <c r="J103" s="305"/>
      <c r="K103" s="305"/>
      <c r="L103" s="305"/>
      <c r="M103" s="305"/>
      <c r="N103" s="305"/>
      <c r="O103" s="306">
        <f t="shared" si="17"/>
        <v>84</v>
      </c>
    </row>
    <row r="104" spans="1:15">
      <c r="A104" s="286"/>
      <c r="B104" s="296">
        <f t="shared" si="20"/>
        <v>85</v>
      </c>
      <c r="C104" s="297">
        <f t="shared" si="13"/>
        <v>0</v>
      </c>
      <c r="D104" s="298">
        <f t="shared" si="21"/>
        <v>0</v>
      </c>
      <c r="E104" s="299">
        <f t="shared" si="15"/>
        <v>0</v>
      </c>
      <c r="F104" s="299">
        <f t="shared" si="16"/>
        <v>0</v>
      </c>
      <c r="G104" s="299">
        <f t="shared" si="18"/>
        <v>0</v>
      </c>
      <c r="H104" s="298">
        <f t="shared" si="19"/>
        <v>0</v>
      </c>
      <c r="I104" s="294"/>
      <c r="O104" s="295">
        <f t="shared" si="17"/>
        <v>85</v>
      </c>
    </row>
    <row r="105" spans="1:15">
      <c r="A105" s="286"/>
      <c r="B105" s="296">
        <f t="shared" si="20"/>
        <v>86</v>
      </c>
      <c r="C105" s="297">
        <f t="shared" si="13"/>
        <v>0</v>
      </c>
      <c r="D105" s="298">
        <f t="shared" si="21"/>
        <v>0</v>
      </c>
      <c r="E105" s="299">
        <f t="shared" si="15"/>
        <v>0</v>
      </c>
      <c r="F105" s="299">
        <f t="shared" si="16"/>
        <v>0</v>
      </c>
      <c r="G105" s="299">
        <f t="shared" si="18"/>
        <v>0</v>
      </c>
      <c r="H105" s="298">
        <f t="shared" si="19"/>
        <v>0</v>
      </c>
      <c r="I105" s="294"/>
      <c r="O105" s="295">
        <f t="shared" si="17"/>
        <v>86</v>
      </c>
    </row>
    <row r="106" spans="1:15">
      <c r="A106" s="286"/>
      <c r="B106" s="296">
        <f t="shared" si="20"/>
        <v>87</v>
      </c>
      <c r="C106" s="297">
        <f t="shared" si="13"/>
        <v>0</v>
      </c>
      <c r="D106" s="298">
        <f t="shared" si="21"/>
        <v>0</v>
      </c>
      <c r="E106" s="299">
        <f t="shared" si="15"/>
        <v>0</v>
      </c>
      <c r="F106" s="299">
        <f t="shared" si="16"/>
        <v>0</v>
      </c>
      <c r="G106" s="299">
        <f t="shared" si="18"/>
        <v>0</v>
      </c>
      <c r="H106" s="298">
        <f t="shared" si="19"/>
        <v>0</v>
      </c>
      <c r="I106" s="294"/>
      <c r="O106" s="295">
        <f t="shared" si="17"/>
        <v>87</v>
      </c>
    </row>
    <row r="107" spans="1:15">
      <c r="A107" s="286"/>
      <c r="B107" s="296">
        <f t="shared" si="20"/>
        <v>88</v>
      </c>
      <c r="C107" s="297">
        <f t="shared" si="13"/>
        <v>0</v>
      </c>
      <c r="D107" s="298">
        <f t="shared" si="21"/>
        <v>0</v>
      </c>
      <c r="E107" s="299">
        <f t="shared" si="15"/>
        <v>0</v>
      </c>
      <c r="F107" s="299">
        <f t="shared" si="16"/>
        <v>0</v>
      </c>
      <c r="G107" s="299">
        <f t="shared" si="18"/>
        <v>0</v>
      </c>
      <c r="H107" s="298">
        <f t="shared" si="19"/>
        <v>0</v>
      </c>
      <c r="I107" s="294"/>
      <c r="O107" s="295">
        <f t="shared" si="17"/>
        <v>88</v>
      </c>
    </row>
    <row r="108" spans="1:15">
      <c r="A108" s="286"/>
      <c r="B108" s="296">
        <f t="shared" si="20"/>
        <v>89</v>
      </c>
      <c r="C108" s="297">
        <f t="shared" si="13"/>
        <v>0</v>
      </c>
      <c r="D108" s="298">
        <f t="shared" si="21"/>
        <v>0</v>
      </c>
      <c r="E108" s="299">
        <f t="shared" si="15"/>
        <v>0</v>
      </c>
      <c r="F108" s="299">
        <f t="shared" si="16"/>
        <v>0</v>
      </c>
      <c r="G108" s="299">
        <f t="shared" si="18"/>
        <v>0</v>
      </c>
      <c r="H108" s="298">
        <f t="shared" si="19"/>
        <v>0</v>
      </c>
      <c r="I108" s="294"/>
      <c r="O108" s="295">
        <f t="shared" si="17"/>
        <v>89</v>
      </c>
    </row>
    <row r="109" spans="1:15">
      <c r="A109" s="286"/>
      <c r="B109" s="296">
        <f t="shared" si="20"/>
        <v>90</v>
      </c>
      <c r="C109" s="297">
        <f t="shared" si="13"/>
        <v>0</v>
      </c>
      <c r="D109" s="298">
        <f t="shared" si="21"/>
        <v>0</v>
      </c>
      <c r="E109" s="299">
        <f t="shared" si="15"/>
        <v>0</v>
      </c>
      <c r="F109" s="299">
        <f t="shared" si="16"/>
        <v>0</v>
      </c>
      <c r="G109" s="299">
        <f t="shared" si="18"/>
        <v>0</v>
      </c>
      <c r="H109" s="298">
        <f t="shared" si="19"/>
        <v>0</v>
      </c>
      <c r="I109" s="294"/>
      <c r="O109" s="295">
        <f t="shared" si="17"/>
        <v>90</v>
      </c>
    </row>
    <row r="110" spans="1:15">
      <c r="A110" s="286"/>
      <c r="B110" s="296">
        <f t="shared" si="20"/>
        <v>91</v>
      </c>
      <c r="C110" s="297">
        <f t="shared" si="13"/>
        <v>0</v>
      </c>
      <c r="D110" s="298">
        <f t="shared" si="21"/>
        <v>0</v>
      </c>
      <c r="E110" s="299">
        <f t="shared" si="15"/>
        <v>0</v>
      </c>
      <c r="F110" s="299">
        <f t="shared" si="16"/>
        <v>0</v>
      </c>
      <c r="G110" s="299">
        <f t="shared" si="18"/>
        <v>0</v>
      </c>
      <c r="H110" s="298">
        <f t="shared" si="19"/>
        <v>0</v>
      </c>
      <c r="I110" s="294"/>
      <c r="O110" s="295">
        <f t="shared" si="17"/>
        <v>91</v>
      </c>
    </row>
    <row r="111" spans="1:15">
      <c r="A111" s="286"/>
      <c r="B111" s="296">
        <f t="shared" si="20"/>
        <v>92</v>
      </c>
      <c r="C111" s="297">
        <f t="shared" si="13"/>
        <v>0</v>
      </c>
      <c r="D111" s="298">
        <f t="shared" si="21"/>
        <v>0</v>
      </c>
      <c r="E111" s="299">
        <f t="shared" si="15"/>
        <v>0</v>
      </c>
      <c r="F111" s="299">
        <f t="shared" si="16"/>
        <v>0</v>
      </c>
      <c r="G111" s="299">
        <f t="shared" si="18"/>
        <v>0</v>
      </c>
      <c r="H111" s="298">
        <f t="shared" si="19"/>
        <v>0</v>
      </c>
      <c r="I111" s="294"/>
      <c r="O111" s="295">
        <f t="shared" si="17"/>
        <v>92</v>
      </c>
    </row>
    <row r="112" spans="1:15">
      <c r="A112" s="286"/>
      <c r="B112" s="296">
        <f t="shared" si="20"/>
        <v>93</v>
      </c>
      <c r="C112" s="297">
        <f t="shared" si="13"/>
        <v>0</v>
      </c>
      <c r="D112" s="298">
        <f t="shared" si="21"/>
        <v>0</v>
      </c>
      <c r="E112" s="299">
        <f t="shared" si="15"/>
        <v>0</v>
      </c>
      <c r="F112" s="299">
        <f t="shared" si="16"/>
        <v>0</v>
      </c>
      <c r="G112" s="299">
        <f t="shared" si="18"/>
        <v>0</v>
      </c>
      <c r="H112" s="298">
        <f t="shared" si="19"/>
        <v>0</v>
      </c>
      <c r="I112" s="294"/>
      <c r="O112" s="295">
        <f t="shared" si="17"/>
        <v>93</v>
      </c>
    </row>
    <row r="113" spans="1:15">
      <c r="A113" s="286"/>
      <c r="B113" s="296">
        <f t="shared" si="20"/>
        <v>94</v>
      </c>
      <c r="C113" s="297">
        <f t="shared" si="13"/>
        <v>0</v>
      </c>
      <c r="D113" s="298">
        <f t="shared" si="21"/>
        <v>0</v>
      </c>
      <c r="E113" s="299">
        <f t="shared" si="15"/>
        <v>0</v>
      </c>
      <c r="F113" s="299">
        <f t="shared" si="16"/>
        <v>0</v>
      </c>
      <c r="G113" s="299">
        <f t="shared" si="18"/>
        <v>0</v>
      </c>
      <c r="H113" s="298">
        <f t="shared" si="19"/>
        <v>0</v>
      </c>
      <c r="I113" s="294"/>
      <c r="O113" s="295">
        <f t="shared" si="17"/>
        <v>94</v>
      </c>
    </row>
    <row r="114" spans="1:15">
      <c r="A114" s="286"/>
      <c r="B114" s="296">
        <f t="shared" si="20"/>
        <v>95</v>
      </c>
      <c r="C114" s="297">
        <f t="shared" si="13"/>
        <v>0</v>
      </c>
      <c r="D114" s="298">
        <f t="shared" si="21"/>
        <v>0</v>
      </c>
      <c r="E114" s="299">
        <f t="shared" si="15"/>
        <v>0</v>
      </c>
      <c r="F114" s="299">
        <f t="shared" si="16"/>
        <v>0</v>
      </c>
      <c r="G114" s="299">
        <f t="shared" si="18"/>
        <v>0</v>
      </c>
      <c r="H114" s="298">
        <f t="shared" si="19"/>
        <v>0</v>
      </c>
      <c r="I114" s="294"/>
      <c r="O114" s="295">
        <f t="shared" si="17"/>
        <v>95</v>
      </c>
    </row>
    <row r="115" spans="1:15">
      <c r="A115" s="286"/>
      <c r="B115" s="300">
        <f t="shared" si="20"/>
        <v>96</v>
      </c>
      <c r="C115" s="301">
        <f t="shared" si="13"/>
        <v>0</v>
      </c>
      <c r="D115" s="302">
        <f t="shared" si="21"/>
        <v>0</v>
      </c>
      <c r="E115" s="303">
        <f t="shared" si="15"/>
        <v>0</v>
      </c>
      <c r="F115" s="303">
        <f t="shared" si="16"/>
        <v>0</v>
      </c>
      <c r="G115" s="303">
        <f t="shared" si="18"/>
        <v>0</v>
      </c>
      <c r="H115" s="302">
        <f t="shared" si="19"/>
        <v>0</v>
      </c>
      <c r="I115" s="304" t="e">
        <f>H115/$D$5</f>
        <v>#VALUE!</v>
      </c>
      <c r="J115" s="305"/>
      <c r="K115" s="305"/>
      <c r="L115" s="305"/>
      <c r="M115" s="305"/>
      <c r="N115" s="305"/>
      <c r="O115" s="306">
        <f t="shared" si="17"/>
        <v>96</v>
      </c>
    </row>
    <row r="116" spans="1:15">
      <c r="A116" s="286"/>
      <c r="B116" s="296">
        <f t="shared" si="20"/>
        <v>97</v>
      </c>
      <c r="C116" s="297">
        <f t="shared" si="13"/>
        <v>0</v>
      </c>
      <c r="D116" s="298">
        <f t="shared" si="21"/>
        <v>0</v>
      </c>
      <c r="E116" s="299">
        <f t="shared" si="15"/>
        <v>0</v>
      </c>
      <c r="F116" s="299">
        <f t="shared" si="16"/>
        <v>0</v>
      </c>
      <c r="G116" s="299">
        <f t="shared" si="18"/>
        <v>0</v>
      </c>
      <c r="H116" s="298">
        <f t="shared" si="19"/>
        <v>0</v>
      </c>
      <c r="I116" s="294"/>
      <c r="O116" s="295">
        <f t="shared" si="17"/>
        <v>97</v>
      </c>
    </row>
    <row r="117" spans="1:15">
      <c r="A117" s="286"/>
      <c r="B117" s="296">
        <f t="shared" si="20"/>
        <v>98</v>
      </c>
      <c r="C117" s="297">
        <f t="shared" si="13"/>
        <v>0</v>
      </c>
      <c r="D117" s="298">
        <f t="shared" si="21"/>
        <v>0</v>
      </c>
      <c r="E117" s="299">
        <f t="shared" si="15"/>
        <v>0</v>
      </c>
      <c r="F117" s="299">
        <f t="shared" si="16"/>
        <v>0</v>
      </c>
      <c r="G117" s="299">
        <f t="shared" si="18"/>
        <v>0</v>
      </c>
      <c r="H117" s="298">
        <f t="shared" si="19"/>
        <v>0</v>
      </c>
      <c r="I117" s="294"/>
      <c r="O117" s="295">
        <f t="shared" si="17"/>
        <v>98</v>
      </c>
    </row>
    <row r="118" spans="1:15">
      <c r="A118" s="286"/>
      <c r="B118" s="296">
        <f t="shared" si="20"/>
        <v>99</v>
      </c>
      <c r="C118" s="297">
        <f t="shared" si="13"/>
        <v>0</v>
      </c>
      <c r="D118" s="298">
        <f t="shared" si="21"/>
        <v>0</v>
      </c>
      <c r="E118" s="299">
        <f t="shared" si="15"/>
        <v>0</v>
      </c>
      <c r="F118" s="299">
        <f t="shared" si="16"/>
        <v>0</v>
      </c>
      <c r="G118" s="299">
        <f t="shared" si="18"/>
        <v>0</v>
      </c>
      <c r="H118" s="298">
        <f t="shared" si="19"/>
        <v>0</v>
      </c>
      <c r="I118" s="294"/>
      <c r="O118" s="295">
        <f t="shared" si="17"/>
        <v>99</v>
      </c>
    </row>
    <row r="119" spans="1:15">
      <c r="A119" s="286"/>
      <c r="B119" s="296">
        <f t="shared" si="20"/>
        <v>100</v>
      </c>
      <c r="C119" s="297">
        <f t="shared" si="13"/>
        <v>0</v>
      </c>
      <c r="D119" s="298">
        <f t="shared" si="21"/>
        <v>0</v>
      </c>
      <c r="E119" s="299">
        <f t="shared" si="15"/>
        <v>0</v>
      </c>
      <c r="F119" s="299">
        <f t="shared" si="16"/>
        <v>0</v>
      </c>
      <c r="G119" s="299">
        <f t="shared" si="18"/>
        <v>0</v>
      </c>
      <c r="H119" s="298">
        <f t="shared" si="19"/>
        <v>0</v>
      </c>
      <c r="I119" s="294"/>
      <c r="O119" s="295">
        <f t="shared" si="17"/>
        <v>100</v>
      </c>
    </row>
    <row r="120" spans="1:15">
      <c r="A120" s="286"/>
      <c r="B120" s="296">
        <f t="shared" si="20"/>
        <v>101</v>
      </c>
      <c r="C120" s="297">
        <f t="shared" ref="C120:C183" si="22">IF(D120&gt;0,$F$7,0)</f>
        <v>0</v>
      </c>
      <c r="D120" s="298">
        <f t="shared" si="21"/>
        <v>0</v>
      </c>
      <c r="E120" s="299">
        <f t="shared" si="15"/>
        <v>0</v>
      </c>
      <c r="F120" s="299">
        <f t="shared" si="16"/>
        <v>0</v>
      </c>
      <c r="G120" s="299">
        <f t="shared" si="18"/>
        <v>0</v>
      </c>
      <c r="H120" s="298">
        <f t="shared" si="19"/>
        <v>0</v>
      </c>
      <c r="I120" s="294"/>
      <c r="O120" s="295">
        <f t="shared" si="17"/>
        <v>101</v>
      </c>
    </row>
    <row r="121" spans="1:15">
      <c r="A121" s="286"/>
      <c r="B121" s="296">
        <f t="shared" si="20"/>
        <v>102</v>
      </c>
      <c r="C121" s="297">
        <f t="shared" si="22"/>
        <v>0</v>
      </c>
      <c r="D121" s="298">
        <f t="shared" si="21"/>
        <v>0</v>
      </c>
      <c r="E121" s="299">
        <f t="shared" si="15"/>
        <v>0</v>
      </c>
      <c r="F121" s="299">
        <f t="shared" si="16"/>
        <v>0</v>
      </c>
      <c r="G121" s="299">
        <f t="shared" si="18"/>
        <v>0</v>
      </c>
      <c r="H121" s="298">
        <f t="shared" si="19"/>
        <v>0</v>
      </c>
      <c r="I121" s="294"/>
      <c r="O121" s="295">
        <f t="shared" si="17"/>
        <v>102</v>
      </c>
    </row>
    <row r="122" spans="1:15">
      <c r="A122" s="286"/>
      <c r="B122" s="296">
        <f t="shared" si="20"/>
        <v>103</v>
      </c>
      <c r="C122" s="297">
        <f t="shared" si="22"/>
        <v>0</v>
      </c>
      <c r="D122" s="298">
        <f t="shared" si="21"/>
        <v>0</v>
      </c>
      <c r="E122" s="299">
        <f t="shared" si="15"/>
        <v>0</v>
      </c>
      <c r="F122" s="299">
        <f t="shared" si="16"/>
        <v>0</v>
      </c>
      <c r="G122" s="299">
        <f t="shared" si="18"/>
        <v>0</v>
      </c>
      <c r="H122" s="298">
        <f t="shared" si="19"/>
        <v>0</v>
      </c>
      <c r="I122" s="294"/>
      <c r="O122" s="295">
        <f t="shared" si="17"/>
        <v>103</v>
      </c>
    </row>
    <row r="123" spans="1:15">
      <c r="A123" s="286"/>
      <c r="B123" s="296">
        <f t="shared" si="20"/>
        <v>104</v>
      </c>
      <c r="C123" s="297">
        <f t="shared" si="22"/>
        <v>0</v>
      </c>
      <c r="D123" s="298">
        <f t="shared" si="21"/>
        <v>0</v>
      </c>
      <c r="E123" s="299">
        <f t="shared" si="15"/>
        <v>0</v>
      </c>
      <c r="F123" s="299">
        <f t="shared" si="16"/>
        <v>0</v>
      </c>
      <c r="G123" s="299">
        <f t="shared" si="18"/>
        <v>0</v>
      </c>
      <c r="H123" s="298">
        <f t="shared" si="19"/>
        <v>0</v>
      </c>
      <c r="I123" s="294"/>
      <c r="O123" s="295">
        <f t="shared" si="17"/>
        <v>104</v>
      </c>
    </row>
    <row r="124" spans="1:15">
      <c r="A124" s="286"/>
      <c r="B124" s="296">
        <f t="shared" si="20"/>
        <v>105</v>
      </c>
      <c r="C124" s="297">
        <f t="shared" si="22"/>
        <v>0</v>
      </c>
      <c r="D124" s="298">
        <f t="shared" si="21"/>
        <v>0</v>
      </c>
      <c r="E124" s="299">
        <f t="shared" si="15"/>
        <v>0</v>
      </c>
      <c r="F124" s="299">
        <f t="shared" si="16"/>
        <v>0</v>
      </c>
      <c r="G124" s="299">
        <f t="shared" si="18"/>
        <v>0</v>
      </c>
      <c r="H124" s="298">
        <f t="shared" si="19"/>
        <v>0</v>
      </c>
      <c r="I124" s="294"/>
      <c r="O124" s="295">
        <f t="shared" si="17"/>
        <v>105</v>
      </c>
    </row>
    <row r="125" spans="1:15">
      <c r="A125" s="286"/>
      <c r="B125" s="296">
        <f t="shared" si="20"/>
        <v>106</v>
      </c>
      <c r="C125" s="297">
        <f t="shared" si="22"/>
        <v>0</v>
      </c>
      <c r="D125" s="298">
        <f t="shared" si="21"/>
        <v>0</v>
      </c>
      <c r="E125" s="299">
        <f t="shared" si="15"/>
        <v>0</v>
      </c>
      <c r="F125" s="299">
        <f t="shared" si="16"/>
        <v>0</v>
      </c>
      <c r="G125" s="299">
        <f t="shared" si="18"/>
        <v>0</v>
      </c>
      <c r="H125" s="298">
        <f t="shared" si="19"/>
        <v>0</v>
      </c>
      <c r="I125" s="294"/>
      <c r="O125" s="295">
        <f t="shared" si="17"/>
        <v>106</v>
      </c>
    </row>
    <row r="126" spans="1:15">
      <c r="A126" s="286"/>
      <c r="B126" s="296">
        <f t="shared" si="20"/>
        <v>107</v>
      </c>
      <c r="C126" s="297">
        <f t="shared" si="22"/>
        <v>0</v>
      </c>
      <c r="D126" s="298">
        <f t="shared" si="21"/>
        <v>0</v>
      </c>
      <c r="E126" s="299">
        <f t="shared" si="15"/>
        <v>0</v>
      </c>
      <c r="F126" s="299">
        <f t="shared" si="16"/>
        <v>0</v>
      </c>
      <c r="G126" s="299">
        <f t="shared" si="18"/>
        <v>0</v>
      </c>
      <c r="H126" s="298">
        <f t="shared" si="19"/>
        <v>0</v>
      </c>
      <c r="I126" s="294"/>
      <c r="O126" s="295">
        <f t="shared" si="17"/>
        <v>107</v>
      </c>
    </row>
    <row r="127" spans="1:15">
      <c r="A127" s="286"/>
      <c r="B127" s="300">
        <f t="shared" si="20"/>
        <v>108</v>
      </c>
      <c r="C127" s="301">
        <f t="shared" si="22"/>
        <v>0</v>
      </c>
      <c r="D127" s="302">
        <f t="shared" si="21"/>
        <v>0</v>
      </c>
      <c r="E127" s="303">
        <f t="shared" si="15"/>
        <v>0</v>
      </c>
      <c r="F127" s="303">
        <f t="shared" si="16"/>
        <v>0</v>
      </c>
      <c r="G127" s="303">
        <f t="shared" si="18"/>
        <v>0</v>
      </c>
      <c r="H127" s="302">
        <f t="shared" si="19"/>
        <v>0</v>
      </c>
      <c r="I127" s="304" t="e">
        <f>H127/$D$5</f>
        <v>#VALUE!</v>
      </c>
      <c r="J127" s="305"/>
      <c r="K127" s="305"/>
      <c r="L127" s="305"/>
      <c r="M127" s="305"/>
      <c r="N127" s="305"/>
      <c r="O127" s="306">
        <f t="shared" si="17"/>
        <v>108</v>
      </c>
    </row>
    <row r="128" spans="1:15">
      <c r="A128" s="286"/>
      <c r="B128" s="296">
        <f t="shared" si="20"/>
        <v>109</v>
      </c>
      <c r="C128" s="297">
        <f t="shared" si="22"/>
        <v>0</v>
      </c>
      <c r="D128" s="298">
        <f t="shared" si="21"/>
        <v>0</v>
      </c>
      <c r="E128" s="299">
        <f t="shared" si="15"/>
        <v>0</v>
      </c>
      <c r="F128" s="299">
        <f t="shared" si="16"/>
        <v>0</v>
      </c>
      <c r="G128" s="299">
        <f t="shared" si="18"/>
        <v>0</v>
      </c>
      <c r="H128" s="298">
        <f t="shared" si="19"/>
        <v>0</v>
      </c>
      <c r="I128" s="294"/>
      <c r="O128" s="295">
        <f t="shared" si="17"/>
        <v>109</v>
      </c>
    </row>
    <row r="129" spans="1:15">
      <c r="A129" s="286"/>
      <c r="B129" s="296">
        <f t="shared" si="20"/>
        <v>110</v>
      </c>
      <c r="C129" s="297">
        <f t="shared" si="22"/>
        <v>0</v>
      </c>
      <c r="D129" s="298">
        <f t="shared" si="21"/>
        <v>0</v>
      </c>
      <c r="E129" s="299">
        <f t="shared" si="15"/>
        <v>0</v>
      </c>
      <c r="F129" s="299">
        <f t="shared" si="16"/>
        <v>0</v>
      </c>
      <c r="G129" s="299">
        <f t="shared" si="18"/>
        <v>0</v>
      </c>
      <c r="H129" s="298">
        <f t="shared" si="19"/>
        <v>0</v>
      </c>
      <c r="I129" s="294"/>
      <c r="O129" s="295">
        <f t="shared" si="17"/>
        <v>110</v>
      </c>
    </row>
    <row r="130" spans="1:15">
      <c r="A130" s="286"/>
      <c r="B130" s="296">
        <f t="shared" si="20"/>
        <v>111</v>
      </c>
      <c r="C130" s="297">
        <f t="shared" si="22"/>
        <v>0</v>
      </c>
      <c r="D130" s="298">
        <f t="shared" si="21"/>
        <v>0</v>
      </c>
      <c r="E130" s="299">
        <f t="shared" si="15"/>
        <v>0</v>
      </c>
      <c r="F130" s="299">
        <f t="shared" si="16"/>
        <v>0</v>
      </c>
      <c r="G130" s="299">
        <f t="shared" si="18"/>
        <v>0</v>
      </c>
      <c r="H130" s="298">
        <f t="shared" si="19"/>
        <v>0</v>
      </c>
      <c r="I130" s="294"/>
      <c r="O130" s="295">
        <f t="shared" si="17"/>
        <v>111</v>
      </c>
    </row>
    <row r="131" spans="1:15">
      <c r="A131" s="286"/>
      <c r="B131" s="296">
        <f t="shared" si="20"/>
        <v>112</v>
      </c>
      <c r="C131" s="297">
        <f t="shared" si="22"/>
        <v>0</v>
      </c>
      <c r="D131" s="298">
        <f t="shared" si="21"/>
        <v>0</v>
      </c>
      <c r="E131" s="299">
        <f t="shared" si="15"/>
        <v>0</v>
      </c>
      <c r="F131" s="299">
        <f t="shared" si="16"/>
        <v>0</v>
      </c>
      <c r="G131" s="299">
        <f t="shared" si="18"/>
        <v>0</v>
      </c>
      <c r="H131" s="298">
        <f t="shared" si="19"/>
        <v>0</v>
      </c>
      <c r="I131" s="294"/>
      <c r="O131" s="295">
        <f t="shared" si="17"/>
        <v>112</v>
      </c>
    </row>
    <row r="132" spans="1:15">
      <c r="A132" s="286"/>
      <c r="B132" s="296">
        <f t="shared" si="20"/>
        <v>113</v>
      </c>
      <c r="C132" s="297">
        <f t="shared" si="22"/>
        <v>0</v>
      </c>
      <c r="D132" s="298">
        <f t="shared" si="21"/>
        <v>0</v>
      </c>
      <c r="E132" s="299">
        <f t="shared" ref="E132:E195" si="23">IF(H131&lt;=E131,H131+G132,$H$10)</f>
        <v>0</v>
      </c>
      <c r="F132" s="299">
        <f t="shared" si="16"/>
        <v>0</v>
      </c>
      <c r="G132" s="299">
        <f t="shared" si="18"/>
        <v>0</v>
      </c>
      <c r="H132" s="298">
        <f t="shared" si="19"/>
        <v>0</v>
      </c>
      <c r="I132" s="294"/>
      <c r="O132" s="295">
        <f t="shared" si="17"/>
        <v>113</v>
      </c>
    </row>
    <row r="133" spans="1:15">
      <c r="A133" s="286"/>
      <c r="B133" s="296">
        <f t="shared" si="20"/>
        <v>114</v>
      </c>
      <c r="C133" s="297">
        <f t="shared" si="22"/>
        <v>0</v>
      </c>
      <c r="D133" s="298">
        <f t="shared" si="21"/>
        <v>0</v>
      </c>
      <c r="E133" s="299">
        <f t="shared" si="23"/>
        <v>0</v>
      </c>
      <c r="F133" s="299">
        <f t="shared" si="16"/>
        <v>0</v>
      </c>
      <c r="G133" s="299">
        <f t="shared" si="18"/>
        <v>0</v>
      </c>
      <c r="H133" s="298">
        <f t="shared" si="19"/>
        <v>0</v>
      </c>
      <c r="I133" s="294"/>
      <c r="O133" s="295">
        <f t="shared" si="17"/>
        <v>114</v>
      </c>
    </row>
    <row r="134" spans="1:15">
      <c r="A134" s="286"/>
      <c r="B134" s="296">
        <f t="shared" si="20"/>
        <v>115</v>
      </c>
      <c r="C134" s="297">
        <f t="shared" si="22"/>
        <v>0</v>
      </c>
      <c r="D134" s="298">
        <f t="shared" si="21"/>
        <v>0</v>
      </c>
      <c r="E134" s="299">
        <f t="shared" si="23"/>
        <v>0</v>
      </c>
      <c r="F134" s="299">
        <f t="shared" si="16"/>
        <v>0</v>
      </c>
      <c r="G134" s="299">
        <f t="shared" si="18"/>
        <v>0</v>
      </c>
      <c r="H134" s="298">
        <f t="shared" si="19"/>
        <v>0</v>
      </c>
      <c r="I134" s="294"/>
      <c r="O134" s="295">
        <f t="shared" si="17"/>
        <v>115</v>
      </c>
    </row>
    <row r="135" spans="1:15">
      <c r="A135" s="286"/>
      <c r="B135" s="296">
        <f t="shared" si="20"/>
        <v>116</v>
      </c>
      <c r="C135" s="297">
        <f t="shared" si="22"/>
        <v>0</v>
      </c>
      <c r="D135" s="298">
        <f t="shared" si="21"/>
        <v>0</v>
      </c>
      <c r="E135" s="299">
        <f t="shared" si="23"/>
        <v>0</v>
      </c>
      <c r="F135" s="299">
        <f t="shared" si="16"/>
        <v>0</v>
      </c>
      <c r="G135" s="299">
        <f t="shared" si="18"/>
        <v>0</v>
      </c>
      <c r="H135" s="298">
        <f t="shared" si="19"/>
        <v>0</v>
      </c>
      <c r="I135" s="294"/>
      <c r="O135" s="295">
        <f t="shared" si="17"/>
        <v>116</v>
      </c>
    </row>
    <row r="136" spans="1:15">
      <c r="A136" s="286"/>
      <c r="B136" s="296">
        <f t="shared" si="20"/>
        <v>117</v>
      </c>
      <c r="C136" s="297">
        <f t="shared" si="22"/>
        <v>0</v>
      </c>
      <c r="D136" s="298">
        <f t="shared" si="21"/>
        <v>0</v>
      </c>
      <c r="E136" s="299">
        <f t="shared" si="23"/>
        <v>0</v>
      </c>
      <c r="F136" s="299">
        <f t="shared" si="16"/>
        <v>0</v>
      </c>
      <c r="G136" s="299">
        <f t="shared" si="18"/>
        <v>0</v>
      </c>
      <c r="H136" s="298">
        <f t="shared" si="19"/>
        <v>0</v>
      </c>
      <c r="I136" s="294"/>
      <c r="O136" s="295">
        <f t="shared" si="17"/>
        <v>117</v>
      </c>
    </row>
    <row r="137" spans="1:15">
      <c r="A137" s="286"/>
      <c r="B137" s="296">
        <f t="shared" si="20"/>
        <v>118</v>
      </c>
      <c r="C137" s="297">
        <f t="shared" si="22"/>
        <v>0</v>
      </c>
      <c r="D137" s="298">
        <f t="shared" si="21"/>
        <v>0</v>
      </c>
      <c r="E137" s="299">
        <f t="shared" si="23"/>
        <v>0</v>
      </c>
      <c r="F137" s="299">
        <f t="shared" si="16"/>
        <v>0</v>
      </c>
      <c r="G137" s="299">
        <f t="shared" si="18"/>
        <v>0</v>
      </c>
      <c r="H137" s="298">
        <f t="shared" si="19"/>
        <v>0</v>
      </c>
      <c r="I137" s="294"/>
      <c r="O137" s="295">
        <f t="shared" si="17"/>
        <v>118</v>
      </c>
    </row>
    <row r="138" spans="1:15">
      <c r="A138" s="286"/>
      <c r="B138" s="296">
        <f t="shared" si="20"/>
        <v>119</v>
      </c>
      <c r="C138" s="297">
        <f t="shared" si="22"/>
        <v>0</v>
      </c>
      <c r="D138" s="298">
        <f t="shared" si="21"/>
        <v>0</v>
      </c>
      <c r="E138" s="299">
        <f t="shared" si="23"/>
        <v>0</v>
      </c>
      <c r="F138" s="299">
        <f t="shared" si="16"/>
        <v>0</v>
      </c>
      <c r="G138" s="299">
        <f t="shared" si="18"/>
        <v>0</v>
      </c>
      <c r="H138" s="298">
        <f t="shared" si="19"/>
        <v>0</v>
      </c>
      <c r="I138" s="294"/>
      <c r="O138" s="295">
        <f t="shared" si="17"/>
        <v>119</v>
      </c>
    </row>
    <row r="139" spans="1:15">
      <c r="A139" s="286"/>
      <c r="B139" s="300">
        <f t="shared" si="20"/>
        <v>120</v>
      </c>
      <c r="C139" s="301">
        <f t="shared" si="22"/>
        <v>0</v>
      </c>
      <c r="D139" s="302">
        <f t="shared" si="21"/>
        <v>0</v>
      </c>
      <c r="E139" s="303">
        <f t="shared" si="23"/>
        <v>0</v>
      </c>
      <c r="F139" s="303">
        <f t="shared" si="16"/>
        <v>0</v>
      </c>
      <c r="G139" s="303">
        <f t="shared" si="18"/>
        <v>0</v>
      </c>
      <c r="H139" s="302">
        <f t="shared" si="19"/>
        <v>0</v>
      </c>
      <c r="I139" s="304" t="e">
        <f>H139/$D$5</f>
        <v>#VALUE!</v>
      </c>
      <c r="J139" s="305"/>
      <c r="K139" s="305"/>
      <c r="L139" s="305"/>
      <c r="M139" s="305"/>
      <c r="N139" s="305"/>
      <c r="O139" s="306">
        <f t="shared" si="17"/>
        <v>120</v>
      </c>
    </row>
    <row r="140" spans="1:15">
      <c r="A140" s="286"/>
      <c r="B140" s="296">
        <f t="shared" si="20"/>
        <v>121</v>
      </c>
      <c r="C140" s="297">
        <f t="shared" si="22"/>
        <v>0</v>
      </c>
      <c r="D140" s="298">
        <f t="shared" si="21"/>
        <v>0</v>
      </c>
      <c r="E140" s="299">
        <f t="shared" si="23"/>
        <v>0</v>
      </c>
      <c r="F140" s="299">
        <f t="shared" si="16"/>
        <v>0</v>
      </c>
      <c r="G140" s="299">
        <f t="shared" si="18"/>
        <v>0</v>
      </c>
      <c r="H140" s="298">
        <f t="shared" si="19"/>
        <v>0</v>
      </c>
      <c r="I140" s="294"/>
      <c r="O140" s="295">
        <f t="shared" si="17"/>
        <v>121</v>
      </c>
    </row>
    <row r="141" spans="1:15">
      <c r="A141" s="286"/>
      <c r="B141" s="296">
        <f t="shared" si="20"/>
        <v>122</v>
      </c>
      <c r="C141" s="297">
        <f t="shared" si="22"/>
        <v>0</v>
      </c>
      <c r="D141" s="298">
        <f t="shared" si="21"/>
        <v>0</v>
      </c>
      <c r="E141" s="299">
        <f t="shared" si="23"/>
        <v>0</v>
      </c>
      <c r="F141" s="299">
        <f t="shared" si="16"/>
        <v>0</v>
      </c>
      <c r="G141" s="299">
        <f t="shared" si="18"/>
        <v>0</v>
      </c>
      <c r="H141" s="298">
        <f t="shared" si="19"/>
        <v>0</v>
      </c>
      <c r="I141" s="294"/>
      <c r="O141" s="295">
        <f t="shared" si="17"/>
        <v>122</v>
      </c>
    </row>
    <row r="142" spans="1:15">
      <c r="A142" s="286"/>
      <c r="B142" s="296">
        <f t="shared" si="20"/>
        <v>123</v>
      </c>
      <c r="C142" s="297">
        <f t="shared" si="22"/>
        <v>0</v>
      </c>
      <c r="D142" s="298">
        <f t="shared" si="21"/>
        <v>0</v>
      </c>
      <c r="E142" s="299">
        <f t="shared" si="23"/>
        <v>0</v>
      </c>
      <c r="F142" s="299">
        <f t="shared" si="16"/>
        <v>0</v>
      </c>
      <c r="G142" s="299">
        <f t="shared" si="18"/>
        <v>0</v>
      </c>
      <c r="H142" s="298">
        <f t="shared" si="19"/>
        <v>0</v>
      </c>
      <c r="I142" s="294"/>
      <c r="O142" s="295">
        <f t="shared" si="17"/>
        <v>123</v>
      </c>
    </row>
    <row r="143" spans="1:15">
      <c r="A143" s="286"/>
      <c r="B143" s="296">
        <f t="shared" si="20"/>
        <v>124</v>
      </c>
      <c r="C143" s="297">
        <f t="shared" si="22"/>
        <v>0</v>
      </c>
      <c r="D143" s="298">
        <f t="shared" si="21"/>
        <v>0</v>
      </c>
      <c r="E143" s="299">
        <f t="shared" si="23"/>
        <v>0</v>
      </c>
      <c r="F143" s="299">
        <f t="shared" si="16"/>
        <v>0</v>
      </c>
      <c r="G143" s="299">
        <f t="shared" si="18"/>
        <v>0</v>
      </c>
      <c r="H143" s="298">
        <f t="shared" si="19"/>
        <v>0</v>
      </c>
      <c r="I143" s="294"/>
      <c r="O143" s="295">
        <f t="shared" si="17"/>
        <v>124</v>
      </c>
    </row>
    <row r="144" spans="1:15">
      <c r="A144" s="286"/>
      <c r="B144" s="296">
        <f t="shared" si="20"/>
        <v>125</v>
      </c>
      <c r="C144" s="297">
        <f t="shared" si="22"/>
        <v>0</v>
      </c>
      <c r="D144" s="298">
        <f t="shared" si="21"/>
        <v>0</v>
      </c>
      <c r="E144" s="299">
        <f t="shared" si="23"/>
        <v>0</v>
      </c>
      <c r="F144" s="299">
        <f t="shared" si="16"/>
        <v>0</v>
      </c>
      <c r="G144" s="299">
        <f t="shared" si="18"/>
        <v>0</v>
      </c>
      <c r="H144" s="298">
        <f t="shared" si="19"/>
        <v>0</v>
      </c>
      <c r="I144" s="294"/>
      <c r="O144" s="295">
        <f t="shared" si="17"/>
        <v>125</v>
      </c>
    </row>
    <row r="145" spans="1:15">
      <c r="A145" s="286"/>
      <c r="B145" s="296">
        <f t="shared" si="20"/>
        <v>126</v>
      </c>
      <c r="C145" s="297">
        <f t="shared" si="22"/>
        <v>0</v>
      </c>
      <c r="D145" s="298">
        <f t="shared" si="21"/>
        <v>0</v>
      </c>
      <c r="E145" s="299">
        <f t="shared" si="23"/>
        <v>0</v>
      </c>
      <c r="F145" s="299">
        <f t="shared" si="16"/>
        <v>0</v>
      </c>
      <c r="G145" s="299">
        <f t="shared" si="18"/>
        <v>0</v>
      </c>
      <c r="H145" s="298">
        <f t="shared" si="19"/>
        <v>0</v>
      </c>
      <c r="I145" s="294"/>
      <c r="O145" s="295">
        <f t="shared" si="17"/>
        <v>126</v>
      </c>
    </row>
    <row r="146" spans="1:15">
      <c r="A146" s="286"/>
      <c r="B146" s="296">
        <f t="shared" si="20"/>
        <v>127</v>
      </c>
      <c r="C146" s="297">
        <f t="shared" si="22"/>
        <v>0</v>
      </c>
      <c r="D146" s="298">
        <f t="shared" si="21"/>
        <v>0</v>
      </c>
      <c r="E146" s="299">
        <f t="shared" si="23"/>
        <v>0</v>
      </c>
      <c r="F146" s="299">
        <f t="shared" si="16"/>
        <v>0</v>
      </c>
      <c r="G146" s="299">
        <f t="shared" si="18"/>
        <v>0</v>
      </c>
      <c r="H146" s="298">
        <f t="shared" si="19"/>
        <v>0</v>
      </c>
      <c r="I146" s="294"/>
      <c r="O146" s="295">
        <f t="shared" si="17"/>
        <v>127</v>
      </c>
    </row>
    <row r="147" spans="1:15">
      <c r="A147" s="286"/>
      <c r="B147" s="296">
        <f t="shared" si="20"/>
        <v>128</v>
      </c>
      <c r="C147" s="297">
        <f t="shared" si="22"/>
        <v>0</v>
      </c>
      <c r="D147" s="298">
        <f t="shared" si="21"/>
        <v>0</v>
      </c>
      <c r="E147" s="299">
        <f t="shared" si="23"/>
        <v>0</v>
      </c>
      <c r="F147" s="299">
        <f t="shared" si="16"/>
        <v>0</v>
      </c>
      <c r="G147" s="299">
        <f t="shared" si="18"/>
        <v>0</v>
      </c>
      <c r="H147" s="298">
        <f t="shared" si="19"/>
        <v>0</v>
      </c>
      <c r="I147" s="294"/>
      <c r="O147" s="295">
        <f t="shared" si="17"/>
        <v>128</v>
      </c>
    </row>
    <row r="148" spans="1:15">
      <c r="A148" s="286"/>
      <c r="B148" s="296">
        <f t="shared" si="20"/>
        <v>129</v>
      </c>
      <c r="C148" s="297">
        <f t="shared" si="22"/>
        <v>0</v>
      </c>
      <c r="D148" s="298">
        <f t="shared" si="21"/>
        <v>0</v>
      </c>
      <c r="E148" s="299">
        <f t="shared" si="23"/>
        <v>0</v>
      </c>
      <c r="F148" s="299">
        <f t="shared" ref="F148:F211" si="24">E148-G148</f>
        <v>0</v>
      </c>
      <c r="G148" s="299">
        <f t="shared" si="18"/>
        <v>0</v>
      </c>
      <c r="H148" s="298">
        <f t="shared" si="19"/>
        <v>0</v>
      </c>
      <c r="I148" s="294"/>
      <c r="O148" s="295">
        <f t="shared" ref="O148:O211" si="25">IF(H148=0,B148,"n.a.")</f>
        <v>129</v>
      </c>
    </row>
    <row r="149" spans="1:15">
      <c r="A149" s="286"/>
      <c r="B149" s="296">
        <f t="shared" si="20"/>
        <v>130</v>
      </c>
      <c r="C149" s="297">
        <f t="shared" si="22"/>
        <v>0</v>
      </c>
      <c r="D149" s="298">
        <f t="shared" si="21"/>
        <v>0</v>
      </c>
      <c r="E149" s="299">
        <f t="shared" si="23"/>
        <v>0</v>
      </c>
      <c r="F149" s="299">
        <f t="shared" si="24"/>
        <v>0</v>
      </c>
      <c r="G149" s="299">
        <f t="shared" ref="G149:G212" si="26">C149*(D149/365)*30</f>
        <v>0</v>
      </c>
      <c r="H149" s="298">
        <f t="shared" ref="H149:H212" si="27">IF((D149+G149-E149)&lt;0,0,D149+G149-E149)</f>
        <v>0</v>
      </c>
      <c r="I149" s="294"/>
      <c r="O149" s="295">
        <f t="shared" si="25"/>
        <v>130</v>
      </c>
    </row>
    <row r="150" spans="1:15">
      <c r="A150" s="286"/>
      <c r="B150" s="296">
        <f t="shared" ref="B150:B213" si="28">B149+1</f>
        <v>131</v>
      </c>
      <c r="C150" s="297">
        <f t="shared" si="22"/>
        <v>0</v>
      </c>
      <c r="D150" s="298">
        <f t="shared" ref="D150:D213" si="29">H149</f>
        <v>0</v>
      </c>
      <c r="E150" s="299">
        <f t="shared" si="23"/>
        <v>0</v>
      </c>
      <c r="F150" s="299">
        <f t="shared" si="24"/>
        <v>0</v>
      </c>
      <c r="G150" s="299">
        <f t="shared" si="26"/>
        <v>0</v>
      </c>
      <c r="H150" s="298">
        <f t="shared" si="27"/>
        <v>0</v>
      </c>
      <c r="I150" s="294"/>
      <c r="O150" s="295">
        <f t="shared" si="25"/>
        <v>131</v>
      </c>
    </row>
    <row r="151" spans="1:15">
      <c r="A151" s="286"/>
      <c r="B151" s="300">
        <f t="shared" si="28"/>
        <v>132</v>
      </c>
      <c r="C151" s="301">
        <f t="shared" si="22"/>
        <v>0</v>
      </c>
      <c r="D151" s="302">
        <f t="shared" si="29"/>
        <v>0</v>
      </c>
      <c r="E151" s="303">
        <f t="shared" si="23"/>
        <v>0</v>
      </c>
      <c r="F151" s="303">
        <f t="shared" si="24"/>
        <v>0</v>
      </c>
      <c r="G151" s="303">
        <f t="shared" si="26"/>
        <v>0</v>
      </c>
      <c r="H151" s="302">
        <f t="shared" si="27"/>
        <v>0</v>
      </c>
      <c r="I151" s="304" t="e">
        <f>H151/$D$5</f>
        <v>#VALUE!</v>
      </c>
      <c r="J151" s="305"/>
      <c r="K151" s="305"/>
      <c r="L151" s="305"/>
      <c r="M151" s="305"/>
      <c r="N151" s="305"/>
      <c r="O151" s="306">
        <f t="shared" si="25"/>
        <v>132</v>
      </c>
    </row>
    <row r="152" spans="1:15">
      <c r="A152" s="286"/>
      <c r="B152" s="296">
        <f t="shared" si="28"/>
        <v>133</v>
      </c>
      <c r="C152" s="297">
        <f t="shared" si="22"/>
        <v>0</v>
      </c>
      <c r="D152" s="298">
        <f t="shared" si="29"/>
        <v>0</v>
      </c>
      <c r="E152" s="299">
        <f t="shared" si="23"/>
        <v>0</v>
      </c>
      <c r="F152" s="299">
        <f t="shared" si="24"/>
        <v>0</v>
      </c>
      <c r="G152" s="299">
        <f t="shared" si="26"/>
        <v>0</v>
      </c>
      <c r="H152" s="298">
        <f t="shared" si="27"/>
        <v>0</v>
      </c>
      <c r="I152" s="294"/>
      <c r="O152" s="295">
        <f t="shared" si="25"/>
        <v>133</v>
      </c>
    </row>
    <row r="153" spans="1:15">
      <c r="A153" s="286"/>
      <c r="B153" s="296">
        <f t="shared" si="28"/>
        <v>134</v>
      </c>
      <c r="C153" s="297">
        <f t="shared" si="22"/>
        <v>0</v>
      </c>
      <c r="D153" s="298">
        <f t="shared" si="29"/>
        <v>0</v>
      </c>
      <c r="E153" s="299">
        <f t="shared" si="23"/>
        <v>0</v>
      </c>
      <c r="F153" s="299">
        <f t="shared" si="24"/>
        <v>0</v>
      </c>
      <c r="G153" s="299">
        <f t="shared" si="26"/>
        <v>0</v>
      </c>
      <c r="H153" s="298">
        <f t="shared" si="27"/>
        <v>0</v>
      </c>
      <c r="I153" s="294"/>
      <c r="O153" s="295">
        <f t="shared" si="25"/>
        <v>134</v>
      </c>
    </row>
    <row r="154" spans="1:15">
      <c r="A154" s="286"/>
      <c r="B154" s="296">
        <f t="shared" si="28"/>
        <v>135</v>
      </c>
      <c r="C154" s="297">
        <f t="shared" si="22"/>
        <v>0</v>
      </c>
      <c r="D154" s="298">
        <f t="shared" si="29"/>
        <v>0</v>
      </c>
      <c r="E154" s="299">
        <f t="shared" si="23"/>
        <v>0</v>
      </c>
      <c r="F154" s="299">
        <f t="shared" si="24"/>
        <v>0</v>
      </c>
      <c r="G154" s="299">
        <f t="shared" si="26"/>
        <v>0</v>
      </c>
      <c r="H154" s="298">
        <f t="shared" si="27"/>
        <v>0</v>
      </c>
      <c r="I154" s="294"/>
      <c r="O154" s="295">
        <f t="shared" si="25"/>
        <v>135</v>
      </c>
    </row>
    <row r="155" spans="1:15">
      <c r="A155" s="286"/>
      <c r="B155" s="296">
        <f t="shared" si="28"/>
        <v>136</v>
      </c>
      <c r="C155" s="297">
        <f t="shared" si="22"/>
        <v>0</v>
      </c>
      <c r="D155" s="298">
        <f t="shared" si="29"/>
        <v>0</v>
      </c>
      <c r="E155" s="299">
        <f t="shared" si="23"/>
        <v>0</v>
      </c>
      <c r="F155" s="299">
        <f t="shared" si="24"/>
        <v>0</v>
      </c>
      <c r="G155" s="299">
        <f t="shared" si="26"/>
        <v>0</v>
      </c>
      <c r="H155" s="298">
        <f t="shared" si="27"/>
        <v>0</v>
      </c>
      <c r="I155" s="294"/>
      <c r="O155" s="295">
        <f t="shared" si="25"/>
        <v>136</v>
      </c>
    </row>
    <row r="156" spans="1:15">
      <c r="A156" s="286"/>
      <c r="B156" s="296">
        <f t="shared" si="28"/>
        <v>137</v>
      </c>
      <c r="C156" s="297">
        <f t="shared" si="22"/>
        <v>0</v>
      </c>
      <c r="D156" s="298">
        <f t="shared" si="29"/>
        <v>0</v>
      </c>
      <c r="E156" s="299">
        <f t="shared" si="23"/>
        <v>0</v>
      </c>
      <c r="F156" s="299">
        <f t="shared" si="24"/>
        <v>0</v>
      </c>
      <c r="G156" s="299">
        <f t="shared" si="26"/>
        <v>0</v>
      </c>
      <c r="H156" s="298">
        <f t="shared" si="27"/>
        <v>0</v>
      </c>
      <c r="I156" s="294"/>
      <c r="O156" s="295">
        <f t="shared" si="25"/>
        <v>137</v>
      </c>
    </row>
    <row r="157" spans="1:15">
      <c r="A157" s="286"/>
      <c r="B157" s="296">
        <f t="shared" si="28"/>
        <v>138</v>
      </c>
      <c r="C157" s="297">
        <f t="shared" si="22"/>
        <v>0</v>
      </c>
      <c r="D157" s="298">
        <f t="shared" si="29"/>
        <v>0</v>
      </c>
      <c r="E157" s="299">
        <f t="shared" si="23"/>
        <v>0</v>
      </c>
      <c r="F157" s="299">
        <f t="shared" si="24"/>
        <v>0</v>
      </c>
      <c r="G157" s="299">
        <f t="shared" si="26"/>
        <v>0</v>
      </c>
      <c r="H157" s="298">
        <f t="shared" si="27"/>
        <v>0</v>
      </c>
      <c r="I157" s="294"/>
      <c r="O157" s="295">
        <f t="shared" si="25"/>
        <v>138</v>
      </c>
    </row>
    <row r="158" spans="1:15">
      <c r="A158" s="286"/>
      <c r="B158" s="296">
        <f t="shared" si="28"/>
        <v>139</v>
      </c>
      <c r="C158" s="297">
        <f t="shared" si="22"/>
        <v>0</v>
      </c>
      <c r="D158" s="298">
        <f t="shared" si="29"/>
        <v>0</v>
      </c>
      <c r="E158" s="299">
        <f t="shared" si="23"/>
        <v>0</v>
      </c>
      <c r="F158" s="299">
        <f t="shared" si="24"/>
        <v>0</v>
      </c>
      <c r="G158" s="299">
        <f t="shared" si="26"/>
        <v>0</v>
      </c>
      <c r="H158" s="298">
        <f t="shared" si="27"/>
        <v>0</v>
      </c>
      <c r="I158" s="294"/>
      <c r="O158" s="295">
        <f t="shared" si="25"/>
        <v>139</v>
      </c>
    </row>
    <row r="159" spans="1:15">
      <c r="A159" s="286"/>
      <c r="B159" s="296">
        <f t="shared" si="28"/>
        <v>140</v>
      </c>
      <c r="C159" s="297">
        <f t="shared" si="22"/>
        <v>0</v>
      </c>
      <c r="D159" s="298">
        <f t="shared" si="29"/>
        <v>0</v>
      </c>
      <c r="E159" s="299">
        <f t="shared" si="23"/>
        <v>0</v>
      </c>
      <c r="F159" s="299">
        <f t="shared" si="24"/>
        <v>0</v>
      </c>
      <c r="G159" s="299">
        <f t="shared" si="26"/>
        <v>0</v>
      </c>
      <c r="H159" s="298">
        <f t="shared" si="27"/>
        <v>0</v>
      </c>
      <c r="I159" s="294"/>
      <c r="O159" s="295">
        <f t="shared" si="25"/>
        <v>140</v>
      </c>
    </row>
    <row r="160" spans="1:15">
      <c r="A160" s="286"/>
      <c r="B160" s="296">
        <f t="shared" si="28"/>
        <v>141</v>
      </c>
      <c r="C160" s="297">
        <f t="shared" si="22"/>
        <v>0</v>
      </c>
      <c r="D160" s="298">
        <f t="shared" si="29"/>
        <v>0</v>
      </c>
      <c r="E160" s="299">
        <f t="shared" si="23"/>
        <v>0</v>
      </c>
      <c r="F160" s="299">
        <f t="shared" si="24"/>
        <v>0</v>
      </c>
      <c r="G160" s="299">
        <f t="shared" si="26"/>
        <v>0</v>
      </c>
      <c r="H160" s="298">
        <f t="shared" si="27"/>
        <v>0</v>
      </c>
      <c r="I160" s="294"/>
      <c r="O160" s="295">
        <f t="shared" si="25"/>
        <v>141</v>
      </c>
    </row>
    <row r="161" spans="1:15">
      <c r="A161" s="286"/>
      <c r="B161" s="296">
        <f t="shared" si="28"/>
        <v>142</v>
      </c>
      <c r="C161" s="297">
        <f t="shared" si="22"/>
        <v>0</v>
      </c>
      <c r="D161" s="298">
        <f t="shared" si="29"/>
        <v>0</v>
      </c>
      <c r="E161" s="299">
        <f t="shared" si="23"/>
        <v>0</v>
      </c>
      <c r="F161" s="299">
        <f t="shared" si="24"/>
        <v>0</v>
      </c>
      <c r="G161" s="299">
        <f t="shared" si="26"/>
        <v>0</v>
      </c>
      <c r="H161" s="298">
        <f t="shared" si="27"/>
        <v>0</v>
      </c>
      <c r="I161" s="294"/>
      <c r="O161" s="295">
        <f t="shared" si="25"/>
        <v>142</v>
      </c>
    </row>
    <row r="162" spans="1:15">
      <c r="A162" s="286"/>
      <c r="B162" s="296">
        <f t="shared" si="28"/>
        <v>143</v>
      </c>
      <c r="C162" s="297">
        <f t="shared" si="22"/>
        <v>0</v>
      </c>
      <c r="D162" s="298">
        <f t="shared" si="29"/>
        <v>0</v>
      </c>
      <c r="E162" s="299">
        <f t="shared" si="23"/>
        <v>0</v>
      </c>
      <c r="F162" s="299">
        <f t="shared" si="24"/>
        <v>0</v>
      </c>
      <c r="G162" s="299">
        <f t="shared" si="26"/>
        <v>0</v>
      </c>
      <c r="H162" s="298">
        <f t="shared" si="27"/>
        <v>0</v>
      </c>
      <c r="I162" s="294"/>
      <c r="O162" s="295">
        <f t="shared" si="25"/>
        <v>143</v>
      </c>
    </row>
    <row r="163" spans="1:15">
      <c r="A163" s="286"/>
      <c r="B163" s="300">
        <f t="shared" si="28"/>
        <v>144</v>
      </c>
      <c r="C163" s="301">
        <f t="shared" si="22"/>
        <v>0</v>
      </c>
      <c r="D163" s="302">
        <f t="shared" si="29"/>
        <v>0</v>
      </c>
      <c r="E163" s="303">
        <f t="shared" si="23"/>
        <v>0</v>
      </c>
      <c r="F163" s="303">
        <f t="shared" si="24"/>
        <v>0</v>
      </c>
      <c r="G163" s="303">
        <f t="shared" si="26"/>
        <v>0</v>
      </c>
      <c r="H163" s="302">
        <f t="shared" si="27"/>
        <v>0</v>
      </c>
      <c r="I163" s="304" t="e">
        <f>H163/$D$5</f>
        <v>#VALUE!</v>
      </c>
      <c r="J163" s="305"/>
      <c r="K163" s="305"/>
      <c r="L163" s="305"/>
      <c r="M163" s="305"/>
      <c r="N163" s="305"/>
      <c r="O163" s="306">
        <f t="shared" si="25"/>
        <v>144</v>
      </c>
    </row>
    <row r="164" spans="1:15">
      <c r="A164" s="286"/>
      <c r="B164" s="296">
        <f t="shared" si="28"/>
        <v>145</v>
      </c>
      <c r="C164" s="297">
        <f t="shared" si="22"/>
        <v>0</v>
      </c>
      <c r="D164" s="298">
        <f t="shared" si="29"/>
        <v>0</v>
      </c>
      <c r="E164" s="299">
        <f t="shared" si="23"/>
        <v>0</v>
      </c>
      <c r="F164" s="299">
        <f t="shared" si="24"/>
        <v>0</v>
      </c>
      <c r="G164" s="299">
        <f t="shared" si="26"/>
        <v>0</v>
      </c>
      <c r="H164" s="298">
        <f t="shared" si="27"/>
        <v>0</v>
      </c>
      <c r="I164" s="294"/>
      <c r="O164" s="295">
        <f t="shared" si="25"/>
        <v>145</v>
      </c>
    </row>
    <row r="165" spans="1:15">
      <c r="A165" s="286"/>
      <c r="B165" s="296">
        <f t="shared" si="28"/>
        <v>146</v>
      </c>
      <c r="C165" s="297">
        <f t="shared" si="22"/>
        <v>0</v>
      </c>
      <c r="D165" s="298">
        <f t="shared" si="29"/>
        <v>0</v>
      </c>
      <c r="E165" s="299">
        <f t="shared" si="23"/>
        <v>0</v>
      </c>
      <c r="F165" s="299">
        <f t="shared" si="24"/>
        <v>0</v>
      </c>
      <c r="G165" s="299">
        <f t="shared" si="26"/>
        <v>0</v>
      </c>
      <c r="H165" s="298">
        <f t="shared" si="27"/>
        <v>0</v>
      </c>
      <c r="I165" s="294"/>
      <c r="O165" s="295">
        <f t="shared" si="25"/>
        <v>146</v>
      </c>
    </row>
    <row r="166" spans="1:15">
      <c r="A166" s="286"/>
      <c r="B166" s="296">
        <f t="shared" si="28"/>
        <v>147</v>
      </c>
      <c r="C166" s="297">
        <f t="shared" si="22"/>
        <v>0</v>
      </c>
      <c r="D166" s="298">
        <f t="shared" si="29"/>
        <v>0</v>
      </c>
      <c r="E166" s="299">
        <f t="shared" si="23"/>
        <v>0</v>
      </c>
      <c r="F166" s="299">
        <f t="shared" si="24"/>
        <v>0</v>
      </c>
      <c r="G166" s="299">
        <f t="shared" si="26"/>
        <v>0</v>
      </c>
      <c r="H166" s="298">
        <f t="shared" si="27"/>
        <v>0</v>
      </c>
      <c r="I166" s="294"/>
      <c r="O166" s="295">
        <f t="shared" si="25"/>
        <v>147</v>
      </c>
    </row>
    <row r="167" spans="1:15">
      <c r="A167" s="286"/>
      <c r="B167" s="296">
        <f t="shared" si="28"/>
        <v>148</v>
      </c>
      <c r="C167" s="297">
        <f t="shared" si="22"/>
        <v>0</v>
      </c>
      <c r="D167" s="298">
        <f t="shared" si="29"/>
        <v>0</v>
      </c>
      <c r="E167" s="299">
        <f t="shared" si="23"/>
        <v>0</v>
      </c>
      <c r="F167" s="299">
        <f t="shared" si="24"/>
        <v>0</v>
      </c>
      <c r="G167" s="299">
        <f t="shared" si="26"/>
        <v>0</v>
      </c>
      <c r="H167" s="298">
        <f t="shared" si="27"/>
        <v>0</v>
      </c>
      <c r="I167" s="294"/>
      <c r="O167" s="295">
        <f t="shared" si="25"/>
        <v>148</v>
      </c>
    </row>
    <row r="168" spans="1:15">
      <c r="A168" s="286"/>
      <c r="B168" s="296">
        <f t="shared" si="28"/>
        <v>149</v>
      </c>
      <c r="C168" s="297">
        <f t="shared" si="22"/>
        <v>0</v>
      </c>
      <c r="D168" s="298">
        <f t="shared" si="29"/>
        <v>0</v>
      </c>
      <c r="E168" s="299">
        <f t="shared" si="23"/>
        <v>0</v>
      </c>
      <c r="F168" s="299">
        <f t="shared" si="24"/>
        <v>0</v>
      </c>
      <c r="G168" s="299">
        <f t="shared" si="26"/>
        <v>0</v>
      </c>
      <c r="H168" s="298">
        <f t="shared" si="27"/>
        <v>0</v>
      </c>
      <c r="I168" s="294"/>
      <c r="O168" s="295">
        <f t="shared" si="25"/>
        <v>149</v>
      </c>
    </row>
    <row r="169" spans="1:15">
      <c r="A169" s="286"/>
      <c r="B169" s="296">
        <f t="shared" si="28"/>
        <v>150</v>
      </c>
      <c r="C169" s="297">
        <f t="shared" si="22"/>
        <v>0</v>
      </c>
      <c r="D169" s="298">
        <f t="shared" si="29"/>
        <v>0</v>
      </c>
      <c r="E169" s="299">
        <f t="shared" si="23"/>
        <v>0</v>
      </c>
      <c r="F169" s="299">
        <f t="shared" si="24"/>
        <v>0</v>
      </c>
      <c r="G169" s="299">
        <f t="shared" si="26"/>
        <v>0</v>
      </c>
      <c r="H169" s="298">
        <f t="shared" si="27"/>
        <v>0</v>
      </c>
      <c r="I169" s="294"/>
      <c r="O169" s="295">
        <f t="shared" si="25"/>
        <v>150</v>
      </c>
    </row>
    <row r="170" spans="1:15">
      <c r="A170" s="286"/>
      <c r="B170" s="296">
        <f t="shared" si="28"/>
        <v>151</v>
      </c>
      <c r="C170" s="297">
        <f t="shared" si="22"/>
        <v>0</v>
      </c>
      <c r="D170" s="298">
        <f t="shared" si="29"/>
        <v>0</v>
      </c>
      <c r="E170" s="299">
        <f t="shared" si="23"/>
        <v>0</v>
      </c>
      <c r="F170" s="299">
        <f t="shared" si="24"/>
        <v>0</v>
      </c>
      <c r="G170" s="299">
        <f t="shared" si="26"/>
        <v>0</v>
      </c>
      <c r="H170" s="298">
        <f t="shared" si="27"/>
        <v>0</v>
      </c>
      <c r="I170" s="294"/>
      <c r="O170" s="295">
        <f t="shared" si="25"/>
        <v>151</v>
      </c>
    </row>
    <row r="171" spans="1:15">
      <c r="A171" s="286"/>
      <c r="B171" s="296">
        <f t="shared" si="28"/>
        <v>152</v>
      </c>
      <c r="C171" s="297">
        <f t="shared" si="22"/>
        <v>0</v>
      </c>
      <c r="D171" s="298">
        <f t="shared" si="29"/>
        <v>0</v>
      </c>
      <c r="E171" s="299">
        <f t="shared" si="23"/>
        <v>0</v>
      </c>
      <c r="F171" s="299">
        <f t="shared" si="24"/>
        <v>0</v>
      </c>
      <c r="G171" s="299">
        <f t="shared" si="26"/>
        <v>0</v>
      </c>
      <c r="H171" s="298">
        <f t="shared" si="27"/>
        <v>0</v>
      </c>
      <c r="I171" s="294"/>
      <c r="O171" s="295">
        <f t="shared" si="25"/>
        <v>152</v>
      </c>
    </row>
    <row r="172" spans="1:15">
      <c r="A172" s="286"/>
      <c r="B172" s="296">
        <f t="shared" si="28"/>
        <v>153</v>
      </c>
      <c r="C172" s="297">
        <f t="shared" si="22"/>
        <v>0</v>
      </c>
      <c r="D172" s="298">
        <f t="shared" si="29"/>
        <v>0</v>
      </c>
      <c r="E172" s="299">
        <f t="shared" si="23"/>
        <v>0</v>
      </c>
      <c r="F172" s="299">
        <f t="shared" si="24"/>
        <v>0</v>
      </c>
      <c r="G172" s="299">
        <f t="shared" si="26"/>
        <v>0</v>
      </c>
      <c r="H172" s="298">
        <f t="shared" si="27"/>
        <v>0</v>
      </c>
      <c r="I172" s="294"/>
      <c r="O172" s="295">
        <f t="shared" si="25"/>
        <v>153</v>
      </c>
    </row>
    <row r="173" spans="1:15">
      <c r="A173" s="286"/>
      <c r="B173" s="296">
        <f t="shared" si="28"/>
        <v>154</v>
      </c>
      <c r="C173" s="297">
        <f t="shared" si="22"/>
        <v>0</v>
      </c>
      <c r="D173" s="298">
        <f t="shared" si="29"/>
        <v>0</v>
      </c>
      <c r="E173" s="299">
        <f t="shared" si="23"/>
        <v>0</v>
      </c>
      <c r="F173" s="299">
        <f t="shared" si="24"/>
        <v>0</v>
      </c>
      <c r="G173" s="299">
        <f t="shared" si="26"/>
        <v>0</v>
      </c>
      <c r="H173" s="298">
        <f t="shared" si="27"/>
        <v>0</v>
      </c>
      <c r="I173" s="294"/>
      <c r="O173" s="295">
        <f t="shared" si="25"/>
        <v>154</v>
      </c>
    </row>
    <row r="174" spans="1:15">
      <c r="A174" s="286"/>
      <c r="B174" s="296">
        <f t="shared" si="28"/>
        <v>155</v>
      </c>
      <c r="C174" s="297">
        <f t="shared" si="22"/>
        <v>0</v>
      </c>
      <c r="D174" s="298">
        <f t="shared" si="29"/>
        <v>0</v>
      </c>
      <c r="E174" s="299">
        <f t="shared" si="23"/>
        <v>0</v>
      </c>
      <c r="F174" s="299">
        <f t="shared" si="24"/>
        <v>0</v>
      </c>
      <c r="G174" s="299">
        <f t="shared" si="26"/>
        <v>0</v>
      </c>
      <c r="H174" s="298">
        <f t="shared" si="27"/>
        <v>0</v>
      </c>
      <c r="I174" s="294"/>
      <c r="O174" s="295">
        <f t="shared" si="25"/>
        <v>155</v>
      </c>
    </row>
    <row r="175" spans="1:15">
      <c r="A175" s="286"/>
      <c r="B175" s="300">
        <f t="shared" si="28"/>
        <v>156</v>
      </c>
      <c r="C175" s="301">
        <f t="shared" si="22"/>
        <v>0</v>
      </c>
      <c r="D175" s="302">
        <f t="shared" si="29"/>
        <v>0</v>
      </c>
      <c r="E175" s="303">
        <f t="shared" si="23"/>
        <v>0</v>
      </c>
      <c r="F175" s="303">
        <f t="shared" si="24"/>
        <v>0</v>
      </c>
      <c r="G175" s="303">
        <f t="shared" si="26"/>
        <v>0</v>
      </c>
      <c r="H175" s="302">
        <f t="shared" si="27"/>
        <v>0</v>
      </c>
      <c r="I175" s="304" t="e">
        <f>H175/$D$5</f>
        <v>#VALUE!</v>
      </c>
      <c r="J175" s="305"/>
      <c r="K175" s="305"/>
      <c r="L175" s="305"/>
      <c r="M175" s="305"/>
      <c r="N175" s="305"/>
      <c r="O175" s="306">
        <f t="shared" si="25"/>
        <v>156</v>
      </c>
    </row>
    <row r="176" spans="1:15">
      <c r="A176" s="286"/>
      <c r="B176" s="296">
        <f t="shared" si="28"/>
        <v>157</v>
      </c>
      <c r="C176" s="297">
        <f t="shared" si="22"/>
        <v>0</v>
      </c>
      <c r="D176" s="298">
        <f t="shared" si="29"/>
        <v>0</v>
      </c>
      <c r="E176" s="299">
        <f t="shared" si="23"/>
        <v>0</v>
      </c>
      <c r="F176" s="299">
        <f t="shared" si="24"/>
        <v>0</v>
      </c>
      <c r="G176" s="299">
        <f t="shared" si="26"/>
        <v>0</v>
      </c>
      <c r="H176" s="298">
        <f t="shared" si="27"/>
        <v>0</v>
      </c>
      <c r="I176" s="294"/>
      <c r="O176" s="295">
        <f t="shared" si="25"/>
        <v>157</v>
      </c>
    </row>
    <row r="177" spans="1:15">
      <c r="A177" s="286"/>
      <c r="B177" s="296">
        <f t="shared" si="28"/>
        <v>158</v>
      </c>
      <c r="C177" s="297">
        <f t="shared" si="22"/>
        <v>0</v>
      </c>
      <c r="D177" s="298">
        <f t="shared" si="29"/>
        <v>0</v>
      </c>
      <c r="E177" s="299">
        <f t="shared" si="23"/>
        <v>0</v>
      </c>
      <c r="F177" s="299">
        <f t="shared" si="24"/>
        <v>0</v>
      </c>
      <c r="G177" s="299">
        <f t="shared" si="26"/>
        <v>0</v>
      </c>
      <c r="H177" s="298">
        <f t="shared" si="27"/>
        <v>0</v>
      </c>
      <c r="I177" s="294"/>
      <c r="O177" s="295">
        <f t="shared" si="25"/>
        <v>158</v>
      </c>
    </row>
    <row r="178" spans="1:15">
      <c r="A178" s="286"/>
      <c r="B178" s="296">
        <f t="shared" si="28"/>
        <v>159</v>
      </c>
      <c r="C178" s="297">
        <f t="shared" si="22"/>
        <v>0</v>
      </c>
      <c r="D178" s="298">
        <f t="shared" si="29"/>
        <v>0</v>
      </c>
      <c r="E178" s="299">
        <f t="shared" si="23"/>
        <v>0</v>
      </c>
      <c r="F178" s="299">
        <f t="shared" si="24"/>
        <v>0</v>
      </c>
      <c r="G178" s="299">
        <f t="shared" si="26"/>
        <v>0</v>
      </c>
      <c r="H178" s="298">
        <f t="shared" si="27"/>
        <v>0</v>
      </c>
      <c r="I178" s="294"/>
      <c r="O178" s="295">
        <f t="shared" si="25"/>
        <v>159</v>
      </c>
    </row>
    <row r="179" spans="1:15">
      <c r="A179" s="286"/>
      <c r="B179" s="296">
        <f t="shared" si="28"/>
        <v>160</v>
      </c>
      <c r="C179" s="297">
        <f t="shared" si="22"/>
        <v>0</v>
      </c>
      <c r="D179" s="298">
        <f t="shared" si="29"/>
        <v>0</v>
      </c>
      <c r="E179" s="299">
        <f t="shared" si="23"/>
        <v>0</v>
      </c>
      <c r="F179" s="299">
        <f t="shared" si="24"/>
        <v>0</v>
      </c>
      <c r="G179" s="299">
        <f t="shared" si="26"/>
        <v>0</v>
      </c>
      <c r="H179" s="298">
        <f t="shared" si="27"/>
        <v>0</v>
      </c>
      <c r="I179" s="294"/>
      <c r="O179" s="295">
        <f t="shared" si="25"/>
        <v>160</v>
      </c>
    </row>
    <row r="180" spans="1:15">
      <c r="A180" s="286"/>
      <c r="B180" s="296">
        <f t="shared" si="28"/>
        <v>161</v>
      </c>
      <c r="C180" s="297">
        <f t="shared" si="22"/>
        <v>0</v>
      </c>
      <c r="D180" s="298">
        <f t="shared" si="29"/>
        <v>0</v>
      </c>
      <c r="E180" s="299">
        <f t="shared" si="23"/>
        <v>0</v>
      </c>
      <c r="F180" s="299">
        <f t="shared" si="24"/>
        <v>0</v>
      </c>
      <c r="G180" s="299">
        <f t="shared" si="26"/>
        <v>0</v>
      </c>
      <c r="H180" s="298">
        <f t="shared" si="27"/>
        <v>0</v>
      </c>
      <c r="I180" s="294"/>
      <c r="O180" s="295">
        <f t="shared" si="25"/>
        <v>161</v>
      </c>
    </row>
    <row r="181" spans="1:15">
      <c r="A181" s="286"/>
      <c r="B181" s="296">
        <f t="shared" si="28"/>
        <v>162</v>
      </c>
      <c r="C181" s="297">
        <f t="shared" si="22"/>
        <v>0</v>
      </c>
      <c r="D181" s="298">
        <f t="shared" si="29"/>
        <v>0</v>
      </c>
      <c r="E181" s="299">
        <f t="shared" si="23"/>
        <v>0</v>
      </c>
      <c r="F181" s="299">
        <f t="shared" si="24"/>
        <v>0</v>
      </c>
      <c r="G181" s="299">
        <f t="shared" si="26"/>
        <v>0</v>
      </c>
      <c r="H181" s="298">
        <f t="shared" si="27"/>
        <v>0</v>
      </c>
      <c r="I181" s="294"/>
      <c r="O181" s="295">
        <f t="shared" si="25"/>
        <v>162</v>
      </c>
    </row>
    <row r="182" spans="1:15">
      <c r="A182" s="286"/>
      <c r="B182" s="296">
        <f t="shared" si="28"/>
        <v>163</v>
      </c>
      <c r="C182" s="297">
        <f t="shared" si="22"/>
        <v>0</v>
      </c>
      <c r="D182" s="298">
        <f t="shared" si="29"/>
        <v>0</v>
      </c>
      <c r="E182" s="299">
        <f t="shared" si="23"/>
        <v>0</v>
      </c>
      <c r="F182" s="299">
        <f t="shared" si="24"/>
        <v>0</v>
      </c>
      <c r="G182" s="299">
        <f t="shared" si="26"/>
        <v>0</v>
      </c>
      <c r="H182" s="298">
        <f t="shared" si="27"/>
        <v>0</v>
      </c>
      <c r="I182" s="294"/>
      <c r="O182" s="295">
        <f t="shared" si="25"/>
        <v>163</v>
      </c>
    </row>
    <row r="183" spans="1:15">
      <c r="A183" s="286"/>
      <c r="B183" s="296">
        <f t="shared" si="28"/>
        <v>164</v>
      </c>
      <c r="C183" s="297">
        <f t="shared" si="22"/>
        <v>0</v>
      </c>
      <c r="D183" s="298">
        <f t="shared" si="29"/>
        <v>0</v>
      </c>
      <c r="E183" s="299">
        <f t="shared" si="23"/>
        <v>0</v>
      </c>
      <c r="F183" s="299">
        <f t="shared" si="24"/>
        <v>0</v>
      </c>
      <c r="G183" s="299">
        <f t="shared" si="26"/>
        <v>0</v>
      </c>
      <c r="H183" s="298">
        <f t="shared" si="27"/>
        <v>0</v>
      </c>
      <c r="I183" s="294"/>
      <c r="O183" s="295">
        <f t="shared" si="25"/>
        <v>164</v>
      </c>
    </row>
    <row r="184" spans="1:15">
      <c r="A184" s="286"/>
      <c r="B184" s="296">
        <f t="shared" si="28"/>
        <v>165</v>
      </c>
      <c r="C184" s="297">
        <f t="shared" ref="C184:C247" si="30">IF(D184&gt;0,$F$7,0)</f>
        <v>0</v>
      </c>
      <c r="D184" s="298">
        <f t="shared" si="29"/>
        <v>0</v>
      </c>
      <c r="E184" s="299">
        <f t="shared" si="23"/>
        <v>0</v>
      </c>
      <c r="F184" s="299">
        <f t="shared" si="24"/>
        <v>0</v>
      </c>
      <c r="G184" s="299">
        <f t="shared" si="26"/>
        <v>0</v>
      </c>
      <c r="H184" s="298">
        <f t="shared" si="27"/>
        <v>0</v>
      </c>
      <c r="I184" s="294"/>
      <c r="O184" s="295">
        <f t="shared" si="25"/>
        <v>165</v>
      </c>
    </row>
    <row r="185" spans="1:15">
      <c r="A185" s="286"/>
      <c r="B185" s="296">
        <f t="shared" si="28"/>
        <v>166</v>
      </c>
      <c r="C185" s="297">
        <f t="shared" si="30"/>
        <v>0</v>
      </c>
      <c r="D185" s="298">
        <f t="shared" si="29"/>
        <v>0</v>
      </c>
      <c r="E185" s="299">
        <f t="shared" si="23"/>
        <v>0</v>
      </c>
      <c r="F185" s="299">
        <f t="shared" si="24"/>
        <v>0</v>
      </c>
      <c r="G185" s="299">
        <f t="shared" si="26"/>
        <v>0</v>
      </c>
      <c r="H185" s="298">
        <f t="shared" si="27"/>
        <v>0</v>
      </c>
      <c r="I185" s="294"/>
      <c r="O185" s="295">
        <f t="shared" si="25"/>
        <v>166</v>
      </c>
    </row>
    <row r="186" spans="1:15">
      <c r="A186" s="286"/>
      <c r="B186" s="296">
        <f t="shared" si="28"/>
        <v>167</v>
      </c>
      <c r="C186" s="297">
        <f t="shared" si="30"/>
        <v>0</v>
      </c>
      <c r="D186" s="298">
        <f t="shared" si="29"/>
        <v>0</v>
      </c>
      <c r="E186" s="299">
        <f t="shared" si="23"/>
        <v>0</v>
      </c>
      <c r="F186" s="299">
        <f t="shared" si="24"/>
        <v>0</v>
      </c>
      <c r="G186" s="299">
        <f t="shared" si="26"/>
        <v>0</v>
      </c>
      <c r="H186" s="298">
        <f t="shared" si="27"/>
        <v>0</v>
      </c>
      <c r="I186" s="294"/>
      <c r="O186" s="295">
        <f t="shared" si="25"/>
        <v>167</v>
      </c>
    </row>
    <row r="187" spans="1:15">
      <c r="A187" s="286"/>
      <c r="B187" s="300">
        <f t="shared" si="28"/>
        <v>168</v>
      </c>
      <c r="C187" s="301">
        <f t="shared" si="30"/>
        <v>0</v>
      </c>
      <c r="D187" s="302">
        <f t="shared" si="29"/>
        <v>0</v>
      </c>
      <c r="E187" s="303">
        <f t="shared" si="23"/>
        <v>0</v>
      </c>
      <c r="F187" s="303">
        <f t="shared" si="24"/>
        <v>0</v>
      </c>
      <c r="G187" s="303">
        <f t="shared" si="26"/>
        <v>0</v>
      </c>
      <c r="H187" s="302">
        <f t="shared" si="27"/>
        <v>0</v>
      </c>
      <c r="I187" s="304" t="e">
        <f>H187/$D$5</f>
        <v>#VALUE!</v>
      </c>
      <c r="J187" s="305"/>
      <c r="K187" s="305"/>
      <c r="L187" s="305"/>
      <c r="M187" s="305"/>
      <c r="N187" s="305"/>
      <c r="O187" s="306">
        <f t="shared" si="25"/>
        <v>168</v>
      </c>
    </row>
    <row r="188" spans="1:15">
      <c r="A188" s="286"/>
      <c r="B188" s="296">
        <f t="shared" si="28"/>
        <v>169</v>
      </c>
      <c r="C188" s="297">
        <f t="shared" si="30"/>
        <v>0</v>
      </c>
      <c r="D188" s="298">
        <f t="shared" si="29"/>
        <v>0</v>
      </c>
      <c r="E188" s="299">
        <f t="shared" si="23"/>
        <v>0</v>
      </c>
      <c r="F188" s="299">
        <f t="shared" si="24"/>
        <v>0</v>
      </c>
      <c r="G188" s="299">
        <f t="shared" si="26"/>
        <v>0</v>
      </c>
      <c r="H188" s="298">
        <f t="shared" si="27"/>
        <v>0</v>
      </c>
      <c r="I188" s="294"/>
      <c r="O188" s="295">
        <f t="shared" si="25"/>
        <v>169</v>
      </c>
    </row>
    <row r="189" spans="1:15">
      <c r="A189" s="286"/>
      <c r="B189" s="296">
        <f t="shared" si="28"/>
        <v>170</v>
      </c>
      <c r="C189" s="297">
        <f t="shared" si="30"/>
        <v>0</v>
      </c>
      <c r="D189" s="298">
        <f t="shared" si="29"/>
        <v>0</v>
      </c>
      <c r="E189" s="299">
        <f t="shared" si="23"/>
        <v>0</v>
      </c>
      <c r="F189" s="299">
        <f t="shared" si="24"/>
        <v>0</v>
      </c>
      <c r="G189" s="299">
        <f t="shared" si="26"/>
        <v>0</v>
      </c>
      <c r="H189" s="298">
        <f t="shared" si="27"/>
        <v>0</v>
      </c>
      <c r="I189" s="294"/>
      <c r="O189" s="295">
        <f t="shared" si="25"/>
        <v>170</v>
      </c>
    </row>
    <row r="190" spans="1:15">
      <c r="A190" s="286"/>
      <c r="B190" s="296">
        <f t="shared" si="28"/>
        <v>171</v>
      </c>
      <c r="C190" s="297">
        <f t="shared" si="30"/>
        <v>0</v>
      </c>
      <c r="D190" s="298">
        <f t="shared" si="29"/>
        <v>0</v>
      </c>
      <c r="E190" s="299">
        <f t="shared" si="23"/>
        <v>0</v>
      </c>
      <c r="F190" s="299">
        <f t="shared" si="24"/>
        <v>0</v>
      </c>
      <c r="G190" s="299">
        <f t="shared" si="26"/>
        <v>0</v>
      </c>
      <c r="H190" s="298">
        <f t="shared" si="27"/>
        <v>0</v>
      </c>
      <c r="I190" s="294"/>
      <c r="O190" s="295">
        <f t="shared" si="25"/>
        <v>171</v>
      </c>
    </row>
    <row r="191" spans="1:15">
      <c r="A191" s="286"/>
      <c r="B191" s="296">
        <f t="shared" si="28"/>
        <v>172</v>
      </c>
      <c r="C191" s="297">
        <f t="shared" si="30"/>
        <v>0</v>
      </c>
      <c r="D191" s="298">
        <f t="shared" si="29"/>
        <v>0</v>
      </c>
      <c r="E191" s="299">
        <f t="shared" si="23"/>
        <v>0</v>
      </c>
      <c r="F191" s="299">
        <f t="shared" si="24"/>
        <v>0</v>
      </c>
      <c r="G191" s="299">
        <f t="shared" si="26"/>
        <v>0</v>
      </c>
      <c r="H191" s="298">
        <f t="shared" si="27"/>
        <v>0</v>
      </c>
      <c r="I191" s="294"/>
      <c r="O191" s="295">
        <f t="shared" si="25"/>
        <v>172</v>
      </c>
    </row>
    <row r="192" spans="1:15">
      <c r="A192" s="286"/>
      <c r="B192" s="296">
        <f t="shared" si="28"/>
        <v>173</v>
      </c>
      <c r="C192" s="297">
        <f t="shared" si="30"/>
        <v>0</v>
      </c>
      <c r="D192" s="298">
        <f t="shared" si="29"/>
        <v>0</v>
      </c>
      <c r="E192" s="299">
        <f t="shared" si="23"/>
        <v>0</v>
      </c>
      <c r="F192" s="299">
        <f t="shared" si="24"/>
        <v>0</v>
      </c>
      <c r="G192" s="299">
        <f t="shared" si="26"/>
        <v>0</v>
      </c>
      <c r="H192" s="298">
        <f t="shared" si="27"/>
        <v>0</v>
      </c>
      <c r="I192" s="294"/>
      <c r="O192" s="295">
        <f t="shared" si="25"/>
        <v>173</v>
      </c>
    </row>
    <row r="193" spans="1:15">
      <c r="A193" s="286"/>
      <c r="B193" s="296">
        <f t="shared" si="28"/>
        <v>174</v>
      </c>
      <c r="C193" s="297">
        <f t="shared" si="30"/>
        <v>0</v>
      </c>
      <c r="D193" s="298">
        <f t="shared" si="29"/>
        <v>0</v>
      </c>
      <c r="E193" s="299">
        <f t="shared" si="23"/>
        <v>0</v>
      </c>
      <c r="F193" s="299">
        <f t="shared" si="24"/>
        <v>0</v>
      </c>
      <c r="G193" s="299">
        <f t="shared" si="26"/>
        <v>0</v>
      </c>
      <c r="H193" s="298">
        <f t="shared" si="27"/>
        <v>0</v>
      </c>
      <c r="I193" s="294"/>
      <c r="O193" s="295">
        <f t="shared" si="25"/>
        <v>174</v>
      </c>
    </row>
    <row r="194" spans="1:15">
      <c r="A194" s="286"/>
      <c r="B194" s="296">
        <f t="shared" si="28"/>
        <v>175</v>
      </c>
      <c r="C194" s="297">
        <f t="shared" si="30"/>
        <v>0</v>
      </c>
      <c r="D194" s="298">
        <f t="shared" si="29"/>
        <v>0</v>
      </c>
      <c r="E194" s="299">
        <f t="shared" si="23"/>
        <v>0</v>
      </c>
      <c r="F194" s="299">
        <f t="shared" si="24"/>
        <v>0</v>
      </c>
      <c r="G194" s="299">
        <f t="shared" si="26"/>
        <v>0</v>
      </c>
      <c r="H194" s="298">
        <f t="shared" si="27"/>
        <v>0</v>
      </c>
      <c r="I194" s="294"/>
      <c r="O194" s="295">
        <f t="shared" si="25"/>
        <v>175</v>
      </c>
    </row>
    <row r="195" spans="1:15">
      <c r="A195" s="286"/>
      <c r="B195" s="296">
        <f t="shared" si="28"/>
        <v>176</v>
      </c>
      <c r="C195" s="297">
        <f t="shared" si="30"/>
        <v>0</v>
      </c>
      <c r="D195" s="298">
        <f t="shared" si="29"/>
        <v>0</v>
      </c>
      <c r="E195" s="299">
        <f t="shared" si="23"/>
        <v>0</v>
      </c>
      <c r="F195" s="299">
        <f t="shared" si="24"/>
        <v>0</v>
      </c>
      <c r="G195" s="299">
        <f t="shared" si="26"/>
        <v>0</v>
      </c>
      <c r="H195" s="298">
        <f t="shared" si="27"/>
        <v>0</v>
      </c>
      <c r="I195" s="294"/>
      <c r="O195" s="295">
        <f t="shared" si="25"/>
        <v>176</v>
      </c>
    </row>
    <row r="196" spans="1:15">
      <c r="A196" s="286"/>
      <c r="B196" s="296">
        <f t="shared" si="28"/>
        <v>177</v>
      </c>
      <c r="C196" s="297">
        <f t="shared" si="30"/>
        <v>0</v>
      </c>
      <c r="D196" s="298">
        <f t="shared" si="29"/>
        <v>0</v>
      </c>
      <c r="E196" s="299">
        <f t="shared" ref="E196:E259" si="31">IF(H195&lt;=E195,H195+G196,$H$10)</f>
        <v>0</v>
      </c>
      <c r="F196" s="299">
        <f t="shared" si="24"/>
        <v>0</v>
      </c>
      <c r="G196" s="299">
        <f t="shared" si="26"/>
        <v>0</v>
      </c>
      <c r="H196" s="298">
        <f t="shared" si="27"/>
        <v>0</v>
      </c>
      <c r="I196" s="294"/>
      <c r="O196" s="295">
        <f t="shared" si="25"/>
        <v>177</v>
      </c>
    </row>
    <row r="197" spans="1:15">
      <c r="A197" s="286"/>
      <c r="B197" s="296">
        <f t="shared" si="28"/>
        <v>178</v>
      </c>
      <c r="C197" s="297">
        <f t="shared" si="30"/>
        <v>0</v>
      </c>
      <c r="D197" s="298">
        <f t="shared" si="29"/>
        <v>0</v>
      </c>
      <c r="E197" s="299">
        <f t="shared" si="31"/>
        <v>0</v>
      </c>
      <c r="F197" s="299">
        <f t="shared" si="24"/>
        <v>0</v>
      </c>
      <c r="G197" s="299">
        <f t="shared" si="26"/>
        <v>0</v>
      </c>
      <c r="H197" s="298">
        <f t="shared" si="27"/>
        <v>0</v>
      </c>
      <c r="I197" s="294"/>
      <c r="O197" s="295">
        <f t="shared" si="25"/>
        <v>178</v>
      </c>
    </row>
    <row r="198" spans="1:15">
      <c r="A198" s="286"/>
      <c r="B198" s="296">
        <f t="shared" si="28"/>
        <v>179</v>
      </c>
      <c r="C198" s="297">
        <f t="shared" si="30"/>
        <v>0</v>
      </c>
      <c r="D198" s="298">
        <f t="shared" si="29"/>
        <v>0</v>
      </c>
      <c r="E198" s="299">
        <f t="shared" si="31"/>
        <v>0</v>
      </c>
      <c r="F198" s="299">
        <f t="shared" si="24"/>
        <v>0</v>
      </c>
      <c r="G198" s="299">
        <f t="shared" si="26"/>
        <v>0</v>
      </c>
      <c r="H198" s="298">
        <f t="shared" si="27"/>
        <v>0</v>
      </c>
      <c r="I198" s="294"/>
      <c r="O198" s="295">
        <f t="shared" si="25"/>
        <v>179</v>
      </c>
    </row>
    <row r="199" spans="1:15">
      <c r="A199" s="286"/>
      <c r="B199" s="300">
        <f t="shared" si="28"/>
        <v>180</v>
      </c>
      <c r="C199" s="301">
        <f t="shared" si="30"/>
        <v>0</v>
      </c>
      <c r="D199" s="302">
        <f t="shared" si="29"/>
        <v>0</v>
      </c>
      <c r="E199" s="303">
        <f t="shared" si="31"/>
        <v>0</v>
      </c>
      <c r="F199" s="303">
        <f t="shared" si="24"/>
        <v>0</v>
      </c>
      <c r="G199" s="303">
        <f t="shared" si="26"/>
        <v>0</v>
      </c>
      <c r="H199" s="302">
        <f t="shared" si="27"/>
        <v>0</v>
      </c>
      <c r="I199" s="304" t="e">
        <f>H199/$D$5</f>
        <v>#VALUE!</v>
      </c>
      <c r="J199" s="305"/>
      <c r="K199" s="305"/>
      <c r="L199" s="305"/>
      <c r="M199" s="305"/>
      <c r="N199" s="305"/>
      <c r="O199" s="306">
        <f t="shared" si="25"/>
        <v>180</v>
      </c>
    </row>
    <row r="200" spans="1:15">
      <c r="A200" s="286"/>
      <c r="B200" s="296">
        <f t="shared" si="28"/>
        <v>181</v>
      </c>
      <c r="C200" s="297">
        <f t="shared" si="30"/>
        <v>0</v>
      </c>
      <c r="D200" s="298">
        <f t="shared" si="29"/>
        <v>0</v>
      </c>
      <c r="E200" s="299">
        <f t="shared" si="31"/>
        <v>0</v>
      </c>
      <c r="F200" s="299">
        <f t="shared" si="24"/>
        <v>0</v>
      </c>
      <c r="G200" s="299">
        <f t="shared" si="26"/>
        <v>0</v>
      </c>
      <c r="H200" s="298">
        <f t="shared" si="27"/>
        <v>0</v>
      </c>
      <c r="I200" s="294"/>
      <c r="O200" s="295">
        <f t="shared" si="25"/>
        <v>181</v>
      </c>
    </row>
    <row r="201" spans="1:15">
      <c r="A201" s="286"/>
      <c r="B201" s="296">
        <f t="shared" si="28"/>
        <v>182</v>
      </c>
      <c r="C201" s="297">
        <f t="shared" si="30"/>
        <v>0</v>
      </c>
      <c r="D201" s="298">
        <f t="shared" si="29"/>
        <v>0</v>
      </c>
      <c r="E201" s="299">
        <f t="shared" si="31"/>
        <v>0</v>
      </c>
      <c r="F201" s="299">
        <f t="shared" si="24"/>
        <v>0</v>
      </c>
      <c r="G201" s="299">
        <f t="shared" si="26"/>
        <v>0</v>
      </c>
      <c r="H201" s="298">
        <f t="shared" si="27"/>
        <v>0</v>
      </c>
      <c r="I201" s="294"/>
      <c r="O201" s="295">
        <f t="shared" si="25"/>
        <v>182</v>
      </c>
    </row>
    <row r="202" spans="1:15">
      <c r="A202" s="286"/>
      <c r="B202" s="296">
        <f t="shared" si="28"/>
        <v>183</v>
      </c>
      <c r="C202" s="297">
        <f t="shared" si="30"/>
        <v>0</v>
      </c>
      <c r="D202" s="298">
        <f t="shared" si="29"/>
        <v>0</v>
      </c>
      <c r="E202" s="299">
        <f t="shared" si="31"/>
        <v>0</v>
      </c>
      <c r="F202" s="299">
        <f t="shared" si="24"/>
        <v>0</v>
      </c>
      <c r="G202" s="299">
        <f t="shared" si="26"/>
        <v>0</v>
      </c>
      <c r="H202" s="298">
        <f t="shared" si="27"/>
        <v>0</v>
      </c>
      <c r="I202" s="294"/>
      <c r="O202" s="295">
        <f t="shared" si="25"/>
        <v>183</v>
      </c>
    </row>
    <row r="203" spans="1:15">
      <c r="A203" s="286"/>
      <c r="B203" s="296">
        <f t="shared" si="28"/>
        <v>184</v>
      </c>
      <c r="C203" s="297">
        <f t="shared" si="30"/>
        <v>0</v>
      </c>
      <c r="D203" s="298">
        <f t="shared" si="29"/>
        <v>0</v>
      </c>
      <c r="E203" s="299">
        <f t="shared" si="31"/>
        <v>0</v>
      </c>
      <c r="F203" s="299">
        <f t="shared" si="24"/>
        <v>0</v>
      </c>
      <c r="G203" s="299">
        <f t="shared" si="26"/>
        <v>0</v>
      </c>
      <c r="H203" s="298">
        <f t="shared" si="27"/>
        <v>0</v>
      </c>
      <c r="I203" s="294"/>
      <c r="O203" s="295">
        <f t="shared" si="25"/>
        <v>184</v>
      </c>
    </row>
    <row r="204" spans="1:15">
      <c r="A204" s="286"/>
      <c r="B204" s="296">
        <f t="shared" si="28"/>
        <v>185</v>
      </c>
      <c r="C204" s="297">
        <f t="shared" si="30"/>
        <v>0</v>
      </c>
      <c r="D204" s="298">
        <f t="shared" si="29"/>
        <v>0</v>
      </c>
      <c r="E204" s="299">
        <f t="shared" si="31"/>
        <v>0</v>
      </c>
      <c r="F204" s="299">
        <f t="shared" si="24"/>
        <v>0</v>
      </c>
      <c r="G204" s="299">
        <f t="shared" si="26"/>
        <v>0</v>
      </c>
      <c r="H204" s="298">
        <f t="shared" si="27"/>
        <v>0</v>
      </c>
      <c r="I204" s="294"/>
      <c r="O204" s="295">
        <f t="shared" si="25"/>
        <v>185</v>
      </c>
    </row>
    <row r="205" spans="1:15">
      <c r="A205" s="286"/>
      <c r="B205" s="296">
        <f t="shared" si="28"/>
        <v>186</v>
      </c>
      <c r="C205" s="297">
        <f t="shared" si="30"/>
        <v>0</v>
      </c>
      <c r="D205" s="298">
        <f t="shared" si="29"/>
        <v>0</v>
      </c>
      <c r="E205" s="299">
        <f t="shared" si="31"/>
        <v>0</v>
      </c>
      <c r="F205" s="299">
        <f t="shared" si="24"/>
        <v>0</v>
      </c>
      <c r="G205" s="299">
        <f t="shared" si="26"/>
        <v>0</v>
      </c>
      <c r="H205" s="298">
        <f t="shared" si="27"/>
        <v>0</v>
      </c>
      <c r="I205" s="294"/>
      <c r="O205" s="295">
        <f t="shared" si="25"/>
        <v>186</v>
      </c>
    </row>
    <row r="206" spans="1:15">
      <c r="A206" s="286"/>
      <c r="B206" s="296">
        <f t="shared" si="28"/>
        <v>187</v>
      </c>
      <c r="C206" s="297">
        <f t="shared" si="30"/>
        <v>0</v>
      </c>
      <c r="D206" s="298">
        <f t="shared" si="29"/>
        <v>0</v>
      </c>
      <c r="E206" s="299">
        <f t="shared" si="31"/>
        <v>0</v>
      </c>
      <c r="F206" s="299">
        <f t="shared" si="24"/>
        <v>0</v>
      </c>
      <c r="G206" s="299">
        <f t="shared" si="26"/>
        <v>0</v>
      </c>
      <c r="H206" s="298">
        <f t="shared" si="27"/>
        <v>0</v>
      </c>
      <c r="I206" s="294"/>
      <c r="O206" s="295">
        <f t="shared" si="25"/>
        <v>187</v>
      </c>
    </row>
    <row r="207" spans="1:15">
      <c r="A207" s="286"/>
      <c r="B207" s="296">
        <f t="shared" si="28"/>
        <v>188</v>
      </c>
      <c r="C207" s="297">
        <f t="shared" si="30"/>
        <v>0</v>
      </c>
      <c r="D207" s="298">
        <f t="shared" si="29"/>
        <v>0</v>
      </c>
      <c r="E207" s="299">
        <f t="shared" si="31"/>
        <v>0</v>
      </c>
      <c r="F207" s="299">
        <f t="shared" si="24"/>
        <v>0</v>
      </c>
      <c r="G207" s="299">
        <f t="shared" si="26"/>
        <v>0</v>
      </c>
      <c r="H207" s="298">
        <f t="shared" si="27"/>
        <v>0</v>
      </c>
      <c r="I207" s="294"/>
      <c r="O207" s="295">
        <f t="shared" si="25"/>
        <v>188</v>
      </c>
    </row>
    <row r="208" spans="1:15">
      <c r="A208" s="286"/>
      <c r="B208" s="296">
        <f t="shared" si="28"/>
        <v>189</v>
      </c>
      <c r="C208" s="297">
        <f t="shared" si="30"/>
        <v>0</v>
      </c>
      <c r="D208" s="298">
        <f t="shared" si="29"/>
        <v>0</v>
      </c>
      <c r="E208" s="299">
        <f t="shared" si="31"/>
        <v>0</v>
      </c>
      <c r="F208" s="299">
        <f t="shared" si="24"/>
        <v>0</v>
      </c>
      <c r="G208" s="299">
        <f t="shared" si="26"/>
        <v>0</v>
      </c>
      <c r="H208" s="298">
        <f t="shared" si="27"/>
        <v>0</v>
      </c>
      <c r="I208" s="294"/>
      <c r="O208" s="295">
        <f t="shared" si="25"/>
        <v>189</v>
      </c>
    </row>
    <row r="209" spans="1:15">
      <c r="A209" s="286"/>
      <c r="B209" s="296">
        <f t="shared" si="28"/>
        <v>190</v>
      </c>
      <c r="C209" s="297">
        <f t="shared" si="30"/>
        <v>0</v>
      </c>
      <c r="D209" s="298">
        <f t="shared" si="29"/>
        <v>0</v>
      </c>
      <c r="E209" s="299">
        <f t="shared" si="31"/>
        <v>0</v>
      </c>
      <c r="F209" s="299">
        <f t="shared" si="24"/>
        <v>0</v>
      </c>
      <c r="G209" s="299">
        <f t="shared" si="26"/>
        <v>0</v>
      </c>
      <c r="H209" s="298">
        <f t="shared" si="27"/>
        <v>0</v>
      </c>
      <c r="I209" s="294"/>
      <c r="O209" s="295">
        <f t="shared" si="25"/>
        <v>190</v>
      </c>
    </row>
    <row r="210" spans="1:15">
      <c r="A210" s="286"/>
      <c r="B210" s="296">
        <f t="shared" si="28"/>
        <v>191</v>
      </c>
      <c r="C210" s="297">
        <f t="shared" si="30"/>
        <v>0</v>
      </c>
      <c r="D210" s="298">
        <f t="shared" si="29"/>
        <v>0</v>
      </c>
      <c r="E210" s="299">
        <f t="shared" si="31"/>
        <v>0</v>
      </c>
      <c r="F210" s="299">
        <f t="shared" si="24"/>
        <v>0</v>
      </c>
      <c r="G210" s="299">
        <f t="shared" si="26"/>
        <v>0</v>
      </c>
      <c r="H210" s="298">
        <f t="shared" si="27"/>
        <v>0</v>
      </c>
      <c r="I210" s="294"/>
      <c r="O210" s="295">
        <f t="shared" si="25"/>
        <v>191</v>
      </c>
    </row>
    <row r="211" spans="1:15">
      <c r="A211" s="286"/>
      <c r="B211" s="300">
        <f t="shared" si="28"/>
        <v>192</v>
      </c>
      <c r="C211" s="301">
        <f t="shared" si="30"/>
        <v>0</v>
      </c>
      <c r="D211" s="302">
        <f t="shared" si="29"/>
        <v>0</v>
      </c>
      <c r="E211" s="303">
        <f t="shared" si="31"/>
        <v>0</v>
      </c>
      <c r="F211" s="303">
        <f t="shared" si="24"/>
        <v>0</v>
      </c>
      <c r="G211" s="303">
        <f t="shared" si="26"/>
        <v>0</v>
      </c>
      <c r="H211" s="302">
        <f t="shared" si="27"/>
        <v>0</v>
      </c>
      <c r="I211" s="304" t="e">
        <f>H211/$D$5</f>
        <v>#VALUE!</v>
      </c>
      <c r="J211" s="305"/>
      <c r="K211" s="305"/>
      <c r="L211" s="305"/>
      <c r="M211" s="305"/>
      <c r="N211" s="305"/>
      <c r="O211" s="306">
        <f t="shared" si="25"/>
        <v>192</v>
      </c>
    </row>
    <row r="212" spans="1:15">
      <c r="A212" s="286"/>
      <c r="B212" s="296">
        <f t="shared" si="28"/>
        <v>193</v>
      </c>
      <c r="C212" s="297">
        <f t="shared" si="30"/>
        <v>0</v>
      </c>
      <c r="D212" s="298">
        <f t="shared" si="29"/>
        <v>0</v>
      </c>
      <c r="E212" s="299">
        <f t="shared" si="31"/>
        <v>0</v>
      </c>
      <c r="F212" s="299">
        <f t="shared" ref="F212:F271" si="32">E212-G212</f>
        <v>0</v>
      </c>
      <c r="G212" s="299">
        <f t="shared" si="26"/>
        <v>0</v>
      </c>
      <c r="H212" s="298">
        <f t="shared" si="27"/>
        <v>0</v>
      </c>
      <c r="I212" s="294"/>
      <c r="O212" s="295">
        <f t="shared" ref="O212:O275" si="33">IF(H212=0,B212,"n.a.")</f>
        <v>193</v>
      </c>
    </row>
    <row r="213" spans="1:15">
      <c r="A213" s="286"/>
      <c r="B213" s="296">
        <f t="shared" si="28"/>
        <v>194</v>
      </c>
      <c r="C213" s="297">
        <f t="shared" si="30"/>
        <v>0</v>
      </c>
      <c r="D213" s="298">
        <f t="shared" si="29"/>
        <v>0</v>
      </c>
      <c r="E213" s="299">
        <f t="shared" si="31"/>
        <v>0</v>
      </c>
      <c r="F213" s="299">
        <f t="shared" si="32"/>
        <v>0</v>
      </c>
      <c r="G213" s="299">
        <f t="shared" ref="G213:G276" si="34">C213*(D213/365)*30</f>
        <v>0</v>
      </c>
      <c r="H213" s="298">
        <f t="shared" ref="H213:H276" si="35">IF((D213+G213-E213)&lt;0,0,D213+G213-E213)</f>
        <v>0</v>
      </c>
      <c r="I213" s="294"/>
      <c r="O213" s="295">
        <f t="shared" si="33"/>
        <v>194</v>
      </c>
    </row>
    <row r="214" spans="1:15">
      <c r="A214" s="286"/>
      <c r="B214" s="296">
        <f t="shared" ref="B214:B277" si="36">B213+1</f>
        <v>195</v>
      </c>
      <c r="C214" s="297">
        <f t="shared" si="30"/>
        <v>0</v>
      </c>
      <c r="D214" s="298">
        <f t="shared" ref="D214:D277" si="37">H213</f>
        <v>0</v>
      </c>
      <c r="E214" s="299">
        <f t="shared" si="31"/>
        <v>0</v>
      </c>
      <c r="F214" s="299">
        <f t="shared" si="32"/>
        <v>0</v>
      </c>
      <c r="G214" s="299">
        <f t="shared" si="34"/>
        <v>0</v>
      </c>
      <c r="H214" s="298">
        <f t="shared" si="35"/>
        <v>0</v>
      </c>
      <c r="I214" s="294"/>
      <c r="O214" s="295">
        <f t="shared" si="33"/>
        <v>195</v>
      </c>
    </row>
    <row r="215" spans="1:15">
      <c r="A215" s="286"/>
      <c r="B215" s="296">
        <f t="shared" si="36"/>
        <v>196</v>
      </c>
      <c r="C215" s="297">
        <f t="shared" si="30"/>
        <v>0</v>
      </c>
      <c r="D215" s="298">
        <f t="shared" si="37"/>
        <v>0</v>
      </c>
      <c r="E215" s="299">
        <f t="shared" si="31"/>
        <v>0</v>
      </c>
      <c r="F215" s="299">
        <f t="shared" si="32"/>
        <v>0</v>
      </c>
      <c r="G215" s="299">
        <f t="shared" si="34"/>
        <v>0</v>
      </c>
      <c r="H215" s="298">
        <f t="shared" si="35"/>
        <v>0</v>
      </c>
      <c r="I215" s="294"/>
      <c r="O215" s="295">
        <f t="shared" si="33"/>
        <v>196</v>
      </c>
    </row>
    <row r="216" spans="1:15">
      <c r="A216" s="286"/>
      <c r="B216" s="296">
        <f t="shared" si="36"/>
        <v>197</v>
      </c>
      <c r="C216" s="297">
        <f t="shared" si="30"/>
        <v>0</v>
      </c>
      <c r="D216" s="298">
        <f t="shared" si="37"/>
        <v>0</v>
      </c>
      <c r="E216" s="299">
        <f t="shared" si="31"/>
        <v>0</v>
      </c>
      <c r="F216" s="299">
        <f t="shared" si="32"/>
        <v>0</v>
      </c>
      <c r="G216" s="299">
        <f t="shared" si="34"/>
        <v>0</v>
      </c>
      <c r="H216" s="298">
        <f t="shared" si="35"/>
        <v>0</v>
      </c>
      <c r="I216" s="294"/>
      <c r="O216" s="295">
        <f t="shared" si="33"/>
        <v>197</v>
      </c>
    </row>
    <row r="217" spans="1:15">
      <c r="A217" s="286"/>
      <c r="B217" s="296">
        <f t="shared" si="36"/>
        <v>198</v>
      </c>
      <c r="C217" s="297">
        <f t="shared" si="30"/>
        <v>0</v>
      </c>
      <c r="D217" s="298">
        <f t="shared" si="37"/>
        <v>0</v>
      </c>
      <c r="E217" s="299">
        <f t="shared" si="31"/>
        <v>0</v>
      </c>
      <c r="F217" s="299">
        <f t="shared" si="32"/>
        <v>0</v>
      </c>
      <c r="G217" s="299">
        <f t="shared" si="34"/>
        <v>0</v>
      </c>
      <c r="H217" s="298">
        <f t="shared" si="35"/>
        <v>0</v>
      </c>
      <c r="I217" s="294"/>
      <c r="O217" s="295">
        <f t="shared" si="33"/>
        <v>198</v>
      </c>
    </row>
    <row r="218" spans="1:15">
      <c r="A218" s="286"/>
      <c r="B218" s="296">
        <f t="shared" si="36"/>
        <v>199</v>
      </c>
      <c r="C218" s="297">
        <f t="shared" si="30"/>
        <v>0</v>
      </c>
      <c r="D218" s="298">
        <f t="shared" si="37"/>
        <v>0</v>
      </c>
      <c r="E218" s="299">
        <f t="shared" si="31"/>
        <v>0</v>
      </c>
      <c r="F218" s="299">
        <f t="shared" si="32"/>
        <v>0</v>
      </c>
      <c r="G218" s="299">
        <f t="shared" si="34"/>
        <v>0</v>
      </c>
      <c r="H218" s="298">
        <f t="shared" si="35"/>
        <v>0</v>
      </c>
      <c r="I218" s="294"/>
      <c r="O218" s="295">
        <f t="shared" si="33"/>
        <v>199</v>
      </c>
    </row>
    <row r="219" spans="1:15">
      <c r="A219" s="286"/>
      <c r="B219" s="296">
        <f t="shared" si="36"/>
        <v>200</v>
      </c>
      <c r="C219" s="297">
        <f t="shared" si="30"/>
        <v>0</v>
      </c>
      <c r="D219" s="298">
        <f t="shared" si="37"/>
        <v>0</v>
      </c>
      <c r="E219" s="299">
        <f t="shared" si="31"/>
        <v>0</v>
      </c>
      <c r="F219" s="299">
        <f t="shared" si="32"/>
        <v>0</v>
      </c>
      <c r="G219" s="299">
        <f t="shared" si="34"/>
        <v>0</v>
      </c>
      <c r="H219" s="298">
        <f t="shared" si="35"/>
        <v>0</v>
      </c>
      <c r="I219" s="294"/>
      <c r="O219" s="295">
        <f t="shared" si="33"/>
        <v>200</v>
      </c>
    </row>
    <row r="220" spans="1:15">
      <c r="A220" s="286"/>
      <c r="B220" s="296">
        <f t="shared" si="36"/>
        <v>201</v>
      </c>
      <c r="C220" s="297">
        <f t="shared" si="30"/>
        <v>0</v>
      </c>
      <c r="D220" s="298">
        <f t="shared" si="37"/>
        <v>0</v>
      </c>
      <c r="E220" s="299">
        <f t="shared" si="31"/>
        <v>0</v>
      </c>
      <c r="F220" s="299">
        <f t="shared" si="32"/>
        <v>0</v>
      </c>
      <c r="G220" s="299">
        <f t="shared" si="34"/>
        <v>0</v>
      </c>
      <c r="H220" s="298">
        <f t="shared" si="35"/>
        <v>0</v>
      </c>
      <c r="I220" s="294"/>
      <c r="O220" s="295">
        <f t="shared" si="33"/>
        <v>201</v>
      </c>
    </row>
    <row r="221" spans="1:15">
      <c r="A221" s="286"/>
      <c r="B221" s="296">
        <f t="shared" si="36"/>
        <v>202</v>
      </c>
      <c r="C221" s="297">
        <f t="shared" si="30"/>
        <v>0</v>
      </c>
      <c r="D221" s="298">
        <f t="shared" si="37"/>
        <v>0</v>
      </c>
      <c r="E221" s="299">
        <f t="shared" si="31"/>
        <v>0</v>
      </c>
      <c r="F221" s="299">
        <f t="shared" si="32"/>
        <v>0</v>
      </c>
      <c r="G221" s="299">
        <f t="shared" si="34"/>
        <v>0</v>
      </c>
      <c r="H221" s="298">
        <f t="shared" si="35"/>
        <v>0</v>
      </c>
      <c r="I221" s="294"/>
      <c r="O221" s="295">
        <f t="shared" si="33"/>
        <v>202</v>
      </c>
    </row>
    <row r="222" spans="1:15">
      <c r="A222" s="286"/>
      <c r="B222" s="296">
        <f t="shared" si="36"/>
        <v>203</v>
      </c>
      <c r="C222" s="297">
        <f t="shared" si="30"/>
        <v>0</v>
      </c>
      <c r="D222" s="298">
        <f t="shared" si="37"/>
        <v>0</v>
      </c>
      <c r="E222" s="299">
        <f t="shared" si="31"/>
        <v>0</v>
      </c>
      <c r="F222" s="299">
        <f t="shared" si="32"/>
        <v>0</v>
      </c>
      <c r="G222" s="299">
        <f t="shared" si="34"/>
        <v>0</v>
      </c>
      <c r="H222" s="298">
        <f t="shared" si="35"/>
        <v>0</v>
      </c>
      <c r="I222" s="294"/>
      <c r="O222" s="295">
        <f t="shared" si="33"/>
        <v>203</v>
      </c>
    </row>
    <row r="223" spans="1:15">
      <c r="A223" s="286"/>
      <c r="B223" s="300">
        <f t="shared" si="36"/>
        <v>204</v>
      </c>
      <c r="C223" s="301">
        <f t="shared" si="30"/>
        <v>0</v>
      </c>
      <c r="D223" s="302">
        <f t="shared" si="37"/>
        <v>0</v>
      </c>
      <c r="E223" s="303">
        <f t="shared" si="31"/>
        <v>0</v>
      </c>
      <c r="F223" s="303">
        <f t="shared" si="32"/>
        <v>0</v>
      </c>
      <c r="G223" s="303">
        <f t="shared" si="34"/>
        <v>0</v>
      </c>
      <c r="H223" s="302">
        <f t="shared" si="35"/>
        <v>0</v>
      </c>
      <c r="I223" s="304" t="e">
        <f>H223/$D$5</f>
        <v>#VALUE!</v>
      </c>
      <c r="J223" s="305"/>
      <c r="K223" s="305"/>
      <c r="L223" s="305"/>
      <c r="M223" s="305"/>
      <c r="N223" s="305"/>
      <c r="O223" s="306">
        <f t="shared" si="33"/>
        <v>204</v>
      </c>
    </row>
    <row r="224" spans="1:15">
      <c r="A224" s="286"/>
      <c r="B224" s="296">
        <f t="shared" si="36"/>
        <v>205</v>
      </c>
      <c r="C224" s="297">
        <f t="shared" si="30"/>
        <v>0</v>
      </c>
      <c r="D224" s="298">
        <f t="shared" si="37"/>
        <v>0</v>
      </c>
      <c r="E224" s="299">
        <f t="shared" si="31"/>
        <v>0</v>
      </c>
      <c r="F224" s="299">
        <f t="shared" si="32"/>
        <v>0</v>
      </c>
      <c r="G224" s="299">
        <f t="shared" si="34"/>
        <v>0</v>
      </c>
      <c r="H224" s="298">
        <f t="shared" si="35"/>
        <v>0</v>
      </c>
      <c r="I224" s="294"/>
      <c r="O224" s="295">
        <f t="shared" si="33"/>
        <v>205</v>
      </c>
    </row>
    <row r="225" spans="1:15">
      <c r="A225" s="286"/>
      <c r="B225" s="296">
        <f t="shared" si="36"/>
        <v>206</v>
      </c>
      <c r="C225" s="297">
        <f t="shared" si="30"/>
        <v>0</v>
      </c>
      <c r="D225" s="298">
        <f t="shared" si="37"/>
        <v>0</v>
      </c>
      <c r="E225" s="299">
        <f t="shared" si="31"/>
        <v>0</v>
      </c>
      <c r="F225" s="299">
        <f t="shared" si="32"/>
        <v>0</v>
      </c>
      <c r="G225" s="299">
        <f t="shared" si="34"/>
        <v>0</v>
      </c>
      <c r="H225" s="298">
        <f t="shared" si="35"/>
        <v>0</v>
      </c>
      <c r="I225" s="294"/>
      <c r="O225" s="295">
        <f t="shared" si="33"/>
        <v>206</v>
      </c>
    </row>
    <row r="226" spans="1:15">
      <c r="A226" s="286"/>
      <c r="B226" s="296">
        <f t="shared" si="36"/>
        <v>207</v>
      </c>
      <c r="C226" s="297">
        <f t="shared" si="30"/>
        <v>0</v>
      </c>
      <c r="D226" s="298">
        <f t="shared" si="37"/>
        <v>0</v>
      </c>
      <c r="E226" s="299">
        <f t="shared" si="31"/>
        <v>0</v>
      </c>
      <c r="F226" s="299">
        <f t="shared" si="32"/>
        <v>0</v>
      </c>
      <c r="G226" s="299">
        <f t="shared" si="34"/>
        <v>0</v>
      </c>
      <c r="H226" s="298">
        <f t="shared" si="35"/>
        <v>0</v>
      </c>
      <c r="I226" s="294"/>
      <c r="O226" s="295">
        <f t="shared" si="33"/>
        <v>207</v>
      </c>
    </row>
    <row r="227" spans="1:15">
      <c r="A227" s="286"/>
      <c r="B227" s="296">
        <f t="shared" si="36"/>
        <v>208</v>
      </c>
      <c r="C227" s="297">
        <f t="shared" si="30"/>
        <v>0</v>
      </c>
      <c r="D227" s="298">
        <f t="shared" si="37"/>
        <v>0</v>
      </c>
      <c r="E227" s="299">
        <f t="shared" si="31"/>
        <v>0</v>
      </c>
      <c r="F227" s="299">
        <f t="shared" si="32"/>
        <v>0</v>
      </c>
      <c r="G227" s="299">
        <f t="shared" si="34"/>
        <v>0</v>
      </c>
      <c r="H227" s="298">
        <f t="shared" si="35"/>
        <v>0</v>
      </c>
      <c r="I227" s="294"/>
      <c r="O227" s="295">
        <f t="shared" si="33"/>
        <v>208</v>
      </c>
    </row>
    <row r="228" spans="1:15">
      <c r="A228" s="286"/>
      <c r="B228" s="296">
        <f t="shared" si="36"/>
        <v>209</v>
      </c>
      <c r="C228" s="297">
        <f t="shared" si="30"/>
        <v>0</v>
      </c>
      <c r="D228" s="298">
        <f t="shared" si="37"/>
        <v>0</v>
      </c>
      <c r="E228" s="299">
        <f t="shared" si="31"/>
        <v>0</v>
      </c>
      <c r="F228" s="299">
        <f t="shared" si="32"/>
        <v>0</v>
      </c>
      <c r="G228" s="299">
        <f t="shared" si="34"/>
        <v>0</v>
      </c>
      <c r="H228" s="298">
        <f t="shared" si="35"/>
        <v>0</v>
      </c>
      <c r="I228" s="294"/>
      <c r="O228" s="295">
        <f t="shared" si="33"/>
        <v>209</v>
      </c>
    </row>
    <row r="229" spans="1:15">
      <c r="A229" s="286"/>
      <c r="B229" s="296">
        <f t="shared" si="36"/>
        <v>210</v>
      </c>
      <c r="C229" s="297">
        <f t="shared" si="30"/>
        <v>0</v>
      </c>
      <c r="D229" s="298">
        <f t="shared" si="37"/>
        <v>0</v>
      </c>
      <c r="E229" s="299">
        <f t="shared" si="31"/>
        <v>0</v>
      </c>
      <c r="F229" s="299">
        <f t="shared" si="32"/>
        <v>0</v>
      </c>
      <c r="G229" s="299">
        <f t="shared" si="34"/>
        <v>0</v>
      </c>
      <c r="H229" s="298">
        <f t="shared" si="35"/>
        <v>0</v>
      </c>
      <c r="I229" s="294"/>
      <c r="O229" s="295">
        <f t="shared" si="33"/>
        <v>210</v>
      </c>
    </row>
    <row r="230" spans="1:15">
      <c r="A230" s="286"/>
      <c r="B230" s="296">
        <f t="shared" si="36"/>
        <v>211</v>
      </c>
      <c r="C230" s="297">
        <f t="shared" si="30"/>
        <v>0</v>
      </c>
      <c r="D230" s="298">
        <f t="shared" si="37"/>
        <v>0</v>
      </c>
      <c r="E230" s="299">
        <f t="shared" si="31"/>
        <v>0</v>
      </c>
      <c r="F230" s="299">
        <f t="shared" si="32"/>
        <v>0</v>
      </c>
      <c r="G230" s="299">
        <f t="shared" si="34"/>
        <v>0</v>
      </c>
      <c r="H230" s="298">
        <f t="shared" si="35"/>
        <v>0</v>
      </c>
      <c r="I230" s="294"/>
      <c r="O230" s="295">
        <f t="shared" si="33"/>
        <v>211</v>
      </c>
    </row>
    <row r="231" spans="1:15">
      <c r="A231" s="286"/>
      <c r="B231" s="296">
        <f t="shared" si="36"/>
        <v>212</v>
      </c>
      <c r="C231" s="297">
        <f t="shared" si="30"/>
        <v>0</v>
      </c>
      <c r="D231" s="298">
        <f t="shared" si="37"/>
        <v>0</v>
      </c>
      <c r="E231" s="299">
        <f t="shared" si="31"/>
        <v>0</v>
      </c>
      <c r="F231" s="299">
        <f t="shared" si="32"/>
        <v>0</v>
      </c>
      <c r="G231" s="299">
        <f t="shared" si="34"/>
        <v>0</v>
      </c>
      <c r="H231" s="298">
        <f t="shared" si="35"/>
        <v>0</v>
      </c>
      <c r="I231" s="294"/>
      <c r="O231" s="295">
        <f t="shared" si="33"/>
        <v>212</v>
      </c>
    </row>
    <row r="232" spans="1:15">
      <c r="A232" s="286"/>
      <c r="B232" s="296">
        <f t="shared" si="36"/>
        <v>213</v>
      </c>
      <c r="C232" s="297">
        <f t="shared" si="30"/>
        <v>0</v>
      </c>
      <c r="D232" s="298">
        <f t="shared" si="37"/>
        <v>0</v>
      </c>
      <c r="E232" s="299">
        <f t="shared" si="31"/>
        <v>0</v>
      </c>
      <c r="F232" s="299">
        <f t="shared" si="32"/>
        <v>0</v>
      </c>
      <c r="G232" s="299">
        <f t="shared" si="34"/>
        <v>0</v>
      </c>
      <c r="H232" s="298">
        <f t="shared" si="35"/>
        <v>0</v>
      </c>
      <c r="I232" s="294"/>
      <c r="O232" s="295">
        <f t="shared" si="33"/>
        <v>213</v>
      </c>
    </row>
    <row r="233" spans="1:15">
      <c r="A233" s="286"/>
      <c r="B233" s="296">
        <f t="shared" si="36"/>
        <v>214</v>
      </c>
      <c r="C233" s="297">
        <f t="shared" si="30"/>
        <v>0</v>
      </c>
      <c r="D233" s="298">
        <f t="shared" si="37"/>
        <v>0</v>
      </c>
      <c r="E233" s="299">
        <f t="shared" si="31"/>
        <v>0</v>
      </c>
      <c r="F233" s="299">
        <f t="shared" si="32"/>
        <v>0</v>
      </c>
      <c r="G233" s="299">
        <f t="shared" si="34"/>
        <v>0</v>
      </c>
      <c r="H233" s="298">
        <f t="shared" si="35"/>
        <v>0</v>
      </c>
      <c r="I233" s="294"/>
      <c r="O233" s="295">
        <f t="shared" si="33"/>
        <v>214</v>
      </c>
    </row>
    <row r="234" spans="1:15">
      <c r="A234" s="286"/>
      <c r="B234" s="296">
        <f t="shared" si="36"/>
        <v>215</v>
      </c>
      <c r="C234" s="297">
        <f t="shared" si="30"/>
        <v>0</v>
      </c>
      <c r="D234" s="298">
        <f t="shared" si="37"/>
        <v>0</v>
      </c>
      <c r="E234" s="299">
        <f t="shared" si="31"/>
        <v>0</v>
      </c>
      <c r="F234" s="299">
        <f t="shared" si="32"/>
        <v>0</v>
      </c>
      <c r="G234" s="299">
        <f t="shared" si="34"/>
        <v>0</v>
      </c>
      <c r="H234" s="298">
        <f t="shared" si="35"/>
        <v>0</v>
      </c>
      <c r="I234" s="294"/>
      <c r="O234" s="295">
        <f t="shared" si="33"/>
        <v>215</v>
      </c>
    </row>
    <row r="235" spans="1:15">
      <c r="A235" s="286"/>
      <c r="B235" s="300">
        <f t="shared" si="36"/>
        <v>216</v>
      </c>
      <c r="C235" s="301">
        <f t="shared" si="30"/>
        <v>0</v>
      </c>
      <c r="D235" s="302">
        <f t="shared" si="37"/>
        <v>0</v>
      </c>
      <c r="E235" s="303">
        <f t="shared" si="31"/>
        <v>0</v>
      </c>
      <c r="F235" s="303">
        <f t="shared" si="32"/>
        <v>0</v>
      </c>
      <c r="G235" s="303">
        <f t="shared" si="34"/>
        <v>0</v>
      </c>
      <c r="H235" s="302">
        <f t="shared" si="35"/>
        <v>0</v>
      </c>
      <c r="I235" s="304" t="e">
        <f>H235/$D$5</f>
        <v>#VALUE!</v>
      </c>
      <c r="J235" s="305"/>
      <c r="K235" s="305"/>
      <c r="L235" s="305"/>
      <c r="M235" s="305"/>
      <c r="N235" s="305"/>
      <c r="O235" s="306">
        <f t="shared" si="33"/>
        <v>216</v>
      </c>
    </row>
    <row r="236" spans="1:15">
      <c r="A236" s="286"/>
      <c r="B236" s="296">
        <f t="shared" si="36"/>
        <v>217</v>
      </c>
      <c r="C236" s="297">
        <f t="shared" si="30"/>
        <v>0</v>
      </c>
      <c r="D236" s="298">
        <f t="shared" si="37"/>
        <v>0</v>
      </c>
      <c r="E236" s="299">
        <f t="shared" si="31"/>
        <v>0</v>
      </c>
      <c r="F236" s="299">
        <f t="shared" si="32"/>
        <v>0</v>
      </c>
      <c r="G236" s="299">
        <f t="shared" si="34"/>
        <v>0</v>
      </c>
      <c r="H236" s="298">
        <f t="shared" si="35"/>
        <v>0</v>
      </c>
      <c r="I236" s="294"/>
      <c r="O236" s="295">
        <f t="shared" si="33"/>
        <v>217</v>
      </c>
    </row>
    <row r="237" spans="1:15">
      <c r="A237" s="286"/>
      <c r="B237" s="296">
        <f t="shared" si="36"/>
        <v>218</v>
      </c>
      <c r="C237" s="297">
        <f t="shared" si="30"/>
        <v>0</v>
      </c>
      <c r="D237" s="298">
        <f t="shared" si="37"/>
        <v>0</v>
      </c>
      <c r="E237" s="299">
        <f t="shared" si="31"/>
        <v>0</v>
      </c>
      <c r="F237" s="299">
        <f t="shared" si="32"/>
        <v>0</v>
      </c>
      <c r="G237" s="299">
        <f t="shared" si="34"/>
        <v>0</v>
      </c>
      <c r="H237" s="298">
        <f t="shared" si="35"/>
        <v>0</v>
      </c>
      <c r="I237" s="294"/>
      <c r="O237" s="295">
        <f t="shared" si="33"/>
        <v>218</v>
      </c>
    </row>
    <row r="238" spans="1:15">
      <c r="A238" s="286"/>
      <c r="B238" s="296">
        <f t="shared" si="36"/>
        <v>219</v>
      </c>
      <c r="C238" s="297">
        <f t="shared" si="30"/>
        <v>0</v>
      </c>
      <c r="D238" s="298">
        <f t="shared" si="37"/>
        <v>0</v>
      </c>
      <c r="E238" s="299">
        <f t="shared" si="31"/>
        <v>0</v>
      </c>
      <c r="F238" s="299">
        <f t="shared" si="32"/>
        <v>0</v>
      </c>
      <c r="G238" s="299">
        <f t="shared" si="34"/>
        <v>0</v>
      </c>
      <c r="H238" s="298">
        <f t="shared" si="35"/>
        <v>0</v>
      </c>
      <c r="I238" s="294"/>
      <c r="O238" s="295">
        <f t="shared" si="33"/>
        <v>219</v>
      </c>
    </row>
    <row r="239" spans="1:15">
      <c r="A239" s="286"/>
      <c r="B239" s="296">
        <f t="shared" si="36"/>
        <v>220</v>
      </c>
      <c r="C239" s="297">
        <f t="shared" si="30"/>
        <v>0</v>
      </c>
      <c r="D239" s="298">
        <f t="shared" si="37"/>
        <v>0</v>
      </c>
      <c r="E239" s="299">
        <f t="shared" si="31"/>
        <v>0</v>
      </c>
      <c r="F239" s="299">
        <f t="shared" si="32"/>
        <v>0</v>
      </c>
      <c r="G239" s="299">
        <f t="shared" si="34"/>
        <v>0</v>
      </c>
      <c r="H239" s="298">
        <f t="shared" si="35"/>
        <v>0</v>
      </c>
      <c r="I239" s="294"/>
      <c r="O239" s="295">
        <f t="shared" si="33"/>
        <v>220</v>
      </c>
    </row>
    <row r="240" spans="1:15">
      <c r="A240" s="286"/>
      <c r="B240" s="296">
        <f t="shared" si="36"/>
        <v>221</v>
      </c>
      <c r="C240" s="297">
        <f t="shared" si="30"/>
        <v>0</v>
      </c>
      <c r="D240" s="298">
        <f t="shared" si="37"/>
        <v>0</v>
      </c>
      <c r="E240" s="299">
        <f t="shared" si="31"/>
        <v>0</v>
      </c>
      <c r="F240" s="299">
        <f t="shared" si="32"/>
        <v>0</v>
      </c>
      <c r="G240" s="299">
        <f t="shared" si="34"/>
        <v>0</v>
      </c>
      <c r="H240" s="298">
        <f t="shared" si="35"/>
        <v>0</v>
      </c>
      <c r="I240" s="294"/>
      <c r="O240" s="295">
        <f t="shared" si="33"/>
        <v>221</v>
      </c>
    </row>
    <row r="241" spans="1:15">
      <c r="A241" s="286"/>
      <c r="B241" s="296">
        <f t="shared" si="36"/>
        <v>222</v>
      </c>
      <c r="C241" s="297">
        <f t="shared" si="30"/>
        <v>0</v>
      </c>
      <c r="D241" s="298">
        <f t="shared" si="37"/>
        <v>0</v>
      </c>
      <c r="E241" s="299">
        <f t="shared" si="31"/>
        <v>0</v>
      </c>
      <c r="F241" s="299">
        <f t="shared" si="32"/>
        <v>0</v>
      </c>
      <c r="G241" s="299">
        <f t="shared" si="34"/>
        <v>0</v>
      </c>
      <c r="H241" s="298">
        <f t="shared" si="35"/>
        <v>0</v>
      </c>
      <c r="I241" s="294"/>
      <c r="O241" s="295">
        <f t="shared" si="33"/>
        <v>222</v>
      </c>
    </row>
    <row r="242" spans="1:15">
      <c r="A242" s="286"/>
      <c r="B242" s="296">
        <f t="shared" si="36"/>
        <v>223</v>
      </c>
      <c r="C242" s="297">
        <f t="shared" si="30"/>
        <v>0</v>
      </c>
      <c r="D242" s="298">
        <f t="shared" si="37"/>
        <v>0</v>
      </c>
      <c r="E242" s="299">
        <f t="shared" si="31"/>
        <v>0</v>
      </c>
      <c r="F242" s="299">
        <f t="shared" si="32"/>
        <v>0</v>
      </c>
      <c r="G242" s="299">
        <f t="shared" si="34"/>
        <v>0</v>
      </c>
      <c r="H242" s="298">
        <f t="shared" si="35"/>
        <v>0</v>
      </c>
      <c r="I242" s="294"/>
      <c r="O242" s="295">
        <f t="shared" si="33"/>
        <v>223</v>
      </c>
    </row>
    <row r="243" spans="1:15">
      <c r="A243" s="286"/>
      <c r="B243" s="296">
        <f t="shared" si="36"/>
        <v>224</v>
      </c>
      <c r="C243" s="297">
        <f t="shared" si="30"/>
        <v>0</v>
      </c>
      <c r="D243" s="298">
        <f t="shared" si="37"/>
        <v>0</v>
      </c>
      <c r="E243" s="299">
        <f t="shared" si="31"/>
        <v>0</v>
      </c>
      <c r="F243" s="299">
        <f t="shared" si="32"/>
        <v>0</v>
      </c>
      <c r="G243" s="299">
        <f t="shared" si="34"/>
        <v>0</v>
      </c>
      <c r="H243" s="298">
        <f t="shared" si="35"/>
        <v>0</v>
      </c>
      <c r="I243" s="294"/>
      <c r="O243" s="295">
        <f t="shared" si="33"/>
        <v>224</v>
      </c>
    </row>
    <row r="244" spans="1:15">
      <c r="A244" s="286"/>
      <c r="B244" s="296">
        <f t="shared" si="36"/>
        <v>225</v>
      </c>
      <c r="C244" s="297">
        <f t="shared" si="30"/>
        <v>0</v>
      </c>
      <c r="D244" s="298">
        <f t="shared" si="37"/>
        <v>0</v>
      </c>
      <c r="E244" s="299">
        <f t="shared" si="31"/>
        <v>0</v>
      </c>
      <c r="F244" s="299">
        <f t="shared" si="32"/>
        <v>0</v>
      </c>
      <c r="G244" s="299">
        <f t="shared" si="34"/>
        <v>0</v>
      </c>
      <c r="H244" s="298">
        <f t="shared" si="35"/>
        <v>0</v>
      </c>
      <c r="I244" s="294"/>
      <c r="O244" s="295">
        <f t="shared" si="33"/>
        <v>225</v>
      </c>
    </row>
    <row r="245" spans="1:15">
      <c r="A245" s="286"/>
      <c r="B245" s="296">
        <f t="shared" si="36"/>
        <v>226</v>
      </c>
      <c r="C245" s="297">
        <f t="shared" si="30"/>
        <v>0</v>
      </c>
      <c r="D245" s="298">
        <f t="shared" si="37"/>
        <v>0</v>
      </c>
      <c r="E245" s="299">
        <f t="shared" si="31"/>
        <v>0</v>
      </c>
      <c r="F245" s="299">
        <f t="shared" si="32"/>
        <v>0</v>
      </c>
      <c r="G245" s="299">
        <f t="shared" si="34"/>
        <v>0</v>
      </c>
      <c r="H245" s="298">
        <f t="shared" si="35"/>
        <v>0</v>
      </c>
      <c r="I245" s="294"/>
      <c r="O245" s="295">
        <f t="shared" si="33"/>
        <v>226</v>
      </c>
    </row>
    <row r="246" spans="1:15">
      <c r="A246" s="286"/>
      <c r="B246" s="296">
        <f t="shared" si="36"/>
        <v>227</v>
      </c>
      <c r="C246" s="297">
        <f t="shared" si="30"/>
        <v>0</v>
      </c>
      <c r="D246" s="298">
        <f t="shared" si="37"/>
        <v>0</v>
      </c>
      <c r="E246" s="299">
        <f t="shared" si="31"/>
        <v>0</v>
      </c>
      <c r="F246" s="299">
        <f t="shared" si="32"/>
        <v>0</v>
      </c>
      <c r="G246" s="299">
        <f t="shared" si="34"/>
        <v>0</v>
      </c>
      <c r="H246" s="298">
        <f t="shared" si="35"/>
        <v>0</v>
      </c>
      <c r="I246" s="294"/>
      <c r="O246" s="295">
        <f t="shared" si="33"/>
        <v>227</v>
      </c>
    </row>
    <row r="247" spans="1:15">
      <c r="A247" s="286"/>
      <c r="B247" s="300">
        <f t="shared" si="36"/>
        <v>228</v>
      </c>
      <c r="C247" s="301">
        <f t="shared" si="30"/>
        <v>0</v>
      </c>
      <c r="D247" s="302">
        <f t="shared" si="37"/>
        <v>0</v>
      </c>
      <c r="E247" s="303">
        <f t="shared" si="31"/>
        <v>0</v>
      </c>
      <c r="F247" s="303">
        <f t="shared" si="32"/>
        <v>0</v>
      </c>
      <c r="G247" s="303">
        <f t="shared" si="34"/>
        <v>0</v>
      </c>
      <c r="H247" s="302">
        <f t="shared" si="35"/>
        <v>0</v>
      </c>
      <c r="I247" s="304" t="e">
        <f>H247/$D$5</f>
        <v>#VALUE!</v>
      </c>
      <c r="J247" s="305"/>
      <c r="K247" s="305"/>
      <c r="L247" s="305"/>
      <c r="M247" s="305"/>
      <c r="N247" s="305"/>
      <c r="O247" s="306">
        <f t="shared" si="33"/>
        <v>228</v>
      </c>
    </row>
    <row r="248" spans="1:15">
      <c r="A248" s="286"/>
      <c r="B248" s="296">
        <f t="shared" si="36"/>
        <v>229</v>
      </c>
      <c r="C248" s="297">
        <f t="shared" ref="C248:C311" si="38">IF(D248&gt;0,$F$7,0)</f>
        <v>0</v>
      </c>
      <c r="D248" s="298">
        <f t="shared" si="37"/>
        <v>0</v>
      </c>
      <c r="E248" s="299">
        <f t="shared" si="31"/>
        <v>0</v>
      </c>
      <c r="F248" s="299">
        <f t="shared" si="32"/>
        <v>0</v>
      </c>
      <c r="G248" s="299">
        <f t="shared" si="34"/>
        <v>0</v>
      </c>
      <c r="H248" s="298">
        <f t="shared" si="35"/>
        <v>0</v>
      </c>
      <c r="I248" s="294"/>
      <c r="O248" s="295">
        <f t="shared" si="33"/>
        <v>229</v>
      </c>
    </row>
    <row r="249" spans="1:15">
      <c r="A249" s="286"/>
      <c r="B249" s="296">
        <f t="shared" si="36"/>
        <v>230</v>
      </c>
      <c r="C249" s="297">
        <f t="shared" si="38"/>
        <v>0</v>
      </c>
      <c r="D249" s="298">
        <f t="shared" si="37"/>
        <v>0</v>
      </c>
      <c r="E249" s="299">
        <f t="shared" si="31"/>
        <v>0</v>
      </c>
      <c r="F249" s="299">
        <f t="shared" si="32"/>
        <v>0</v>
      </c>
      <c r="G249" s="299">
        <f t="shared" si="34"/>
        <v>0</v>
      </c>
      <c r="H249" s="298">
        <f t="shared" si="35"/>
        <v>0</v>
      </c>
      <c r="I249" s="294"/>
      <c r="O249" s="295">
        <f t="shared" si="33"/>
        <v>230</v>
      </c>
    </row>
    <row r="250" spans="1:15">
      <c r="A250" s="286"/>
      <c r="B250" s="296">
        <f t="shared" si="36"/>
        <v>231</v>
      </c>
      <c r="C250" s="297">
        <f t="shared" si="38"/>
        <v>0</v>
      </c>
      <c r="D250" s="298">
        <f t="shared" si="37"/>
        <v>0</v>
      </c>
      <c r="E250" s="299">
        <f t="shared" si="31"/>
        <v>0</v>
      </c>
      <c r="F250" s="299">
        <f t="shared" si="32"/>
        <v>0</v>
      </c>
      <c r="G250" s="299">
        <f t="shared" si="34"/>
        <v>0</v>
      </c>
      <c r="H250" s="298">
        <f t="shared" si="35"/>
        <v>0</v>
      </c>
      <c r="I250" s="294"/>
      <c r="O250" s="295">
        <f t="shared" si="33"/>
        <v>231</v>
      </c>
    </row>
    <row r="251" spans="1:15">
      <c r="A251" s="286"/>
      <c r="B251" s="296">
        <f t="shared" si="36"/>
        <v>232</v>
      </c>
      <c r="C251" s="297">
        <f t="shared" si="38"/>
        <v>0</v>
      </c>
      <c r="D251" s="298">
        <f t="shared" si="37"/>
        <v>0</v>
      </c>
      <c r="E251" s="299">
        <f t="shared" si="31"/>
        <v>0</v>
      </c>
      <c r="F251" s="299">
        <f t="shared" si="32"/>
        <v>0</v>
      </c>
      <c r="G251" s="299">
        <f t="shared" si="34"/>
        <v>0</v>
      </c>
      <c r="H251" s="298">
        <f t="shared" si="35"/>
        <v>0</v>
      </c>
      <c r="I251" s="294"/>
      <c r="O251" s="295">
        <f t="shared" si="33"/>
        <v>232</v>
      </c>
    </row>
    <row r="252" spans="1:15">
      <c r="A252" s="286"/>
      <c r="B252" s="296">
        <f t="shared" si="36"/>
        <v>233</v>
      </c>
      <c r="C252" s="297">
        <f t="shared" si="38"/>
        <v>0</v>
      </c>
      <c r="D252" s="298">
        <f t="shared" si="37"/>
        <v>0</v>
      </c>
      <c r="E252" s="299">
        <f t="shared" si="31"/>
        <v>0</v>
      </c>
      <c r="F252" s="299">
        <f t="shared" si="32"/>
        <v>0</v>
      </c>
      <c r="G252" s="299">
        <f t="shared" si="34"/>
        <v>0</v>
      </c>
      <c r="H252" s="298">
        <f t="shared" si="35"/>
        <v>0</v>
      </c>
      <c r="I252" s="294"/>
      <c r="O252" s="295">
        <f t="shared" si="33"/>
        <v>233</v>
      </c>
    </row>
    <row r="253" spans="1:15">
      <c r="A253" s="286"/>
      <c r="B253" s="296">
        <f t="shared" si="36"/>
        <v>234</v>
      </c>
      <c r="C253" s="297">
        <f t="shared" si="38"/>
        <v>0</v>
      </c>
      <c r="D253" s="298">
        <f t="shared" si="37"/>
        <v>0</v>
      </c>
      <c r="E253" s="299">
        <f t="shared" si="31"/>
        <v>0</v>
      </c>
      <c r="F253" s="299">
        <f t="shared" si="32"/>
        <v>0</v>
      </c>
      <c r="G253" s="299">
        <f t="shared" si="34"/>
        <v>0</v>
      </c>
      <c r="H253" s="298">
        <f t="shared" si="35"/>
        <v>0</v>
      </c>
      <c r="I253" s="294"/>
      <c r="O253" s="295">
        <f t="shared" si="33"/>
        <v>234</v>
      </c>
    </row>
    <row r="254" spans="1:15">
      <c r="A254" s="286"/>
      <c r="B254" s="296">
        <f t="shared" si="36"/>
        <v>235</v>
      </c>
      <c r="C254" s="297">
        <f t="shared" si="38"/>
        <v>0</v>
      </c>
      <c r="D254" s="298">
        <f t="shared" si="37"/>
        <v>0</v>
      </c>
      <c r="E254" s="299">
        <f t="shared" si="31"/>
        <v>0</v>
      </c>
      <c r="F254" s="299">
        <f t="shared" si="32"/>
        <v>0</v>
      </c>
      <c r="G254" s="299">
        <f t="shared" si="34"/>
        <v>0</v>
      </c>
      <c r="H254" s="298">
        <f t="shared" si="35"/>
        <v>0</v>
      </c>
      <c r="I254" s="294"/>
      <c r="O254" s="295">
        <f t="shared" si="33"/>
        <v>235</v>
      </c>
    </row>
    <row r="255" spans="1:15">
      <c r="A255" s="286"/>
      <c r="B255" s="296">
        <f t="shared" si="36"/>
        <v>236</v>
      </c>
      <c r="C255" s="297">
        <f t="shared" si="38"/>
        <v>0</v>
      </c>
      <c r="D255" s="298">
        <f t="shared" si="37"/>
        <v>0</v>
      </c>
      <c r="E255" s="299">
        <f t="shared" si="31"/>
        <v>0</v>
      </c>
      <c r="F255" s="299">
        <f t="shared" si="32"/>
        <v>0</v>
      </c>
      <c r="G255" s="299">
        <f t="shared" si="34"/>
        <v>0</v>
      </c>
      <c r="H255" s="298">
        <f t="shared" si="35"/>
        <v>0</v>
      </c>
      <c r="I255" s="294"/>
      <c r="O255" s="295">
        <f t="shared" si="33"/>
        <v>236</v>
      </c>
    </row>
    <row r="256" spans="1:15">
      <c r="A256" s="286"/>
      <c r="B256" s="296">
        <f t="shared" si="36"/>
        <v>237</v>
      </c>
      <c r="C256" s="297">
        <f t="shared" si="38"/>
        <v>0</v>
      </c>
      <c r="D256" s="298">
        <f t="shared" si="37"/>
        <v>0</v>
      </c>
      <c r="E256" s="299">
        <f t="shared" si="31"/>
        <v>0</v>
      </c>
      <c r="F256" s="299">
        <f t="shared" si="32"/>
        <v>0</v>
      </c>
      <c r="G256" s="299">
        <f t="shared" si="34"/>
        <v>0</v>
      </c>
      <c r="H256" s="298">
        <f t="shared" si="35"/>
        <v>0</v>
      </c>
      <c r="I256" s="294"/>
      <c r="O256" s="295">
        <f t="shared" si="33"/>
        <v>237</v>
      </c>
    </row>
    <row r="257" spans="1:15">
      <c r="A257" s="286"/>
      <c r="B257" s="296">
        <f t="shared" si="36"/>
        <v>238</v>
      </c>
      <c r="C257" s="297">
        <f t="shared" si="38"/>
        <v>0</v>
      </c>
      <c r="D257" s="298">
        <f t="shared" si="37"/>
        <v>0</v>
      </c>
      <c r="E257" s="299">
        <f t="shared" si="31"/>
        <v>0</v>
      </c>
      <c r="F257" s="299">
        <f t="shared" si="32"/>
        <v>0</v>
      </c>
      <c r="G257" s="299">
        <f t="shared" si="34"/>
        <v>0</v>
      </c>
      <c r="H257" s="298">
        <f t="shared" si="35"/>
        <v>0</v>
      </c>
      <c r="I257" s="294"/>
      <c r="O257" s="295">
        <f t="shared" si="33"/>
        <v>238</v>
      </c>
    </row>
    <row r="258" spans="1:15">
      <c r="A258" s="286"/>
      <c r="B258" s="296">
        <f t="shared" si="36"/>
        <v>239</v>
      </c>
      <c r="C258" s="297">
        <f t="shared" si="38"/>
        <v>0</v>
      </c>
      <c r="D258" s="298">
        <f t="shared" si="37"/>
        <v>0</v>
      </c>
      <c r="E258" s="299">
        <f t="shared" si="31"/>
        <v>0</v>
      </c>
      <c r="F258" s="299">
        <f t="shared" si="32"/>
        <v>0</v>
      </c>
      <c r="G258" s="299">
        <f t="shared" si="34"/>
        <v>0</v>
      </c>
      <c r="H258" s="298">
        <f t="shared" si="35"/>
        <v>0</v>
      </c>
      <c r="I258" s="294"/>
      <c r="O258" s="295">
        <f t="shared" si="33"/>
        <v>239</v>
      </c>
    </row>
    <row r="259" spans="1:15">
      <c r="A259" s="286"/>
      <c r="B259" s="300">
        <f t="shared" si="36"/>
        <v>240</v>
      </c>
      <c r="C259" s="301">
        <f t="shared" si="38"/>
        <v>0</v>
      </c>
      <c r="D259" s="302">
        <f t="shared" si="37"/>
        <v>0</v>
      </c>
      <c r="E259" s="303">
        <f t="shared" si="31"/>
        <v>0</v>
      </c>
      <c r="F259" s="303">
        <f t="shared" si="32"/>
        <v>0</v>
      </c>
      <c r="G259" s="303">
        <f t="shared" si="34"/>
        <v>0</v>
      </c>
      <c r="H259" s="302">
        <f t="shared" si="35"/>
        <v>0</v>
      </c>
      <c r="I259" s="304" t="e">
        <f>H259/$D$5</f>
        <v>#VALUE!</v>
      </c>
      <c r="J259" s="305"/>
      <c r="K259" s="305"/>
      <c r="L259" s="305"/>
      <c r="M259" s="305"/>
      <c r="N259" s="305"/>
      <c r="O259" s="306">
        <f t="shared" si="33"/>
        <v>240</v>
      </c>
    </row>
    <row r="260" spans="1:15">
      <c r="A260" s="286"/>
      <c r="B260" s="296">
        <f t="shared" si="36"/>
        <v>241</v>
      </c>
      <c r="C260" s="297">
        <f t="shared" si="38"/>
        <v>0</v>
      </c>
      <c r="D260" s="298">
        <f t="shared" si="37"/>
        <v>0</v>
      </c>
      <c r="E260" s="299">
        <f t="shared" ref="E260:E271" si="39">IF(H259&lt;=E259,H259+G260,$H$10)</f>
        <v>0</v>
      </c>
      <c r="F260" s="299">
        <f t="shared" si="32"/>
        <v>0</v>
      </c>
      <c r="G260" s="299">
        <f t="shared" si="34"/>
        <v>0</v>
      </c>
      <c r="H260" s="298">
        <f t="shared" si="35"/>
        <v>0</v>
      </c>
      <c r="I260" s="294"/>
      <c r="O260" s="295">
        <f t="shared" si="33"/>
        <v>241</v>
      </c>
    </row>
    <row r="261" spans="1:15">
      <c r="A261" s="286"/>
      <c r="B261" s="296">
        <f t="shared" si="36"/>
        <v>242</v>
      </c>
      <c r="C261" s="297">
        <f t="shared" si="38"/>
        <v>0</v>
      </c>
      <c r="D261" s="298">
        <f t="shared" si="37"/>
        <v>0</v>
      </c>
      <c r="E261" s="299">
        <f t="shared" si="39"/>
        <v>0</v>
      </c>
      <c r="F261" s="299">
        <f t="shared" si="32"/>
        <v>0</v>
      </c>
      <c r="G261" s="299">
        <f t="shared" si="34"/>
        <v>0</v>
      </c>
      <c r="H261" s="298">
        <f t="shared" si="35"/>
        <v>0</v>
      </c>
      <c r="I261" s="294"/>
      <c r="O261" s="295">
        <f t="shared" si="33"/>
        <v>242</v>
      </c>
    </row>
    <row r="262" spans="1:15">
      <c r="A262" s="286"/>
      <c r="B262" s="296">
        <f t="shared" si="36"/>
        <v>243</v>
      </c>
      <c r="C262" s="297">
        <f t="shared" si="38"/>
        <v>0</v>
      </c>
      <c r="D262" s="298">
        <f t="shared" si="37"/>
        <v>0</v>
      </c>
      <c r="E262" s="299">
        <f t="shared" si="39"/>
        <v>0</v>
      </c>
      <c r="F262" s="299">
        <f t="shared" si="32"/>
        <v>0</v>
      </c>
      <c r="G262" s="299">
        <f t="shared" si="34"/>
        <v>0</v>
      </c>
      <c r="H262" s="298">
        <f t="shared" si="35"/>
        <v>0</v>
      </c>
      <c r="I262" s="294"/>
      <c r="O262" s="295">
        <f t="shared" si="33"/>
        <v>243</v>
      </c>
    </row>
    <row r="263" spans="1:15">
      <c r="A263" s="286"/>
      <c r="B263" s="296">
        <f t="shared" si="36"/>
        <v>244</v>
      </c>
      <c r="C263" s="297">
        <f t="shared" si="38"/>
        <v>0</v>
      </c>
      <c r="D263" s="298">
        <f t="shared" si="37"/>
        <v>0</v>
      </c>
      <c r="E263" s="299">
        <f t="shared" si="39"/>
        <v>0</v>
      </c>
      <c r="F263" s="299">
        <f t="shared" si="32"/>
        <v>0</v>
      </c>
      <c r="G263" s="299">
        <f t="shared" si="34"/>
        <v>0</v>
      </c>
      <c r="H263" s="298">
        <f t="shared" si="35"/>
        <v>0</v>
      </c>
      <c r="I263" s="294"/>
      <c r="O263" s="295">
        <f t="shared" si="33"/>
        <v>244</v>
      </c>
    </row>
    <row r="264" spans="1:15">
      <c r="A264" s="286"/>
      <c r="B264" s="296">
        <f t="shared" si="36"/>
        <v>245</v>
      </c>
      <c r="C264" s="297">
        <f t="shared" si="38"/>
        <v>0</v>
      </c>
      <c r="D264" s="298">
        <f t="shared" si="37"/>
        <v>0</v>
      </c>
      <c r="E264" s="299">
        <f t="shared" si="39"/>
        <v>0</v>
      </c>
      <c r="F264" s="299">
        <f t="shared" si="32"/>
        <v>0</v>
      </c>
      <c r="G264" s="299">
        <f t="shared" si="34"/>
        <v>0</v>
      </c>
      <c r="H264" s="298">
        <f t="shared" si="35"/>
        <v>0</v>
      </c>
      <c r="I264" s="294"/>
      <c r="O264" s="295">
        <f t="shared" si="33"/>
        <v>245</v>
      </c>
    </row>
    <row r="265" spans="1:15">
      <c r="A265" s="286"/>
      <c r="B265" s="296">
        <f t="shared" si="36"/>
        <v>246</v>
      </c>
      <c r="C265" s="297">
        <f t="shared" si="38"/>
        <v>0</v>
      </c>
      <c r="D265" s="298">
        <f t="shared" si="37"/>
        <v>0</v>
      </c>
      <c r="E265" s="299">
        <f t="shared" si="39"/>
        <v>0</v>
      </c>
      <c r="F265" s="299">
        <f t="shared" si="32"/>
        <v>0</v>
      </c>
      <c r="G265" s="299">
        <f t="shared" si="34"/>
        <v>0</v>
      </c>
      <c r="H265" s="298">
        <f t="shared" si="35"/>
        <v>0</v>
      </c>
      <c r="I265" s="294"/>
      <c r="O265" s="295">
        <f t="shared" si="33"/>
        <v>246</v>
      </c>
    </row>
    <row r="266" spans="1:15">
      <c r="A266" s="286"/>
      <c r="B266" s="296">
        <f t="shared" si="36"/>
        <v>247</v>
      </c>
      <c r="C266" s="297">
        <f t="shared" si="38"/>
        <v>0</v>
      </c>
      <c r="D266" s="298">
        <f t="shared" si="37"/>
        <v>0</v>
      </c>
      <c r="E266" s="299">
        <f t="shared" si="39"/>
        <v>0</v>
      </c>
      <c r="F266" s="299">
        <f t="shared" si="32"/>
        <v>0</v>
      </c>
      <c r="G266" s="299">
        <f t="shared" si="34"/>
        <v>0</v>
      </c>
      <c r="H266" s="298">
        <f t="shared" si="35"/>
        <v>0</v>
      </c>
      <c r="I266" s="294"/>
      <c r="O266" s="295">
        <f t="shared" si="33"/>
        <v>247</v>
      </c>
    </row>
    <row r="267" spans="1:15">
      <c r="A267" s="286"/>
      <c r="B267" s="296">
        <f t="shared" si="36"/>
        <v>248</v>
      </c>
      <c r="C267" s="297">
        <f t="shared" si="38"/>
        <v>0</v>
      </c>
      <c r="D267" s="298">
        <f t="shared" si="37"/>
        <v>0</v>
      </c>
      <c r="E267" s="299">
        <f t="shared" si="39"/>
        <v>0</v>
      </c>
      <c r="F267" s="299">
        <f t="shared" si="32"/>
        <v>0</v>
      </c>
      <c r="G267" s="299">
        <f t="shared" si="34"/>
        <v>0</v>
      </c>
      <c r="H267" s="298">
        <f t="shared" si="35"/>
        <v>0</v>
      </c>
      <c r="I267" s="294"/>
      <c r="O267" s="295">
        <f t="shared" si="33"/>
        <v>248</v>
      </c>
    </row>
    <row r="268" spans="1:15">
      <c r="A268" s="286"/>
      <c r="B268" s="296">
        <f t="shared" si="36"/>
        <v>249</v>
      </c>
      <c r="C268" s="297">
        <f t="shared" si="38"/>
        <v>0</v>
      </c>
      <c r="D268" s="298">
        <f t="shared" si="37"/>
        <v>0</v>
      </c>
      <c r="E268" s="299">
        <f t="shared" si="39"/>
        <v>0</v>
      </c>
      <c r="F268" s="299">
        <f t="shared" si="32"/>
        <v>0</v>
      </c>
      <c r="G268" s="299">
        <f t="shared" si="34"/>
        <v>0</v>
      </c>
      <c r="H268" s="298">
        <f t="shared" si="35"/>
        <v>0</v>
      </c>
      <c r="I268" s="294"/>
      <c r="O268" s="295">
        <f t="shared" si="33"/>
        <v>249</v>
      </c>
    </row>
    <row r="269" spans="1:15">
      <c r="A269" s="286"/>
      <c r="B269" s="296">
        <f t="shared" si="36"/>
        <v>250</v>
      </c>
      <c r="C269" s="297">
        <f t="shared" si="38"/>
        <v>0</v>
      </c>
      <c r="D269" s="298">
        <f t="shared" si="37"/>
        <v>0</v>
      </c>
      <c r="E269" s="299">
        <f t="shared" si="39"/>
        <v>0</v>
      </c>
      <c r="F269" s="299">
        <f t="shared" si="32"/>
        <v>0</v>
      </c>
      <c r="G269" s="299">
        <f t="shared" si="34"/>
        <v>0</v>
      </c>
      <c r="H269" s="298">
        <f t="shared" si="35"/>
        <v>0</v>
      </c>
      <c r="I269" s="294"/>
      <c r="O269" s="295">
        <f t="shared" si="33"/>
        <v>250</v>
      </c>
    </row>
    <row r="270" spans="1:15">
      <c r="A270" s="286"/>
      <c r="B270" s="296">
        <f t="shared" si="36"/>
        <v>251</v>
      </c>
      <c r="C270" s="297">
        <f t="shared" si="38"/>
        <v>0</v>
      </c>
      <c r="D270" s="298">
        <f t="shared" si="37"/>
        <v>0</v>
      </c>
      <c r="E270" s="299">
        <f t="shared" si="39"/>
        <v>0</v>
      </c>
      <c r="F270" s="299">
        <f t="shared" si="32"/>
        <v>0</v>
      </c>
      <c r="G270" s="299">
        <f t="shared" si="34"/>
        <v>0</v>
      </c>
      <c r="H270" s="298">
        <f t="shared" si="35"/>
        <v>0</v>
      </c>
      <c r="I270" s="294"/>
      <c r="O270" s="295">
        <f t="shared" si="33"/>
        <v>251</v>
      </c>
    </row>
    <row r="271" spans="1:15">
      <c r="A271" s="286"/>
      <c r="B271" s="300">
        <f t="shared" si="36"/>
        <v>252</v>
      </c>
      <c r="C271" s="301">
        <f t="shared" si="38"/>
        <v>0</v>
      </c>
      <c r="D271" s="302">
        <f t="shared" si="37"/>
        <v>0</v>
      </c>
      <c r="E271" s="303">
        <f t="shared" si="39"/>
        <v>0</v>
      </c>
      <c r="F271" s="303">
        <f t="shared" si="32"/>
        <v>0</v>
      </c>
      <c r="G271" s="303">
        <f t="shared" si="34"/>
        <v>0</v>
      </c>
      <c r="H271" s="302">
        <f t="shared" si="35"/>
        <v>0</v>
      </c>
      <c r="I271" s="304" t="e">
        <f>H271/$D$5</f>
        <v>#VALUE!</v>
      </c>
      <c r="J271" s="305"/>
      <c r="K271" s="305"/>
      <c r="L271" s="305"/>
      <c r="M271" s="305"/>
      <c r="N271" s="305"/>
      <c r="O271" s="306">
        <f t="shared" si="33"/>
        <v>252</v>
      </c>
    </row>
    <row r="272" spans="1:15">
      <c r="A272" s="286"/>
      <c r="B272" s="296">
        <f t="shared" si="36"/>
        <v>253</v>
      </c>
      <c r="C272" s="297">
        <f t="shared" si="38"/>
        <v>0</v>
      </c>
      <c r="D272" s="298">
        <f t="shared" si="37"/>
        <v>0</v>
      </c>
      <c r="E272" s="299">
        <f>IF(H271&lt;=E271,H271+G272,$H$10)</f>
        <v>0</v>
      </c>
      <c r="F272" s="299">
        <f>E272-G272</f>
        <v>0</v>
      </c>
      <c r="G272" s="299">
        <f t="shared" si="34"/>
        <v>0</v>
      </c>
      <c r="H272" s="298">
        <f t="shared" si="35"/>
        <v>0</v>
      </c>
      <c r="I272" s="294"/>
      <c r="O272" s="295">
        <f t="shared" si="33"/>
        <v>253</v>
      </c>
    </row>
    <row r="273" spans="1:15">
      <c r="A273" s="286"/>
      <c r="B273" s="296">
        <f t="shared" si="36"/>
        <v>254</v>
      </c>
      <c r="C273" s="297">
        <f t="shared" si="38"/>
        <v>0</v>
      </c>
      <c r="D273" s="298">
        <f t="shared" si="37"/>
        <v>0</v>
      </c>
      <c r="E273" s="299">
        <f>IF(H272&lt;=E272,H272+G273,$H$10)</f>
        <v>0</v>
      </c>
      <c r="F273" s="299">
        <f t="shared" ref="F273:F336" si="40">E273-G273</f>
        <v>0</v>
      </c>
      <c r="G273" s="299">
        <f t="shared" si="34"/>
        <v>0</v>
      </c>
      <c r="H273" s="298">
        <f t="shared" si="35"/>
        <v>0</v>
      </c>
      <c r="I273" s="294"/>
      <c r="O273" s="295">
        <f t="shared" si="33"/>
        <v>254</v>
      </c>
    </row>
    <row r="274" spans="1:15">
      <c r="A274" s="286"/>
      <c r="B274" s="296">
        <f t="shared" si="36"/>
        <v>255</v>
      </c>
      <c r="C274" s="297">
        <f t="shared" si="38"/>
        <v>0</v>
      </c>
      <c r="D274" s="298">
        <f t="shared" si="37"/>
        <v>0</v>
      </c>
      <c r="E274" s="299">
        <f>IF(H273&lt;=E273,H273+G274,$H$10)</f>
        <v>0</v>
      </c>
      <c r="F274" s="299">
        <f t="shared" si="40"/>
        <v>0</v>
      </c>
      <c r="G274" s="299">
        <f t="shared" si="34"/>
        <v>0</v>
      </c>
      <c r="H274" s="298">
        <f t="shared" si="35"/>
        <v>0</v>
      </c>
      <c r="I274" s="294"/>
      <c r="O274" s="295">
        <f t="shared" si="33"/>
        <v>255</v>
      </c>
    </row>
    <row r="275" spans="1:15">
      <c r="A275" s="286"/>
      <c r="B275" s="296">
        <f t="shared" si="36"/>
        <v>256</v>
      </c>
      <c r="C275" s="297">
        <f t="shared" si="38"/>
        <v>0</v>
      </c>
      <c r="D275" s="298">
        <f t="shared" si="37"/>
        <v>0</v>
      </c>
      <c r="E275" s="299">
        <f t="shared" ref="E275:E338" si="41">IF(H274&lt;=E274,H274+G275,$H$10)</f>
        <v>0</v>
      </c>
      <c r="F275" s="299">
        <f t="shared" si="40"/>
        <v>0</v>
      </c>
      <c r="G275" s="299">
        <f t="shared" si="34"/>
        <v>0</v>
      </c>
      <c r="H275" s="298">
        <f t="shared" si="35"/>
        <v>0</v>
      </c>
      <c r="I275" s="294"/>
      <c r="O275" s="295">
        <f t="shared" si="33"/>
        <v>256</v>
      </c>
    </row>
    <row r="276" spans="1:15">
      <c r="A276" s="286"/>
      <c r="B276" s="296">
        <f t="shared" si="36"/>
        <v>257</v>
      </c>
      <c r="C276" s="297">
        <f t="shared" si="38"/>
        <v>0</v>
      </c>
      <c r="D276" s="298">
        <f t="shared" si="37"/>
        <v>0</v>
      </c>
      <c r="E276" s="299">
        <f t="shared" si="41"/>
        <v>0</v>
      </c>
      <c r="F276" s="299">
        <f t="shared" si="40"/>
        <v>0</v>
      </c>
      <c r="G276" s="299">
        <f t="shared" si="34"/>
        <v>0</v>
      </c>
      <c r="H276" s="298">
        <f t="shared" si="35"/>
        <v>0</v>
      </c>
      <c r="I276" s="294"/>
      <c r="O276" s="295">
        <f t="shared" ref="O276:O339" si="42">IF(H276=0,B276,"n.a.")</f>
        <v>257</v>
      </c>
    </row>
    <row r="277" spans="1:15">
      <c r="A277" s="286"/>
      <c r="B277" s="296">
        <f t="shared" si="36"/>
        <v>258</v>
      </c>
      <c r="C277" s="297">
        <f t="shared" si="38"/>
        <v>0</v>
      </c>
      <c r="D277" s="298">
        <f t="shared" si="37"/>
        <v>0</v>
      </c>
      <c r="E277" s="299">
        <f t="shared" si="41"/>
        <v>0</v>
      </c>
      <c r="F277" s="299">
        <f t="shared" si="40"/>
        <v>0</v>
      </c>
      <c r="G277" s="299">
        <f t="shared" ref="G277:G340" si="43">C277*(D277/365)*30</f>
        <v>0</v>
      </c>
      <c r="H277" s="298">
        <f t="shared" ref="H277:H340" si="44">IF((D277+G277-E277)&lt;0,0,D277+G277-E277)</f>
        <v>0</v>
      </c>
      <c r="I277" s="294"/>
      <c r="O277" s="295">
        <f t="shared" si="42"/>
        <v>258</v>
      </c>
    </row>
    <row r="278" spans="1:15">
      <c r="A278" s="286"/>
      <c r="B278" s="296">
        <f t="shared" ref="B278:B341" si="45">B277+1</f>
        <v>259</v>
      </c>
      <c r="C278" s="297">
        <f t="shared" si="38"/>
        <v>0</v>
      </c>
      <c r="D278" s="298">
        <f t="shared" ref="D278:D341" si="46">H277</f>
        <v>0</v>
      </c>
      <c r="E278" s="299">
        <f t="shared" si="41"/>
        <v>0</v>
      </c>
      <c r="F278" s="299">
        <f t="shared" si="40"/>
        <v>0</v>
      </c>
      <c r="G278" s="299">
        <f t="shared" si="43"/>
        <v>0</v>
      </c>
      <c r="H278" s="298">
        <f t="shared" si="44"/>
        <v>0</v>
      </c>
      <c r="I278" s="294"/>
      <c r="O278" s="295">
        <f t="shared" si="42"/>
        <v>259</v>
      </c>
    </row>
    <row r="279" spans="1:15">
      <c r="A279" s="286"/>
      <c r="B279" s="296">
        <f t="shared" si="45"/>
        <v>260</v>
      </c>
      <c r="C279" s="297">
        <f t="shared" si="38"/>
        <v>0</v>
      </c>
      <c r="D279" s="298">
        <f t="shared" si="46"/>
        <v>0</v>
      </c>
      <c r="E279" s="299">
        <f t="shared" si="41"/>
        <v>0</v>
      </c>
      <c r="F279" s="299">
        <f t="shared" si="40"/>
        <v>0</v>
      </c>
      <c r="G279" s="299">
        <f t="shared" si="43"/>
        <v>0</v>
      </c>
      <c r="H279" s="298">
        <f t="shared" si="44"/>
        <v>0</v>
      </c>
      <c r="I279" s="294"/>
      <c r="O279" s="295">
        <f t="shared" si="42"/>
        <v>260</v>
      </c>
    </row>
    <row r="280" spans="1:15">
      <c r="A280" s="286"/>
      <c r="B280" s="296">
        <f t="shared" si="45"/>
        <v>261</v>
      </c>
      <c r="C280" s="297">
        <f t="shared" si="38"/>
        <v>0</v>
      </c>
      <c r="D280" s="298">
        <f t="shared" si="46"/>
        <v>0</v>
      </c>
      <c r="E280" s="299">
        <f t="shared" si="41"/>
        <v>0</v>
      </c>
      <c r="F280" s="299">
        <f t="shared" si="40"/>
        <v>0</v>
      </c>
      <c r="G280" s="299">
        <f t="shared" si="43"/>
        <v>0</v>
      </c>
      <c r="H280" s="298">
        <f t="shared" si="44"/>
        <v>0</v>
      </c>
      <c r="I280" s="294"/>
      <c r="O280" s="295">
        <f t="shared" si="42"/>
        <v>261</v>
      </c>
    </row>
    <row r="281" spans="1:15">
      <c r="A281" s="286"/>
      <c r="B281" s="296">
        <f t="shared" si="45"/>
        <v>262</v>
      </c>
      <c r="C281" s="297">
        <f t="shared" si="38"/>
        <v>0</v>
      </c>
      <c r="D281" s="298">
        <f t="shared" si="46"/>
        <v>0</v>
      </c>
      <c r="E281" s="299">
        <f t="shared" si="41"/>
        <v>0</v>
      </c>
      <c r="F281" s="299">
        <f t="shared" si="40"/>
        <v>0</v>
      </c>
      <c r="G281" s="299">
        <f t="shared" si="43"/>
        <v>0</v>
      </c>
      <c r="H281" s="298">
        <f t="shared" si="44"/>
        <v>0</v>
      </c>
      <c r="I281" s="294"/>
      <c r="O281" s="295">
        <f t="shared" si="42"/>
        <v>262</v>
      </c>
    </row>
    <row r="282" spans="1:15">
      <c r="A282" s="286"/>
      <c r="B282" s="296">
        <f t="shared" si="45"/>
        <v>263</v>
      </c>
      <c r="C282" s="297">
        <f t="shared" si="38"/>
        <v>0</v>
      </c>
      <c r="D282" s="298">
        <f t="shared" si="46"/>
        <v>0</v>
      </c>
      <c r="E282" s="299">
        <f t="shared" si="41"/>
        <v>0</v>
      </c>
      <c r="F282" s="299">
        <f t="shared" si="40"/>
        <v>0</v>
      </c>
      <c r="G282" s="299">
        <f t="shared" si="43"/>
        <v>0</v>
      </c>
      <c r="H282" s="298">
        <f t="shared" si="44"/>
        <v>0</v>
      </c>
      <c r="I282" s="294"/>
      <c r="O282" s="295">
        <f t="shared" si="42"/>
        <v>263</v>
      </c>
    </row>
    <row r="283" spans="1:15">
      <c r="A283" s="286"/>
      <c r="B283" s="300">
        <f t="shared" si="45"/>
        <v>264</v>
      </c>
      <c r="C283" s="301">
        <f t="shared" si="38"/>
        <v>0</v>
      </c>
      <c r="D283" s="302">
        <f t="shared" si="46"/>
        <v>0</v>
      </c>
      <c r="E283" s="303">
        <f t="shared" si="41"/>
        <v>0</v>
      </c>
      <c r="F283" s="303">
        <f t="shared" si="40"/>
        <v>0</v>
      </c>
      <c r="G283" s="303">
        <f t="shared" si="43"/>
        <v>0</v>
      </c>
      <c r="H283" s="302">
        <f t="shared" si="44"/>
        <v>0</v>
      </c>
      <c r="I283" s="304" t="e">
        <f>H283/$D$5</f>
        <v>#VALUE!</v>
      </c>
      <c r="J283" s="305"/>
      <c r="K283" s="305"/>
      <c r="L283" s="305"/>
      <c r="M283" s="305"/>
      <c r="N283" s="305"/>
      <c r="O283" s="306">
        <f t="shared" si="42"/>
        <v>264</v>
      </c>
    </row>
    <row r="284" spans="1:15">
      <c r="A284" s="286"/>
      <c r="B284" s="296">
        <f t="shared" si="45"/>
        <v>265</v>
      </c>
      <c r="C284" s="297">
        <f t="shared" si="38"/>
        <v>0</v>
      </c>
      <c r="D284" s="298">
        <f t="shared" si="46"/>
        <v>0</v>
      </c>
      <c r="E284" s="299">
        <f t="shared" si="41"/>
        <v>0</v>
      </c>
      <c r="F284" s="299">
        <f t="shared" si="40"/>
        <v>0</v>
      </c>
      <c r="G284" s="299">
        <f t="shared" si="43"/>
        <v>0</v>
      </c>
      <c r="H284" s="298">
        <f t="shared" si="44"/>
        <v>0</v>
      </c>
      <c r="I284" s="294"/>
      <c r="O284" s="295">
        <f t="shared" si="42"/>
        <v>265</v>
      </c>
    </row>
    <row r="285" spans="1:15">
      <c r="A285" s="286"/>
      <c r="B285" s="296">
        <f t="shared" si="45"/>
        <v>266</v>
      </c>
      <c r="C285" s="297">
        <f t="shared" si="38"/>
        <v>0</v>
      </c>
      <c r="D285" s="298">
        <f t="shared" si="46"/>
        <v>0</v>
      </c>
      <c r="E285" s="299">
        <f t="shared" si="41"/>
        <v>0</v>
      </c>
      <c r="F285" s="299">
        <f t="shared" si="40"/>
        <v>0</v>
      </c>
      <c r="G285" s="299">
        <f t="shared" si="43"/>
        <v>0</v>
      </c>
      <c r="H285" s="298">
        <f t="shared" si="44"/>
        <v>0</v>
      </c>
      <c r="I285" s="294"/>
      <c r="O285" s="295">
        <f t="shared" si="42"/>
        <v>266</v>
      </c>
    </row>
    <row r="286" spans="1:15">
      <c r="A286" s="286"/>
      <c r="B286" s="296">
        <f t="shared" si="45"/>
        <v>267</v>
      </c>
      <c r="C286" s="297">
        <f t="shared" si="38"/>
        <v>0</v>
      </c>
      <c r="D286" s="298">
        <f t="shared" si="46"/>
        <v>0</v>
      </c>
      <c r="E286" s="299">
        <f t="shared" si="41"/>
        <v>0</v>
      </c>
      <c r="F286" s="299">
        <f t="shared" si="40"/>
        <v>0</v>
      </c>
      <c r="G286" s="299">
        <f t="shared" si="43"/>
        <v>0</v>
      </c>
      <c r="H286" s="298">
        <f t="shared" si="44"/>
        <v>0</v>
      </c>
      <c r="I286" s="294"/>
      <c r="O286" s="295">
        <f t="shared" si="42"/>
        <v>267</v>
      </c>
    </row>
    <row r="287" spans="1:15">
      <c r="A287" s="286"/>
      <c r="B287" s="296">
        <f t="shared" si="45"/>
        <v>268</v>
      </c>
      <c r="C287" s="297">
        <f t="shared" si="38"/>
        <v>0</v>
      </c>
      <c r="D287" s="298">
        <f t="shared" si="46"/>
        <v>0</v>
      </c>
      <c r="E287" s="299">
        <f t="shared" si="41"/>
        <v>0</v>
      </c>
      <c r="F287" s="299">
        <f t="shared" si="40"/>
        <v>0</v>
      </c>
      <c r="G287" s="299">
        <f t="shared" si="43"/>
        <v>0</v>
      </c>
      <c r="H287" s="298">
        <f t="shared" si="44"/>
        <v>0</v>
      </c>
      <c r="I287" s="294"/>
      <c r="O287" s="295">
        <f t="shared" si="42"/>
        <v>268</v>
      </c>
    </row>
    <row r="288" spans="1:15">
      <c r="A288" s="286"/>
      <c r="B288" s="296">
        <f t="shared" si="45"/>
        <v>269</v>
      </c>
      <c r="C288" s="297">
        <f t="shared" si="38"/>
        <v>0</v>
      </c>
      <c r="D288" s="298">
        <f t="shared" si="46"/>
        <v>0</v>
      </c>
      <c r="E288" s="299">
        <f t="shared" si="41"/>
        <v>0</v>
      </c>
      <c r="F288" s="299">
        <f t="shared" si="40"/>
        <v>0</v>
      </c>
      <c r="G288" s="299">
        <f t="shared" si="43"/>
        <v>0</v>
      </c>
      <c r="H288" s="298">
        <f t="shared" si="44"/>
        <v>0</v>
      </c>
      <c r="I288" s="294"/>
      <c r="O288" s="295">
        <f t="shared" si="42"/>
        <v>269</v>
      </c>
    </row>
    <row r="289" spans="1:15">
      <c r="A289" s="286"/>
      <c r="B289" s="296">
        <f t="shared" si="45"/>
        <v>270</v>
      </c>
      <c r="C289" s="297">
        <f t="shared" si="38"/>
        <v>0</v>
      </c>
      <c r="D289" s="298">
        <f t="shared" si="46"/>
        <v>0</v>
      </c>
      <c r="E289" s="299">
        <f t="shared" si="41"/>
        <v>0</v>
      </c>
      <c r="F289" s="299">
        <f t="shared" si="40"/>
        <v>0</v>
      </c>
      <c r="G289" s="299">
        <f t="shared" si="43"/>
        <v>0</v>
      </c>
      <c r="H289" s="298">
        <f t="shared" si="44"/>
        <v>0</v>
      </c>
      <c r="I289" s="294"/>
      <c r="O289" s="295">
        <f t="shared" si="42"/>
        <v>270</v>
      </c>
    </row>
    <row r="290" spans="1:15">
      <c r="A290" s="286"/>
      <c r="B290" s="296">
        <f t="shared" si="45"/>
        <v>271</v>
      </c>
      <c r="C290" s="297">
        <f t="shared" si="38"/>
        <v>0</v>
      </c>
      <c r="D290" s="298">
        <f t="shared" si="46"/>
        <v>0</v>
      </c>
      <c r="E290" s="299">
        <f t="shared" si="41"/>
        <v>0</v>
      </c>
      <c r="F290" s="299">
        <f t="shared" si="40"/>
        <v>0</v>
      </c>
      <c r="G290" s="299">
        <f t="shared" si="43"/>
        <v>0</v>
      </c>
      <c r="H290" s="298">
        <f t="shared" si="44"/>
        <v>0</v>
      </c>
      <c r="I290" s="294"/>
      <c r="O290" s="295">
        <f t="shared" si="42"/>
        <v>271</v>
      </c>
    </row>
    <row r="291" spans="1:15">
      <c r="A291" s="286"/>
      <c r="B291" s="296">
        <f t="shared" si="45"/>
        <v>272</v>
      </c>
      <c r="C291" s="297">
        <f t="shared" si="38"/>
        <v>0</v>
      </c>
      <c r="D291" s="298">
        <f t="shared" si="46"/>
        <v>0</v>
      </c>
      <c r="E291" s="299">
        <f t="shared" si="41"/>
        <v>0</v>
      </c>
      <c r="F291" s="299">
        <f t="shared" si="40"/>
        <v>0</v>
      </c>
      <c r="G291" s="299">
        <f t="shared" si="43"/>
        <v>0</v>
      </c>
      <c r="H291" s="298">
        <f t="shared" si="44"/>
        <v>0</v>
      </c>
      <c r="I291" s="294"/>
      <c r="O291" s="295">
        <f t="shared" si="42"/>
        <v>272</v>
      </c>
    </row>
    <row r="292" spans="1:15">
      <c r="A292" s="286"/>
      <c r="B292" s="296">
        <f t="shared" si="45"/>
        <v>273</v>
      </c>
      <c r="C292" s="297">
        <f t="shared" si="38"/>
        <v>0</v>
      </c>
      <c r="D292" s="298">
        <f t="shared" si="46"/>
        <v>0</v>
      </c>
      <c r="E292" s="299">
        <f t="shared" si="41"/>
        <v>0</v>
      </c>
      <c r="F292" s="299">
        <f t="shared" si="40"/>
        <v>0</v>
      </c>
      <c r="G292" s="299">
        <f t="shared" si="43"/>
        <v>0</v>
      </c>
      <c r="H292" s="298">
        <f t="shared" si="44"/>
        <v>0</v>
      </c>
      <c r="I292" s="294"/>
      <c r="O292" s="295">
        <f t="shared" si="42"/>
        <v>273</v>
      </c>
    </row>
    <row r="293" spans="1:15">
      <c r="A293" s="286"/>
      <c r="B293" s="296">
        <f t="shared" si="45"/>
        <v>274</v>
      </c>
      <c r="C293" s="297">
        <f t="shared" si="38"/>
        <v>0</v>
      </c>
      <c r="D293" s="298">
        <f t="shared" si="46"/>
        <v>0</v>
      </c>
      <c r="E293" s="299">
        <f t="shared" si="41"/>
        <v>0</v>
      </c>
      <c r="F293" s="299">
        <f t="shared" si="40"/>
        <v>0</v>
      </c>
      <c r="G293" s="299">
        <f t="shared" si="43"/>
        <v>0</v>
      </c>
      <c r="H293" s="298">
        <f t="shared" si="44"/>
        <v>0</v>
      </c>
      <c r="I293" s="294"/>
      <c r="O293" s="295">
        <f t="shared" si="42"/>
        <v>274</v>
      </c>
    </row>
    <row r="294" spans="1:15">
      <c r="A294" s="286"/>
      <c r="B294" s="296">
        <f t="shared" si="45"/>
        <v>275</v>
      </c>
      <c r="C294" s="297">
        <f t="shared" si="38"/>
        <v>0</v>
      </c>
      <c r="D294" s="298">
        <f t="shared" si="46"/>
        <v>0</v>
      </c>
      <c r="E294" s="299">
        <f t="shared" si="41"/>
        <v>0</v>
      </c>
      <c r="F294" s="299">
        <f t="shared" si="40"/>
        <v>0</v>
      </c>
      <c r="G294" s="299">
        <f t="shared" si="43"/>
        <v>0</v>
      </c>
      <c r="H294" s="298">
        <f t="shared" si="44"/>
        <v>0</v>
      </c>
      <c r="I294" s="294"/>
      <c r="O294" s="295">
        <f t="shared" si="42"/>
        <v>275</v>
      </c>
    </row>
    <row r="295" spans="1:15">
      <c r="A295" s="286"/>
      <c r="B295" s="300">
        <f t="shared" si="45"/>
        <v>276</v>
      </c>
      <c r="C295" s="301">
        <f t="shared" si="38"/>
        <v>0</v>
      </c>
      <c r="D295" s="302">
        <f t="shared" si="46"/>
        <v>0</v>
      </c>
      <c r="E295" s="303">
        <f t="shared" si="41"/>
        <v>0</v>
      </c>
      <c r="F295" s="303">
        <f t="shared" si="40"/>
        <v>0</v>
      </c>
      <c r="G295" s="303">
        <f t="shared" si="43"/>
        <v>0</v>
      </c>
      <c r="H295" s="302">
        <f t="shared" si="44"/>
        <v>0</v>
      </c>
      <c r="I295" s="304" t="e">
        <f>H295/$D$5</f>
        <v>#VALUE!</v>
      </c>
      <c r="J295" s="305"/>
      <c r="K295" s="305"/>
      <c r="L295" s="305"/>
      <c r="M295" s="305"/>
      <c r="N295" s="305"/>
      <c r="O295" s="306">
        <f t="shared" si="42"/>
        <v>276</v>
      </c>
    </row>
    <row r="296" spans="1:15">
      <c r="A296" s="286"/>
      <c r="B296" s="296">
        <f t="shared" si="45"/>
        <v>277</v>
      </c>
      <c r="C296" s="297">
        <f t="shared" si="38"/>
        <v>0</v>
      </c>
      <c r="D296" s="298">
        <f t="shared" si="46"/>
        <v>0</v>
      </c>
      <c r="E296" s="299">
        <f t="shared" si="41"/>
        <v>0</v>
      </c>
      <c r="F296" s="299">
        <f t="shared" si="40"/>
        <v>0</v>
      </c>
      <c r="G296" s="299">
        <f t="shared" si="43"/>
        <v>0</v>
      </c>
      <c r="H296" s="298">
        <f t="shared" si="44"/>
        <v>0</v>
      </c>
      <c r="I296" s="294"/>
      <c r="O296" s="295">
        <f t="shared" si="42"/>
        <v>277</v>
      </c>
    </row>
    <row r="297" spans="1:15">
      <c r="A297" s="286"/>
      <c r="B297" s="296">
        <f t="shared" si="45"/>
        <v>278</v>
      </c>
      <c r="C297" s="297">
        <f t="shared" si="38"/>
        <v>0</v>
      </c>
      <c r="D297" s="298">
        <f t="shared" si="46"/>
        <v>0</v>
      </c>
      <c r="E297" s="299">
        <f t="shared" si="41"/>
        <v>0</v>
      </c>
      <c r="F297" s="299">
        <f t="shared" si="40"/>
        <v>0</v>
      </c>
      <c r="G297" s="299">
        <f t="shared" si="43"/>
        <v>0</v>
      </c>
      <c r="H297" s="298">
        <f t="shared" si="44"/>
        <v>0</v>
      </c>
      <c r="I297" s="294"/>
      <c r="O297" s="295">
        <f t="shared" si="42"/>
        <v>278</v>
      </c>
    </row>
    <row r="298" spans="1:15">
      <c r="A298" s="286"/>
      <c r="B298" s="296">
        <f t="shared" si="45"/>
        <v>279</v>
      </c>
      <c r="C298" s="297">
        <f t="shared" si="38"/>
        <v>0</v>
      </c>
      <c r="D298" s="298">
        <f t="shared" si="46"/>
        <v>0</v>
      </c>
      <c r="E298" s="299">
        <f t="shared" si="41"/>
        <v>0</v>
      </c>
      <c r="F298" s="299">
        <f t="shared" si="40"/>
        <v>0</v>
      </c>
      <c r="G298" s="299">
        <f t="shared" si="43"/>
        <v>0</v>
      </c>
      <c r="H298" s="298">
        <f t="shared" si="44"/>
        <v>0</v>
      </c>
      <c r="I298" s="294"/>
      <c r="O298" s="295">
        <f t="shared" si="42"/>
        <v>279</v>
      </c>
    </row>
    <row r="299" spans="1:15">
      <c r="A299" s="286"/>
      <c r="B299" s="296">
        <f t="shared" si="45"/>
        <v>280</v>
      </c>
      <c r="C299" s="297">
        <f t="shared" si="38"/>
        <v>0</v>
      </c>
      <c r="D299" s="298">
        <f t="shared" si="46"/>
        <v>0</v>
      </c>
      <c r="E299" s="299">
        <f t="shared" si="41"/>
        <v>0</v>
      </c>
      <c r="F299" s="299">
        <f t="shared" si="40"/>
        <v>0</v>
      </c>
      <c r="G299" s="299">
        <f t="shared" si="43"/>
        <v>0</v>
      </c>
      <c r="H299" s="298">
        <f t="shared" si="44"/>
        <v>0</v>
      </c>
      <c r="I299" s="294"/>
      <c r="O299" s="295">
        <f t="shared" si="42"/>
        <v>280</v>
      </c>
    </row>
    <row r="300" spans="1:15">
      <c r="A300" s="286"/>
      <c r="B300" s="296">
        <f t="shared" si="45"/>
        <v>281</v>
      </c>
      <c r="C300" s="297">
        <f t="shared" si="38"/>
        <v>0</v>
      </c>
      <c r="D300" s="298">
        <f t="shared" si="46"/>
        <v>0</v>
      </c>
      <c r="E300" s="299">
        <f t="shared" si="41"/>
        <v>0</v>
      </c>
      <c r="F300" s="299">
        <f t="shared" si="40"/>
        <v>0</v>
      </c>
      <c r="G300" s="299">
        <f t="shared" si="43"/>
        <v>0</v>
      </c>
      <c r="H300" s="298">
        <f t="shared" si="44"/>
        <v>0</v>
      </c>
      <c r="I300" s="294"/>
      <c r="O300" s="295">
        <f t="shared" si="42"/>
        <v>281</v>
      </c>
    </row>
    <row r="301" spans="1:15">
      <c r="A301" s="286"/>
      <c r="B301" s="296">
        <f t="shared" si="45"/>
        <v>282</v>
      </c>
      <c r="C301" s="297">
        <f t="shared" si="38"/>
        <v>0</v>
      </c>
      <c r="D301" s="298">
        <f t="shared" si="46"/>
        <v>0</v>
      </c>
      <c r="E301" s="299">
        <f t="shared" si="41"/>
        <v>0</v>
      </c>
      <c r="F301" s="299">
        <f t="shared" si="40"/>
        <v>0</v>
      </c>
      <c r="G301" s="299">
        <f t="shared" si="43"/>
        <v>0</v>
      </c>
      <c r="H301" s="298">
        <f t="shared" si="44"/>
        <v>0</v>
      </c>
      <c r="I301" s="294"/>
      <c r="O301" s="295">
        <f t="shared" si="42"/>
        <v>282</v>
      </c>
    </row>
    <row r="302" spans="1:15">
      <c r="A302" s="286"/>
      <c r="B302" s="296">
        <f t="shared" si="45"/>
        <v>283</v>
      </c>
      <c r="C302" s="297">
        <f t="shared" si="38"/>
        <v>0</v>
      </c>
      <c r="D302" s="298">
        <f t="shared" si="46"/>
        <v>0</v>
      </c>
      <c r="E302" s="299">
        <f t="shared" si="41"/>
        <v>0</v>
      </c>
      <c r="F302" s="299">
        <f t="shared" si="40"/>
        <v>0</v>
      </c>
      <c r="G302" s="299">
        <f t="shared" si="43"/>
        <v>0</v>
      </c>
      <c r="H302" s="298">
        <f t="shared" si="44"/>
        <v>0</v>
      </c>
      <c r="I302" s="294"/>
      <c r="O302" s="295">
        <f t="shared" si="42"/>
        <v>283</v>
      </c>
    </row>
    <row r="303" spans="1:15">
      <c r="A303" s="286"/>
      <c r="B303" s="296">
        <f t="shared" si="45"/>
        <v>284</v>
      </c>
      <c r="C303" s="297">
        <f t="shared" si="38"/>
        <v>0</v>
      </c>
      <c r="D303" s="298">
        <f t="shared" si="46"/>
        <v>0</v>
      </c>
      <c r="E303" s="299">
        <f t="shared" si="41"/>
        <v>0</v>
      </c>
      <c r="F303" s="299">
        <f t="shared" si="40"/>
        <v>0</v>
      </c>
      <c r="G303" s="299">
        <f t="shared" si="43"/>
        <v>0</v>
      </c>
      <c r="H303" s="298">
        <f t="shared" si="44"/>
        <v>0</v>
      </c>
      <c r="I303" s="294"/>
      <c r="O303" s="295">
        <f t="shared" si="42"/>
        <v>284</v>
      </c>
    </row>
    <row r="304" spans="1:15">
      <c r="A304" s="286"/>
      <c r="B304" s="296">
        <f t="shared" si="45"/>
        <v>285</v>
      </c>
      <c r="C304" s="297">
        <f t="shared" si="38"/>
        <v>0</v>
      </c>
      <c r="D304" s="298">
        <f t="shared" si="46"/>
        <v>0</v>
      </c>
      <c r="E304" s="299">
        <f t="shared" si="41"/>
        <v>0</v>
      </c>
      <c r="F304" s="299">
        <f t="shared" si="40"/>
        <v>0</v>
      </c>
      <c r="G304" s="299">
        <f t="shared" si="43"/>
        <v>0</v>
      </c>
      <c r="H304" s="298">
        <f t="shared" si="44"/>
        <v>0</v>
      </c>
      <c r="I304" s="294"/>
      <c r="O304" s="295">
        <f t="shared" si="42"/>
        <v>285</v>
      </c>
    </row>
    <row r="305" spans="1:15">
      <c r="A305" s="286"/>
      <c r="B305" s="296">
        <f t="shared" si="45"/>
        <v>286</v>
      </c>
      <c r="C305" s="297">
        <f t="shared" si="38"/>
        <v>0</v>
      </c>
      <c r="D305" s="298">
        <f t="shared" si="46"/>
        <v>0</v>
      </c>
      <c r="E305" s="299">
        <f t="shared" si="41"/>
        <v>0</v>
      </c>
      <c r="F305" s="299">
        <f t="shared" si="40"/>
        <v>0</v>
      </c>
      <c r="G305" s="299">
        <f t="shared" si="43"/>
        <v>0</v>
      </c>
      <c r="H305" s="298">
        <f t="shared" si="44"/>
        <v>0</v>
      </c>
      <c r="I305" s="294"/>
      <c r="O305" s="295">
        <f t="shared" si="42"/>
        <v>286</v>
      </c>
    </row>
    <row r="306" spans="1:15">
      <c r="A306" s="286"/>
      <c r="B306" s="296">
        <f t="shared" si="45"/>
        <v>287</v>
      </c>
      <c r="C306" s="297">
        <f t="shared" si="38"/>
        <v>0</v>
      </c>
      <c r="D306" s="298">
        <f t="shared" si="46"/>
        <v>0</v>
      </c>
      <c r="E306" s="299">
        <f t="shared" si="41"/>
        <v>0</v>
      </c>
      <c r="F306" s="299">
        <f t="shared" si="40"/>
        <v>0</v>
      </c>
      <c r="G306" s="299">
        <f t="shared" si="43"/>
        <v>0</v>
      </c>
      <c r="H306" s="298">
        <f t="shared" si="44"/>
        <v>0</v>
      </c>
      <c r="I306" s="294"/>
      <c r="O306" s="295">
        <f t="shared" si="42"/>
        <v>287</v>
      </c>
    </row>
    <row r="307" spans="1:15">
      <c r="A307" s="286"/>
      <c r="B307" s="300">
        <f t="shared" si="45"/>
        <v>288</v>
      </c>
      <c r="C307" s="301">
        <f t="shared" si="38"/>
        <v>0</v>
      </c>
      <c r="D307" s="302">
        <f t="shared" si="46"/>
        <v>0</v>
      </c>
      <c r="E307" s="303">
        <f t="shared" si="41"/>
        <v>0</v>
      </c>
      <c r="F307" s="303">
        <f t="shared" si="40"/>
        <v>0</v>
      </c>
      <c r="G307" s="303">
        <f t="shared" si="43"/>
        <v>0</v>
      </c>
      <c r="H307" s="302">
        <f t="shared" si="44"/>
        <v>0</v>
      </c>
      <c r="I307" s="304" t="e">
        <f>H307/$D$5</f>
        <v>#VALUE!</v>
      </c>
      <c r="J307" s="305"/>
      <c r="K307" s="305"/>
      <c r="L307" s="305"/>
      <c r="M307" s="305"/>
      <c r="N307" s="305"/>
      <c r="O307" s="306">
        <f t="shared" si="42"/>
        <v>288</v>
      </c>
    </row>
    <row r="308" spans="1:15">
      <c r="A308" s="286"/>
      <c r="B308" s="296">
        <f t="shared" si="45"/>
        <v>289</v>
      </c>
      <c r="C308" s="297">
        <f t="shared" si="38"/>
        <v>0</v>
      </c>
      <c r="D308" s="298">
        <f t="shared" si="46"/>
        <v>0</v>
      </c>
      <c r="E308" s="299">
        <f t="shared" si="41"/>
        <v>0</v>
      </c>
      <c r="F308" s="299">
        <f t="shared" si="40"/>
        <v>0</v>
      </c>
      <c r="G308" s="299">
        <f t="shared" si="43"/>
        <v>0</v>
      </c>
      <c r="H308" s="298">
        <f t="shared" si="44"/>
        <v>0</v>
      </c>
      <c r="I308" s="294"/>
      <c r="O308" s="295">
        <f t="shared" si="42"/>
        <v>289</v>
      </c>
    </row>
    <row r="309" spans="1:15">
      <c r="A309" s="286"/>
      <c r="B309" s="296">
        <f t="shared" si="45"/>
        <v>290</v>
      </c>
      <c r="C309" s="297">
        <f t="shared" si="38"/>
        <v>0</v>
      </c>
      <c r="D309" s="298">
        <f t="shared" si="46"/>
        <v>0</v>
      </c>
      <c r="E309" s="299">
        <f t="shared" si="41"/>
        <v>0</v>
      </c>
      <c r="F309" s="299">
        <f t="shared" si="40"/>
        <v>0</v>
      </c>
      <c r="G309" s="299">
        <f t="shared" si="43"/>
        <v>0</v>
      </c>
      <c r="H309" s="298">
        <f t="shared" si="44"/>
        <v>0</v>
      </c>
      <c r="I309" s="294"/>
      <c r="O309" s="295">
        <f t="shared" si="42"/>
        <v>290</v>
      </c>
    </row>
    <row r="310" spans="1:15">
      <c r="A310" s="286"/>
      <c r="B310" s="296">
        <f t="shared" si="45"/>
        <v>291</v>
      </c>
      <c r="C310" s="297">
        <f t="shared" si="38"/>
        <v>0</v>
      </c>
      <c r="D310" s="298">
        <f t="shared" si="46"/>
        <v>0</v>
      </c>
      <c r="E310" s="299">
        <f t="shared" si="41"/>
        <v>0</v>
      </c>
      <c r="F310" s="299">
        <f t="shared" si="40"/>
        <v>0</v>
      </c>
      <c r="G310" s="299">
        <f t="shared" si="43"/>
        <v>0</v>
      </c>
      <c r="H310" s="298">
        <f t="shared" si="44"/>
        <v>0</v>
      </c>
      <c r="I310" s="294"/>
      <c r="O310" s="295">
        <f t="shared" si="42"/>
        <v>291</v>
      </c>
    </row>
    <row r="311" spans="1:15">
      <c r="A311" s="286"/>
      <c r="B311" s="296">
        <f t="shared" si="45"/>
        <v>292</v>
      </c>
      <c r="C311" s="297">
        <f t="shared" si="38"/>
        <v>0</v>
      </c>
      <c r="D311" s="298">
        <f t="shared" si="46"/>
        <v>0</v>
      </c>
      <c r="E311" s="299">
        <f t="shared" si="41"/>
        <v>0</v>
      </c>
      <c r="F311" s="299">
        <f t="shared" si="40"/>
        <v>0</v>
      </c>
      <c r="G311" s="299">
        <f t="shared" si="43"/>
        <v>0</v>
      </c>
      <c r="H311" s="298">
        <f t="shared" si="44"/>
        <v>0</v>
      </c>
      <c r="I311" s="294"/>
      <c r="O311" s="295">
        <f t="shared" si="42"/>
        <v>292</v>
      </c>
    </row>
    <row r="312" spans="1:15">
      <c r="A312" s="286"/>
      <c r="B312" s="296">
        <f t="shared" si="45"/>
        <v>293</v>
      </c>
      <c r="C312" s="297">
        <f t="shared" ref="C312:C375" si="47">IF(D312&gt;0,$F$7,0)</f>
        <v>0</v>
      </c>
      <c r="D312" s="298">
        <f t="shared" si="46"/>
        <v>0</v>
      </c>
      <c r="E312" s="299">
        <f t="shared" si="41"/>
        <v>0</v>
      </c>
      <c r="F312" s="299">
        <f t="shared" si="40"/>
        <v>0</v>
      </c>
      <c r="G312" s="299">
        <f t="shared" si="43"/>
        <v>0</v>
      </c>
      <c r="H312" s="298">
        <f t="shared" si="44"/>
        <v>0</v>
      </c>
      <c r="I312" s="294"/>
      <c r="O312" s="295">
        <f t="shared" si="42"/>
        <v>293</v>
      </c>
    </row>
    <row r="313" spans="1:15">
      <c r="A313" s="286"/>
      <c r="B313" s="296">
        <f t="shared" si="45"/>
        <v>294</v>
      </c>
      <c r="C313" s="297">
        <f t="shared" si="47"/>
        <v>0</v>
      </c>
      <c r="D313" s="298">
        <f t="shared" si="46"/>
        <v>0</v>
      </c>
      <c r="E313" s="299">
        <f t="shared" si="41"/>
        <v>0</v>
      </c>
      <c r="F313" s="299">
        <f t="shared" si="40"/>
        <v>0</v>
      </c>
      <c r="G313" s="299">
        <f t="shared" si="43"/>
        <v>0</v>
      </c>
      <c r="H313" s="298">
        <f t="shared" si="44"/>
        <v>0</v>
      </c>
      <c r="I313" s="294"/>
      <c r="O313" s="295">
        <f t="shared" si="42"/>
        <v>294</v>
      </c>
    </row>
    <row r="314" spans="1:15">
      <c r="A314" s="286"/>
      <c r="B314" s="296">
        <f t="shared" si="45"/>
        <v>295</v>
      </c>
      <c r="C314" s="297">
        <f t="shared" si="47"/>
        <v>0</v>
      </c>
      <c r="D314" s="298">
        <f t="shared" si="46"/>
        <v>0</v>
      </c>
      <c r="E314" s="299">
        <f t="shared" si="41"/>
        <v>0</v>
      </c>
      <c r="F314" s="299">
        <f t="shared" si="40"/>
        <v>0</v>
      </c>
      <c r="G314" s="299">
        <f t="shared" si="43"/>
        <v>0</v>
      </c>
      <c r="H314" s="298">
        <f t="shared" si="44"/>
        <v>0</v>
      </c>
      <c r="I314" s="294"/>
      <c r="O314" s="295">
        <f t="shared" si="42"/>
        <v>295</v>
      </c>
    </row>
    <row r="315" spans="1:15">
      <c r="A315" s="286"/>
      <c r="B315" s="296">
        <f t="shared" si="45"/>
        <v>296</v>
      </c>
      <c r="C315" s="297">
        <f t="shared" si="47"/>
        <v>0</v>
      </c>
      <c r="D315" s="298">
        <f t="shared" si="46"/>
        <v>0</v>
      </c>
      <c r="E315" s="299">
        <f t="shared" si="41"/>
        <v>0</v>
      </c>
      <c r="F315" s="299">
        <f t="shared" si="40"/>
        <v>0</v>
      </c>
      <c r="G315" s="299">
        <f t="shared" si="43"/>
        <v>0</v>
      </c>
      <c r="H315" s="298">
        <f t="shared" si="44"/>
        <v>0</v>
      </c>
      <c r="I315" s="294"/>
      <c r="O315" s="295">
        <f t="shared" si="42"/>
        <v>296</v>
      </c>
    </row>
    <row r="316" spans="1:15">
      <c r="A316" s="286"/>
      <c r="B316" s="296">
        <f t="shared" si="45"/>
        <v>297</v>
      </c>
      <c r="C316" s="297">
        <f t="shared" si="47"/>
        <v>0</v>
      </c>
      <c r="D316" s="298">
        <f t="shared" si="46"/>
        <v>0</v>
      </c>
      <c r="E316" s="299">
        <f t="shared" si="41"/>
        <v>0</v>
      </c>
      <c r="F316" s="299">
        <f t="shared" si="40"/>
        <v>0</v>
      </c>
      <c r="G316" s="299">
        <f t="shared" si="43"/>
        <v>0</v>
      </c>
      <c r="H316" s="298">
        <f t="shared" si="44"/>
        <v>0</v>
      </c>
      <c r="I316" s="294"/>
      <c r="O316" s="295">
        <f t="shared" si="42"/>
        <v>297</v>
      </c>
    </row>
    <row r="317" spans="1:15">
      <c r="A317" s="286"/>
      <c r="B317" s="296">
        <f t="shared" si="45"/>
        <v>298</v>
      </c>
      <c r="C317" s="297">
        <f t="shared" si="47"/>
        <v>0</v>
      </c>
      <c r="D317" s="298">
        <f t="shared" si="46"/>
        <v>0</v>
      </c>
      <c r="E317" s="299">
        <f t="shared" si="41"/>
        <v>0</v>
      </c>
      <c r="F317" s="299">
        <f t="shared" si="40"/>
        <v>0</v>
      </c>
      <c r="G317" s="299">
        <f t="shared" si="43"/>
        <v>0</v>
      </c>
      <c r="H317" s="298">
        <f t="shared" si="44"/>
        <v>0</v>
      </c>
      <c r="I317" s="294"/>
      <c r="O317" s="295">
        <f t="shared" si="42"/>
        <v>298</v>
      </c>
    </row>
    <row r="318" spans="1:15">
      <c r="A318" s="286"/>
      <c r="B318" s="296">
        <f t="shared" si="45"/>
        <v>299</v>
      </c>
      <c r="C318" s="297">
        <f t="shared" si="47"/>
        <v>0</v>
      </c>
      <c r="D318" s="298">
        <f t="shared" si="46"/>
        <v>0</v>
      </c>
      <c r="E318" s="299">
        <f t="shared" si="41"/>
        <v>0</v>
      </c>
      <c r="F318" s="299">
        <f t="shared" si="40"/>
        <v>0</v>
      </c>
      <c r="G318" s="299">
        <f t="shared" si="43"/>
        <v>0</v>
      </c>
      <c r="H318" s="298">
        <f t="shared" si="44"/>
        <v>0</v>
      </c>
      <c r="I318" s="294"/>
      <c r="O318" s="295">
        <f t="shared" si="42"/>
        <v>299</v>
      </c>
    </row>
    <row r="319" spans="1:15">
      <c r="A319" s="286"/>
      <c r="B319" s="300">
        <f t="shared" si="45"/>
        <v>300</v>
      </c>
      <c r="C319" s="301">
        <f t="shared" si="47"/>
        <v>0</v>
      </c>
      <c r="D319" s="302">
        <f t="shared" si="46"/>
        <v>0</v>
      </c>
      <c r="E319" s="303">
        <f t="shared" si="41"/>
        <v>0</v>
      </c>
      <c r="F319" s="303">
        <f t="shared" si="40"/>
        <v>0</v>
      </c>
      <c r="G319" s="303">
        <f t="shared" si="43"/>
        <v>0</v>
      </c>
      <c r="H319" s="302">
        <f t="shared" si="44"/>
        <v>0</v>
      </c>
      <c r="I319" s="304" t="e">
        <f>H319/$D$5</f>
        <v>#VALUE!</v>
      </c>
      <c r="J319" s="305"/>
      <c r="K319" s="305"/>
      <c r="L319" s="305"/>
      <c r="M319" s="305"/>
      <c r="N319" s="305"/>
      <c r="O319" s="306">
        <f t="shared" si="42"/>
        <v>300</v>
      </c>
    </row>
    <row r="320" spans="1:15">
      <c r="A320" s="286"/>
      <c r="B320" s="296">
        <f t="shared" si="45"/>
        <v>301</v>
      </c>
      <c r="C320" s="297">
        <f t="shared" si="47"/>
        <v>0</v>
      </c>
      <c r="D320" s="298">
        <f t="shared" si="46"/>
        <v>0</v>
      </c>
      <c r="E320" s="299">
        <f t="shared" si="41"/>
        <v>0</v>
      </c>
      <c r="F320" s="299">
        <f t="shared" si="40"/>
        <v>0</v>
      </c>
      <c r="G320" s="299">
        <f t="shared" si="43"/>
        <v>0</v>
      </c>
      <c r="H320" s="298">
        <f t="shared" si="44"/>
        <v>0</v>
      </c>
      <c r="I320" s="294"/>
      <c r="O320" s="295">
        <f t="shared" si="42"/>
        <v>301</v>
      </c>
    </row>
    <row r="321" spans="1:15">
      <c r="A321" s="286"/>
      <c r="B321" s="296">
        <f t="shared" si="45"/>
        <v>302</v>
      </c>
      <c r="C321" s="297">
        <f t="shared" si="47"/>
        <v>0</v>
      </c>
      <c r="D321" s="298">
        <f t="shared" si="46"/>
        <v>0</v>
      </c>
      <c r="E321" s="299">
        <f t="shared" si="41"/>
        <v>0</v>
      </c>
      <c r="F321" s="299">
        <f t="shared" si="40"/>
        <v>0</v>
      </c>
      <c r="G321" s="299">
        <f t="shared" si="43"/>
        <v>0</v>
      </c>
      <c r="H321" s="298">
        <f t="shared" si="44"/>
        <v>0</v>
      </c>
      <c r="I321" s="294"/>
      <c r="O321" s="295">
        <f t="shared" si="42"/>
        <v>302</v>
      </c>
    </row>
    <row r="322" spans="1:15">
      <c r="A322" s="286"/>
      <c r="B322" s="296">
        <f t="shared" si="45"/>
        <v>303</v>
      </c>
      <c r="C322" s="297">
        <f t="shared" si="47"/>
        <v>0</v>
      </c>
      <c r="D322" s="298">
        <f t="shared" si="46"/>
        <v>0</v>
      </c>
      <c r="E322" s="299">
        <f t="shared" si="41"/>
        <v>0</v>
      </c>
      <c r="F322" s="299">
        <f t="shared" si="40"/>
        <v>0</v>
      </c>
      <c r="G322" s="299">
        <f t="shared" si="43"/>
        <v>0</v>
      </c>
      <c r="H322" s="298">
        <f t="shared" si="44"/>
        <v>0</v>
      </c>
      <c r="I322" s="294"/>
      <c r="O322" s="295">
        <f t="shared" si="42"/>
        <v>303</v>
      </c>
    </row>
    <row r="323" spans="1:15">
      <c r="A323" s="286"/>
      <c r="B323" s="296">
        <f t="shared" si="45"/>
        <v>304</v>
      </c>
      <c r="C323" s="297">
        <f t="shared" si="47"/>
        <v>0</v>
      </c>
      <c r="D323" s="298">
        <f t="shared" si="46"/>
        <v>0</v>
      </c>
      <c r="E323" s="299">
        <f t="shared" si="41"/>
        <v>0</v>
      </c>
      <c r="F323" s="299">
        <f t="shared" si="40"/>
        <v>0</v>
      </c>
      <c r="G323" s="299">
        <f t="shared" si="43"/>
        <v>0</v>
      </c>
      <c r="H323" s="298">
        <f t="shared" si="44"/>
        <v>0</v>
      </c>
      <c r="I323" s="294"/>
      <c r="O323" s="295">
        <f t="shared" si="42"/>
        <v>304</v>
      </c>
    </row>
    <row r="324" spans="1:15">
      <c r="A324" s="286"/>
      <c r="B324" s="296">
        <f t="shared" si="45"/>
        <v>305</v>
      </c>
      <c r="C324" s="297">
        <f t="shared" si="47"/>
        <v>0</v>
      </c>
      <c r="D324" s="298">
        <f t="shared" si="46"/>
        <v>0</v>
      </c>
      <c r="E324" s="299">
        <f t="shared" si="41"/>
        <v>0</v>
      </c>
      <c r="F324" s="299">
        <f t="shared" si="40"/>
        <v>0</v>
      </c>
      <c r="G324" s="299">
        <f t="shared" si="43"/>
        <v>0</v>
      </c>
      <c r="H324" s="298">
        <f t="shared" si="44"/>
        <v>0</v>
      </c>
      <c r="I324" s="294"/>
      <c r="O324" s="295">
        <f t="shared" si="42"/>
        <v>305</v>
      </c>
    </row>
    <row r="325" spans="1:15">
      <c r="A325" s="286"/>
      <c r="B325" s="296">
        <f t="shared" si="45"/>
        <v>306</v>
      </c>
      <c r="C325" s="297">
        <f t="shared" si="47"/>
        <v>0</v>
      </c>
      <c r="D325" s="298">
        <f t="shared" si="46"/>
        <v>0</v>
      </c>
      <c r="E325" s="299">
        <f t="shared" si="41"/>
        <v>0</v>
      </c>
      <c r="F325" s="299">
        <f t="shared" si="40"/>
        <v>0</v>
      </c>
      <c r="G325" s="299">
        <f t="shared" si="43"/>
        <v>0</v>
      </c>
      <c r="H325" s="298">
        <f t="shared" si="44"/>
        <v>0</v>
      </c>
      <c r="I325" s="294"/>
      <c r="O325" s="295">
        <f t="shared" si="42"/>
        <v>306</v>
      </c>
    </row>
    <row r="326" spans="1:15">
      <c r="A326" s="286"/>
      <c r="B326" s="296">
        <f t="shared" si="45"/>
        <v>307</v>
      </c>
      <c r="C326" s="297">
        <f t="shared" si="47"/>
        <v>0</v>
      </c>
      <c r="D326" s="298">
        <f t="shared" si="46"/>
        <v>0</v>
      </c>
      <c r="E326" s="299">
        <f t="shared" si="41"/>
        <v>0</v>
      </c>
      <c r="F326" s="299">
        <f t="shared" si="40"/>
        <v>0</v>
      </c>
      <c r="G326" s="299">
        <f t="shared" si="43"/>
        <v>0</v>
      </c>
      <c r="H326" s="298">
        <f t="shared" si="44"/>
        <v>0</v>
      </c>
      <c r="I326" s="294"/>
      <c r="O326" s="295">
        <f t="shared" si="42"/>
        <v>307</v>
      </c>
    </row>
    <row r="327" spans="1:15">
      <c r="A327" s="286"/>
      <c r="B327" s="296">
        <f t="shared" si="45"/>
        <v>308</v>
      </c>
      <c r="C327" s="297">
        <f t="shared" si="47"/>
        <v>0</v>
      </c>
      <c r="D327" s="298">
        <f t="shared" si="46"/>
        <v>0</v>
      </c>
      <c r="E327" s="299">
        <f t="shared" si="41"/>
        <v>0</v>
      </c>
      <c r="F327" s="299">
        <f t="shared" si="40"/>
        <v>0</v>
      </c>
      <c r="G327" s="299">
        <f t="shared" si="43"/>
        <v>0</v>
      </c>
      <c r="H327" s="298">
        <f t="shared" si="44"/>
        <v>0</v>
      </c>
      <c r="I327" s="294"/>
      <c r="O327" s="295">
        <f t="shared" si="42"/>
        <v>308</v>
      </c>
    </row>
    <row r="328" spans="1:15">
      <c r="A328" s="286"/>
      <c r="B328" s="296">
        <f t="shared" si="45"/>
        <v>309</v>
      </c>
      <c r="C328" s="297">
        <f t="shared" si="47"/>
        <v>0</v>
      </c>
      <c r="D328" s="298">
        <f t="shared" si="46"/>
        <v>0</v>
      </c>
      <c r="E328" s="299">
        <f t="shared" si="41"/>
        <v>0</v>
      </c>
      <c r="F328" s="299">
        <f t="shared" si="40"/>
        <v>0</v>
      </c>
      <c r="G328" s="299">
        <f t="shared" si="43"/>
        <v>0</v>
      </c>
      <c r="H328" s="298">
        <f t="shared" si="44"/>
        <v>0</v>
      </c>
      <c r="I328" s="294"/>
      <c r="O328" s="295">
        <f t="shared" si="42"/>
        <v>309</v>
      </c>
    </row>
    <row r="329" spans="1:15">
      <c r="A329" s="286"/>
      <c r="B329" s="296">
        <f t="shared" si="45"/>
        <v>310</v>
      </c>
      <c r="C329" s="297">
        <f t="shared" si="47"/>
        <v>0</v>
      </c>
      <c r="D329" s="298">
        <f t="shared" si="46"/>
        <v>0</v>
      </c>
      <c r="E329" s="299">
        <f t="shared" si="41"/>
        <v>0</v>
      </c>
      <c r="F329" s="299">
        <f t="shared" si="40"/>
        <v>0</v>
      </c>
      <c r="G329" s="299">
        <f t="shared" si="43"/>
        <v>0</v>
      </c>
      <c r="H329" s="298">
        <f t="shared" si="44"/>
        <v>0</v>
      </c>
      <c r="I329" s="294"/>
      <c r="O329" s="295">
        <f t="shared" si="42"/>
        <v>310</v>
      </c>
    </row>
    <row r="330" spans="1:15">
      <c r="A330" s="286"/>
      <c r="B330" s="296">
        <f t="shared" si="45"/>
        <v>311</v>
      </c>
      <c r="C330" s="297">
        <f t="shared" si="47"/>
        <v>0</v>
      </c>
      <c r="D330" s="298">
        <f t="shared" si="46"/>
        <v>0</v>
      </c>
      <c r="E330" s="299">
        <f t="shared" si="41"/>
        <v>0</v>
      </c>
      <c r="F330" s="299">
        <f t="shared" si="40"/>
        <v>0</v>
      </c>
      <c r="G330" s="299">
        <f t="shared" si="43"/>
        <v>0</v>
      </c>
      <c r="H330" s="298">
        <f t="shared" si="44"/>
        <v>0</v>
      </c>
      <c r="I330" s="294"/>
      <c r="O330" s="295">
        <f t="shared" si="42"/>
        <v>311</v>
      </c>
    </row>
    <row r="331" spans="1:15">
      <c r="A331" s="286"/>
      <c r="B331" s="300">
        <f t="shared" si="45"/>
        <v>312</v>
      </c>
      <c r="C331" s="301">
        <f t="shared" si="47"/>
        <v>0</v>
      </c>
      <c r="D331" s="302">
        <f t="shared" si="46"/>
        <v>0</v>
      </c>
      <c r="E331" s="303">
        <f t="shared" si="41"/>
        <v>0</v>
      </c>
      <c r="F331" s="303">
        <f t="shared" si="40"/>
        <v>0</v>
      </c>
      <c r="G331" s="303">
        <f t="shared" si="43"/>
        <v>0</v>
      </c>
      <c r="H331" s="302">
        <f t="shared" si="44"/>
        <v>0</v>
      </c>
      <c r="I331" s="304" t="e">
        <f>H331/$D$5</f>
        <v>#VALUE!</v>
      </c>
      <c r="J331" s="305"/>
      <c r="K331" s="305"/>
      <c r="L331" s="305"/>
      <c r="M331" s="305"/>
      <c r="N331" s="305"/>
      <c r="O331" s="306">
        <f t="shared" si="42"/>
        <v>312</v>
      </c>
    </row>
    <row r="332" spans="1:15">
      <c r="A332" s="286"/>
      <c r="B332" s="296">
        <f t="shared" si="45"/>
        <v>313</v>
      </c>
      <c r="C332" s="297">
        <f t="shared" si="47"/>
        <v>0</v>
      </c>
      <c r="D332" s="298">
        <f t="shared" si="46"/>
        <v>0</v>
      </c>
      <c r="E332" s="299">
        <f t="shared" si="41"/>
        <v>0</v>
      </c>
      <c r="F332" s="299">
        <f t="shared" si="40"/>
        <v>0</v>
      </c>
      <c r="G332" s="299">
        <f t="shared" si="43"/>
        <v>0</v>
      </c>
      <c r="H332" s="298">
        <f t="shared" si="44"/>
        <v>0</v>
      </c>
      <c r="I332" s="294"/>
      <c r="O332" s="295">
        <f t="shared" si="42"/>
        <v>313</v>
      </c>
    </row>
    <row r="333" spans="1:15">
      <c r="A333" s="286"/>
      <c r="B333" s="296">
        <f t="shared" si="45"/>
        <v>314</v>
      </c>
      <c r="C333" s="297">
        <f t="shared" si="47"/>
        <v>0</v>
      </c>
      <c r="D333" s="298">
        <f t="shared" si="46"/>
        <v>0</v>
      </c>
      <c r="E333" s="299">
        <f t="shared" si="41"/>
        <v>0</v>
      </c>
      <c r="F333" s="299">
        <f t="shared" si="40"/>
        <v>0</v>
      </c>
      <c r="G333" s="299">
        <f t="shared" si="43"/>
        <v>0</v>
      </c>
      <c r="H333" s="298">
        <f t="shared" si="44"/>
        <v>0</v>
      </c>
      <c r="I333" s="294"/>
      <c r="O333" s="295">
        <f t="shared" si="42"/>
        <v>314</v>
      </c>
    </row>
    <row r="334" spans="1:15">
      <c r="A334" s="286"/>
      <c r="B334" s="296">
        <f t="shared" si="45"/>
        <v>315</v>
      </c>
      <c r="C334" s="297">
        <f t="shared" si="47"/>
        <v>0</v>
      </c>
      <c r="D334" s="298">
        <f t="shared" si="46"/>
        <v>0</v>
      </c>
      <c r="E334" s="299">
        <f t="shared" si="41"/>
        <v>0</v>
      </c>
      <c r="F334" s="299">
        <f t="shared" si="40"/>
        <v>0</v>
      </c>
      <c r="G334" s="299">
        <f t="shared" si="43"/>
        <v>0</v>
      </c>
      <c r="H334" s="298">
        <f t="shared" si="44"/>
        <v>0</v>
      </c>
      <c r="I334" s="294"/>
      <c r="O334" s="295">
        <f t="shared" si="42"/>
        <v>315</v>
      </c>
    </row>
    <row r="335" spans="1:15">
      <c r="A335" s="286"/>
      <c r="B335" s="296">
        <f t="shared" si="45"/>
        <v>316</v>
      </c>
      <c r="C335" s="297">
        <f t="shared" si="47"/>
        <v>0</v>
      </c>
      <c r="D335" s="298">
        <f t="shared" si="46"/>
        <v>0</v>
      </c>
      <c r="E335" s="299">
        <f t="shared" si="41"/>
        <v>0</v>
      </c>
      <c r="F335" s="299">
        <f t="shared" si="40"/>
        <v>0</v>
      </c>
      <c r="G335" s="299">
        <f t="shared" si="43"/>
        <v>0</v>
      </c>
      <c r="H335" s="298">
        <f t="shared" si="44"/>
        <v>0</v>
      </c>
      <c r="I335" s="294"/>
      <c r="O335" s="295">
        <f t="shared" si="42"/>
        <v>316</v>
      </c>
    </row>
    <row r="336" spans="1:15">
      <c r="A336" s="286"/>
      <c r="B336" s="296">
        <f t="shared" si="45"/>
        <v>317</v>
      </c>
      <c r="C336" s="297">
        <f t="shared" si="47"/>
        <v>0</v>
      </c>
      <c r="D336" s="298">
        <f t="shared" si="46"/>
        <v>0</v>
      </c>
      <c r="E336" s="299">
        <f t="shared" si="41"/>
        <v>0</v>
      </c>
      <c r="F336" s="299">
        <f t="shared" si="40"/>
        <v>0</v>
      </c>
      <c r="G336" s="299">
        <f t="shared" si="43"/>
        <v>0</v>
      </c>
      <c r="H336" s="298">
        <f t="shared" si="44"/>
        <v>0</v>
      </c>
      <c r="I336" s="294"/>
      <c r="O336" s="295">
        <f t="shared" si="42"/>
        <v>317</v>
      </c>
    </row>
    <row r="337" spans="1:15">
      <c r="A337" s="286"/>
      <c r="B337" s="296">
        <f t="shared" si="45"/>
        <v>318</v>
      </c>
      <c r="C337" s="297">
        <f t="shared" si="47"/>
        <v>0</v>
      </c>
      <c r="D337" s="298">
        <f t="shared" si="46"/>
        <v>0</v>
      </c>
      <c r="E337" s="299">
        <f t="shared" si="41"/>
        <v>0</v>
      </c>
      <c r="F337" s="299">
        <f t="shared" ref="F337:F400" si="48">E337-G337</f>
        <v>0</v>
      </c>
      <c r="G337" s="299">
        <f t="shared" si="43"/>
        <v>0</v>
      </c>
      <c r="H337" s="298">
        <f t="shared" si="44"/>
        <v>0</v>
      </c>
      <c r="I337" s="294"/>
      <c r="O337" s="295">
        <f t="shared" si="42"/>
        <v>318</v>
      </c>
    </row>
    <row r="338" spans="1:15">
      <c r="A338" s="286"/>
      <c r="B338" s="296">
        <f t="shared" si="45"/>
        <v>319</v>
      </c>
      <c r="C338" s="297">
        <f t="shared" si="47"/>
        <v>0</v>
      </c>
      <c r="D338" s="298">
        <f t="shared" si="46"/>
        <v>0</v>
      </c>
      <c r="E338" s="299">
        <f t="shared" si="41"/>
        <v>0</v>
      </c>
      <c r="F338" s="299">
        <f t="shared" si="48"/>
        <v>0</v>
      </c>
      <c r="G338" s="299">
        <f t="shared" si="43"/>
        <v>0</v>
      </c>
      <c r="H338" s="298">
        <f t="shared" si="44"/>
        <v>0</v>
      </c>
      <c r="I338" s="294"/>
      <c r="O338" s="295">
        <f t="shared" si="42"/>
        <v>319</v>
      </c>
    </row>
    <row r="339" spans="1:15">
      <c r="A339" s="286"/>
      <c r="B339" s="296">
        <f t="shared" si="45"/>
        <v>320</v>
      </c>
      <c r="C339" s="297">
        <f t="shared" si="47"/>
        <v>0</v>
      </c>
      <c r="D339" s="298">
        <f t="shared" si="46"/>
        <v>0</v>
      </c>
      <c r="E339" s="299">
        <f t="shared" ref="E339:E402" si="49">IF(H338&lt;=E338,H338+G339,$H$10)</f>
        <v>0</v>
      </c>
      <c r="F339" s="299">
        <f t="shared" si="48"/>
        <v>0</v>
      </c>
      <c r="G339" s="299">
        <f t="shared" si="43"/>
        <v>0</v>
      </c>
      <c r="H339" s="298">
        <f t="shared" si="44"/>
        <v>0</v>
      </c>
      <c r="I339" s="294"/>
      <c r="O339" s="295">
        <f t="shared" si="42"/>
        <v>320</v>
      </c>
    </row>
    <row r="340" spans="1:15">
      <c r="A340" s="286"/>
      <c r="B340" s="296">
        <f t="shared" si="45"/>
        <v>321</v>
      </c>
      <c r="C340" s="297">
        <f t="shared" si="47"/>
        <v>0</v>
      </c>
      <c r="D340" s="298">
        <f t="shared" si="46"/>
        <v>0</v>
      </c>
      <c r="E340" s="299">
        <f t="shared" si="49"/>
        <v>0</v>
      </c>
      <c r="F340" s="299">
        <f t="shared" si="48"/>
        <v>0</v>
      </c>
      <c r="G340" s="299">
        <f t="shared" si="43"/>
        <v>0</v>
      </c>
      <c r="H340" s="298">
        <f t="shared" si="44"/>
        <v>0</v>
      </c>
      <c r="I340" s="294"/>
      <c r="O340" s="295">
        <f t="shared" ref="O340:O379" si="50">IF(H340=0,B340,"n.a.")</f>
        <v>321</v>
      </c>
    </row>
    <row r="341" spans="1:15">
      <c r="A341" s="286"/>
      <c r="B341" s="296">
        <f t="shared" si="45"/>
        <v>322</v>
      </c>
      <c r="C341" s="297">
        <f t="shared" si="47"/>
        <v>0</v>
      </c>
      <c r="D341" s="298">
        <f t="shared" si="46"/>
        <v>0</v>
      </c>
      <c r="E341" s="299">
        <f t="shared" si="49"/>
        <v>0</v>
      </c>
      <c r="F341" s="299">
        <f t="shared" si="48"/>
        <v>0</v>
      </c>
      <c r="G341" s="299">
        <f t="shared" ref="G341:G404" si="51">C341*(D341/365)*30</f>
        <v>0</v>
      </c>
      <c r="H341" s="298">
        <f t="shared" ref="H341:H404" si="52">IF((D341+G341-E341)&lt;0,0,D341+G341-E341)</f>
        <v>0</v>
      </c>
      <c r="I341" s="294"/>
      <c r="O341" s="295">
        <f t="shared" si="50"/>
        <v>322</v>
      </c>
    </row>
    <row r="342" spans="1:15">
      <c r="A342" s="286"/>
      <c r="B342" s="296">
        <f t="shared" ref="B342:B405" si="53">B341+1</f>
        <v>323</v>
      </c>
      <c r="C342" s="297">
        <f t="shared" si="47"/>
        <v>0</v>
      </c>
      <c r="D342" s="298">
        <f t="shared" ref="D342:D405" si="54">H341</f>
        <v>0</v>
      </c>
      <c r="E342" s="299">
        <f t="shared" si="49"/>
        <v>0</v>
      </c>
      <c r="F342" s="299">
        <f t="shared" si="48"/>
        <v>0</v>
      </c>
      <c r="G342" s="299">
        <f t="shared" si="51"/>
        <v>0</v>
      </c>
      <c r="H342" s="298">
        <f t="shared" si="52"/>
        <v>0</v>
      </c>
      <c r="I342" s="294"/>
      <c r="O342" s="295">
        <f t="shared" si="50"/>
        <v>323</v>
      </c>
    </row>
    <row r="343" spans="1:15">
      <c r="A343" s="286"/>
      <c r="B343" s="300">
        <f t="shared" si="53"/>
        <v>324</v>
      </c>
      <c r="C343" s="301">
        <f t="shared" si="47"/>
        <v>0</v>
      </c>
      <c r="D343" s="302">
        <f t="shared" si="54"/>
        <v>0</v>
      </c>
      <c r="E343" s="303">
        <f t="shared" si="49"/>
        <v>0</v>
      </c>
      <c r="F343" s="303">
        <f t="shared" si="48"/>
        <v>0</v>
      </c>
      <c r="G343" s="303">
        <f t="shared" si="51"/>
        <v>0</v>
      </c>
      <c r="H343" s="302">
        <f t="shared" si="52"/>
        <v>0</v>
      </c>
      <c r="I343" s="304" t="e">
        <f>H343/$D$5</f>
        <v>#VALUE!</v>
      </c>
      <c r="J343" s="305"/>
      <c r="K343" s="305"/>
      <c r="L343" s="305"/>
      <c r="M343" s="305"/>
      <c r="N343" s="305"/>
      <c r="O343" s="306">
        <f t="shared" si="50"/>
        <v>324</v>
      </c>
    </row>
    <row r="344" spans="1:15">
      <c r="A344" s="286"/>
      <c r="B344" s="296">
        <f t="shared" si="53"/>
        <v>325</v>
      </c>
      <c r="C344" s="297">
        <f t="shared" si="47"/>
        <v>0</v>
      </c>
      <c r="D344" s="298">
        <f t="shared" si="54"/>
        <v>0</v>
      </c>
      <c r="E344" s="299">
        <f t="shared" si="49"/>
        <v>0</v>
      </c>
      <c r="F344" s="299">
        <f t="shared" si="48"/>
        <v>0</v>
      </c>
      <c r="G344" s="299">
        <f t="shared" si="51"/>
        <v>0</v>
      </c>
      <c r="H344" s="298">
        <f t="shared" si="52"/>
        <v>0</v>
      </c>
      <c r="I344" s="294"/>
      <c r="O344" s="295">
        <f t="shared" si="50"/>
        <v>325</v>
      </c>
    </row>
    <row r="345" spans="1:15">
      <c r="A345" s="286"/>
      <c r="B345" s="296">
        <f t="shared" si="53"/>
        <v>326</v>
      </c>
      <c r="C345" s="297">
        <f t="shared" si="47"/>
        <v>0</v>
      </c>
      <c r="D345" s="298">
        <f t="shared" si="54"/>
        <v>0</v>
      </c>
      <c r="E345" s="299">
        <f t="shared" si="49"/>
        <v>0</v>
      </c>
      <c r="F345" s="299">
        <f t="shared" si="48"/>
        <v>0</v>
      </c>
      <c r="G345" s="299">
        <f t="shared" si="51"/>
        <v>0</v>
      </c>
      <c r="H345" s="298">
        <f t="shared" si="52"/>
        <v>0</v>
      </c>
      <c r="I345" s="294"/>
      <c r="O345" s="295">
        <f t="shared" si="50"/>
        <v>326</v>
      </c>
    </row>
    <row r="346" spans="1:15">
      <c r="A346" s="286"/>
      <c r="B346" s="296">
        <f t="shared" si="53"/>
        <v>327</v>
      </c>
      <c r="C346" s="297">
        <f t="shared" si="47"/>
        <v>0</v>
      </c>
      <c r="D346" s="298">
        <f t="shared" si="54"/>
        <v>0</v>
      </c>
      <c r="E346" s="299">
        <f t="shared" si="49"/>
        <v>0</v>
      </c>
      <c r="F346" s="299">
        <f t="shared" si="48"/>
        <v>0</v>
      </c>
      <c r="G346" s="299">
        <f t="shared" si="51"/>
        <v>0</v>
      </c>
      <c r="H346" s="298">
        <f t="shared" si="52"/>
        <v>0</v>
      </c>
      <c r="I346" s="294"/>
      <c r="O346" s="295">
        <f t="shared" si="50"/>
        <v>327</v>
      </c>
    </row>
    <row r="347" spans="1:15">
      <c r="A347" s="286"/>
      <c r="B347" s="296">
        <f t="shared" si="53"/>
        <v>328</v>
      </c>
      <c r="C347" s="297">
        <f t="shared" si="47"/>
        <v>0</v>
      </c>
      <c r="D347" s="298">
        <f t="shared" si="54"/>
        <v>0</v>
      </c>
      <c r="E347" s="299">
        <f t="shared" si="49"/>
        <v>0</v>
      </c>
      <c r="F347" s="299">
        <f t="shared" si="48"/>
        <v>0</v>
      </c>
      <c r="G347" s="299">
        <f t="shared" si="51"/>
        <v>0</v>
      </c>
      <c r="H347" s="298">
        <f t="shared" si="52"/>
        <v>0</v>
      </c>
      <c r="I347" s="294"/>
      <c r="O347" s="295">
        <f t="shared" si="50"/>
        <v>328</v>
      </c>
    </row>
    <row r="348" spans="1:15">
      <c r="A348" s="286"/>
      <c r="B348" s="296">
        <f t="shared" si="53"/>
        <v>329</v>
      </c>
      <c r="C348" s="297">
        <f t="shared" si="47"/>
        <v>0</v>
      </c>
      <c r="D348" s="298">
        <f t="shared" si="54"/>
        <v>0</v>
      </c>
      <c r="E348" s="299">
        <f t="shared" si="49"/>
        <v>0</v>
      </c>
      <c r="F348" s="299">
        <f t="shared" si="48"/>
        <v>0</v>
      </c>
      <c r="G348" s="299">
        <f t="shared" si="51"/>
        <v>0</v>
      </c>
      <c r="H348" s="298">
        <f t="shared" si="52"/>
        <v>0</v>
      </c>
      <c r="I348" s="294"/>
      <c r="O348" s="295">
        <f t="shared" si="50"/>
        <v>329</v>
      </c>
    </row>
    <row r="349" spans="1:15">
      <c r="A349" s="286"/>
      <c r="B349" s="296">
        <f t="shared" si="53"/>
        <v>330</v>
      </c>
      <c r="C349" s="297">
        <f t="shared" si="47"/>
        <v>0</v>
      </c>
      <c r="D349" s="298">
        <f t="shared" si="54"/>
        <v>0</v>
      </c>
      <c r="E349" s="299">
        <f t="shared" si="49"/>
        <v>0</v>
      </c>
      <c r="F349" s="299">
        <f t="shared" si="48"/>
        <v>0</v>
      </c>
      <c r="G349" s="299">
        <f t="shared" si="51"/>
        <v>0</v>
      </c>
      <c r="H349" s="298">
        <f t="shared" si="52"/>
        <v>0</v>
      </c>
      <c r="I349" s="294"/>
      <c r="O349" s="295">
        <f t="shared" si="50"/>
        <v>330</v>
      </c>
    </row>
    <row r="350" spans="1:15">
      <c r="A350" s="286"/>
      <c r="B350" s="296">
        <f t="shared" si="53"/>
        <v>331</v>
      </c>
      <c r="C350" s="307">
        <f t="shared" si="47"/>
        <v>0</v>
      </c>
      <c r="D350" s="298">
        <f t="shared" si="54"/>
        <v>0</v>
      </c>
      <c r="E350" s="299">
        <f t="shared" si="49"/>
        <v>0</v>
      </c>
      <c r="F350" s="299">
        <f t="shared" si="48"/>
        <v>0</v>
      </c>
      <c r="G350" s="299">
        <f t="shared" si="51"/>
        <v>0</v>
      </c>
      <c r="H350" s="298">
        <f t="shared" si="52"/>
        <v>0</v>
      </c>
      <c r="I350" s="294"/>
      <c r="O350" s="295">
        <f t="shared" si="50"/>
        <v>331</v>
      </c>
    </row>
    <row r="351" spans="1:15">
      <c r="A351" s="286"/>
      <c r="B351" s="296">
        <f t="shared" si="53"/>
        <v>332</v>
      </c>
      <c r="C351" s="307">
        <f t="shared" si="47"/>
        <v>0</v>
      </c>
      <c r="D351" s="298">
        <f t="shared" si="54"/>
        <v>0</v>
      </c>
      <c r="E351" s="299">
        <f t="shared" si="49"/>
        <v>0</v>
      </c>
      <c r="F351" s="299">
        <f t="shared" si="48"/>
        <v>0</v>
      </c>
      <c r="G351" s="299">
        <f t="shared" si="51"/>
        <v>0</v>
      </c>
      <c r="H351" s="298">
        <f t="shared" si="52"/>
        <v>0</v>
      </c>
      <c r="I351" s="294"/>
      <c r="O351" s="295">
        <f t="shared" si="50"/>
        <v>332</v>
      </c>
    </row>
    <row r="352" spans="1:15">
      <c r="A352" s="286"/>
      <c r="B352" s="296">
        <f t="shared" si="53"/>
        <v>333</v>
      </c>
      <c r="C352" s="307">
        <f t="shared" si="47"/>
        <v>0</v>
      </c>
      <c r="D352" s="298">
        <f t="shared" si="54"/>
        <v>0</v>
      </c>
      <c r="E352" s="299">
        <f t="shared" si="49"/>
        <v>0</v>
      </c>
      <c r="F352" s="299">
        <f t="shared" si="48"/>
        <v>0</v>
      </c>
      <c r="G352" s="299">
        <f t="shared" si="51"/>
        <v>0</v>
      </c>
      <c r="H352" s="298">
        <f t="shared" si="52"/>
        <v>0</v>
      </c>
      <c r="I352" s="294"/>
      <c r="O352" s="295">
        <f t="shared" si="50"/>
        <v>333</v>
      </c>
    </row>
    <row r="353" spans="1:15">
      <c r="A353" s="286"/>
      <c r="B353" s="296">
        <f t="shared" si="53"/>
        <v>334</v>
      </c>
      <c r="C353" s="307">
        <f t="shared" si="47"/>
        <v>0</v>
      </c>
      <c r="D353" s="298">
        <f t="shared" si="54"/>
        <v>0</v>
      </c>
      <c r="E353" s="299">
        <f t="shared" si="49"/>
        <v>0</v>
      </c>
      <c r="F353" s="299">
        <f t="shared" si="48"/>
        <v>0</v>
      </c>
      <c r="G353" s="299">
        <f t="shared" si="51"/>
        <v>0</v>
      </c>
      <c r="H353" s="298">
        <f t="shared" si="52"/>
        <v>0</v>
      </c>
      <c r="I353" s="294"/>
      <c r="O353" s="295">
        <f t="shared" si="50"/>
        <v>334</v>
      </c>
    </row>
    <row r="354" spans="1:15">
      <c r="A354" s="286"/>
      <c r="B354" s="296">
        <f t="shared" si="53"/>
        <v>335</v>
      </c>
      <c r="C354" s="307">
        <f t="shared" si="47"/>
        <v>0</v>
      </c>
      <c r="D354" s="298">
        <f t="shared" si="54"/>
        <v>0</v>
      </c>
      <c r="E354" s="299">
        <f t="shared" si="49"/>
        <v>0</v>
      </c>
      <c r="F354" s="299">
        <f t="shared" si="48"/>
        <v>0</v>
      </c>
      <c r="G354" s="299">
        <f t="shared" si="51"/>
        <v>0</v>
      </c>
      <c r="H354" s="298">
        <f t="shared" si="52"/>
        <v>0</v>
      </c>
      <c r="I354" s="294"/>
      <c r="O354" s="295">
        <f t="shared" si="50"/>
        <v>335</v>
      </c>
    </row>
    <row r="355" spans="1:15">
      <c r="A355" s="286"/>
      <c r="B355" s="300">
        <f t="shared" si="53"/>
        <v>336</v>
      </c>
      <c r="C355" s="308">
        <f t="shared" si="47"/>
        <v>0</v>
      </c>
      <c r="D355" s="302">
        <f t="shared" si="54"/>
        <v>0</v>
      </c>
      <c r="E355" s="303">
        <f t="shared" si="49"/>
        <v>0</v>
      </c>
      <c r="F355" s="303">
        <f t="shared" si="48"/>
        <v>0</v>
      </c>
      <c r="G355" s="303">
        <f t="shared" si="51"/>
        <v>0</v>
      </c>
      <c r="H355" s="302">
        <f t="shared" si="52"/>
        <v>0</v>
      </c>
      <c r="I355" s="304" t="e">
        <f>H355/$D$5</f>
        <v>#VALUE!</v>
      </c>
      <c r="J355" s="305"/>
      <c r="K355" s="305"/>
      <c r="L355" s="305"/>
      <c r="M355" s="305"/>
      <c r="N355" s="305"/>
      <c r="O355" s="306">
        <f t="shared" si="50"/>
        <v>336</v>
      </c>
    </row>
    <row r="356" spans="1:15">
      <c r="A356" s="286"/>
      <c r="B356" s="296">
        <f t="shared" si="53"/>
        <v>337</v>
      </c>
      <c r="C356" s="307">
        <f t="shared" si="47"/>
        <v>0</v>
      </c>
      <c r="D356" s="298">
        <f t="shared" si="54"/>
        <v>0</v>
      </c>
      <c r="E356" s="299">
        <f t="shared" si="49"/>
        <v>0</v>
      </c>
      <c r="F356" s="299">
        <f t="shared" si="48"/>
        <v>0</v>
      </c>
      <c r="G356" s="299">
        <f t="shared" si="51"/>
        <v>0</v>
      </c>
      <c r="H356" s="298">
        <f t="shared" si="52"/>
        <v>0</v>
      </c>
      <c r="I356" s="294"/>
      <c r="O356" s="295">
        <f t="shared" si="50"/>
        <v>337</v>
      </c>
    </row>
    <row r="357" spans="1:15">
      <c r="A357" s="286"/>
      <c r="B357" s="296">
        <f t="shared" si="53"/>
        <v>338</v>
      </c>
      <c r="C357" s="307">
        <f t="shared" si="47"/>
        <v>0</v>
      </c>
      <c r="D357" s="298">
        <f t="shared" si="54"/>
        <v>0</v>
      </c>
      <c r="E357" s="299">
        <f t="shared" si="49"/>
        <v>0</v>
      </c>
      <c r="F357" s="299">
        <f t="shared" si="48"/>
        <v>0</v>
      </c>
      <c r="G357" s="299">
        <f t="shared" si="51"/>
        <v>0</v>
      </c>
      <c r="H357" s="298">
        <f t="shared" si="52"/>
        <v>0</v>
      </c>
      <c r="I357" s="294"/>
      <c r="O357" s="295">
        <f t="shared" si="50"/>
        <v>338</v>
      </c>
    </row>
    <row r="358" spans="1:15">
      <c r="A358" s="286"/>
      <c r="B358" s="296">
        <f t="shared" si="53"/>
        <v>339</v>
      </c>
      <c r="C358" s="307">
        <f t="shared" si="47"/>
        <v>0</v>
      </c>
      <c r="D358" s="298">
        <f t="shared" si="54"/>
        <v>0</v>
      </c>
      <c r="E358" s="299">
        <f t="shared" si="49"/>
        <v>0</v>
      </c>
      <c r="F358" s="299">
        <f t="shared" si="48"/>
        <v>0</v>
      </c>
      <c r="G358" s="299">
        <f t="shared" si="51"/>
        <v>0</v>
      </c>
      <c r="H358" s="298">
        <f t="shared" si="52"/>
        <v>0</v>
      </c>
      <c r="I358" s="294"/>
      <c r="O358" s="295">
        <f t="shared" si="50"/>
        <v>339</v>
      </c>
    </row>
    <row r="359" spans="1:15">
      <c r="A359" s="286"/>
      <c r="B359" s="296">
        <f t="shared" si="53"/>
        <v>340</v>
      </c>
      <c r="C359" s="307">
        <f t="shared" si="47"/>
        <v>0</v>
      </c>
      <c r="D359" s="298">
        <f t="shared" si="54"/>
        <v>0</v>
      </c>
      <c r="E359" s="299">
        <f t="shared" si="49"/>
        <v>0</v>
      </c>
      <c r="F359" s="299">
        <f t="shared" si="48"/>
        <v>0</v>
      </c>
      <c r="G359" s="299">
        <f t="shared" si="51"/>
        <v>0</v>
      </c>
      <c r="H359" s="298">
        <f t="shared" si="52"/>
        <v>0</v>
      </c>
      <c r="I359" s="294"/>
      <c r="O359" s="295">
        <f t="shared" si="50"/>
        <v>340</v>
      </c>
    </row>
    <row r="360" spans="1:15">
      <c r="A360" s="286"/>
      <c r="B360" s="296">
        <f t="shared" si="53"/>
        <v>341</v>
      </c>
      <c r="C360" s="307">
        <f t="shared" si="47"/>
        <v>0</v>
      </c>
      <c r="D360" s="298">
        <f t="shared" si="54"/>
        <v>0</v>
      </c>
      <c r="E360" s="299">
        <f t="shared" si="49"/>
        <v>0</v>
      </c>
      <c r="F360" s="299">
        <f t="shared" si="48"/>
        <v>0</v>
      </c>
      <c r="G360" s="299">
        <f t="shared" si="51"/>
        <v>0</v>
      </c>
      <c r="H360" s="298">
        <f t="shared" si="52"/>
        <v>0</v>
      </c>
      <c r="I360" s="294"/>
      <c r="O360" s="295">
        <f t="shared" si="50"/>
        <v>341</v>
      </c>
    </row>
    <row r="361" spans="1:15">
      <c r="A361" s="286"/>
      <c r="B361" s="296">
        <f t="shared" si="53"/>
        <v>342</v>
      </c>
      <c r="C361" s="307">
        <f t="shared" si="47"/>
        <v>0</v>
      </c>
      <c r="D361" s="298">
        <f t="shared" si="54"/>
        <v>0</v>
      </c>
      <c r="E361" s="299">
        <f t="shared" si="49"/>
        <v>0</v>
      </c>
      <c r="F361" s="299">
        <f t="shared" si="48"/>
        <v>0</v>
      </c>
      <c r="G361" s="299">
        <f t="shared" si="51"/>
        <v>0</v>
      </c>
      <c r="H361" s="298">
        <f t="shared" si="52"/>
        <v>0</v>
      </c>
      <c r="I361" s="294"/>
      <c r="O361" s="295">
        <f t="shared" si="50"/>
        <v>342</v>
      </c>
    </row>
    <row r="362" spans="1:15">
      <c r="A362" s="286"/>
      <c r="B362" s="296">
        <f t="shared" si="53"/>
        <v>343</v>
      </c>
      <c r="C362" s="307">
        <f t="shared" si="47"/>
        <v>0</v>
      </c>
      <c r="D362" s="298">
        <f t="shared" si="54"/>
        <v>0</v>
      </c>
      <c r="E362" s="299">
        <f t="shared" si="49"/>
        <v>0</v>
      </c>
      <c r="F362" s="299">
        <f t="shared" si="48"/>
        <v>0</v>
      </c>
      <c r="G362" s="299">
        <f t="shared" si="51"/>
        <v>0</v>
      </c>
      <c r="H362" s="298">
        <f t="shared" si="52"/>
        <v>0</v>
      </c>
      <c r="I362" s="294"/>
      <c r="O362" s="295">
        <f t="shared" si="50"/>
        <v>343</v>
      </c>
    </row>
    <row r="363" spans="1:15">
      <c r="A363" s="286"/>
      <c r="B363" s="296">
        <f t="shared" si="53"/>
        <v>344</v>
      </c>
      <c r="C363" s="307">
        <f t="shared" si="47"/>
        <v>0</v>
      </c>
      <c r="D363" s="298">
        <f t="shared" si="54"/>
        <v>0</v>
      </c>
      <c r="E363" s="299">
        <f t="shared" si="49"/>
        <v>0</v>
      </c>
      <c r="F363" s="299">
        <f t="shared" si="48"/>
        <v>0</v>
      </c>
      <c r="G363" s="299">
        <f t="shared" si="51"/>
        <v>0</v>
      </c>
      <c r="H363" s="298">
        <f t="shared" si="52"/>
        <v>0</v>
      </c>
      <c r="I363" s="294"/>
      <c r="O363" s="295">
        <f t="shared" si="50"/>
        <v>344</v>
      </c>
    </row>
    <row r="364" spans="1:15">
      <c r="A364" s="286"/>
      <c r="B364" s="296">
        <f t="shared" si="53"/>
        <v>345</v>
      </c>
      <c r="C364" s="307">
        <f t="shared" si="47"/>
        <v>0</v>
      </c>
      <c r="D364" s="298">
        <f t="shared" si="54"/>
        <v>0</v>
      </c>
      <c r="E364" s="299">
        <f t="shared" si="49"/>
        <v>0</v>
      </c>
      <c r="F364" s="299">
        <f t="shared" si="48"/>
        <v>0</v>
      </c>
      <c r="G364" s="299">
        <f t="shared" si="51"/>
        <v>0</v>
      </c>
      <c r="H364" s="298">
        <f t="shared" si="52"/>
        <v>0</v>
      </c>
      <c r="I364" s="294"/>
      <c r="O364" s="295">
        <f t="shared" si="50"/>
        <v>345</v>
      </c>
    </row>
    <row r="365" spans="1:15">
      <c r="A365" s="286"/>
      <c r="B365" s="296">
        <f t="shared" si="53"/>
        <v>346</v>
      </c>
      <c r="C365" s="307">
        <f t="shared" si="47"/>
        <v>0</v>
      </c>
      <c r="D365" s="298">
        <f t="shared" si="54"/>
        <v>0</v>
      </c>
      <c r="E365" s="299">
        <f t="shared" si="49"/>
        <v>0</v>
      </c>
      <c r="F365" s="299">
        <f t="shared" si="48"/>
        <v>0</v>
      </c>
      <c r="G365" s="299">
        <f t="shared" si="51"/>
        <v>0</v>
      </c>
      <c r="H365" s="298">
        <f t="shared" si="52"/>
        <v>0</v>
      </c>
      <c r="I365" s="294"/>
      <c r="O365" s="295">
        <f t="shared" si="50"/>
        <v>346</v>
      </c>
    </row>
    <row r="366" spans="1:15">
      <c r="A366" s="286"/>
      <c r="B366" s="296">
        <f t="shared" si="53"/>
        <v>347</v>
      </c>
      <c r="C366" s="307">
        <f t="shared" si="47"/>
        <v>0</v>
      </c>
      <c r="D366" s="298">
        <f t="shared" si="54"/>
        <v>0</v>
      </c>
      <c r="E366" s="299">
        <f t="shared" si="49"/>
        <v>0</v>
      </c>
      <c r="F366" s="299">
        <f t="shared" si="48"/>
        <v>0</v>
      </c>
      <c r="G366" s="299">
        <f t="shared" si="51"/>
        <v>0</v>
      </c>
      <c r="H366" s="298">
        <f t="shared" si="52"/>
        <v>0</v>
      </c>
      <c r="I366" s="294"/>
      <c r="O366" s="295">
        <f t="shared" si="50"/>
        <v>347</v>
      </c>
    </row>
    <row r="367" spans="1:15">
      <c r="A367" s="286"/>
      <c r="B367" s="300">
        <f t="shared" si="53"/>
        <v>348</v>
      </c>
      <c r="C367" s="308">
        <f t="shared" si="47"/>
        <v>0</v>
      </c>
      <c r="D367" s="302">
        <f t="shared" si="54"/>
        <v>0</v>
      </c>
      <c r="E367" s="303">
        <f t="shared" si="49"/>
        <v>0</v>
      </c>
      <c r="F367" s="303">
        <f t="shared" si="48"/>
        <v>0</v>
      </c>
      <c r="G367" s="303">
        <f t="shared" si="51"/>
        <v>0</v>
      </c>
      <c r="H367" s="302">
        <f t="shared" si="52"/>
        <v>0</v>
      </c>
      <c r="I367" s="304" t="e">
        <f>H367/$D$5</f>
        <v>#VALUE!</v>
      </c>
      <c r="J367" s="305"/>
      <c r="K367" s="305"/>
      <c r="L367" s="305"/>
      <c r="M367" s="305"/>
      <c r="N367" s="305"/>
      <c r="O367" s="306">
        <f t="shared" si="50"/>
        <v>348</v>
      </c>
    </row>
    <row r="368" spans="1:15">
      <c r="A368" s="286"/>
      <c r="B368" s="296">
        <f t="shared" si="53"/>
        <v>349</v>
      </c>
      <c r="C368" s="307">
        <f t="shared" si="47"/>
        <v>0</v>
      </c>
      <c r="D368" s="298">
        <f t="shared" si="54"/>
        <v>0</v>
      </c>
      <c r="E368" s="299">
        <f t="shared" si="49"/>
        <v>0</v>
      </c>
      <c r="F368" s="299">
        <f t="shared" si="48"/>
        <v>0</v>
      </c>
      <c r="G368" s="299">
        <f t="shared" si="51"/>
        <v>0</v>
      </c>
      <c r="H368" s="298">
        <f t="shared" si="52"/>
        <v>0</v>
      </c>
      <c r="I368" s="294"/>
      <c r="O368" s="295">
        <f t="shared" si="50"/>
        <v>349</v>
      </c>
    </row>
    <row r="369" spans="1:15">
      <c r="A369" s="286"/>
      <c r="B369" s="296">
        <f t="shared" si="53"/>
        <v>350</v>
      </c>
      <c r="C369" s="307">
        <f t="shared" si="47"/>
        <v>0</v>
      </c>
      <c r="D369" s="298">
        <f t="shared" si="54"/>
        <v>0</v>
      </c>
      <c r="E369" s="299">
        <f t="shared" si="49"/>
        <v>0</v>
      </c>
      <c r="F369" s="299">
        <f t="shared" si="48"/>
        <v>0</v>
      </c>
      <c r="G369" s="299">
        <f t="shared" si="51"/>
        <v>0</v>
      </c>
      <c r="H369" s="298">
        <f t="shared" si="52"/>
        <v>0</v>
      </c>
      <c r="I369" s="294"/>
      <c r="O369" s="295">
        <f t="shared" si="50"/>
        <v>350</v>
      </c>
    </row>
    <row r="370" spans="1:15">
      <c r="A370" s="286"/>
      <c r="B370" s="296">
        <f t="shared" si="53"/>
        <v>351</v>
      </c>
      <c r="C370" s="307">
        <f t="shared" si="47"/>
        <v>0</v>
      </c>
      <c r="D370" s="298">
        <f t="shared" si="54"/>
        <v>0</v>
      </c>
      <c r="E370" s="299">
        <f t="shared" si="49"/>
        <v>0</v>
      </c>
      <c r="F370" s="299">
        <f t="shared" si="48"/>
        <v>0</v>
      </c>
      <c r="G370" s="299">
        <f t="shared" si="51"/>
        <v>0</v>
      </c>
      <c r="H370" s="298">
        <f t="shared" si="52"/>
        <v>0</v>
      </c>
      <c r="I370" s="294"/>
      <c r="O370" s="295">
        <f t="shared" si="50"/>
        <v>351</v>
      </c>
    </row>
    <row r="371" spans="1:15">
      <c r="A371" s="286"/>
      <c r="B371" s="296">
        <f t="shared" si="53"/>
        <v>352</v>
      </c>
      <c r="C371" s="307">
        <f t="shared" si="47"/>
        <v>0</v>
      </c>
      <c r="D371" s="298">
        <f t="shared" si="54"/>
        <v>0</v>
      </c>
      <c r="E371" s="299">
        <f t="shared" si="49"/>
        <v>0</v>
      </c>
      <c r="F371" s="299">
        <f t="shared" si="48"/>
        <v>0</v>
      </c>
      <c r="G371" s="299">
        <f t="shared" si="51"/>
        <v>0</v>
      </c>
      <c r="H371" s="298">
        <f t="shared" si="52"/>
        <v>0</v>
      </c>
      <c r="I371" s="294"/>
      <c r="O371" s="295">
        <f t="shared" si="50"/>
        <v>352</v>
      </c>
    </row>
    <row r="372" spans="1:15">
      <c r="A372" s="286"/>
      <c r="B372" s="296">
        <f t="shared" si="53"/>
        <v>353</v>
      </c>
      <c r="C372" s="307">
        <f t="shared" si="47"/>
        <v>0</v>
      </c>
      <c r="D372" s="298">
        <f t="shared" si="54"/>
        <v>0</v>
      </c>
      <c r="E372" s="299">
        <f t="shared" si="49"/>
        <v>0</v>
      </c>
      <c r="F372" s="299">
        <f t="shared" si="48"/>
        <v>0</v>
      </c>
      <c r="G372" s="299">
        <f t="shared" si="51"/>
        <v>0</v>
      </c>
      <c r="H372" s="298">
        <f t="shared" si="52"/>
        <v>0</v>
      </c>
      <c r="I372" s="294"/>
      <c r="O372" s="295">
        <f t="shared" si="50"/>
        <v>353</v>
      </c>
    </row>
    <row r="373" spans="1:15">
      <c r="A373" s="286"/>
      <c r="B373" s="296">
        <f t="shared" si="53"/>
        <v>354</v>
      </c>
      <c r="C373" s="307">
        <f t="shared" si="47"/>
        <v>0</v>
      </c>
      <c r="D373" s="298">
        <f t="shared" si="54"/>
        <v>0</v>
      </c>
      <c r="E373" s="299">
        <f t="shared" si="49"/>
        <v>0</v>
      </c>
      <c r="F373" s="299">
        <f t="shared" si="48"/>
        <v>0</v>
      </c>
      <c r="G373" s="299">
        <f t="shared" si="51"/>
        <v>0</v>
      </c>
      <c r="H373" s="298">
        <f t="shared" si="52"/>
        <v>0</v>
      </c>
      <c r="I373" s="294"/>
      <c r="O373" s="295">
        <f t="shared" si="50"/>
        <v>354</v>
      </c>
    </row>
    <row r="374" spans="1:15">
      <c r="A374" s="286"/>
      <c r="B374" s="296">
        <f t="shared" si="53"/>
        <v>355</v>
      </c>
      <c r="C374" s="307">
        <f t="shared" si="47"/>
        <v>0</v>
      </c>
      <c r="D374" s="298">
        <f t="shared" si="54"/>
        <v>0</v>
      </c>
      <c r="E374" s="299">
        <f t="shared" si="49"/>
        <v>0</v>
      </c>
      <c r="F374" s="299">
        <f t="shared" si="48"/>
        <v>0</v>
      </c>
      <c r="G374" s="299">
        <f t="shared" si="51"/>
        <v>0</v>
      </c>
      <c r="H374" s="298">
        <f t="shared" si="52"/>
        <v>0</v>
      </c>
      <c r="I374" s="294"/>
      <c r="O374" s="295">
        <f t="shared" si="50"/>
        <v>355</v>
      </c>
    </row>
    <row r="375" spans="1:15">
      <c r="A375" s="286"/>
      <c r="B375" s="296">
        <f t="shared" si="53"/>
        <v>356</v>
      </c>
      <c r="C375" s="307">
        <f t="shared" si="47"/>
        <v>0</v>
      </c>
      <c r="D375" s="298">
        <f t="shared" si="54"/>
        <v>0</v>
      </c>
      <c r="E375" s="299">
        <f t="shared" si="49"/>
        <v>0</v>
      </c>
      <c r="F375" s="299">
        <f t="shared" si="48"/>
        <v>0</v>
      </c>
      <c r="G375" s="299">
        <f t="shared" si="51"/>
        <v>0</v>
      </c>
      <c r="H375" s="298">
        <f t="shared" si="52"/>
        <v>0</v>
      </c>
      <c r="I375" s="294"/>
      <c r="O375" s="295">
        <f t="shared" si="50"/>
        <v>356</v>
      </c>
    </row>
    <row r="376" spans="1:15">
      <c r="A376" s="286"/>
      <c r="B376" s="296">
        <f t="shared" si="53"/>
        <v>357</v>
      </c>
      <c r="C376" s="307">
        <f t="shared" ref="C376:C431" si="55">IF(D376&gt;0,$F$7,0)</f>
        <v>0</v>
      </c>
      <c r="D376" s="298">
        <f t="shared" si="54"/>
        <v>0</v>
      </c>
      <c r="E376" s="299">
        <f t="shared" si="49"/>
        <v>0</v>
      </c>
      <c r="F376" s="299">
        <f t="shared" si="48"/>
        <v>0</v>
      </c>
      <c r="G376" s="299">
        <f t="shared" si="51"/>
        <v>0</v>
      </c>
      <c r="H376" s="298">
        <f t="shared" si="52"/>
        <v>0</v>
      </c>
      <c r="I376" s="294"/>
      <c r="O376" s="295">
        <f t="shared" si="50"/>
        <v>357</v>
      </c>
    </row>
    <row r="377" spans="1:15">
      <c r="A377" s="286"/>
      <c r="B377" s="296">
        <f t="shared" si="53"/>
        <v>358</v>
      </c>
      <c r="C377" s="307">
        <f t="shared" si="55"/>
        <v>0</v>
      </c>
      <c r="D377" s="298">
        <f t="shared" si="54"/>
        <v>0</v>
      </c>
      <c r="E377" s="299">
        <f t="shared" si="49"/>
        <v>0</v>
      </c>
      <c r="F377" s="299">
        <f t="shared" si="48"/>
        <v>0</v>
      </c>
      <c r="G377" s="299">
        <f t="shared" si="51"/>
        <v>0</v>
      </c>
      <c r="H377" s="298">
        <f t="shared" si="52"/>
        <v>0</v>
      </c>
      <c r="I377" s="294"/>
      <c r="O377" s="295">
        <f t="shared" si="50"/>
        <v>358</v>
      </c>
    </row>
    <row r="378" spans="1:15">
      <c r="A378" s="286"/>
      <c r="B378" s="296">
        <f t="shared" si="53"/>
        <v>359</v>
      </c>
      <c r="C378" s="307">
        <f t="shared" si="55"/>
        <v>0</v>
      </c>
      <c r="D378" s="298">
        <f t="shared" si="54"/>
        <v>0</v>
      </c>
      <c r="E378" s="299">
        <f t="shared" si="49"/>
        <v>0</v>
      </c>
      <c r="F378" s="299">
        <f t="shared" si="48"/>
        <v>0</v>
      </c>
      <c r="G378" s="299">
        <f t="shared" si="51"/>
        <v>0</v>
      </c>
      <c r="H378" s="298">
        <f t="shared" si="52"/>
        <v>0</v>
      </c>
      <c r="I378" s="294"/>
      <c r="O378" s="295">
        <f t="shared" si="50"/>
        <v>359</v>
      </c>
    </row>
    <row r="379" spans="1:15">
      <c r="A379" s="286"/>
      <c r="B379" s="309">
        <f t="shared" si="53"/>
        <v>360</v>
      </c>
      <c r="C379" s="310">
        <f t="shared" si="55"/>
        <v>0</v>
      </c>
      <c r="D379" s="311">
        <f t="shared" si="54"/>
        <v>0</v>
      </c>
      <c r="E379" s="312">
        <f t="shared" si="49"/>
        <v>0</v>
      </c>
      <c r="F379" s="312">
        <f t="shared" si="48"/>
        <v>0</v>
      </c>
      <c r="G379" s="312">
        <f t="shared" si="51"/>
        <v>0</v>
      </c>
      <c r="H379" s="311">
        <f t="shared" si="52"/>
        <v>0</v>
      </c>
      <c r="I379" s="304" t="e">
        <f>H379/$D$5</f>
        <v>#VALUE!</v>
      </c>
      <c r="J379" s="305"/>
      <c r="K379" s="305"/>
      <c r="L379" s="305"/>
      <c r="M379" s="305"/>
      <c r="N379" s="305"/>
      <c r="O379" s="306">
        <f t="shared" si="50"/>
        <v>360</v>
      </c>
    </row>
    <row r="380" spans="1:15">
      <c r="B380" s="296">
        <f t="shared" si="53"/>
        <v>361</v>
      </c>
      <c r="C380" s="307">
        <f t="shared" si="55"/>
        <v>0</v>
      </c>
      <c r="D380" s="298">
        <f t="shared" si="54"/>
        <v>0</v>
      </c>
      <c r="E380" s="299">
        <f t="shared" si="49"/>
        <v>0</v>
      </c>
      <c r="F380" s="299">
        <f t="shared" si="48"/>
        <v>0</v>
      </c>
      <c r="G380" s="299">
        <f t="shared" si="51"/>
        <v>0</v>
      </c>
      <c r="H380" s="298">
        <f t="shared" si="52"/>
        <v>0</v>
      </c>
    </row>
    <row r="381" spans="1:15">
      <c r="B381" s="296">
        <f t="shared" si="53"/>
        <v>362</v>
      </c>
      <c r="C381" s="307">
        <f t="shared" si="55"/>
        <v>0</v>
      </c>
      <c r="D381" s="298">
        <f t="shared" si="54"/>
        <v>0</v>
      </c>
      <c r="E381" s="299">
        <f t="shared" si="49"/>
        <v>0</v>
      </c>
      <c r="F381" s="299">
        <f t="shared" si="48"/>
        <v>0</v>
      </c>
      <c r="G381" s="299">
        <f t="shared" si="51"/>
        <v>0</v>
      </c>
      <c r="H381" s="298">
        <f t="shared" si="52"/>
        <v>0</v>
      </c>
    </row>
    <row r="382" spans="1:15">
      <c r="B382" s="296">
        <f t="shared" si="53"/>
        <v>363</v>
      </c>
      <c r="C382" s="307">
        <f t="shared" si="55"/>
        <v>0</v>
      </c>
      <c r="D382" s="298">
        <f t="shared" si="54"/>
        <v>0</v>
      </c>
      <c r="E382" s="299">
        <f t="shared" si="49"/>
        <v>0</v>
      </c>
      <c r="F382" s="299">
        <f t="shared" si="48"/>
        <v>0</v>
      </c>
      <c r="G382" s="299">
        <f t="shared" si="51"/>
        <v>0</v>
      </c>
      <c r="H382" s="298">
        <f t="shared" si="52"/>
        <v>0</v>
      </c>
    </row>
    <row r="383" spans="1:15">
      <c r="B383" s="296">
        <f t="shared" si="53"/>
        <v>364</v>
      </c>
      <c r="C383" s="307">
        <f t="shared" si="55"/>
        <v>0</v>
      </c>
      <c r="D383" s="298">
        <f t="shared" si="54"/>
        <v>0</v>
      </c>
      <c r="E383" s="299">
        <f t="shared" si="49"/>
        <v>0</v>
      </c>
      <c r="F383" s="299">
        <f t="shared" si="48"/>
        <v>0</v>
      </c>
      <c r="G383" s="299">
        <f t="shared" si="51"/>
        <v>0</v>
      </c>
      <c r="H383" s="298">
        <f t="shared" si="52"/>
        <v>0</v>
      </c>
    </row>
    <row r="384" spans="1:15">
      <c r="B384" s="296">
        <f t="shared" si="53"/>
        <v>365</v>
      </c>
      <c r="C384" s="307">
        <f t="shared" si="55"/>
        <v>0</v>
      </c>
      <c r="D384" s="298">
        <f t="shared" si="54"/>
        <v>0</v>
      </c>
      <c r="E384" s="299">
        <f t="shared" si="49"/>
        <v>0</v>
      </c>
      <c r="F384" s="299">
        <f t="shared" si="48"/>
        <v>0</v>
      </c>
      <c r="G384" s="299">
        <f t="shared" si="51"/>
        <v>0</v>
      </c>
      <c r="H384" s="298">
        <f t="shared" si="52"/>
        <v>0</v>
      </c>
    </row>
    <row r="385" spans="2:8" s="252" customFormat="1">
      <c r="B385" s="296">
        <f t="shared" si="53"/>
        <v>366</v>
      </c>
      <c r="C385" s="307">
        <f t="shared" si="55"/>
        <v>0</v>
      </c>
      <c r="D385" s="298">
        <f t="shared" si="54"/>
        <v>0</v>
      </c>
      <c r="E385" s="299">
        <f t="shared" si="49"/>
        <v>0</v>
      </c>
      <c r="F385" s="299">
        <f t="shared" si="48"/>
        <v>0</v>
      </c>
      <c r="G385" s="299">
        <f t="shared" si="51"/>
        <v>0</v>
      </c>
      <c r="H385" s="298">
        <f t="shared" si="52"/>
        <v>0</v>
      </c>
    </row>
    <row r="386" spans="2:8" s="252" customFormat="1">
      <c r="B386" s="296">
        <f t="shared" si="53"/>
        <v>367</v>
      </c>
      <c r="C386" s="307">
        <f t="shared" si="55"/>
        <v>0</v>
      </c>
      <c r="D386" s="298">
        <f t="shared" si="54"/>
        <v>0</v>
      </c>
      <c r="E386" s="299">
        <f t="shared" si="49"/>
        <v>0</v>
      </c>
      <c r="F386" s="299">
        <f t="shared" si="48"/>
        <v>0</v>
      </c>
      <c r="G386" s="299">
        <f t="shared" si="51"/>
        <v>0</v>
      </c>
      <c r="H386" s="298">
        <f t="shared" si="52"/>
        <v>0</v>
      </c>
    </row>
    <row r="387" spans="2:8" s="252" customFormat="1">
      <c r="B387" s="296">
        <f t="shared" si="53"/>
        <v>368</v>
      </c>
      <c r="C387" s="307">
        <f t="shared" si="55"/>
        <v>0</v>
      </c>
      <c r="D387" s="298">
        <f t="shared" si="54"/>
        <v>0</v>
      </c>
      <c r="E387" s="299">
        <f t="shared" si="49"/>
        <v>0</v>
      </c>
      <c r="F387" s="299">
        <f t="shared" si="48"/>
        <v>0</v>
      </c>
      <c r="G387" s="299">
        <f t="shared" si="51"/>
        <v>0</v>
      </c>
      <c r="H387" s="298">
        <f t="shared" si="52"/>
        <v>0</v>
      </c>
    </row>
    <row r="388" spans="2:8" s="252" customFormat="1">
      <c r="B388" s="296">
        <f t="shared" si="53"/>
        <v>369</v>
      </c>
      <c r="C388" s="307">
        <f t="shared" si="55"/>
        <v>0</v>
      </c>
      <c r="D388" s="298">
        <f t="shared" si="54"/>
        <v>0</v>
      </c>
      <c r="E388" s="299">
        <f t="shared" si="49"/>
        <v>0</v>
      </c>
      <c r="F388" s="299">
        <f t="shared" si="48"/>
        <v>0</v>
      </c>
      <c r="G388" s="299">
        <f t="shared" si="51"/>
        <v>0</v>
      </c>
      <c r="H388" s="298">
        <f t="shared" si="52"/>
        <v>0</v>
      </c>
    </row>
    <row r="389" spans="2:8" s="252" customFormat="1">
      <c r="B389" s="296">
        <f t="shared" si="53"/>
        <v>370</v>
      </c>
      <c r="C389" s="307">
        <f t="shared" si="55"/>
        <v>0</v>
      </c>
      <c r="D389" s="298">
        <f t="shared" si="54"/>
        <v>0</v>
      </c>
      <c r="E389" s="299">
        <f t="shared" si="49"/>
        <v>0</v>
      </c>
      <c r="F389" s="299">
        <f t="shared" si="48"/>
        <v>0</v>
      </c>
      <c r="G389" s="299">
        <f t="shared" si="51"/>
        <v>0</v>
      </c>
      <c r="H389" s="298">
        <f t="shared" si="52"/>
        <v>0</v>
      </c>
    </row>
    <row r="390" spans="2:8" s="252" customFormat="1">
      <c r="B390" s="296">
        <f t="shared" si="53"/>
        <v>371</v>
      </c>
      <c r="C390" s="307">
        <f t="shared" si="55"/>
        <v>0</v>
      </c>
      <c r="D390" s="298">
        <f t="shared" si="54"/>
        <v>0</v>
      </c>
      <c r="E390" s="299">
        <f t="shared" si="49"/>
        <v>0</v>
      </c>
      <c r="F390" s="299">
        <f t="shared" si="48"/>
        <v>0</v>
      </c>
      <c r="G390" s="299">
        <f t="shared" si="51"/>
        <v>0</v>
      </c>
      <c r="H390" s="298">
        <f t="shared" si="52"/>
        <v>0</v>
      </c>
    </row>
    <row r="391" spans="2:8" s="252" customFormat="1">
      <c r="B391" s="309">
        <f t="shared" si="53"/>
        <v>372</v>
      </c>
      <c r="C391" s="310">
        <f t="shared" si="55"/>
        <v>0</v>
      </c>
      <c r="D391" s="311">
        <f t="shared" si="54"/>
        <v>0</v>
      </c>
      <c r="E391" s="312">
        <f t="shared" si="49"/>
        <v>0</v>
      </c>
      <c r="F391" s="312">
        <f t="shared" si="48"/>
        <v>0</v>
      </c>
      <c r="G391" s="312">
        <f t="shared" si="51"/>
        <v>0</v>
      </c>
      <c r="H391" s="311">
        <f t="shared" si="52"/>
        <v>0</v>
      </c>
    </row>
    <row r="392" spans="2:8" s="252" customFormat="1">
      <c r="B392" s="296">
        <f t="shared" si="53"/>
        <v>373</v>
      </c>
      <c r="C392" s="307">
        <f t="shared" si="55"/>
        <v>0</v>
      </c>
      <c r="D392" s="298">
        <f t="shared" si="54"/>
        <v>0</v>
      </c>
      <c r="E392" s="299">
        <f t="shared" si="49"/>
        <v>0</v>
      </c>
      <c r="F392" s="299">
        <f t="shared" si="48"/>
        <v>0</v>
      </c>
      <c r="G392" s="299">
        <f t="shared" si="51"/>
        <v>0</v>
      </c>
      <c r="H392" s="298">
        <f t="shared" si="52"/>
        <v>0</v>
      </c>
    </row>
    <row r="393" spans="2:8" s="252" customFormat="1">
      <c r="B393" s="296">
        <f t="shared" si="53"/>
        <v>374</v>
      </c>
      <c r="C393" s="307">
        <f t="shared" si="55"/>
        <v>0</v>
      </c>
      <c r="D393" s="298">
        <f t="shared" si="54"/>
        <v>0</v>
      </c>
      <c r="E393" s="299">
        <f t="shared" si="49"/>
        <v>0</v>
      </c>
      <c r="F393" s="299">
        <f t="shared" si="48"/>
        <v>0</v>
      </c>
      <c r="G393" s="299">
        <f t="shared" si="51"/>
        <v>0</v>
      </c>
      <c r="H393" s="298">
        <f t="shared" si="52"/>
        <v>0</v>
      </c>
    </row>
    <row r="394" spans="2:8" s="252" customFormat="1">
      <c r="B394" s="296">
        <f t="shared" si="53"/>
        <v>375</v>
      </c>
      <c r="C394" s="307">
        <f t="shared" si="55"/>
        <v>0</v>
      </c>
      <c r="D394" s="298">
        <f t="shared" si="54"/>
        <v>0</v>
      </c>
      <c r="E394" s="299">
        <f t="shared" si="49"/>
        <v>0</v>
      </c>
      <c r="F394" s="299">
        <f t="shared" si="48"/>
        <v>0</v>
      </c>
      <c r="G394" s="299">
        <f t="shared" si="51"/>
        <v>0</v>
      </c>
      <c r="H394" s="298">
        <f t="shared" si="52"/>
        <v>0</v>
      </c>
    </row>
    <row r="395" spans="2:8" s="252" customFormat="1">
      <c r="B395" s="296">
        <f t="shared" si="53"/>
        <v>376</v>
      </c>
      <c r="C395" s="307">
        <f t="shared" si="55"/>
        <v>0</v>
      </c>
      <c r="D395" s="298">
        <f t="shared" si="54"/>
        <v>0</v>
      </c>
      <c r="E395" s="299">
        <f t="shared" si="49"/>
        <v>0</v>
      </c>
      <c r="F395" s="299">
        <f t="shared" si="48"/>
        <v>0</v>
      </c>
      <c r="G395" s="299">
        <f t="shared" si="51"/>
        <v>0</v>
      </c>
      <c r="H395" s="298">
        <f t="shared" si="52"/>
        <v>0</v>
      </c>
    </row>
    <row r="396" spans="2:8" s="252" customFormat="1">
      <c r="B396" s="296">
        <f t="shared" si="53"/>
        <v>377</v>
      </c>
      <c r="C396" s="307">
        <f t="shared" si="55"/>
        <v>0</v>
      </c>
      <c r="D396" s="298">
        <f t="shared" si="54"/>
        <v>0</v>
      </c>
      <c r="E396" s="299">
        <f t="shared" si="49"/>
        <v>0</v>
      </c>
      <c r="F396" s="299">
        <f t="shared" si="48"/>
        <v>0</v>
      </c>
      <c r="G396" s="299">
        <f t="shared" si="51"/>
        <v>0</v>
      </c>
      <c r="H396" s="298">
        <f t="shared" si="52"/>
        <v>0</v>
      </c>
    </row>
    <row r="397" spans="2:8" s="252" customFormat="1">
      <c r="B397" s="296">
        <f t="shared" si="53"/>
        <v>378</v>
      </c>
      <c r="C397" s="307">
        <f t="shared" si="55"/>
        <v>0</v>
      </c>
      <c r="D397" s="298">
        <f t="shared" si="54"/>
        <v>0</v>
      </c>
      <c r="E397" s="299">
        <f t="shared" si="49"/>
        <v>0</v>
      </c>
      <c r="F397" s="299">
        <f t="shared" si="48"/>
        <v>0</v>
      </c>
      <c r="G397" s="299">
        <f t="shared" si="51"/>
        <v>0</v>
      </c>
      <c r="H397" s="298">
        <f t="shared" si="52"/>
        <v>0</v>
      </c>
    </row>
    <row r="398" spans="2:8" s="252" customFormat="1">
      <c r="B398" s="296">
        <f t="shared" si="53"/>
        <v>379</v>
      </c>
      <c r="C398" s="307">
        <f t="shared" si="55"/>
        <v>0</v>
      </c>
      <c r="D398" s="298">
        <f t="shared" si="54"/>
        <v>0</v>
      </c>
      <c r="E398" s="299">
        <f t="shared" si="49"/>
        <v>0</v>
      </c>
      <c r="F398" s="299">
        <f t="shared" si="48"/>
        <v>0</v>
      </c>
      <c r="G398" s="299">
        <f t="shared" si="51"/>
        <v>0</v>
      </c>
      <c r="H398" s="298">
        <f t="shared" si="52"/>
        <v>0</v>
      </c>
    </row>
    <row r="399" spans="2:8" s="252" customFormat="1">
      <c r="B399" s="296">
        <f t="shared" si="53"/>
        <v>380</v>
      </c>
      <c r="C399" s="307">
        <f t="shared" si="55"/>
        <v>0</v>
      </c>
      <c r="D399" s="298">
        <f t="shared" si="54"/>
        <v>0</v>
      </c>
      <c r="E399" s="299">
        <f t="shared" si="49"/>
        <v>0</v>
      </c>
      <c r="F399" s="299">
        <f t="shared" si="48"/>
        <v>0</v>
      </c>
      <c r="G399" s="299">
        <f t="shared" si="51"/>
        <v>0</v>
      </c>
      <c r="H399" s="298">
        <f t="shared" si="52"/>
        <v>0</v>
      </c>
    </row>
    <row r="400" spans="2:8" s="252" customFormat="1">
      <c r="B400" s="296">
        <f t="shared" si="53"/>
        <v>381</v>
      </c>
      <c r="C400" s="307">
        <f t="shared" si="55"/>
        <v>0</v>
      </c>
      <c r="D400" s="298">
        <f t="shared" si="54"/>
        <v>0</v>
      </c>
      <c r="E400" s="299">
        <f t="shared" si="49"/>
        <v>0</v>
      </c>
      <c r="F400" s="299">
        <f t="shared" si="48"/>
        <v>0</v>
      </c>
      <c r="G400" s="299">
        <f t="shared" si="51"/>
        <v>0</v>
      </c>
      <c r="H400" s="298">
        <f t="shared" si="52"/>
        <v>0</v>
      </c>
    </row>
    <row r="401" spans="2:8" s="252" customFormat="1">
      <c r="B401" s="296">
        <f t="shared" si="53"/>
        <v>382</v>
      </c>
      <c r="C401" s="307">
        <f t="shared" si="55"/>
        <v>0</v>
      </c>
      <c r="D401" s="298">
        <f t="shared" si="54"/>
        <v>0</v>
      </c>
      <c r="E401" s="299">
        <f t="shared" si="49"/>
        <v>0</v>
      </c>
      <c r="F401" s="299">
        <f t="shared" ref="F401:F439" si="56">E401-G401</f>
        <v>0</v>
      </c>
      <c r="G401" s="299">
        <f t="shared" si="51"/>
        <v>0</v>
      </c>
      <c r="H401" s="298">
        <f t="shared" si="52"/>
        <v>0</v>
      </c>
    </row>
    <row r="402" spans="2:8" s="252" customFormat="1">
      <c r="B402" s="296">
        <f t="shared" si="53"/>
        <v>383</v>
      </c>
      <c r="C402" s="307">
        <f t="shared" si="55"/>
        <v>0</v>
      </c>
      <c r="D402" s="298">
        <f t="shared" si="54"/>
        <v>0</v>
      </c>
      <c r="E402" s="299">
        <f t="shared" si="49"/>
        <v>0</v>
      </c>
      <c r="F402" s="299">
        <f t="shared" si="56"/>
        <v>0</v>
      </c>
      <c r="G402" s="299">
        <f t="shared" si="51"/>
        <v>0</v>
      </c>
      <c r="H402" s="298">
        <f t="shared" si="52"/>
        <v>0</v>
      </c>
    </row>
    <row r="403" spans="2:8" s="252" customFormat="1">
      <c r="B403" s="309">
        <f t="shared" si="53"/>
        <v>384</v>
      </c>
      <c r="C403" s="310">
        <f t="shared" si="55"/>
        <v>0</v>
      </c>
      <c r="D403" s="311">
        <f t="shared" si="54"/>
        <v>0</v>
      </c>
      <c r="E403" s="312">
        <f t="shared" ref="E403:E439" si="57">IF(H402&lt;=E402,H402+G403,$H$10)</f>
        <v>0</v>
      </c>
      <c r="F403" s="312">
        <f t="shared" si="56"/>
        <v>0</v>
      </c>
      <c r="G403" s="312">
        <f t="shared" si="51"/>
        <v>0</v>
      </c>
      <c r="H403" s="311">
        <f t="shared" si="52"/>
        <v>0</v>
      </c>
    </row>
    <row r="404" spans="2:8" s="252" customFormat="1">
      <c r="B404" s="296">
        <f t="shared" si="53"/>
        <v>385</v>
      </c>
      <c r="C404" s="307">
        <f t="shared" si="55"/>
        <v>0</v>
      </c>
      <c r="D404" s="298">
        <f t="shared" si="54"/>
        <v>0</v>
      </c>
      <c r="E404" s="299">
        <f t="shared" si="57"/>
        <v>0</v>
      </c>
      <c r="F404" s="299">
        <f t="shared" si="56"/>
        <v>0</v>
      </c>
      <c r="G404" s="299">
        <f t="shared" si="51"/>
        <v>0</v>
      </c>
      <c r="H404" s="298">
        <f t="shared" si="52"/>
        <v>0</v>
      </c>
    </row>
    <row r="405" spans="2:8" s="252" customFormat="1">
      <c r="B405" s="296">
        <f t="shared" si="53"/>
        <v>386</v>
      </c>
      <c r="C405" s="307">
        <f t="shared" si="55"/>
        <v>0</v>
      </c>
      <c r="D405" s="298">
        <f t="shared" si="54"/>
        <v>0</v>
      </c>
      <c r="E405" s="299">
        <f t="shared" si="57"/>
        <v>0</v>
      </c>
      <c r="F405" s="299">
        <f t="shared" si="56"/>
        <v>0</v>
      </c>
      <c r="G405" s="299">
        <f t="shared" ref="G405:G439" si="58">C405*(D405/365)*30</f>
        <v>0</v>
      </c>
      <c r="H405" s="298">
        <f t="shared" ref="H405:H439" si="59">IF((D405+G405-E405)&lt;0,0,D405+G405-E405)</f>
        <v>0</v>
      </c>
    </row>
    <row r="406" spans="2:8" s="252" customFormat="1">
      <c r="B406" s="296">
        <f t="shared" ref="B406:B439" si="60">B405+1</f>
        <v>387</v>
      </c>
      <c r="C406" s="307">
        <f t="shared" si="55"/>
        <v>0</v>
      </c>
      <c r="D406" s="298">
        <f t="shared" ref="D406:D439" si="61">H405</f>
        <v>0</v>
      </c>
      <c r="E406" s="299">
        <f t="shared" si="57"/>
        <v>0</v>
      </c>
      <c r="F406" s="299">
        <f t="shared" si="56"/>
        <v>0</v>
      </c>
      <c r="G406" s="299">
        <f t="shared" si="58"/>
        <v>0</v>
      </c>
      <c r="H406" s="298">
        <f t="shared" si="59"/>
        <v>0</v>
      </c>
    </row>
    <row r="407" spans="2:8" s="252" customFormat="1">
      <c r="B407" s="296">
        <f t="shared" si="60"/>
        <v>388</v>
      </c>
      <c r="C407" s="307">
        <f t="shared" si="55"/>
        <v>0</v>
      </c>
      <c r="D407" s="298">
        <f t="shared" si="61"/>
        <v>0</v>
      </c>
      <c r="E407" s="299">
        <f t="shared" si="57"/>
        <v>0</v>
      </c>
      <c r="F407" s="299">
        <f t="shared" si="56"/>
        <v>0</v>
      </c>
      <c r="G407" s="299">
        <f t="shared" si="58"/>
        <v>0</v>
      </c>
      <c r="H407" s="298">
        <f t="shared" si="59"/>
        <v>0</v>
      </c>
    </row>
    <row r="408" spans="2:8" s="252" customFormat="1">
      <c r="B408" s="296">
        <f t="shared" si="60"/>
        <v>389</v>
      </c>
      <c r="C408" s="307">
        <f t="shared" si="55"/>
        <v>0</v>
      </c>
      <c r="D408" s="298">
        <f t="shared" si="61"/>
        <v>0</v>
      </c>
      <c r="E408" s="299">
        <f t="shared" si="57"/>
        <v>0</v>
      </c>
      <c r="F408" s="299">
        <f t="shared" si="56"/>
        <v>0</v>
      </c>
      <c r="G408" s="299">
        <f t="shared" si="58"/>
        <v>0</v>
      </c>
      <c r="H408" s="298">
        <f t="shared" si="59"/>
        <v>0</v>
      </c>
    </row>
    <row r="409" spans="2:8" s="252" customFormat="1">
      <c r="B409" s="296">
        <f t="shared" si="60"/>
        <v>390</v>
      </c>
      <c r="C409" s="307">
        <f t="shared" si="55"/>
        <v>0</v>
      </c>
      <c r="D409" s="298">
        <f t="shared" si="61"/>
        <v>0</v>
      </c>
      <c r="E409" s="299">
        <f t="shared" si="57"/>
        <v>0</v>
      </c>
      <c r="F409" s="299">
        <f t="shared" si="56"/>
        <v>0</v>
      </c>
      <c r="G409" s="299">
        <f t="shared" si="58"/>
        <v>0</v>
      </c>
      <c r="H409" s="298">
        <f t="shared" si="59"/>
        <v>0</v>
      </c>
    </row>
    <row r="410" spans="2:8" s="252" customFormat="1">
      <c r="B410" s="296">
        <f t="shared" si="60"/>
        <v>391</v>
      </c>
      <c r="C410" s="307">
        <f t="shared" si="55"/>
        <v>0</v>
      </c>
      <c r="D410" s="298">
        <f t="shared" si="61"/>
        <v>0</v>
      </c>
      <c r="E410" s="299">
        <f t="shared" si="57"/>
        <v>0</v>
      </c>
      <c r="F410" s="299">
        <f t="shared" si="56"/>
        <v>0</v>
      </c>
      <c r="G410" s="299">
        <f t="shared" si="58"/>
        <v>0</v>
      </c>
      <c r="H410" s="298">
        <f t="shared" si="59"/>
        <v>0</v>
      </c>
    </row>
    <row r="411" spans="2:8" s="252" customFormat="1">
      <c r="B411" s="296">
        <f t="shared" si="60"/>
        <v>392</v>
      </c>
      <c r="C411" s="307">
        <f t="shared" si="55"/>
        <v>0</v>
      </c>
      <c r="D411" s="298">
        <f t="shared" si="61"/>
        <v>0</v>
      </c>
      <c r="E411" s="299">
        <f t="shared" si="57"/>
        <v>0</v>
      </c>
      <c r="F411" s="299">
        <f t="shared" si="56"/>
        <v>0</v>
      </c>
      <c r="G411" s="299">
        <f t="shared" si="58"/>
        <v>0</v>
      </c>
      <c r="H411" s="298">
        <f t="shared" si="59"/>
        <v>0</v>
      </c>
    </row>
    <row r="412" spans="2:8" s="252" customFormat="1">
      <c r="B412" s="296">
        <f t="shared" si="60"/>
        <v>393</v>
      </c>
      <c r="C412" s="307">
        <f t="shared" si="55"/>
        <v>0</v>
      </c>
      <c r="D412" s="298">
        <f t="shared" si="61"/>
        <v>0</v>
      </c>
      <c r="E412" s="299">
        <f t="shared" si="57"/>
        <v>0</v>
      </c>
      <c r="F412" s="299">
        <f t="shared" si="56"/>
        <v>0</v>
      </c>
      <c r="G412" s="299">
        <f t="shared" si="58"/>
        <v>0</v>
      </c>
      <c r="H412" s="298">
        <f t="shared" si="59"/>
        <v>0</v>
      </c>
    </row>
    <row r="413" spans="2:8" s="252" customFormat="1">
      <c r="B413" s="296">
        <f t="shared" si="60"/>
        <v>394</v>
      </c>
      <c r="C413" s="307">
        <f t="shared" si="55"/>
        <v>0</v>
      </c>
      <c r="D413" s="298">
        <f t="shared" si="61"/>
        <v>0</v>
      </c>
      <c r="E413" s="299">
        <f t="shared" si="57"/>
        <v>0</v>
      </c>
      <c r="F413" s="299">
        <f t="shared" si="56"/>
        <v>0</v>
      </c>
      <c r="G413" s="299">
        <f t="shared" si="58"/>
        <v>0</v>
      </c>
      <c r="H413" s="298">
        <f t="shared" si="59"/>
        <v>0</v>
      </c>
    </row>
    <row r="414" spans="2:8" s="252" customFormat="1">
      <c r="B414" s="296">
        <f t="shared" si="60"/>
        <v>395</v>
      </c>
      <c r="C414" s="307">
        <f t="shared" si="55"/>
        <v>0</v>
      </c>
      <c r="D414" s="298">
        <f t="shared" si="61"/>
        <v>0</v>
      </c>
      <c r="E414" s="299">
        <f t="shared" si="57"/>
        <v>0</v>
      </c>
      <c r="F414" s="299">
        <f t="shared" si="56"/>
        <v>0</v>
      </c>
      <c r="G414" s="299">
        <f t="shared" si="58"/>
        <v>0</v>
      </c>
      <c r="H414" s="298">
        <f t="shared" si="59"/>
        <v>0</v>
      </c>
    </row>
    <row r="415" spans="2:8" s="252" customFormat="1">
      <c r="B415" s="309">
        <f t="shared" si="60"/>
        <v>396</v>
      </c>
      <c r="C415" s="310">
        <f t="shared" si="55"/>
        <v>0</v>
      </c>
      <c r="D415" s="311">
        <f t="shared" si="61"/>
        <v>0</v>
      </c>
      <c r="E415" s="312">
        <f t="shared" si="57"/>
        <v>0</v>
      </c>
      <c r="F415" s="312">
        <f t="shared" si="56"/>
        <v>0</v>
      </c>
      <c r="G415" s="312">
        <f t="shared" si="58"/>
        <v>0</v>
      </c>
      <c r="H415" s="311">
        <f t="shared" si="59"/>
        <v>0</v>
      </c>
    </row>
    <row r="416" spans="2:8" s="252" customFormat="1">
      <c r="B416" s="296">
        <f t="shared" si="60"/>
        <v>397</v>
      </c>
      <c r="C416" s="307">
        <f t="shared" si="55"/>
        <v>0</v>
      </c>
      <c r="D416" s="298">
        <f t="shared" si="61"/>
        <v>0</v>
      </c>
      <c r="E416" s="299">
        <f t="shared" si="57"/>
        <v>0</v>
      </c>
      <c r="F416" s="299">
        <f t="shared" si="56"/>
        <v>0</v>
      </c>
      <c r="G416" s="299">
        <f t="shared" si="58"/>
        <v>0</v>
      </c>
      <c r="H416" s="298">
        <f t="shared" si="59"/>
        <v>0</v>
      </c>
    </row>
    <row r="417" spans="2:8" s="252" customFormat="1">
      <c r="B417" s="296">
        <f t="shared" si="60"/>
        <v>398</v>
      </c>
      <c r="C417" s="307">
        <f t="shared" si="55"/>
        <v>0</v>
      </c>
      <c r="D417" s="298">
        <f t="shared" si="61"/>
        <v>0</v>
      </c>
      <c r="E417" s="299">
        <f t="shared" si="57"/>
        <v>0</v>
      </c>
      <c r="F417" s="299">
        <f t="shared" si="56"/>
        <v>0</v>
      </c>
      <c r="G417" s="299">
        <f t="shared" si="58"/>
        <v>0</v>
      </c>
      <c r="H417" s="298">
        <f t="shared" si="59"/>
        <v>0</v>
      </c>
    </row>
    <row r="418" spans="2:8" s="252" customFormat="1">
      <c r="B418" s="296">
        <f t="shared" si="60"/>
        <v>399</v>
      </c>
      <c r="C418" s="307">
        <f t="shared" si="55"/>
        <v>0</v>
      </c>
      <c r="D418" s="298">
        <f t="shared" si="61"/>
        <v>0</v>
      </c>
      <c r="E418" s="299">
        <f t="shared" si="57"/>
        <v>0</v>
      </c>
      <c r="F418" s="299">
        <f t="shared" si="56"/>
        <v>0</v>
      </c>
      <c r="G418" s="299">
        <f t="shared" si="58"/>
        <v>0</v>
      </c>
      <c r="H418" s="298">
        <f t="shared" si="59"/>
        <v>0</v>
      </c>
    </row>
    <row r="419" spans="2:8" s="252" customFormat="1">
      <c r="B419" s="296">
        <f t="shared" si="60"/>
        <v>400</v>
      </c>
      <c r="C419" s="307">
        <f t="shared" si="55"/>
        <v>0</v>
      </c>
      <c r="D419" s="298">
        <f t="shared" si="61"/>
        <v>0</v>
      </c>
      <c r="E419" s="299">
        <f t="shared" si="57"/>
        <v>0</v>
      </c>
      <c r="F419" s="299">
        <f t="shared" si="56"/>
        <v>0</v>
      </c>
      <c r="G419" s="299">
        <f t="shared" si="58"/>
        <v>0</v>
      </c>
      <c r="H419" s="298">
        <f t="shared" si="59"/>
        <v>0</v>
      </c>
    </row>
    <row r="420" spans="2:8" s="252" customFormat="1">
      <c r="B420" s="296">
        <f t="shared" si="60"/>
        <v>401</v>
      </c>
      <c r="C420" s="307">
        <f t="shared" si="55"/>
        <v>0</v>
      </c>
      <c r="D420" s="298">
        <f t="shared" si="61"/>
        <v>0</v>
      </c>
      <c r="E420" s="299">
        <f t="shared" si="57"/>
        <v>0</v>
      </c>
      <c r="F420" s="299">
        <f t="shared" si="56"/>
        <v>0</v>
      </c>
      <c r="G420" s="299">
        <f t="shared" si="58"/>
        <v>0</v>
      </c>
      <c r="H420" s="298">
        <f t="shared" si="59"/>
        <v>0</v>
      </c>
    </row>
    <row r="421" spans="2:8" s="252" customFormat="1">
      <c r="B421" s="296">
        <f t="shared" si="60"/>
        <v>402</v>
      </c>
      <c r="C421" s="307">
        <f t="shared" si="55"/>
        <v>0</v>
      </c>
      <c r="D421" s="298">
        <f t="shared" si="61"/>
        <v>0</v>
      </c>
      <c r="E421" s="299">
        <f t="shared" si="57"/>
        <v>0</v>
      </c>
      <c r="F421" s="299">
        <f t="shared" si="56"/>
        <v>0</v>
      </c>
      <c r="G421" s="299">
        <f t="shared" si="58"/>
        <v>0</v>
      </c>
      <c r="H421" s="298">
        <f t="shared" si="59"/>
        <v>0</v>
      </c>
    </row>
    <row r="422" spans="2:8" s="252" customFormat="1">
      <c r="B422" s="296">
        <f t="shared" si="60"/>
        <v>403</v>
      </c>
      <c r="C422" s="307">
        <f t="shared" si="55"/>
        <v>0</v>
      </c>
      <c r="D422" s="298">
        <f t="shared" si="61"/>
        <v>0</v>
      </c>
      <c r="E422" s="299">
        <f t="shared" si="57"/>
        <v>0</v>
      </c>
      <c r="F422" s="299">
        <f t="shared" si="56"/>
        <v>0</v>
      </c>
      <c r="G422" s="299">
        <f t="shared" si="58"/>
        <v>0</v>
      </c>
      <c r="H422" s="298">
        <f t="shared" si="59"/>
        <v>0</v>
      </c>
    </row>
    <row r="423" spans="2:8" s="252" customFormat="1">
      <c r="B423" s="296">
        <f t="shared" si="60"/>
        <v>404</v>
      </c>
      <c r="C423" s="307">
        <f t="shared" si="55"/>
        <v>0</v>
      </c>
      <c r="D423" s="298">
        <f t="shared" si="61"/>
        <v>0</v>
      </c>
      <c r="E423" s="299">
        <f t="shared" si="57"/>
        <v>0</v>
      </c>
      <c r="F423" s="299">
        <f t="shared" si="56"/>
        <v>0</v>
      </c>
      <c r="G423" s="299">
        <f t="shared" si="58"/>
        <v>0</v>
      </c>
      <c r="H423" s="298">
        <f t="shared" si="59"/>
        <v>0</v>
      </c>
    </row>
    <row r="424" spans="2:8" s="252" customFormat="1">
      <c r="B424" s="296">
        <f t="shared" si="60"/>
        <v>405</v>
      </c>
      <c r="C424" s="307">
        <f t="shared" si="55"/>
        <v>0</v>
      </c>
      <c r="D424" s="298">
        <f t="shared" si="61"/>
        <v>0</v>
      </c>
      <c r="E424" s="299">
        <f t="shared" si="57"/>
        <v>0</v>
      </c>
      <c r="F424" s="299">
        <f t="shared" si="56"/>
        <v>0</v>
      </c>
      <c r="G424" s="299">
        <f t="shared" si="58"/>
        <v>0</v>
      </c>
      <c r="H424" s="298">
        <f t="shared" si="59"/>
        <v>0</v>
      </c>
    </row>
    <row r="425" spans="2:8" s="252" customFormat="1">
      <c r="B425" s="296">
        <f t="shared" si="60"/>
        <v>406</v>
      </c>
      <c r="C425" s="307">
        <f t="shared" si="55"/>
        <v>0</v>
      </c>
      <c r="D425" s="298">
        <f t="shared" si="61"/>
        <v>0</v>
      </c>
      <c r="E425" s="299">
        <f t="shared" si="57"/>
        <v>0</v>
      </c>
      <c r="F425" s="299">
        <f t="shared" si="56"/>
        <v>0</v>
      </c>
      <c r="G425" s="299">
        <f t="shared" si="58"/>
        <v>0</v>
      </c>
      <c r="H425" s="298">
        <f t="shared" si="59"/>
        <v>0</v>
      </c>
    </row>
    <row r="426" spans="2:8" s="252" customFormat="1">
      <c r="B426" s="296">
        <f t="shared" si="60"/>
        <v>407</v>
      </c>
      <c r="C426" s="307">
        <f t="shared" si="55"/>
        <v>0</v>
      </c>
      <c r="D426" s="298">
        <f t="shared" si="61"/>
        <v>0</v>
      </c>
      <c r="E426" s="299">
        <f t="shared" si="57"/>
        <v>0</v>
      </c>
      <c r="F426" s="299">
        <f t="shared" si="56"/>
        <v>0</v>
      </c>
      <c r="G426" s="299">
        <f t="shared" si="58"/>
        <v>0</v>
      </c>
      <c r="H426" s="298">
        <f t="shared" si="59"/>
        <v>0</v>
      </c>
    </row>
    <row r="427" spans="2:8" s="252" customFormat="1">
      <c r="B427" s="309">
        <f t="shared" si="60"/>
        <v>408</v>
      </c>
      <c r="C427" s="310">
        <f t="shared" si="55"/>
        <v>0</v>
      </c>
      <c r="D427" s="311">
        <f t="shared" si="61"/>
        <v>0</v>
      </c>
      <c r="E427" s="312">
        <f t="shared" si="57"/>
        <v>0</v>
      </c>
      <c r="F427" s="312">
        <f t="shared" si="56"/>
        <v>0</v>
      </c>
      <c r="G427" s="312">
        <f t="shared" si="58"/>
        <v>0</v>
      </c>
      <c r="H427" s="311">
        <f t="shared" si="59"/>
        <v>0</v>
      </c>
    </row>
    <row r="428" spans="2:8" s="252" customFormat="1">
      <c r="B428" s="296">
        <f t="shared" si="60"/>
        <v>409</v>
      </c>
      <c r="C428" s="307">
        <f t="shared" si="55"/>
        <v>0</v>
      </c>
      <c r="D428" s="298">
        <f t="shared" si="61"/>
        <v>0</v>
      </c>
      <c r="E428" s="299">
        <f t="shared" si="57"/>
        <v>0</v>
      </c>
      <c r="F428" s="299">
        <f t="shared" si="56"/>
        <v>0</v>
      </c>
      <c r="G428" s="299">
        <f t="shared" si="58"/>
        <v>0</v>
      </c>
      <c r="H428" s="298">
        <f t="shared" si="59"/>
        <v>0</v>
      </c>
    </row>
    <row r="429" spans="2:8" s="252" customFormat="1">
      <c r="B429" s="296">
        <f t="shared" si="60"/>
        <v>410</v>
      </c>
      <c r="C429" s="307">
        <f t="shared" si="55"/>
        <v>0</v>
      </c>
      <c r="D429" s="298">
        <f t="shared" si="61"/>
        <v>0</v>
      </c>
      <c r="E429" s="299">
        <f t="shared" si="57"/>
        <v>0</v>
      </c>
      <c r="F429" s="299">
        <f t="shared" si="56"/>
        <v>0</v>
      </c>
      <c r="G429" s="299">
        <f t="shared" si="58"/>
        <v>0</v>
      </c>
      <c r="H429" s="298">
        <f t="shared" si="59"/>
        <v>0</v>
      </c>
    </row>
    <row r="430" spans="2:8" s="252" customFormat="1">
      <c r="B430" s="296">
        <f t="shared" si="60"/>
        <v>411</v>
      </c>
      <c r="C430" s="307">
        <f t="shared" si="55"/>
        <v>0</v>
      </c>
      <c r="D430" s="298">
        <f t="shared" si="61"/>
        <v>0</v>
      </c>
      <c r="E430" s="299">
        <f t="shared" si="57"/>
        <v>0</v>
      </c>
      <c r="F430" s="299">
        <f t="shared" si="56"/>
        <v>0</v>
      </c>
      <c r="G430" s="299">
        <f t="shared" si="58"/>
        <v>0</v>
      </c>
      <c r="H430" s="298">
        <f t="shared" si="59"/>
        <v>0</v>
      </c>
    </row>
    <row r="431" spans="2:8" s="252" customFormat="1">
      <c r="B431" s="296">
        <f t="shared" si="60"/>
        <v>412</v>
      </c>
      <c r="C431" s="307">
        <f t="shared" si="55"/>
        <v>0</v>
      </c>
      <c r="D431" s="298">
        <f t="shared" si="61"/>
        <v>0</v>
      </c>
      <c r="E431" s="299">
        <f t="shared" si="57"/>
        <v>0</v>
      </c>
      <c r="F431" s="299">
        <f t="shared" si="56"/>
        <v>0</v>
      </c>
      <c r="G431" s="299">
        <f t="shared" si="58"/>
        <v>0</v>
      </c>
      <c r="H431" s="298">
        <f t="shared" si="59"/>
        <v>0</v>
      </c>
    </row>
    <row r="432" spans="2:8" s="252" customFormat="1">
      <c r="B432" s="296">
        <f t="shared" si="60"/>
        <v>413</v>
      </c>
      <c r="C432" s="307">
        <v>0</v>
      </c>
      <c r="D432" s="298">
        <f t="shared" si="61"/>
        <v>0</v>
      </c>
      <c r="E432" s="299">
        <f t="shared" si="57"/>
        <v>0</v>
      </c>
      <c r="F432" s="299">
        <f t="shared" si="56"/>
        <v>0</v>
      </c>
      <c r="G432" s="299">
        <f t="shared" si="58"/>
        <v>0</v>
      </c>
      <c r="H432" s="298">
        <f t="shared" si="59"/>
        <v>0</v>
      </c>
    </row>
    <row r="433" spans="2:8" s="252" customFormat="1">
      <c r="B433" s="296">
        <f t="shared" si="60"/>
        <v>414</v>
      </c>
      <c r="C433" s="307">
        <f t="shared" ref="C433:C439" si="62">IF(D433&gt;0,$F$7,0)</f>
        <v>0</v>
      </c>
      <c r="D433" s="298">
        <f t="shared" si="61"/>
        <v>0</v>
      </c>
      <c r="E433" s="299">
        <f t="shared" si="57"/>
        <v>0</v>
      </c>
      <c r="F433" s="299">
        <f t="shared" si="56"/>
        <v>0</v>
      </c>
      <c r="G433" s="299">
        <f t="shared" si="58"/>
        <v>0</v>
      </c>
      <c r="H433" s="298">
        <f t="shared" si="59"/>
        <v>0</v>
      </c>
    </row>
    <row r="434" spans="2:8" s="252" customFormat="1">
      <c r="B434" s="296">
        <f t="shared" si="60"/>
        <v>415</v>
      </c>
      <c r="C434" s="307">
        <f t="shared" si="62"/>
        <v>0</v>
      </c>
      <c r="D434" s="298">
        <f t="shared" si="61"/>
        <v>0</v>
      </c>
      <c r="E434" s="299">
        <f t="shared" si="57"/>
        <v>0</v>
      </c>
      <c r="F434" s="299">
        <f t="shared" si="56"/>
        <v>0</v>
      </c>
      <c r="G434" s="299">
        <f t="shared" si="58"/>
        <v>0</v>
      </c>
      <c r="H434" s="298">
        <f t="shared" si="59"/>
        <v>0</v>
      </c>
    </row>
    <row r="435" spans="2:8" s="252" customFormat="1">
      <c r="B435" s="296">
        <f t="shared" si="60"/>
        <v>416</v>
      </c>
      <c r="C435" s="307">
        <f t="shared" si="62"/>
        <v>0</v>
      </c>
      <c r="D435" s="298">
        <f t="shared" si="61"/>
        <v>0</v>
      </c>
      <c r="E435" s="299">
        <f t="shared" si="57"/>
        <v>0</v>
      </c>
      <c r="F435" s="299">
        <f t="shared" si="56"/>
        <v>0</v>
      </c>
      <c r="G435" s="299">
        <f t="shared" si="58"/>
        <v>0</v>
      </c>
      <c r="H435" s="298">
        <f t="shared" si="59"/>
        <v>0</v>
      </c>
    </row>
    <row r="436" spans="2:8" s="252" customFormat="1">
      <c r="B436" s="296">
        <f t="shared" si="60"/>
        <v>417</v>
      </c>
      <c r="C436" s="307">
        <f t="shared" si="62"/>
        <v>0</v>
      </c>
      <c r="D436" s="298">
        <f t="shared" si="61"/>
        <v>0</v>
      </c>
      <c r="E436" s="299">
        <f t="shared" si="57"/>
        <v>0</v>
      </c>
      <c r="F436" s="299">
        <f t="shared" si="56"/>
        <v>0</v>
      </c>
      <c r="G436" s="299">
        <f t="shared" si="58"/>
        <v>0</v>
      </c>
      <c r="H436" s="298">
        <f t="shared" si="59"/>
        <v>0</v>
      </c>
    </row>
    <row r="437" spans="2:8" s="252" customFormat="1">
      <c r="B437" s="296">
        <f t="shared" si="60"/>
        <v>418</v>
      </c>
      <c r="C437" s="307">
        <f t="shared" si="62"/>
        <v>0</v>
      </c>
      <c r="D437" s="298">
        <f t="shared" si="61"/>
        <v>0</v>
      </c>
      <c r="E437" s="299">
        <f t="shared" si="57"/>
        <v>0</v>
      </c>
      <c r="F437" s="299">
        <f t="shared" si="56"/>
        <v>0</v>
      </c>
      <c r="G437" s="299">
        <f t="shared" si="58"/>
        <v>0</v>
      </c>
      <c r="H437" s="298">
        <f t="shared" si="59"/>
        <v>0</v>
      </c>
    </row>
    <row r="438" spans="2:8" s="252" customFormat="1">
      <c r="B438" s="296">
        <f t="shared" si="60"/>
        <v>419</v>
      </c>
      <c r="C438" s="307">
        <f t="shared" si="62"/>
        <v>0</v>
      </c>
      <c r="D438" s="298">
        <f t="shared" si="61"/>
        <v>0</v>
      </c>
      <c r="E438" s="299">
        <f t="shared" si="57"/>
        <v>0</v>
      </c>
      <c r="F438" s="299">
        <f t="shared" si="56"/>
        <v>0</v>
      </c>
      <c r="G438" s="299">
        <f t="shared" si="58"/>
        <v>0</v>
      </c>
      <c r="H438" s="298">
        <f t="shared" si="59"/>
        <v>0</v>
      </c>
    </row>
    <row r="439" spans="2:8" s="252" customFormat="1">
      <c r="B439" s="309">
        <f t="shared" si="60"/>
        <v>420</v>
      </c>
      <c r="C439" s="310">
        <f t="shared" si="62"/>
        <v>0</v>
      </c>
      <c r="D439" s="311">
        <f t="shared" si="61"/>
        <v>0</v>
      </c>
      <c r="E439" s="312">
        <f t="shared" si="57"/>
        <v>0</v>
      </c>
      <c r="F439" s="312">
        <f t="shared" si="56"/>
        <v>0</v>
      </c>
      <c r="G439" s="312">
        <f t="shared" si="58"/>
        <v>0</v>
      </c>
      <c r="H439" s="311">
        <f t="shared" si="59"/>
        <v>0</v>
      </c>
    </row>
  </sheetData>
  <sheetProtection algorithmName="SHA-512" hashValue="cO5UvzSLGmDw40/cIN9rQQvp7xTscf2fzrZEGhc3PdXg0AIPmnxh9oGoAtcm917GNbq4CeMBDCsGGQvI50bHSA==" saltValue="6zJnBbK4jqVg0v3E0c03wg==" spinCount="100000" sheet="1" objects="1" scenarios="1" selectLockedCells="1" selectUnlockedCells="1"/>
  <mergeCells count="8">
    <mergeCell ref="B17:C17"/>
    <mergeCell ref="B6:C6"/>
    <mergeCell ref="B8:C9"/>
    <mergeCell ref="B1:G1"/>
    <mergeCell ref="B12:C12"/>
    <mergeCell ref="B13:C13"/>
    <mergeCell ref="B14:C14"/>
    <mergeCell ref="B15:C15"/>
  </mergeCells>
  <conditionalFormatting sqref="G15:I15">
    <cfRule type="cellIs" dxfId="11" priority="1" operator="lessThan">
      <formula>#REF!</formula>
    </cfRule>
    <cfRule type="cellIs" dxfId="10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HL  (อัตราดอกเบี้ยตามมติ)</oddHeader>
    <oddFooter>&amp;Lv202605&amp;Cหมายเหตุ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1F4F7A-E30B-46DD-9E18-95395CE0F3CF}">
          <x14:formula1>
            <xm:f>pam!$L$2:$L$4</xm:f>
          </x14:formula1>
          <xm:sqref>G3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4AB6-1E01-4D9A-B78D-E3947DD9919E}">
  <sheetPr codeName="Sheet10">
    <tabColor theme="1" tint="0.14999847407452621"/>
    <pageSetUpPr fitToPage="1"/>
  </sheetPr>
  <dimension ref="A1:O439"/>
  <sheetViews>
    <sheetView showGridLines="0" zoomScaleNormal="100" workbookViewId="0">
      <selection activeCell="G27" sqref="G27"/>
    </sheetView>
  </sheetViews>
  <sheetFormatPr defaultRowHeight="11.25"/>
  <cols>
    <col min="1" max="1" width="2.28515625" style="271" customWidth="1"/>
    <col min="2" max="2" width="8.5703125" style="252" customWidth="1"/>
    <col min="3" max="3" width="15.28515625" style="252" customWidth="1"/>
    <col min="4" max="7" width="15.28515625" style="271" customWidth="1"/>
    <col min="8" max="8" width="13.140625" style="252" hidden="1" customWidth="1"/>
    <col min="9" max="9" width="12.85546875" style="252" hidden="1" customWidth="1"/>
    <col min="10" max="12" width="14.42578125" style="271" customWidth="1"/>
    <col min="13" max="15" width="0" style="271" hidden="1" customWidth="1"/>
    <col min="16" max="256" width="9.140625" style="271"/>
    <col min="257" max="257" width="2.28515625" style="271" customWidth="1"/>
    <col min="258" max="258" width="5.7109375" style="271" customWidth="1"/>
    <col min="259" max="264" width="13.140625" style="271" customWidth="1"/>
    <col min="265" max="265" width="0" style="271" hidden="1" customWidth="1"/>
    <col min="266" max="268" width="14.42578125" style="271" customWidth="1"/>
    <col min="269" max="271" width="0" style="271" hidden="1" customWidth="1"/>
    <col min="272" max="512" width="9.140625" style="271"/>
    <col min="513" max="513" width="2.28515625" style="271" customWidth="1"/>
    <col min="514" max="514" width="5.7109375" style="271" customWidth="1"/>
    <col min="515" max="520" width="13.140625" style="271" customWidth="1"/>
    <col min="521" max="521" width="0" style="271" hidden="1" customWidth="1"/>
    <col min="522" max="524" width="14.42578125" style="271" customWidth="1"/>
    <col min="525" max="527" width="0" style="271" hidden="1" customWidth="1"/>
    <col min="528" max="768" width="9.140625" style="271"/>
    <col min="769" max="769" width="2.28515625" style="271" customWidth="1"/>
    <col min="770" max="770" width="5.7109375" style="271" customWidth="1"/>
    <col min="771" max="776" width="13.140625" style="271" customWidth="1"/>
    <col min="777" max="777" width="0" style="271" hidden="1" customWidth="1"/>
    <col min="778" max="780" width="14.42578125" style="271" customWidth="1"/>
    <col min="781" max="783" width="0" style="271" hidden="1" customWidth="1"/>
    <col min="784" max="1024" width="9.140625" style="271"/>
    <col min="1025" max="1025" width="2.28515625" style="271" customWidth="1"/>
    <col min="1026" max="1026" width="5.7109375" style="271" customWidth="1"/>
    <col min="1027" max="1032" width="13.140625" style="271" customWidth="1"/>
    <col min="1033" max="1033" width="0" style="271" hidden="1" customWidth="1"/>
    <col min="1034" max="1036" width="14.42578125" style="271" customWidth="1"/>
    <col min="1037" max="1039" width="0" style="271" hidden="1" customWidth="1"/>
    <col min="1040" max="1280" width="9.140625" style="271"/>
    <col min="1281" max="1281" width="2.28515625" style="271" customWidth="1"/>
    <col min="1282" max="1282" width="5.7109375" style="271" customWidth="1"/>
    <col min="1283" max="1288" width="13.140625" style="271" customWidth="1"/>
    <col min="1289" max="1289" width="0" style="271" hidden="1" customWidth="1"/>
    <col min="1290" max="1292" width="14.42578125" style="271" customWidth="1"/>
    <col min="1293" max="1295" width="0" style="271" hidden="1" customWidth="1"/>
    <col min="1296" max="1536" width="9.140625" style="271"/>
    <col min="1537" max="1537" width="2.28515625" style="271" customWidth="1"/>
    <col min="1538" max="1538" width="5.7109375" style="271" customWidth="1"/>
    <col min="1539" max="1544" width="13.140625" style="271" customWidth="1"/>
    <col min="1545" max="1545" width="0" style="271" hidden="1" customWidth="1"/>
    <col min="1546" max="1548" width="14.42578125" style="271" customWidth="1"/>
    <col min="1549" max="1551" width="0" style="271" hidden="1" customWidth="1"/>
    <col min="1552" max="1792" width="9.140625" style="271"/>
    <col min="1793" max="1793" width="2.28515625" style="271" customWidth="1"/>
    <col min="1794" max="1794" width="5.7109375" style="271" customWidth="1"/>
    <col min="1795" max="1800" width="13.140625" style="271" customWidth="1"/>
    <col min="1801" max="1801" width="0" style="271" hidden="1" customWidth="1"/>
    <col min="1802" max="1804" width="14.42578125" style="271" customWidth="1"/>
    <col min="1805" max="1807" width="0" style="271" hidden="1" customWidth="1"/>
    <col min="1808" max="2048" width="9.140625" style="271"/>
    <col min="2049" max="2049" width="2.28515625" style="271" customWidth="1"/>
    <col min="2050" max="2050" width="5.7109375" style="271" customWidth="1"/>
    <col min="2051" max="2056" width="13.140625" style="271" customWidth="1"/>
    <col min="2057" max="2057" width="0" style="271" hidden="1" customWidth="1"/>
    <col min="2058" max="2060" width="14.42578125" style="271" customWidth="1"/>
    <col min="2061" max="2063" width="0" style="271" hidden="1" customWidth="1"/>
    <col min="2064" max="2304" width="9.140625" style="271"/>
    <col min="2305" max="2305" width="2.28515625" style="271" customWidth="1"/>
    <col min="2306" max="2306" width="5.7109375" style="271" customWidth="1"/>
    <col min="2307" max="2312" width="13.140625" style="271" customWidth="1"/>
    <col min="2313" max="2313" width="0" style="271" hidden="1" customWidth="1"/>
    <col min="2314" max="2316" width="14.42578125" style="271" customWidth="1"/>
    <col min="2317" max="2319" width="0" style="271" hidden="1" customWidth="1"/>
    <col min="2320" max="2560" width="9.140625" style="271"/>
    <col min="2561" max="2561" width="2.28515625" style="271" customWidth="1"/>
    <col min="2562" max="2562" width="5.7109375" style="271" customWidth="1"/>
    <col min="2563" max="2568" width="13.140625" style="271" customWidth="1"/>
    <col min="2569" max="2569" width="0" style="271" hidden="1" customWidth="1"/>
    <col min="2570" max="2572" width="14.42578125" style="271" customWidth="1"/>
    <col min="2573" max="2575" width="0" style="271" hidden="1" customWidth="1"/>
    <col min="2576" max="2816" width="9.140625" style="271"/>
    <col min="2817" max="2817" width="2.28515625" style="271" customWidth="1"/>
    <col min="2818" max="2818" width="5.7109375" style="271" customWidth="1"/>
    <col min="2819" max="2824" width="13.140625" style="271" customWidth="1"/>
    <col min="2825" max="2825" width="0" style="271" hidden="1" customWidth="1"/>
    <col min="2826" max="2828" width="14.42578125" style="271" customWidth="1"/>
    <col min="2829" max="2831" width="0" style="271" hidden="1" customWidth="1"/>
    <col min="2832" max="3072" width="9.140625" style="271"/>
    <col min="3073" max="3073" width="2.28515625" style="271" customWidth="1"/>
    <col min="3074" max="3074" width="5.7109375" style="271" customWidth="1"/>
    <col min="3075" max="3080" width="13.140625" style="271" customWidth="1"/>
    <col min="3081" max="3081" width="0" style="271" hidden="1" customWidth="1"/>
    <col min="3082" max="3084" width="14.42578125" style="271" customWidth="1"/>
    <col min="3085" max="3087" width="0" style="271" hidden="1" customWidth="1"/>
    <col min="3088" max="3328" width="9.140625" style="271"/>
    <col min="3329" max="3329" width="2.28515625" style="271" customWidth="1"/>
    <col min="3330" max="3330" width="5.7109375" style="271" customWidth="1"/>
    <col min="3331" max="3336" width="13.140625" style="271" customWidth="1"/>
    <col min="3337" max="3337" width="0" style="271" hidden="1" customWidth="1"/>
    <col min="3338" max="3340" width="14.42578125" style="271" customWidth="1"/>
    <col min="3341" max="3343" width="0" style="271" hidden="1" customWidth="1"/>
    <col min="3344" max="3584" width="9.140625" style="271"/>
    <col min="3585" max="3585" width="2.28515625" style="271" customWidth="1"/>
    <col min="3586" max="3586" width="5.7109375" style="271" customWidth="1"/>
    <col min="3587" max="3592" width="13.140625" style="271" customWidth="1"/>
    <col min="3593" max="3593" width="0" style="271" hidden="1" customWidth="1"/>
    <col min="3594" max="3596" width="14.42578125" style="271" customWidth="1"/>
    <col min="3597" max="3599" width="0" style="271" hidden="1" customWidth="1"/>
    <col min="3600" max="3840" width="9.140625" style="271"/>
    <col min="3841" max="3841" width="2.28515625" style="271" customWidth="1"/>
    <col min="3842" max="3842" width="5.7109375" style="271" customWidth="1"/>
    <col min="3843" max="3848" width="13.140625" style="271" customWidth="1"/>
    <col min="3849" max="3849" width="0" style="271" hidden="1" customWidth="1"/>
    <col min="3850" max="3852" width="14.42578125" style="271" customWidth="1"/>
    <col min="3853" max="3855" width="0" style="271" hidden="1" customWidth="1"/>
    <col min="3856" max="4096" width="9.140625" style="271"/>
    <col min="4097" max="4097" width="2.28515625" style="271" customWidth="1"/>
    <col min="4098" max="4098" width="5.7109375" style="271" customWidth="1"/>
    <col min="4099" max="4104" width="13.140625" style="271" customWidth="1"/>
    <col min="4105" max="4105" width="0" style="271" hidden="1" customWidth="1"/>
    <col min="4106" max="4108" width="14.42578125" style="271" customWidth="1"/>
    <col min="4109" max="4111" width="0" style="271" hidden="1" customWidth="1"/>
    <col min="4112" max="4352" width="9.140625" style="271"/>
    <col min="4353" max="4353" width="2.28515625" style="271" customWidth="1"/>
    <col min="4354" max="4354" width="5.7109375" style="271" customWidth="1"/>
    <col min="4355" max="4360" width="13.140625" style="271" customWidth="1"/>
    <col min="4361" max="4361" width="0" style="271" hidden="1" customWidth="1"/>
    <col min="4362" max="4364" width="14.42578125" style="271" customWidth="1"/>
    <col min="4365" max="4367" width="0" style="271" hidden="1" customWidth="1"/>
    <col min="4368" max="4608" width="9.140625" style="271"/>
    <col min="4609" max="4609" width="2.28515625" style="271" customWidth="1"/>
    <col min="4610" max="4610" width="5.7109375" style="271" customWidth="1"/>
    <col min="4611" max="4616" width="13.140625" style="271" customWidth="1"/>
    <col min="4617" max="4617" width="0" style="271" hidden="1" customWidth="1"/>
    <col min="4618" max="4620" width="14.42578125" style="271" customWidth="1"/>
    <col min="4621" max="4623" width="0" style="271" hidden="1" customWidth="1"/>
    <col min="4624" max="4864" width="9.140625" style="271"/>
    <col min="4865" max="4865" width="2.28515625" style="271" customWidth="1"/>
    <col min="4866" max="4866" width="5.7109375" style="271" customWidth="1"/>
    <col min="4867" max="4872" width="13.140625" style="271" customWidth="1"/>
    <col min="4873" max="4873" width="0" style="271" hidden="1" customWidth="1"/>
    <col min="4874" max="4876" width="14.42578125" style="271" customWidth="1"/>
    <col min="4877" max="4879" width="0" style="271" hidden="1" customWidth="1"/>
    <col min="4880" max="5120" width="9.140625" style="271"/>
    <col min="5121" max="5121" width="2.28515625" style="271" customWidth="1"/>
    <col min="5122" max="5122" width="5.7109375" style="271" customWidth="1"/>
    <col min="5123" max="5128" width="13.140625" style="271" customWidth="1"/>
    <col min="5129" max="5129" width="0" style="271" hidden="1" customWidth="1"/>
    <col min="5130" max="5132" width="14.42578125" style="271" customWidth="1"/>
    <col min="5133" max="5135" width="0" style="271" hidden="1" customWidth="1"/>
    <col min="5136" max="5376" width="9.140625" style="271"/>
    <col min="5377" max="5377" width="2.28515625" style="271" customWidth="1"/>
    <col min="5378" max="5378" width="5.7109375" style="271" customWidth="1"/>
    <col min="5379" max="5384" width="13.140625" style="271" customWidth="1"/>
    <col min="5385" max="5385" width="0" style="271" hidden="1" customWidth="1"/>
    <col min="5386" max="5388" width="14.42578125" style="271" customWidth="1"/>
    <col min="5389" max="5391" width="0" style="271" hidden="1" customWidth="1"/>
    <col min="5392" max="5632" width="9.140625" style="271"/>
    <col min="5633" max="5633" width="2.28515625" style="271" customWidth="1"/>
    <col min="5634" max="5634" width="5.7109375" style="271" customWidth="1"/>
    <col min="5635" max="5640" width="13.140625" style="271" customWidth="1"/>
    <col min="5641" max="5641" width="0" style="271" hidden="1" customWidth="1"/>
    <col min="5642" max="5644" width="14.42578125" style="271" customWidth="1"/>
    <col min="5645" max="5647" width="0" style="271" hidden="1" customWidth="1"/>
    <col min="5648" max="5888" width="9.140625" style="271"/>
    <col min="5889" max="5889" width="2.28515625" style="271" customWidth="1"/>
    <col min="5890" max="5890" width="5.7109375" style="271" customWidth="1"/>
    <col min="5891" max="5896" width="13.140625" style="271" customWidth="1"/>
    <col min="5897" max="5897" width="0" style="271" hidden="1" customWidth="1"/>
    <col min="5898" max="5900" width="14.42578125" style="271" customWidth="1"/>
    <col min="5901" max="5903" width="0" style="271" hidden="1" customWidth="1"/>
    <col min="5904" max="6144" width="9.140625" style="271"/>
    <col min="6145" max="6145" width="2.28515625" style="271" customWidth="1"/>
    <col min="6146" max="6146" width="5.7109375" style="271" customWidth="1"/>
    <col min="6147" max="6152" width="13.140625" style="271" customWidth="1"/>
    <col min="6153" max="6153" width="0" style="271" hidden="1" customWidth="1"/>
    <col min="6154" max="6156" width="14.42578125" style="271" customWidth="1"/>
    <col min="6157" max="6159" width="0" style="271" hidden="1" customWidth="1"/>
    <col min="6160" max="6400" width="9.140625" style="271"/>
    <col min="6401" max="6401" width="2.28515625" style="271" customWidth="1"/>
    <col min="6402" max="6402" width="5.7109375" style="271" customWidth="1"/>
    <col min="6403" max="6408" width="13.140625" style="271" customWidth="1"/>
    <col min="6409" max="6409" width="0" style="271" hidden="1" customWidth="1"/>
    <col min="6410" max="6412" width="14.42578125" style="271" customWidth="1"/>
    <col min="6413" max="6415" width="0" style="271" hidden="1" customWidth="1"/>
    <col min="6416" max="6656" width="9.140625" style="271"/>
    <col min="6657" max="6657" width="2.28515625" style="271" customWidth="1"/>
    <col min="6658" max="6658" width="5.7109375" style="271" customWidth="1"/>
    <col min="6659" max="6664" width="13.140625" style="271" customWidth="1"/>
    <col min="6665" max="6665" width="0" style="271" hidden="1" customWidth="1"/>
    <col min="6666" max="6668" width="14.42578125" style="271" customWidth="1"/>
    <col min="6669" max="6671" width="0" style="271" hidden="1" customWidth="1"/>
    <col min="6672" max="6912" width="9.140625" style="271"/>
    <col min="6913" max="6913" width="2.28515625" style="271" customWidth="1"/>
    <col min="6914" max="6914" width="5.7109375" style="271" customWidth="1"/>
    <col min="6915" max="6920" width="13.140625" style="271" customWidth="1"/>
    <col min="6921" max="6921" width="0" style="271" hidden="1" customWidth="1"/>
    <col min="6922" max="6924" width="14.42578125" style="271" customWidth="1"/>
    <col min="6925" max="6927" width="0" style="271" hidden="1" customWidth="1"/>
    <col min="6928" max="7168" width="9.140625" style="271"/>
    <col min="7169" max="7169" width="2.28515625" style="271" customWidth="1"/>
    <col min="7170" max="7170" width="5.7109375" style="271" customWidth="1"/>
    <col min="7171" max="7176" width="13.140625" style="271" customWidth="1"/>
    <col min="7177" max="7177" width="0" style="271" hidden="1" customWidth="1"/>
    <col min="7178" max="7180" width="14.42578125" style="271" customWidth="1"/>
    <col min="7181" max="7183" width="0" style="271" hidden="1" customWidth="1"/>
    <col min="7184" max="7424" width="9.140625" style="271"/>
    <col min="7425" max="7425" width="2.28515625" style="271" customWidth="1"/>
    <col min="7426" max="7426" width="5.7109375" style="271" customWidth="1"/>
    <col min="7427" max="7432" width="13.140625" style="271" customWidth="1"/>
    <col min="7433" max="7433" width="0" style="271" hidden="1" customWidth="1"/>
    <col min="7434" max="7436" width="14.42578125" style="271" customWidth="1"/>
    <col min="7437" max="7439" width="0" style="271" hidden="1" customWidth="1"/>
    <col min="7440" max="7680" width="9.140625" style="271"/>
    <col min="7681" max="7681" width="2.28515625" style="271" customWidth="1"/>
    <col min="7682" max="7682" width="5.7109375" style="271" customWidth="1"/>
    <col min="7683" max="7688" width="13.140625" style="271" customWidth="1"/>
    <col min="7689" max="7689" width="0" style="271" hidden="1" customWidth="1"/>
    <col min="7690" max="7692" width="14.42578125" style="271" customWidth="1"/>
    <col min="7693" max="7695" width="0" style="271" hidden="1" customWidth="1"/>
    <col min="7696" max="7936" width="9.140625" style="271"/>
    <col min="7937" max="7937" width="2.28515625" style="271" customWidth="1"/>
    <col min="7938" max="7938" width="5.7109375" style="271" customWidth="1"/>
    <col min="7939" max="7944" width="13.140625" style="271" customWidth="1"/>
    <col min="7945" max="7945" width="0" style="271" hidden="1" customWidth="1"/>
    <col min="7946" max="7948" width="14.42578125" style="271" customWidth="1"/>
    <col min="7949" max="7951" width="0" style="271" hidden="1" customWidth="1"/>
    <col min="7952" max="8192" width="9.140625" style="271"/>
    <col min="8193" max="8193" width="2.28515625" style="271" customWidth="1"/>
    <col min="8194" max="8194" width="5.7109375" style="271" customWidth="1"/>
    <col min="8195" max="8200" width="13.140625" style="271" customWidth="1"/>
    <col min="8201" max="8201" width="0" style="271" hidden="1" customWidth="1"/>
    <col min="8202" max="8204" width="14.42578125" style="271" customWidth="1"/>
    <col min="8205" max="8207" width="0" style="271" hidden="1" customWidth="1"/>
    <col min="8208" max="8448" width="9.140625" style="271"/>
    <col min="8449" max="8449" width="2.28515625" style="271" customWidth="1"/>
    <col min="8450" max="8450" width="5.7109375" style="271" customWidth="1"/>
    <col min="8451" max="8456" width="13.140625" style="271" customWidth="1"/>
    <col min="8457" max="8457" width="0" style="271" hidden="1" customWidth="1"/>
    <col min="8458" max="8460" width="14.42578125" style="271" customWidth="1"/>
    <col min="8461" max="8463" width="0" style="271" hidden="1" customWidth="1"/>
    <col min="8464" max="8704" width="9.140625" style="271"/>
    <col min="8705" max="8705" width="2.28515625" style="271" customWidth="1"/>
    <col min="8706" max="8706" width="5.7109375" style="271" customWidth="1"/>
    <col min="8707" max="8712" width="13.140625" style="271" customWidth="1"/>
    <col min="8713" max="8713" width="0" style="271" hidden="1" customWidth="1"/>
    <col min="8714" max="8716" width="14.42578125" style="271" customWidth="1"/>
    <col min="8717" max="8719" width="0" style="271" hidden="1" customWidth="1"/>
    <col min="8720" max="8960" width="9.140625" style="271"/>
    <col min="8961" max="8961" width="2.28515625" style="271" customWidth="1"/>
    <col min="8962" max="8962" width="5.7109375" style="271" customWidth="1"/>
    <col min="8963" max="8968" width="13.140625" style="271" customWidth="1"/>
    <col min="8969" max="8969" width="0" style="271" hidden="1" customWidth="1"/>
    <col min="8970" max="8972" width="14.42578125" style="271" customWidth="1"/>
    <col min="8973" max="8975" width="0" style="271" hidden="1" customWidth="1"/>
    <col min="8976" max="9216" width="9.140625" style="271"/>
    <col min="9217" max="9217" width="2.28515625" style="271" customWidth="1"/>
    <col min="9218" max="9218" width="5.7109375" style="271" customWidth="1"/>
    <col min="9219" max="9224" width="13.140625" style="271" customWidth="1"/>
    <col min="9225" max="9225" width="0" style="271" hidden="1" customWidth="1"/>
    <col min="9226" max="9228" width="14.42578125" style="271" customWidth="1"/>
    <col min="9229" max="9231" width="0" style="271" hidden="1" customWidth="1"/>
    <col min="9232" max="9472" width="9.140625" style="271"/>
    <col min="9473" max="9473" width="2.28515625" style="271" customWidth="1"/>
    <col min="9474" max="9474" width="5.7109375" style="271" customWidth="1"/>
    <col min="9475" max="9480" width="13.140625" style="271" customWidth="1"/>
    <col min="9481" max="9481" width="0" style="271" hidden="1" customWidth="1"/>
    <col min="9482" max="9484" width="14.42578125" style="271" customWidth="1"/>
    <col min="9485" max="9487" width="0" style="271" hidden="1" customWidth="1"/>
    <col min="9488" max="9728" width="9.140625" style="271"/>
    <col min="9729" max="9729" width="2.28515625" style="271" customWidth="1"/>
    <col min="9730" max="9730" width="5.7109375" style="271" customWidth="1"/>
    <col min="9731" max="9736" width="13.140625" style="271" customWidth="1"/>
    <col min="9737" max="9737" width="0" style="271" hidden="1" customWidth="1"/>
    <col min="9738" max="9740" width="14.42578125" style="271" customWidth="1"/>
    <col min="9741" max="9743" width="0" style="271" hidden="1" customWidth="1"/>
    <col min="9744" max="9984" width="9.140625" style="271"/>
    <col min="9985" max="9985" width="2.28515625" style="271" customWidth="1"/>
    <col min="9986" max="9986" width="5.7109375" style="271" customWidth="1"/>
    <col min="9987" max="9992" width="13.140625" style="271" customWidth="1"/>
    <col min="9993" max="9993" width="0" style="271" hidden="1" customWidth="1"/>
    <col min="9994" max="9996" width="14.42578125" style="271" customWidth="1"/>
    <col min="9997" max="9999" width="0" style="271" hidden="1" customWidth="1"/>
    <col min="10000" max="10240" width="9.140625" style="271"/>
    <col min="10241" max="10241" width="2.28515625" style="271" customWidth="1"/>
    <col min="10242" max="10242" width="5.7109375" style="271" customWidth="1"/>
    <col min="10243" max="10248" width="13.140625" style="271" customWidth="1"/>
    <col min="10249" max="10249" width="0" style="271" hidden="1" customWidth="1"/>
    <col min="10250" max="10252" width="14.42578125" style="271" customWidth="1"/>
    <col min="10253" max="10255" width="0" style="271" hidden="1" customWidth="1"/>
    <col min="10256" max="10496" width="9.140625" style="271"/>
    <col min="10497" max="10497" width="2.28515625" style="271" customWidth="1"/>
    <col min="10498" max="10498" width="5.7109375" style="271" customWidth="1"/>
    <col min="10499" max="10504" width="13.140625" style="271" customWidth="1"/>
    <col min="10505" max="10505" width="0" style="271" hidden="1" customWidth="1"/>
    <col min="10506" max="10508" width="14.42578125" style="271" customWidth="1"/>
    <col min="10509" max="10511" width="0" style="271" hidden="1" customWidth="1"/>
    <col min="10512" max="10752" width="9.140625" style="271"/>
    <col min="10753" max="10753" width="2.28515625" style="271" customWidth="1"/>
    <col min="10754" max="10754" width="5.7109375" style="271" customWidth="1"/>
    <col min="10755" max="10760" width="13.140625" style="271" customWidth="1"/>
    <col min="10761" max="10761" width="0" style="271" hidden="1" customWidth="1"/>
    <col min="10762" max="10764" width="14.42578125" style="271" customWidth="1"/>
    <col min="10765" max="10767" width="0" style="271" hidden="1" customWidth="1"/>
    <col min="10768" max="11008" width="9.140625" style="271"/>
    <col min="11009" max="11009" width="2.28515625" style="271" customWidth="1"/>
    <col min="11010" max="11010" width="5.7109375" style="271" customWidth="1"/>
    <col min="11011" max="11016" width="13.140625" style="271" customWidth="1"/>
    <col min="11017" max="11017" width="0" style="271" hidden="1" customWidth="1"/>
    <col min="11018" max="11020" width="14.42578125" style="271" customWidth="1"/>
    <col min="11021" max="11023" width="0" style="271" hidden="1" customWidth="1"/>
    <col min="11024" max="11264" width="9.140625" style="271"/>
    <col min="11265" max="11265" width="2.28515625" style="271" customWidth="1"/>
    <col min="11266" max="11266" width="5.7109375" style="271" customWidth="1"/>
    <col min="11267" max="11272" width="13.140625" style="271" customWidth="1"/>
    <col min="11273" max="11273" width="0" style="271" hidden="1" customWidth="1"/>
    <col min="11274" max="11276" width="14.42578125" style="271" customWidth="1"/>
    <col min="11277" max="11279" width="0" style="271" hidden="1" customWidth="1"/>
    <col min="11280" max="11520" width="9.140625" style="271"/>
    <col min="11521" max="11521" width="2.28515625" style="271" customWidth="1"/>
    <col min="11522" max="11522" width="5.7109375" style="271" customWidth="1"/>
    <col min="11523" max="11528" width="13.140625" style="271" customWidth="1"/>
    <col min="11529" max="11529" width="0" style="271" hidden="1" customWidth="1"/>
    <col min="11530" max="11532" width="14.42578125" style="271" customWidth="1"/>
    <col min="11533" max="11535" width="0" style="271" hidden="1" customWidth="1"/>
    <col min="11536" max="11776" width="9.140625" style="271"/>
    <col min="11777" max="11777" width="2.28515625" style="271" customWidth="1"/>
    <col min="11778" max="11778" width="5.7109375" style="271" customWidth="1"/>
    <col min="11779" max="11784" width="13.140625" style="271" customWidth="1"/>
    <col min="11785" max="11785" width="0" style="271" hidden="1" customWidth="1"/>
    <col min="11786" max="11788" width="14.42578125" style="271" customWidth="1"/>
    <col min="11789" max="11791" width="0" style="271" hidden="1" customWidth="1"/>
    <col min="11792" max="12032" width="9.140625" style="271"/>
    <col min="12033" max="12033" width="2.28515625" style="271" customWidth="1"/>
    <col min="12034" max="12034" width="5.7109375" style="271" customWidth="1"/>
    <col min="12035" max="12040" width="13.140625" style="271" customWidth="1"/>
    <col min="12041" max="12041" width="0" style="271" hidden="1" customWidth="1"/>
    <col min="12042" max="12044" width="14.42578125" style="271" customWidth="1"/>
    <col min="12045" max="12047" width="0" style="271" hidden="1" customWidth="1"/>
    <col min="12048" max="12288" width="9.140625" style="271"/>
    <col min="12289" max="12289" width="2.28515625" style="271" customWidth="1"/>
    <col min="12290" max="12290" width="5.7109375" style="271" customWidth="1"/>
    <col min="12291" max="12296" width="13.140625" style="271" customWidth="1"/>
    <col min="12297" max="12297" width="0" style="271" hidden="1" customWidth="1"/>
    <col min="12298" max="12300" width="14.42578125" style="271" customWidth="1"/>
    <col min="12301" max="12303" width="0" style="271" hidden="1" customWidth="1"/>
    <col min="12304" max="12544" width="9.140625" style="271"/>
    <col min="12545" max="12545" width="2.28515625" style="271" customWidth="1"/>
    <col min="12546" max="12546" width="5.7109375" style="271" customWidth="1"/>
    <col min="12547" max="12552" width="13.140625" style="271" customWidth="1"/>
    <col min="12553" max="12553" width="0" style="271" hidden="1" customWidth="1"/>
    <col min="12554" max="12556" width="14.42578125" style="271" customWidth="1"/>
    <col min="12557" max="12559" width="0" style="271" hidden="1" customWidth="1"/>
    <col min="12560" max="12800" width="9.140625" style="271"/>
    <col min="12801" max="12801" width="2.28515625" style="271" customWidth="1"/>
    <col min="12802" max="12802" width="5.7109375" style="271" customWidth="1"/>
    <col min="12803" max="12808" width="13.140625" style="271" customWidth="1"/>
    <col min="12809" max="12809" width="0" style="271" hidden="1" customWidth="1"/>
    <col min="12810" max="12812" width="14.42578125" style="271" customWidth="1"/>
    <col min="12813" max="12815" width="0" style="271" hidden="1" customWidth="1"/>
    <col min="12816" max="13056" width="9.140625" style="271"/>
    <col min="13057" max="13057" width="2.28515625" style="271" customWidth="1"/>
    <col min="13058" max="13058" width="5.7109375" style="271" customWidth="1"/>
    <col min="13059" max="13064" width="13.140625" style="271" customWidth="1"/>
    <col min="13065" max="13065" width="0" style="271" hidden="1" customWidth="1"/>
    <col min="13066" max="13068" width="14.42578125" style="271" customWidth="1"/>
    <col min="13069" max="13071" width="0" style="271" hidden="1" customWidth="1"/>
    <col min="13072" max="13312" width="9.140625" style="271"/>
    <col min="13313" max="13313" width="2.28515625" style="271" customWidth="1"/>
    <col min="13314" max="13314" width="5.7109375" style="271" customWidth="1"/>
    <col min="13315" max="13320" width="13.140625" style="271" customWidth="1"/>
    <col min="13321" max="13321" width="0" style="271" hidden="1" customWidth="1"/>
    <col min="13322" max="13324" width="14.42578125" style="271" customWidth="1"/>
    <col min="13325" max="13327" width="0" style="271" hidden="1" customWidth="1"/>
    <col min="13328" max="13568" width="9.140625" style="271"/>
    <col min="13569" max="13569" width="2.28515625" style="271" customWidth="1"/>
    <col min="13570" max="13570" width="5.7109375" style="271" customWidth="1"/>
    <col min="13571" max="13576" width="13.140625" style="271" customWidth="1"/>
    <col min="13577" max="13577" width="0" style="271" hidden="1" customWidth="1"/>
    <col min="13578" max="13580" width="14.42578125" style="271" customWidth="1"/>
    <col min="13581" max="13583" width="0" style="271" hidden="1" customWidth="1"/>
    <col min="13584" max="13824" width="9.140625" style="271"/>
    <col min="13825" max="13825" width="2.28515625" style="271" customWidth="1"/>
    <col min="13826" max="13826" width="5.7109375" style="271" customWidth="1"/>
    <col min="13827" max="13832" width="13.140625" style="271" customWidth="1"/>
    <col min="13833" max="13833" width="0" style="271" hidden="1" customWidth="1"/>
    <col min="13834" max="13836" width="14.42578125" style="271" customWidth="1"/>
    <col min="13837" max="13839" width="0" style="271" hidden="1" customWidth="1"/>
    <col min="13840" max="14080" width="9.140625" style="271"/>
    <col min="14081" max="14081" width="2.28515625" style="271" customWidth="1"/>
    <col min="14082" max="14082" width="5.7109375" style="271" customWidth="1"/>
    <col min="14083" max="14088" width="13.140625" style="271" customWidth="1"/>
    <col min="14089" max="14089" width="0" style="271" hidden="1" customWidth="1"/>
    <col min="14090" max="14092" width="14.42578125" style="271" customWidth="1"/>
    <col min="14093" max="14095" width="0" style="271" hidden="1" customWidth="1"/>
    <col min="14096" max="14336" width="9.140625" style="271"/>
    <col min="14337" max="14337" width="2.28515625" style="271" customWidth="1"/>
    <col min="14338" max="14338" width="5.7109375" style="271" customWidth="1"/>
    <col min="14339" max="14344" width="13.140625" style="271" customWidth="1"/>
    <col min="14345" max="14345" width="0" style="271" hidden="1" customWidth="1"/>
    <col min="14346" max="14348" width="14.42578125" style="271" customWidth="1"/>
    <col min="14349" max="14351" width="0" style="271" hidden="1" customWidth="1"/>
    <col min="14352" max="14592" width="9.140625" style="271"/>
    <col min="14593" max="14593" width="2.28515625" style="271" customWidth="1"/>
    <col min="14594" max="14594" width="5.7109375" style="271" customWidth="1"/>
    <col min="14595" max="14600" width="13.140625" style="271" customWidth="1"/>
    <col min="14601" max="14601" width="0" style="271" hidden="1" customWidth="1"/>
    <col min="14602" max="14604" width="14.42578125" style="271" customWidth="1"/>
    <col min="14605" max="14607" width="0" style="271" hidden="1" customWidth="1"/>
    <col min="14608" max="14848" width="9.140625" style="271"/>
    <col min="14849" max="14849" width="2.28515625" style="271" customWidth="1"/>
    <col min="14850" max="14850" width="5.7109375" style="271" customWidth="1"/>
    <col min="14851" max="14856" width="13.140625" style="271" customWidth="1"/>
    <col min="14857" max="14857" width="0" style="271" hidden="1" customWidth="1"/>
    <col min="14858" max="14860" width="14.42578125" style="271" customWidth="1"/>
    <col min="14861" max="14863" width="0" style="271" hidden="1" customWidth="1"/>
    <col min="14864" max="15104" width="9.140625" style="271"/>
    <col min="15105" max="15105" width="2.28515625" style="271" customWidth="1"/>
    <col min="15106" max="15106" width="5.7109375" style="271" customWidth="1"/>
    <col min="15107" max="15112" width="13.140625" style="271" customWidth="1"/>
    <col min="15113" max="15113" width="0" style="271" hidden="1" customWidth="1"/>
    <col min="15114" max="15116" width="14.42578125" style="271" customWidth="1"/>
    <col min="15117" max="15119" width="0" style="271" hidden="1" customWidth="1"/>
    <col min="15120" max="15360" width="9.140625" style="271"/>
    <col min="15361" max="15361" width="2.28515625" style="271" customWidth="1"/>
    <col min="15362" max="15362" width="5.7109375" style="271" customWidth="1"/>
    <col min="15363" max="15368" width="13.140625" style="271" customWidth="1"/>
    <col min="15369" max="15369" width="0" style="271" hidden="1" customWidth="1"/>
    <col min="15370" max="15372" width="14.42578125" style="271" customWidth="1"/>
    <col min="15373" max="15375" width="0" style="271" hidden="1" customWidth="1"/>
    <col min="15376" max="15616" width="9.140625" style="271"/>
    <col min="15617" max="15617" width="2.28515625" style="271" customWidth="1"/>
    <col min="15618" max="15618" width="5.7109375" style="271" customWidth="1"/>
    <col min="15619" max="15624" width="13.140625" style="271" customWidth="1"/>
    <col min="15625" max="15625" width="0" style="271" hidden="1" customWidth="1"/>
    <col min="15626" max="15628" width="14.42578125" style="271" customWidth="1"/>
    <col min="15629" max="15631" width="0" style="271" hidden="1" customWidth="1"/>
    <col min="15632" max="15872" width="9.140625" style="271"/>
    <col min="15873" max="15873" width="2.28515625" style="271" customWidth="1"/>
    <col min="15874" max="15874" width="5.7109375" style="271" customWidth="1"/>
    <col min="15875" max="15880" width="13.140625" style="271" customWidth="1"/>
    <col min="15881" max="15881" width="0" style="271" hidden="1" customWidth="1"/>
    <col min="15882" max="15884" width="14.42578125" style="271" customWidth="1"/>
    <col min="15885" max="15887" width="0" style="271" hidden="1" customWidth="1"/>
    <col min="15888" max="16128" width="9.140625" style="271"/>
    <col min="16129" max="16129" width="2.28515625" style="271" customWidth="1"/>
    <col min="16130" max="16130" width="5.7109375" style="271" customWidth="1"/>
    <col min="16131" max="16136" width="13.140625" style="271" customWidth="1"/>
    <col min="16137" max="16137" width="0" style="271" hidden="1" customWidth="1"/>
    <col min="16138" max="16140" width="14.42578125" style="271" customWidth="1"/>
    <col min="16141" max="16143" width="0" style="271" hidden="1" customWidth="1"/>
    <col min="16144" max="16384" width="9.140625" style="271"/>
  </cols>
  <sheetData>
    <row r="1" spans="2:9" ht="14.25" customHeight="1">
      <c r="B1" s="483" t="s">
        <v>1245</v>
      </c>
      <c r="C1" s="484"/>
      <c r="D1" s="484"/>
      <c r="E1" s="484"/>
      <c r="F1" s="484"/>
      <c r="G1" s="485"/>
      <c r="H1" s="270"/>
      <c r="I1" s="271"/>
    </row>
    <row r="2" spans="2:9" ht="14.25" customHeight="1">
      <c r="B2" s="320" t="s">
        <v>1216</v>
      </c>
      <c r="C2" s="328">
        <f>'1.ลดดอกเบี้ย'!C3</f>
        <v>0</v>
      </c>
      <c r="D2" s="328"/>
      <c r="E2" s="316"/>
      <c r="F2" s="269"/>
      <c r="G2" s="274" t="s">
        <v>191</v>
      </c>
      <c r="H2" s="272"/>
      <c r="I2" s="271"/>
    </row>
    <row r="3" spans="2:9" ht="14.25" customHeight="1">
      <c r="B3" s="320" t="s">
        <v>1238</v>
      </c>
      <c r="C3" s="326">
        <f>'1.ลดดอกเบี้ย'!C4</f>
        <v>0</v>
      </c>
      <c r="D3" s="327"/>
      <c r="F3" s="313" t="s">
        <v>208</v>
      </c>
      <c r="G3" s="330" t="s">
        <v>1220</v>
      </c>
      <c r="H3" s="272"/>
      <c r="I3" s="271"/>
    </row>
    <row r="4" spans="2:9" ht="14.25" customHeight="1">
      <c r="B4" s="319" t="s">
        <v>57</v>
      </c>
      <c r="C4" s="321">
        <f>'1.ลดดอกเบี้ย'!E8</f>
        <v>0</v>
      </c>
      <c r="D4" s="324" t="s">
        <v>1235</v>
      </c>
      <c r="E4" s="313" t="s">
        <v>59</v>
      </c>
      <c r="F4" s="317">
        <f>'2.นำเสนอดอกเบี้ย'!H23</f>
        <v>0</v>
      </c>
      <c r="G4" s="276">
        <f>'1.ลดดอกเบี้ย'!E28</f>
        <v>0</v>
      </c>
      <c r="H4" s="273"/>
      <c r="I4" s="271"/>
    </row>
    <row r="5" spans="2:9" ht="14.25" customHeight="1">
      <c r="B5" s="322" t="s">
        <v>1234</v>
      </c>
      <c r="C5" s="323">
        <f>'1.ลดดอกเบี้ย'!E9</f>
        <v>0</v>
      </c>
      <c r="D5" s="325" t="s">
        <v>1236</v>
      </c>
      <c r="E5" s="313" t="s">
        <v>60</v>
      </c>
      <c r="F5" s="317">
        <f>'2.นำเสนอดอกเบี้ย'!H24</f>
        <v>0</v>
      </c>
      <c r="G5" s="276">
        <f>'1.ลดดอกเบี้ย'!E29</f>
        <v>0</v>
      </c>
      <c r="H5" s="275" t="e">
        <f>SUM(I6:I10)/#REF!</f>
        <v>#REF!</v>
      </c>
      <c r="I5" s="271"/>
    </row>
    <row r="6" spans="2:9" ht="14.25" customHeight="1">
      <c r="B6" s="476"/>
      <c r="C6" s="477"/>
      <c r="E6" s="313" t="s">
        <v>61</v>
      </c>
      <c r="F6" s="317">
        <f>'2.นำเสนอดอกเบี้ย'!H25</f>
        <v>0</v>
      </c>
      <c r="G6" s="276">
        <f>'1.ลดดอกเบี้ย'!E30</f>
        <v>0</v>
      </c>
      <c r="H6" s="277">
        <f>F4*12</f>
        <v>0</v>
      </c>
      <c r="I6" s="271"/>
    </row>
    <row r="7" spans="2:9" ht="14.25" customHeight="1">
      <c r="B7" s="249"/>
      <c r="C7" s="280" t="s">
        <v>1222</v>
      </c>
      <c r="D7" s="329">
        <v>0.01</v>
      </c>
      <c r="E7" s="278" t="s">
        <v>1250</v>
      </c>
      <c r="F7" s="318">
        <f>'2.นำเสนอดอกเบี้ย'!H26</f>
        <v>0</v>
      </c>
      <c r="G7" s="279">
        <f>'1.ลดดอกเบี้ย'!E31</f>
        <v>0</v>
      </c>
      <c r="H7" s="277">
        <f>F5*12</f>
        <v>0</v>
      </c>
      <c r="I7" s="271"/>
    </row>
    <row r="8" spans="2:9" ht="12" hidden="1" customHeight="1">
      <c r="B8" s="476"/>
      <c r="C8" s="477"/>
      <c r="D8" s="314"/>
      <c r="H8" s="277">
        <f>F6*12</f>
        <v>0</v>
      </c>
      <c r="I8" s="271"/>
    </row>
    <row r="9" spans="2:9" ht="12" hidden="1" customHeight="1">
      <c r="B9" s="478"/>
      <c r="C9" s="479"/>
      <c r="D9" s="315"/>
      <c r="H9" s="277">
        <f>F7*12</f>
        <v>0</v>
      </c>
      <c r="I9" s="271"/>
    </row>
    <row r="10" spans="2:9" ht="12" hidden="1" customHeight="1">
      <c r="B10" s="249"/>
      <c r="C10" s="250"/>
      <c r="D10" s="250"/>
      <c r="E10" s="250"/>
      <c r="F10" s="278" t="s">
        <v>1223</v>
      </c>
      <c r="G10" s="251">
        <f>F7</f>
        <v>0</v>
      </c>
      <c r="H10" s="279">
        <f>G7</f>
        <v>0</v>
      </c>
      <c r="I10" s="277" t="e">
        <f>G10*(#REF!-48)</f>
        <v>#REF!</v>
      </c>
    </row>
    <row r="11" spans="2:9" ht="3" hidden="1" customHeight="1">
      <c r="C11" s="253"/>
      <c r="D11" s="248">
        <f>12*3</f>
        <v>36</v>
      </c>
      <c r="E11" s="248">
        <f>12*5</f>
        <v>60</v>
      </c>
      <c r="F11" s="248">
        <f>12*7</f>
        <v>84</v>
      </c>
      <c r="G11" s="248">
        <f>12*10</f>
        <v>120</v>
      </c>
      <c r="H11" s="248">
        <f>12*30</f>
        <v>360</v>
      </c>
      <c r="I11" s="280">
        <f>12*15</f>
        <v>180</v>
      </c>
    </row>
    <row r="12" spans="2:9" ht="12.75" hidden="1" customHeight="1">
      <c r="B12" s="480"/>
      <c r="C12" s="480"/>
      <c r="D12" s="254" t="s">
        <v>1224</v>
      </c>
      <c r="E12" s="255" t="s">
        <v>1225</v>
      </c>
      <c r="F12" s="255" t="s">
        <v>1226</v>
      </c>
      <c r="G12" s="255" t="s">
        <v>1227</v>
      </c>
      <c r="H12" s="255" t="s">
        <v>1228</v>
      </c>
      <c r="I12" s="255" t="s">
        <v>1229</v>
      </c>
    </row>
    <row r="13" spans="2:9" ht="14.25" hidden="1" customHeight="1">
      <c r="B13" s="481" t="s">
        <v>1230</v>
      </c>
      <c r="C13" s="481"/>
      <c r="D13" s="256">
        <f>SUM($G$20:$G$55)</f>
        <v>0</v>
      </c>
      <c r="E13" s="257">
        <f>SUM($G$20:$G$79)</f>
        <v>0</v>
      </c>
      <c r="F13" s="256">
        <f>SUM($G$20:$G$103)</f>
        <v>0</v>
      </c>
      <c r="G13" s="256">
        <f>SUM($G$20:$G$139)</f>
        <v>0</v>
      </c>
      <c r="H13" s="256">
        <f>SUM($G$20:$G$379)</f>
        <v>0</v>
      </c>
      <c r="I13" s="256">
        <f>SUM($G$20:$G$199)</f>
        <v>0</v>
      </c>
    </row>
    <row r="14" spans="2:9" ht="14.25" hidden="1" customHeight="1">
      <c r="B14" s="482" t="s">
        <v>1231</v>
      </c>
      <c r="C14" s="482"/>
      <c r="D14" s="258">
        <f>AVERAGE($D$20:$D$55)</f>
        <v>0</v>
      </c>
      <c r="E14" s="259">
        <f>AVERAGE($D$20:$D$79)</f>
        <v>0</v>
      </c>
      <c r="F14" s="258">
        <f>AVERAGE($D$20:$D$103)</f>
        <v>0</v>
      </c>
      <c r="G14" s="258">
        <f>AVERAGE($D$20:$D$139)</f>
        <v>0</v>
      </c>
      <c r="H14" s="258">
        <f>AVERAGE($D$20:$D$379)</f>
        <v>0</v>
      </c>
      <c r="I14" s="258">
        <f>AVERAGE($D$20:$D$199)</f>
        <v>0</v>
      </c>
    </row>
    <row r="15" spans="2:9" ht="14.25" hidden="1" customHeight="1">
      <c r="B15" s="470" t="s">
        <v>1232</v>
      </c>
      <c r="C15" s="470"/>
      <c r="D15" s="260" t="e">
        <f t="shared" ref="D15:I15" si="0">D13/D14/(D11/12)</f>
        <v>#DIV/0!</v>
      </c>
      <c r="E15" s="261" t="e">
        <f t="shared" si="0"/>
        <v>#DIV/0!</v>
      </c>
      <c r="F15" s="260" t="e">
        <f t="shared" si="0"/>
        <v>#DIV/0!</v>
      </c>
      <c r="G15" s="260" t="e">
        <f t="shared" si="0"/>
        <v>#DIV/0!</v>
      </c>
      <c r="H15" s="260" t="e">
        <f t="shared" si="0"/>
        <v>#DIV/0!</v>
      </c>
      <c r="I15" s="262" t="e">
        <f t="shared" si="0"/>
        <v>#DIV/0!</v>
      </c>
    </row>
    <row r="16" spans="2:9" ht="5.25" hidden="1" customHeight="1">
      <c r="C16" s="263"/>
      <c r="D16" s="281"/>
      <c r="E16" s="282"/>
      <c r="F16" s="281"/>
      <c r="G16" s="283"/>
      <c r="H16" s="271"/>
      <c r="I16" s="271"/>
    </row>
    <row r="17" spans="1:15" ht="14.25" hidden="1" customHeight="1">
      <c r="B17" s="471" t="s">
        <v>1233</v>
      </c>
      <c r="C17" s="472"/>
      <c r="D17" s="264">
        <f>AVERAGE($C$20:$C$55)</f>
        <v>0</v>
      </c>
      <c r="E17" s="265">
        <f>AVERAGE($C$20:$C$79)</f>
        <v>0</v>
      </c>
      <c r="F17" s="264">
        <f>AVERAGE($C$20:$C$103)</f>
        <v>0</v>
      </c>
      <c r="G17" s="264">
        <f>AVERAGE($C$20:$C$139)</f>
        <v>0</v>
      </c>
      <c r="H17" s="264">
        <f>AVERAGE($C$20:$C$379)</f>
        <v>0</v>
      </c>
      <c r="I17" s="266">
        <f>AVERAGE(C20:C199)</f>
        <v>0</v>
      </c>
    </row>
    <row r="18" spans="1:15" ht="4.5" customHeight="1">
      <c r="D18" s="284"/>
      <c r="E18" s="285"/>
    </row>
    <row r="19" spans="1:15" ht="14.25" customHeight="1">
      <c r="A19" s="286"/>
      <c r="B19" s="267" t="s">
        <v>1215</v>
      </c>
      <c r="C19" s="267" t="s">
        <v>208</v>
      </c>
      <c r="D19" s="267" t="s">
        <v>1237</v>
      </c>
      <c r="E19" s="267" t="s">
        <v>1217</v>
      </c>
      <c r="F19" s="267" t="s">
        <v>1218</v>
      </c>
      <c r="G19" s="267" t="s">
        <v>1219</v>
      </c>
      <c r="H19" s="267" t="s">
        <v>1237</v>
      </c>
      <c r="I19" s="268" t="s">
        <v>115</v>
      </c>
      <c r="J19" s="287"/>
      <c r="K19" s="287"/>
      <c r="L19" s="287"/>
      <c r="M19" s="287"/>
      <c r="N19" s="287"/>
      <c r="O19" s="288" t="s">
        <v>97</v>
      </c>
    </row>
    <row r="20" spans="1:15">
      <c r="A20" s="286"/>
      <c r="B20" s="289">
        <v>1</v>
      </c>
      <c r="C20" s="290">
        <f t="shared" ref="C20:C31" si="1">IF(D20&gt;0,$F$4,0)</f>
        <v>0</v>
      </c>
      <c r="D20" s="291">
        <f>C4</f>
        <v>0</v>
      </c>
      <c r="E20" s="292">
        <f>G4</f>
        <v>0</v>
      </c>
      <c r="F20" s="292">
        <f t="shared" ref="F20:F83" si="2">E20-G20</f>
        <v>0</v>
      </c>
      <c r="G20" s="292">
        <f>C20*(D20/365)*30</f>
        <v>0</v>
      </c>
      <c r="H20" s="293">
        <f>IF((D20+G20-E20)&lt;0,0,D20+G20-E20)</f>
        <v>0</v>
      </c>
      <c r="I20" s="294"/>
      <c r="O20" s="295">
        <f t="shared" ref="O20:O83" si="3">IF(H20=0,B20,"n.a.")</f>
        <v>1</v>
      </c>
    </row>
    <row r="21" spans="1:15">
      <c r="A21" s="286"/>
      <c r="B21" s="296">
        <f>B20+1</f>
        <v>2</v>
      </c>
      <c r="C21" s="297">
        <f t="shared" si="1"/>
        <v>0</v>
      </c>
      <c r="D21" s="298">
        <f>H20</f>
        <v>0</v>
      </c>
      <c r="E21" s="299">
        <f t="shared" ref="E21:E31" si="4">IF(H20&lt;=E20,H20+G21,$G$4)</f>
        <v>0</v>
      </c>
      <c r="F21" s="299">
        <f t="shared" si="2"/>
        <v>0</v>
      </c>
      <c r="G21" s="299">
        <f t="shared" ref="G21:G84" si="5">C21*(D21/365)*30</f>
        <v>0</v>
      </c>
      <c r="H21" s="298">
        <f t="shared" ref="H21:H84" si="6">IF((D21+G21-E21)&lt;0,0,D21+G21-E21)</f>
        <v>0</v>
      </c>
      <c r="I21" s="294"/>
      <c r="O21" s="295">
        <f t="shared" si="3"/>
        <v>2</v>
      </c>
    </row>
    <row r="22" spans="1:15">
      <c r="A22" s="286"/>
      <c r="B22" s="296">
        <f t="shared" ref="B22:B85" si="7">B21+1</f>
        <v>3</v>
      </c>
      <c r="C22" s="297">
        <f t="shared" si="1"/>
        <v>0</v>
      </c>
      <c r="D22" s="298">
        <f t="shared" ref="D22:D85" si="8">H21</f>
        <v>0</v>
      </c>
      <c r="E22" s="299">
        <f t="shared" si="4"/>
        <v>0</v>
      </c>
      <c r="F22" s="299">
        <f t="shared" si="2"/>
        <v>0</v>
      </c>
      <c r="G22" s="299">
        <f t="shared" si="5"/>
        <v>0</v>
      </c>
      <c r="H22" s="298">
        <f t="shared" si="6"/>
        <v>0</v>
      </c>
      <c r="I22" s="294"/>
      <c r="O22" s="295">
        <f t="shared" si="3"/>
        <v>3</v>
      </c>
    </row>
    <row r="23" spans="1:15">
      <c r="A23" s="286"/>
      <c r="B23" s="296">
        <f t="shared" si="7"/>
        <v>4</v>
      </c>
      <c r="C23" s="297">
        <f t="shared" si="1"/>
        <v>0</v>
      </c>
      <c r="D23" s="298">
        <f t="shared" si="8"/>
        <v>0</v>
      </c>
      <c r="E23" s="299">
        <f t="shared" si="4"/>
        <v>0</v>
      </c>
      <c r="F23" s="299">
        <f t="shared" si="2"/>
        <v>0</v>
      </c>
      <c r="G23" s="299">
        <f t="shared" si="5"/>
        <v>0</v>
      </c>
      <c r="H23" s="298">
        <f t="shared" si="6"/>
        <v>0</v>
      </c>
      <c r="I23" s="294"/>
      <c r="O23" s="295">
        <f t="shared" si="3"/>
        <v>4</v>
      </c>
    </row>
    <row r="24" spans="1:15">
      <c r="A24" s="286"/>
      <c r="B24" s="296">
        <f t="shared" si="7"/>
        <v>5</v>
      </c>
      <c r="C24" s="297">
        <f t="shared" si="1"/>
        <v>0</v>
      </c>
      <c r="D24" s="298">
        <f t="shared" si="8"/>
        <v>0</v>
      </c>
      <c r="E24" s="299">
        <f t="shared" si="4"/>
        <v>0</v>
      </c>
      <c r="F24" s="299">
        <f t="shared" si="2"/>
        <v>0</v>
      </c>
      <c r="G24" s="299">
        <f t="shared" si="5"/>
        <v>0</v>
      </c>
      <c r="H24" s="298">
        <f t="shared" si="6"/>
        <v>0</v>
      </c>
      <c r="I24" s="294"/>
      <c r="O24" s="295">
        <f t="shared" si="3"/>
        <v>5</v>
      </c>
    </row>
    <row r="25" spans="1:15">
      <c r="A25" s="286"/>
      <c r="B25" s="296">
        <f t="shared" si="7"/>
        <v>6</v>
      </c>
      <c r="C25" s="297">
        <f t="shared" si="1"/>
        <v>0</v>
      </c>
      <c r="D25" s="298">
        <f t="shared" si="8"/>
        <v>0</v>
      </c>
      <c r="E25" s="299">
        <f t="shared" si="4"/>
        <v>0</v>
      </c>
      <c r="F25" s="299">
        <f t="shared" si="2"/>
        <v>0</v>
      </c>
      <c r="G25" s="299">
        <f t="shared" si="5"/>
        <v>0</v>
      </c>
      <c r="H25" s="298">
        <f t="shared" si="6"/>
        <v>0</v>
      </c>
      <c r="I25" s="294"/>
      <c r="O25" s="295">
        <f t="shared" si="3"/>
        <v>6</v>
      </c>
    </row>
    <row r="26" spans="1:15">
      <c r="A26" s="286"/>
      <c r="B26" s="296">
        <f t="shared" si="7"/>
        <v>7</v>
      </c>
      <c r="C26" s="297">
        <f t="shared" si="1"/>
        <v>0</v>
      </c>
      <c r="D26" s="298">
        <f t="shared" si="8"/>
        <v>0</v>
      </c>
      <c r="E26" s="299">
        <f t="shared" si="4"/>
        <v>0</v>
      </c>
      <c r="F26" s="299">
        <f t="shared" si="2"/>
        <v>0</v>
      </c>
      <c r="G26" s="299">
        <f t="shared" si="5"/>
        <v>0</v>
      </c>
      <c r="H26" s="298">
        <f t="shared" si="6"/>
        <v>0</v>
      </c>
      <c r="I26" s="294"/>
      <c r="O26" s="295">
        <f t="shared" si="3"/>
        <v>7</v>
      </c>
    </row>
    <row r="27" spans="1:15">
      <c r="A27" s="286"/>
      <c r="B27" s="296">
        <f t="shared" si="7"/>
        <v>8</v>
      </c>
      <c r="C27" s="297">
        <f t="shared" si="1"/>
        <v>0</v>
      </c>
      <c r="D27" s="298">
        <f t="shared" si="8"/>
        <v>0</v>
      </c>
      <c r="E27" s="299">
        <f t="shared" si="4"/>
        <v>0</v>
      </c>
      <c r="F27" s="299">
        <f t="shared" si="2"/>
        <v>0</v>
      </c>
      <c r="G27" s="299">
        <f t="shared" si="5"/>
        <v>0</v>
      </c>
      <c r="H27" s="298">
        <f t="shared" si="6"/>
        <v>0</v>
      </c>
      <c r="I27" s="294"/>
      <c r="O27" s="295">
        <f t="shared" si="3"/>
        <v>8</v>
      </c>
    </row>
    <row r="28" spans="1:15">
      <c r="A28" s="286"/>
      <c r="B28" s="296">
        <f t="shared" si="7"/>
        <v>9</v>
      </c>
      <c r="C28" s="297">
        <f t="shared" si="1"/>
        <v>0</v>
      </c>
      <c r="D28" s="298">
        <f t="shared" si="8"/>
        <v>0</v>
      </c>
      <c r="E28" s="299">
        <f t="shared" si="4"/>
        <v>0</v>
      </c>
      <c r="F28" s="299">
        <f t="shared" si="2"/>
        <v>0</v>
      </c>
      <c r="G28" s="299">
        <f t="shared" si="5"/>
        <v>0</v>
      </c>
      <c r="H28" s="298">
        <f t="shared" si="6"/>
        <v>0</v>
      </c>
      <c r="I28" s="294"/>
      <c r="O28" s="295">
        <f t="shared" si="3"/>
        <v>9</v>
      </c>
    </row>
    <row r="29" spans="1:15">
      <c r="A29" s="286"/>
      <c r="B29" s="296">
        <f t="shared" si="7"/>
        <v>10</v>
      </c>
      <c r="C29" s="297">
        <f t="shared" si="1"/>
        <v>0</v>
      </c>
      <c r="D29" s="298">
        <f t="shared" si="8"/>
        <v>0</v>
      </c>
      <c r="E29" s="299">
        <f t="shared" si="4"/>
        <v>0</v>
      </c>
      <c r="F29" s="299">
        <f t="shared" si="2"/>
        <v>0</v>
      </c>
      <c r="G29" s="299">
        <f t="shared" si="5"/>
        <v>0</v>
      </c>
      <c r="H29" s="298">
        <f t="shared" si="6"/>
        <v>0</v>
      </c>
      <c r="I29" s="294"/>
      <c r="O29" s="295">
        <f t="shared" si="3"/>
        <v>10</v>
      </c>
    </row>
    <row r="30" spans="1:15">
      <c r="A30" s="286"/>
      <c r="B30" s="296">
        <f t="shared" si="7"/>
        <v>11</v>
      </c>
      <c r="C30" s="297">
        <f t="shared" si="1"/>
        <v>0</v>
      </c>
      <c r="D30" s="298">
        <f t="shared" si="8"/>
        <v>0</v>
      </c>
      <c r="E30" s="299">
        <f t="shared" si="4"/>
        <v>0</v>
      </c>
      <c r="F30" s="299">
        <f t="shared" si="2"/>
        <v>0</v>
      </c>
      <c r="G30" s="299">
        <f t="shared" si="5"/>
        <v>0</v>
      </c>
      <c r="H30" s="298">
        <f t="shared" si="6"/>
        <v>0</v>
      </c>
      <c r="I30" s="294"/>
      <c r="O30" s="295">
        <f t="shared" si="3"/>
        <v>11</v>
      </c>
    </row>
    <row r="31" spans="1:15">
      <c r="A31" s="286"/>
      <c r="B31" s="300">
        <f t="shared" si="7"/>
        <v>12</v>
      </c>
      <c r="C31" s="301">
        <f t="shared" si="1"/>
        <v>0</v>
      </c>
      <c r="D31" s="302">
        <f t="shared" si="8"/>
        <v>0</v>
      </c>
      <c r="E31" s="303">
        <f t="shared" si="4"/>
        <v>0</v>
      </c>
      <c r="F31" s="303">
        <f t="shared" si="2"/>
        <v>0</v>
      </c>
      <c r="G31" s="303">
        <f t="shared" si="5"/>
        <v>0</v>
      </c>
      <c r="H31" s="302">
        <f t="shared" si="6"/>
        <v>0</v>
      </c>
      <c r="I31" s="304" t="e">
        <f>H31/$D$5</f>
        <v>#VALUE!</v>
      </c>
      <c r="J31" s="305"/>
      <c r="K31" s="305"/>
      <c r="L31" s="305"/>
      <c r="M31" s="305"/>
      <c r="N31" s="305"/>
      <c r="O31" s="306">
        <f t="shared" si="3"/>
        <v>12</v>
      </c>
    </row>
    <row r="32" spans="1:15">
      <c r="A32" s="286"/>
      <c r="B32" s="296">
        <f t="shared" si="7"/>
        <v>13</v>
      </c>
      <c r="C32" s="297">
        <f t="shared" ref="C32:C43" si="9">IF(D32&gt;0,$F$5,0)</f>
        <v>0</v>
      </c>
      <c r="D32" s="298">
        <f t="shared" si="8"/>
        <v>0</v>
      </c>
      <c r="E32" s="299">
        <f t="shared" ref="E32:E43" si="10">IF(H31&lt;=E31,H31+G32,$G$5)</f>
        <v>0</v>
      </c>
      <c r="F32" s="299">
        <f t="shared" si="2"/>
        <v>0</v>
      </c>
      <c r="G32" s="299">
        <f t="shared" si="5"/>
        <v>0</v>
      </c>
      <c r="H32" s="298">
        <f t="shared" si="6"/>
        <v>0</v>
      </c>
      <c r="I32" s="294"/>
      <c r="O32" s="295">
        <f t="shared" si="3"/>
        <v>13</v>
      </c>
    </row>
    <row r="33" spans="1:15">
      <c r="A33" s="286"/>
      <c r="B33" s="296">
        <f t="shared" si="7"/>
        <v>14</v>
      </c>
      <c r="C33" s="297">
        <f t="shared" si="9"/>
        <v>0</v>
      </c>
      <c r="D33" s="298">
        <f t="shared" si="8"/>
        <v>0</v>
      </c>
      <c r="E33" s="299">
        <f t="shared" si="10"/>
        <v>0</v>
      </c>
      <c r="F33" s="299">
        <f t="shared" si="2"/>
        <v>0</v>
      </c>
      <c r="G33" s="299">
        <f t="shared" si="5"/>
        <v>0</v>
      </c>
      <c r="H33" s="298">
        <f t="shared" si="6"/>
        <v>0</v>
      </c>
      <c r="I33" s="294"/>
      <c r="O33" s="295">
        <f t="shared" si="3"/>
        <v>14</v>
      </c>
    </row>
    <row r="34" spans="1:15">
      <c r="A34" s="286"/>
      <c r="B34" s="296">
        <f t="shared" si="7"/>
        <v>15</v>
      </c>
      <c r="C34" s="297">
        <f t="shared" si="9"/>
        <v>0</v>
      </c>
      <c r="D34" s="298">
        <f t="shared" si="8"/>
        <v>0</v>
      </c>
      <c r="E34" s="299">
        <f t="shared" si="10"/>
        <v>0</v>
      </c>
      <c r="F34" s="299">
        <f t="shared" si="2"/>
        <v>0</v>
      </c>
      <c r="G34" s="299">
        <f t="shared" si="5"/>
        <v>0</v>
      </c>
      <c r="H34" s="298">
        <f t="shared" si="6"/>
        <v>0</v>
      </c>
      <c r="I34" s="294"/>
      <c r="O34" s="295">
        <f t="shared" si="3"/>
        <v>15</v>
      </c>
    </row>
    <row r="35" spans="1:15">
      <c r="A35" s="286"/>
      <c r="B35" s="296">
        <f t="shared" si="7"/>
        <v>16</v>
      </c>
      <c r="C35" s="297">
        <f t="shared" si="9"/>
        <v>0</v>
      </c>
      <c r="D35" s="298">
        <f t="shared" si="8"/>
        <v>0</v>
      </c>
      <c r="E35" s="299">
        <f t="shared" si="10"/>
        <v>0</v>
      </c>
      <c r="F35" s="299">
        <f t="shared" si="2"/>
        <v>0</v>
      </c>
      <c r="G35" s="299">
        <f t="shared" si="5"/>
        <v>0</v>
      </c>
      <c r="H35" s="298">
        <f t="shared" si="6"/>
        <v>0</v>
      </c>
      <c r="I35" s="294"/>
      <c r="O35" s="295">
        <f t="shared" si="3"/>
        <v>16</v>
      </c>
    </row>
    <row r="36" spans="1:15">
      <c r="A36" s="286"/>
      <c r="B36" s="296">
        <f t="shared" si="7"/>
        <v>17</v>
      </c>
      <c r="C36" s="297">
        <f t="shared" si="9"/>
        <v>0</v>
      </c>
      <c r="D36" s="298">
        <f t="shared" si="8"/>
        <v>0</v>
      </c>
      <c r="E36" s="299">
        <f t="shared" si="10"/>
        <v>0</v>
      </c>
      <c r="F36" s="299">
        <f t="shared" si="2"/>
        <v>0</v>
      </c>
      <c r="G36" s="299">
        <f t="shared" si="5"/>
        <v>0</v>
      </c>
      <c r="H36" s="298">
        <f t="shared" si="6"/>
        <v>0</v>
      </c>
      <c r="I36" s="294"/>
      <c r="O36" s="295">
        <f t="shared" si="3"/>
        <v>17</v>
      </c>
    </row>
    <row r="37" spans="1:15">
      <c r="A37" s="286"/>
      <c r="B37" s="296">
        <f t="shared" si="7"/>
        <v>18</v>
      </c>
      <c r="C37" s="297">
        <f t="shared" si="9"/>
        <v>0</v>
      </c>
      <c r="D37" s="298">
        <f t="shared" si="8"/>
        <v>0</v>
      </c>
      <c r="E37" s="299">
        <f t="shared" si="10"/>
        <v>0</v>
      </c>
      <c r="F37" s="299">
        <f t="shared" si="2"/>
        <v>0</v>
      </c>
      <c r="G37" s="299">
        <f t="shared" si="5"/>
        <v>0</v>
      </c>
      <c r="H37" s="298">
        <f t="shared" si="6"/>
        <v>0</v>
      </c>
      <c r="I37" s="294"/>
      <c r="O37" s="295">
        <f t="shared" si="3"/>
        <v>18</v>
      </c>
    </row>
    <row r="38" spans="1:15">
      <c r="A38" s="286"/>
      <c r="B38" s="296">
        <f t="shared" si="7"/>
        <v>19</v>
      </c>
      <c r="C38" s="297">
        <f t="shared" si="9"/>
        <v>0</v>
      </c>
      <c r="D38" s="298">
        <f t="shared" si="8"/>
        <v>0</v>
      </c>
      <c r="E38" s="299">
        <f t="shared" si="10"/>
        <v>0</v>
      </c>
      <c r="F38" s="299">
        <f t="shared" si="2"/>
        <v>0</v>
      </c>
      <c r="G38" s="299">
        <f t="shared" si="5"/>
        <v>0</v>
      </c>
      <c r="H38" s="298">
        <f t="shared" si="6"/>
        <v>0</v>
      </c>
      <c r="I38" s="294"/>
      <c r="O38" s="295">
        <f t="shared" si="3"/>
        <v>19</v>
      </c>
    </row>
    <row r="39" spans="1:15">
      <c r="A39" s="286"/>
      <c r="B39" s="296">
        <f t="shared" si="7"/>
        <v>20</v>
      </c>
      <c r="C39" s="297">
        <f t="shared" si="9"/>
        <v>0</v>
      </c>
      <c r="D39" s="298">
        <f t="shared" si="8"/>
        <v>0</v>
      </c>
      <c r="E39" s="299">
        <f t="shared" si="10"/>
        <v>0</v>
      </c>
      <c r="F39" s="299">
        <f t="shared" si="2"/>
        <v>0</v>
      </c>
      <c r="G39" s="299">
        <f t="shared" si="5"/>
        <v>0</v>
      </c>
      <c r="H39" s="298">
        <f t="shared" si="6"/>
        <v>0</v>
      </c>
      <c r="I39" s="294"/>
      <c r="O39" s="295">
        <f t="shared" si="3"/>
        <v>20</v>
      </c>
    </row>
    <row r="40" spans="1:15">
      <c r="A40" s="286"/>
      <c r="B40" s="296">
        <f t="shared" si="7"/>
        <v>21</v>
      </c>
      <c r="C40" s="297">
        <f t="shared" si="9"/>
        <v>0</v>
      </c>
      <c r="D40" s="298">
        <f t="shared" si="8"/>
        <v>0</v>
      </c>
      <c r="E40" s="299">
        <f t="shared" si="10"/>
        <v>0</v>
      </c>
      <c r="F40" s="299">
        <f t="shared" si="2"/>
        <v>0</v>
      </c>
      <c r="G40" s="299">
        <f t="shared" si="5"/>
        <v>0</v>
      </c>
      <c r="H40" s="298">
        <f t="shared" si="6"/>
        <v>0</v>
      </c>
      <c r="I40" s="294"/>
      <c r="O40" s="295">
        <f t="shared" si="3"/>
        <v>21</v>
      </c>
    </row>
    <row r="41" spans="1:15">
      <c r="A41" s="286"/>
      <c r="B41" s="296">
        <f t="shared" si="7"/>
        <v>22</v>
      </c>
      <c r="C41" s="297">
        <f t="shared" si="9"/>
        <v>0</v>
      </c>
      <c r="D41" s="298">
        <f t="shared" si="8"/>
        <v>0</v>
      </c>
      <c r="E41" s="299">
        <f t="shared" si="10"/>
        <v>0</v>
      </c>
      <c r="F41" s="299">
        <f t="shared" si="2"/>
        <v>0</v>
      </c>
      <c r="G41" s="299">
        <f t="shared" si="5"/>
        <v>0</v>
      </c>
      <c r="H41" s="298">
        <f t="shared" si="6"/>
        <v>0</v>
      </c>
      <c r="I41" s="294"/>
      <c r="O41" s="295">
        <f t="shared" si="3"/>
        <v>22</v>
      </c>
    </row>
    <row r="42" spans="1:15">
      <c r="A42" s="286"/>
      <c r="B42" s="296">
        <f t="shared" si="7"/>
        <v>23</v>
      </c>
      <c r="C42" s="297">
        <f t="shared" si="9"/>
        <v>0</v>
      </c>
      <c r="D42" s="298">
        <f t="shared" si="8"/>
        <v>0</v>
      </c>
      <c r="E42" s="299">
        <f t="shared" si="10"/>
        <v>0</v>
      </c>
      <c r="F42" s="299">
        <f t="shared" si="2"/>
        <v>0</v>
      </c>
      <c r="G42" s="299">
        <f t="shared" si="5"/>
        <v>0</v>
      </c>
      <c r="H42" s="298">
        <f t="shared" si="6"/>
        <v>0</v>
      </c>
      <c r="I42" s="294"/>
      <c r="O42" s="295">
        <f t="shared" si="3"/>
        <v>23</v>
      </c>
    </row>
    <row r="43" spans="1:15">
      <c r="A43" s="286"/>
      <c r="B43" s="300">
        <f t="shared" si="7"/>
        <v>24</v>
      </c>
      <c r="C43" s="301">
        <f t="shared" si="9"/>
        <v>0</v>
      </c>
      <c r="D43" s="302">
        <f t="shared" si="8"/>
        <v>0</v>
      </c>
      <c r="E43" s="303">
        <f t="shared" si="10"/>
        <v>0</v>
      </c>
      <c r="F43" s="303">
        <f t="shared" si="2"/>
        <v>0</v>
      </c>
      <c r="G43" s="303">
        <f t="shared" si="5"/>
        <v>0</v>
      </c>
      <c r="H43" s="302">
        <f t="shared" si="6"/>
        <v>0</v>
      </c>
      <c r="I43" s="304" t="e">
        <f>H43/$D$5</f>
        <v>#VALUE!</v>
      </c>
      <c r="J43" s="305"/>
      <c r="K43" s="305"/>
      <c r="L43" s="305"/>
      <c r="M43" s="305"/>
      <c r="N43" s="305"/>
      <c r="O43" s="306">
        <f t="shared" si="3"/>
        <v>24</v>
      </c>
    </row>
    <row r="44" spans="1:15">
      <c r="A44" s="286"/>
      <c r="B44" s="296">
        <f t="shared" si="7"/>
        <v>25</v>
      </c>
      <c r="C44" s="297">
        <f t="shared" ref="C44:C55" si="11">IF(D44&gt;0,$F$6,0)</f>
        <v>0</v>
      </c>
      <c r="D44" s="298">
        <f t="shared" si="8"/>
        <v>0</v>
      </c>
      <c r="E44" s="299">
        <f t="shared" ref="E44:E55" si="12">IF(H43&lt;=E43,H43+G44,$G$6)</f>
        <v>0</v>
      </c>
      <c r="F44" s="299">
        <f t="shared" si="2"/>
        <v>0</v>
      </c>
      <c r="G44" s="299">
        <f t="shared" si="5"/>
        <v>0</v>
      </c>
      <c r="H44" s="298">
        <f t="shared" si="6"/>
        <v>0</v>
      </c>
      <c r="I44" s="294"/>
      <c r="O44" s="295">
        <f t="shared" si="3"/>
        <v>25</v>
      </c>
    </row>
    <row r="45" spans="1:15">
      <c r="A45" s="286"/>
      <c r="B45" s="296">
        <f t="shared" si="7"/>
        <v>26</v>
      </c>
      <c r="C45" s="297">
        <f t="shared" si="11"/>
        <v>0</v>
      </c>
      <c r="D45" s="298">
        <f t="shared" si="8"/>
        <v>0</v>
      </c>
      <c r="E45" s="299">
        <f t="shared" si="12"/>
        <v>0</v>
      </c>
      <c r="F45" s="299">
        <f t="shared" si="2"/>
        <v>0</v>
      </c>
      <c r="G45" s="299">
        <f t="shared" si="5"/>
        <v>0</v>
      </c>
      <c r="H45" s="298">
        <f t="shared" si="6"/>
        <v>0</v>
      </c>
      <c r="I45" s="294"/>
      <c r="O45" s="295">
        <f t="shared" si="3"/>
        <v>26</v>
      </c>
    </row>
    <row r="46" spans="1:15">
      <c r="A46" s="286"/>
      <c r="B46" s="296">
        <f t="shared" si="7"/>
        <v>27</v>
      </c>
      <c r="C46" s="297">
        <f t="shared" si="11"/>
        <v>0</v>
      </c>
      <c r="D46" s="298">
        <f t="shared" si="8"/>
        <v>0</v>
      </c>
      <c r="E46" s="299">
        <f t="shared" si="12"/>
        <v>0</v>
      </c>
      <c r="F46" s="299">
        <f t="shared" si="2"/>
        <v>0</v>
      </c>
      <c r="G46" s="299">
        <f t="shared" si="5"/>
        <v>0</v>
      </c>
      <c r="H46" s="298">
        <f t="shared" si="6"/>
        <v>0</v>
      </c>
      <c r="I46" s="294"/>
      <c r="O46" s="295">
        <f t="shared" si="3"/>
        <v>27</v>
      </c>
    </row>
    <row r="47" spans="1:15">
      <c r="A47" s="286"/>
      <c r="B47" s="296">
        <f t="shared" si="7"/>
        <v>28</v>
      </c>
      <c r="C47" s="297">
        <f t="shared" si="11"/>
        <v>0</v>
      </c>
      <c r="D47" s="298">
        <f t="shared" si="8"/>
        <v>0</v>
      </c>
      <c r="E47" s="299">
        <f t="shared" si="12"/>
        <v>0</v>
      </c>
      <c r="F47" s="299">
        <f t="shared" si="2"/>
        <v>0</v>
      </c>
      <c r="G47" s="299">
        <f t="shared" si="5"/>
        <v>0</v>
      </c>
      <c r="H47" s="298">
        <f t="shared" si="6"/>
        <v>0</v>
      </c>
      <c r="I47" s="294"/>
      <c r="O47" s="295">
        <f t="shared" si="3"/>
        <v>28</v>
      </c>
    </row>
    <row r="48" spans="1:15">
      <c r="A48" s="286"/>
      <c r="B48" s="296">
        <f t="shared" si="7"/>
        <v>29</v>
      </c>
      <c r="C48" s="297">
        <f t="shared" si="11"/>
        <v>0</v>
      </c>
      <c r="D48" s="298">
        <f t="shared" si="8"/>
        <v>0</v>
      </c>
      <c r="E48" s="299">
        <f t="shared" si="12"/>
        <v>0</v>
      </c>
      <c r="F48" s="299">
        <f t="shared" si="2"/>
        <v>0</v>
      </c>
      <c r="G48" s="299">
        <f t="shared" si="5"/>
        <v>0</v>
      </c>
      <c r="H48" s="298">
        <f t="shared" si="6"/>
        <v>0</v>
      </c>
      <c r="I48" s="294"/>
      <c r="O48" s="295">
        <f t="shared" si="3"/>
        <v>29</v>
      </c>
    </row>
    <row r="49" spans="1:15">
      <c r="A49" s="286"/>
      <c r="B49" s="296">
        <f t="shared" si="7"/>
        <v>30</v>
      </c>
      <c r="C49" s="297">
        <f t="shared" si="11"/>
        <v>0</v>
      </c>
      <c r="D49" s="298">
        <f t="shared" si="8"/>
        <v>0</v>
      </c>
      <c r="E49" s="299">
        <f t="shared" si="12"/>
        <v>0</v>
      </c>
      <c r="F49" s="299">
        <f t="shared" si="2"/>
        <v>0</v>
      </c>
      <c r="G49" s="299">
        <f t="shared" si="5"/>
        <v>0</v>
      </c>
      <c r="H49" s="298">
        <f t="shared" si="6"/>
        <v>0</v>
      </c>
      <c r="I49" s="294"/>
      <c r="O49" s="295">
        <f t="shared" si="3"/>
        <v>30</v>
      </c>
    </row>
    <row r="50" spans="1:15">
      <c r="A50" s="286"/>
      <c r="B50" s="296">
        <f t="shared" si="7"/>
        <v>31</v>
      </c>
      <c r="C50" s="297">
        <f t="shared" si="11"/>
        <v>0</v>
      </c>
      <c r="D50" s="298">
        <f t="shared" si="8"/>
        <v>0</v>
      </c>
      <c r="E50" s="299">
        <f t="shared" si="12"/>
        <v>0</v>
      </c>
      <c r="F50" s="299">
        <f t="shared" si="2"/>
        <v>0</v>
      </c>
      <c r="G50" s="299">
        <f t="shared" si="5"/>
        <v>0</v>
      </c>
      <c r="H50" s="298">
        <f t="shared" si="6"/>
        <v>0</v>
      </c>
      <c r="I50" s="294"/>
      <c r="O50" s="295">
        <f t="shared" si="3"/>
        <v>31</v>
      </c>
    </row>
    <row r="51" spans="1:15">
      <c r="A51" s="286"/>
      <c r="B51" s="296">
        <f t="shared" si="7"/>
        <v>32</v>
      </c>
      <c r="C51" s="297">
        <f t="shared" si="11"/>
        <v>0</v>
      </c>
      <c r="D51" s="298">
        <f t="shared" si="8"/>
        <v>0</v>
      </c>
      <c r="E51" s="299">
        <f t="shared" si="12"/>
        <v>0</v>
      </c>
      <c r="F51" s="299">
        <f t="shared" si="2"/>
        <v>0</v>
      </c>
      <c r="G51" s="299">
        <f t="shared" si="5"/>
        <v>0</v>
      </c>
      <c r="H51" s="298">
        <f t="shared" si="6"/>
        <v>0</v>
      </c>
      <c r="I51" s="294"/>
      <c r="O51" s="295">
        <f t="shared" si="3"/>
        <v>32</v>
      </c>
    </row>
    <row r="52" spans="1:15">
      <c r="A52" s="286"/>
      <c r="B52" s="296">
        <f t="shared" si="7"/>
        <v>33</v>
      </c>
      <c r="C52" s="297">
        <f t="shared" si="11"/>
        <v>0</v>
      </c>
      <c r="D52" s="298">
        <f t="shared" si="8"/>
        <v>0</v>
      </c>
      <c r="E52" s="299">
        <f t="shared" si="12"/>
        <v>0</v>
      </c>
      <c r="F52" s="299">
        <f t="shared" si="2"/>
        <v>0</v>
      </c>
      <c r="G52" s="299">
        <f t="shared" si="5"/>
        <v>0</v>
      </c>
      <c r="H52" s="298">
        <f t="shared" si="6"/>
        <v>0</v>
      </c>
      <c r="I52" s="294"/>
      <c r="O52" s="295">
        <f t="shared" si="3"/>
        <v>33</v>
      </c>
    </row>
    <row r="53" spans="1:15">
      <c r="A53" s="286"/>
      <c r="B53" s="296">
        <f t="shared" si="7"/>
        <v>34</v>
      </c>
      <c r="C53" s="297">
        <f t="shared" si="11"/>
        <v>0</v>
      </c>
      <c r="D53" s="298">
        <f t="shared" si="8"/>
        <v>0</v>
      </c>
      <c r="E53" s="299">
        <f t="shared" si="12"/>
        <v>0</v>
      </c>
      <c r="F53" s="299">
        <f t="shared" si="2"/>
        <v>0</v>
      </c>
      <c r="G53" s="299">
        <f t="shared" si="5"/>
        <v>0</v>
      </c>
      <c r="H53" s="298">
        <f t="shared" si="6"/>
        <v>0</v>
      </c>
      <c r="I53" s="294"/>
      <c r="O53" s="295">
        <f t="shared" si="3"/>
        <v>34</v>
      </c>
    </row>
    <row r="54" spans="1:15">
      <c r="A54" s="286"/>
      <c r="B54" s="296">
        <f t="shared" si="7"/>
        <v>35</v>
      </c>
      <c r="C54" s="297">
        <f t="shared" si="11"/>
        <v>0</v>
      </c>
      <c r="D54" s="298">
        <f t="shared" si="8"/>
        <v>0</v>
      </c>
      <c r="E54" s="299">
        <f t="shared" si="12"/>
        <v>0</v>
      </c>
      <c r="F54" s="299">
        <f t="shared" si="2"/>
        <v>0</v>
      </c>
      <c r="G54" s="299">
        <f t="shared" si="5"/>
        <v>0</v>
      </c>
      <c r="H54" s="298">
        <f t="shared" si="6"/>
        <v>0</v>
      </c>
      <c r="I54" s="294"/>
      <c r="O54" s="295">
        <f t="shared" si="3"/>
        <v>35</v>
      </c>
    </row>
    <row r="55" spans="1:15">
      <c r="A55" s="286"/>
      <c r="B55" s="300">
        <f t="shared" si="7"/>
        <v>36</v>
      </c>
      <c r="C55" s="301">
        <f t="shared" si="11"/>
        <v>0</v>
      </c>
      <c r="D55" s="302">
        <f t="shared" si="8"/>
        <v>0</v>
      </c>
      <c r="E55" s="303">
        <f t="shared" si="12"/>
        <v>0</v>
      </c>
      <c r="F55" s="303">
        <f t="shared" si="2"/>
        <v>0</v>
      </c>
      <c r="G55" s="303">
        <f t="shared" si="5"/>
        <v>0</v>
      </c>
      <c r="H55" s="302">
        <f t="shared" si="6"/>
        <v>0</v>
      </c>
      <c r="I55" s="304" t="e">
        <f>H55/$D$5</f>
        <v>#VALUE!</v>
      </c>
      <c r="J55" s="305"/>
      <c r="K55" s="305"/>
      <c r="L55" s="305"/>
      <c r="M55" s="305"/>
      <c r="N55" s="305"/>
      <c r="O55" s="306">
        <f t="shared" si="3"/>
        <v>36</v>
      </c>
    </row>
    <row r="56" spans="1:15">
      <c r="A56" s="286"/>
      <c r="B56" s="296">
        <f t="shared" si="7"/>
        <v>37</v>
      </c>
      <c r="C56" s="297">
        <f t="shared" ref="C56:C119" si="13">IF(D56&gt;0,$F$7,0)</f>
        <v>0</v>
      </c>
      <c r="D56" s="298">
        <f t="shared" si="8"/>
        <v>0</v>
      </c>
      <c r="E56" s="299">
        <f t="shared" ref="E56:E67" si="14">IF(H55&lt;=E55,H55+G56,$G$7)</f>
        <v>0</v>
      </c>
      <c r="F56" s="299">
        <f t="shared" si="2"/>
        <v>0</v>
      </c>
      <c r="G56" s="299">
        <f t="shared" si="5"/>
        <v>0</v>
      </c>
      <c r="H56" s="298">
        <f t="shared" si="6"/>
        <v>0</v>
      </c>
      <c r="I56" s="294"/>
      <c r="O56" s="295">
        <f t="shared" si="3"/>
        <v>37</v>
      </c>
    </row>
    <row r="57" spans="1:15">
      <c r="A57" s="286"/>
      <c r="B57" s="296">
        <f t="shared" si="7"/>
        <v>38</v>
      </c>
      <c r="C57" s="297">
        <f t="shared" si="13"/>
        <v>0</v>
      </c>
      <c r="D57" s="298">
        <f t="shared" si="8"/>
        <v>0</v>
      </c>
      <c r="E57" s="299">
        <f t="shared" si="14"/>
        <v>0</v>
      </c>
      <c r="F57" s="299">
        <f t="shared" si="2"/>
        <v>0</v>
      </c>
      <c r="G57" s="299">
        <f t="shared" si="5"/>
        <v>0</v>
      </c>
      <c r="H57" s="298">
        <f t="shared" si="6"/>
        <v>0</v>
      </c>
      <c r="I57" s="294"/>
      <c r="O57" s="295">
        <f t="shared" si="3"/>
        <v>38</v>
      </c>
    </row>
    <row r="58" spans="1:15">
      <c r="A58" s="286"/>
      <c r="B58" s="296">
        <f t="shared" si="7"/>
        <v>39</v>
      </c>
      <c r="C58" s="297">
        <f t="shared" si="13"/>
        <v>0</v>
      </c>
      <c r="D58" s="298">
        <f t="shared" si="8"/>
        <v>0</v>
      </c>
      <c r="E58" s="299">
        <f t="shared" si="14"/>
        <v>0</v>
      </c>
      <c r="F58" s="299">
        <f t="shared" si="2"/>
        <v>0</v>
      </c>
      <c r="G58" s="299">
        <f t="shared" si="5"/>
        <v>0</v>
      </c>
      <c r="H58" s="298">
        <f t="shared" si="6"/>
        <v>0</v>
      </c>
      <c r="I58" s="294"/>
      <c r="O58" s="295">
        <f t="shared" si="3"/>
        <v>39</v>
      </c>
    </row>
    <row r="59" spans="1:15">
      <c r="A59" s="286"/>
      <c r="B59" s="296">
        <f t="shared" si="7"/>
        <v>40</v>
      </c>
      <c r="C59" s="297">
        <f t="shared" si="13"/>
        <v>0</v>
      </c>
      <c r="D59" s="298">
        <f t="shared" si="8"/>
        <v>0</v>
      </c>
      <c r="E59" s="299">
        <f t="shared" si="14"/>
        <v>0</v>
      </c>
      <c r="F59" s="299">
        <f t="shared" si="2"/>
        <v>0</v>
      </c>
      <c r="G59" s="299">
        <f t="shared" si="5"/>
        <v>0</v>
      </c>
      <c r="H59" s="298">
        <f t="shared" si="6"/>
        <v>0</v>
      </c>
      <c r="I59" s="294"/>
      <c r="O59" s="295">
        <f t="shared" si="3"/>
        <v>40</v>
      </c>
    </row>
    <row r="60" spans="1:15">
      <c r="A60" s="286"/>
      <c r="B60" s="296">
        <f t="shared" si="7"/>
        <v>41</v>
      </c>
      <c r="C60" s="297">
        <f t="shared" si="13"/>
        <v>0</v>
      </c>
      <c r="D60" s="298">
        <f t="shared" si="8"/>
        <v>0</v>
      </c>
      <c r="E60" s="299">
        <f t="shared" si="14"/>
        <v>0</v>
      </c>
      <c r="F60" s="299">
        <f t="shared" si="2"/>
        <v>0</v>
      </c>
      <c r="G60" s="299">
        <f t="shared" si="5"/>
        <v>0</v>
      </c>
      <c r="H60" s="298">
        <f t="shared" si="6"/>
        <v>0</v>
      </c>
      <c r="I60" s="294"/>
      <c r="O60" s="295">
        <f t="shared" si="3"/>
        <v>41</v>
      </c>
    </row>
    <row r="61" spans="1:15">
      <c r="A61" s="286"/>
      <c r="B61" s="296">
        <f t="shared" si="7"/>
        <v>42</v>
      </c>
      <c r="C61" s="297">
        <f t="shared" si="13"/>
        <v>0</v>
      </c>
      <c r="D61" s="298">
        <f t="shared" si="8"/>
        <v>0</v>
      </c>
      <c r="E61" s="299">
        <f t="shared" si="14"/>
        <v>0</v>
      </c>
      <c r="F61" s="299">
        <f t="shared" si="2"/>
        <v>0</v>
      </c>
      <c r="G61" s="299">
        <f t="shared" si="5"/>
        <v>0</v>
      </c>
      <c r="H61" s="298">
        <f t="shared" si="6"/>
        <v>0</v>
      </c>
      <c r="I61" s="294"/>
      <c r="O61" s="295">
        <f t="shared" si="3"/>
        <v>42</v>
      </c>
    </row>
    <row r="62" spans="1:15">
      <c r="A62" s="286"/>
      <c r="B62" s="296">
        <f t="shared" si="7"/>
        <v>43</v>
      </c>
      <c r="C62" s="297">
        <f t="shared" si="13"/>
        <v>0</v>
      </c>
      <c r="D62" s="298">
        <f t="shared" si="8"/>
        <v>0</v>
      </c>
      <c r="E62" s="299">
        <f t="shared" si="14"/>
        <v>0</v>
      </c>
      <c r="F62" s="299">
        <f t="shared" si="2"/>
        <v>0</v>
      </c>
      <c r="G62" s="299">
        <f t="shared" si="5"/>
        <v>0</v>
      </c>
      <c r="H62" s="298">
        <f t="shared" si="6"/>
        <v>0</v>
      </c>
      <c r="I62" s="294"/>
      <c r="O62" s="295">
        <f t="shared" si="3"/>
        <v>43</v>
      </c>
    </row>
    <row r="63" spans="1:15">
      <c r="A63" s="286"/>
      <c r="B63" s="296">
        <f t="shared" si="7"/>
        <v>44</v>
      </c>
      <c r="C63" s="297">
        <f t="shared" si="13"/>
        <v>0</v>
      </c>
      <c r="D63" s="298">
        <f t="shared" si="8"/>
        <v>0</v>
      </c>
      <c r="E63" s="299">
        <f t="shared" si="14"/>
        <v>0</v>
      </c>
      <c r="F63" s="299">
        <f t="shared" si="2"/>
        <v>0</v>
      </c>
      <c r="G63" s="299">
        <f t="shared" si="5"/>
        <v>0</v>
      </c>
      <c r="H63" s="298">
        <f t="shared" si="6"/>
        <v>0</v>
      </c>
      <c r="I63" s="294"/>
      <c r="O63" s="295">
        <f t="shared" si="3"/>
        <v>44</v>
      </c>
    </row>
    <row r="64" spans="1:15">
      <c r="A64" s="286"/>
      <c r="B64" s="296">
        <f t="shared" si="7"/>
        <v>45</v>
      </c>
      <c r="C64" s="297">
        <f t="shared" si="13"/>
        <v>0</v>
      </c>
      <c r="D64" s="298">
        <f t="shared" si="8"/>
        <v>0</v>
      </c>
      <c r="E64" s="299">
        <f t="shared" si="14"/>
        <v>0</v>
      </c>
      <c r="F64" s="299">
        <f t="shared" si="2"/>
        <v>0</v>
      </c>
      <c r="G64" s="299">
        <f t="shared" si="5"/>
        <v>0</v>
      </c>
      <c r="H64" s="298">
        <f t="shared" si="6"/>
        <v>0</v>
      </c>
      <c r="I64" s="294"/>
      <c r="O64" s="295">
        <f t="shared" si="3"/>
        <v>45</v>
      </c>
    </row>
    <row r="65" spans="1:15">
      <c r="A65" s="286"/>
      <c r="B65" s="296">
        <f t="shared" si="7"/>
        <v>46</v>
      </c>
      <c r="C65" s="297">
        <f t="shared" si="13"/>
        <v>0</v>
      </c>
      <c r="D65" s="298">
        <f t="shared" si="8"/>
        <v>0</v>
      </c>
      <c r="E65" s="299">
        <f t="shared" si="14"/>
        <v>0</v>
      </c>
      <c r="F65" s="299">
        <f t="shared" si="2"/>
        <v>0</v>
      </c>
      <c r="G65" s="299">
        <f t="shared" si="5"/>
        <v>0</v>
      </c>
      <c r="H65" s="298">
        <f t="shared" si="6"/>
        <v>0</v>
      </c>
      <c r="I65" s="294"/>
      <c r="O65" s="295">
        <f t="shared" si="3"/>
        <v>46</v>
      </c>
    </row>
    <row r="66" spans="1:15">
      <c r="A66" s="286"/>
      <c r="B66" s="296">
        <f t="shared" si="7"/>
        <v>47</v>
      </c>
      <c r="C66" s="297">
        <f t="shared" si="13"/>
        <v>0</v>
      </c>
      <c r="D66" s="298">
        <f t="shared" si="8"/>
        <v>0</v>
      </c>
      <c r="E66" s="299">
        <f t="shared" si="14"/>
        <v>0</v>
      </c>
      <c r="F66" s="299">
        <f t="shared" si="2"/>
        <v>0</v>
      </c>
      <c r="G66" s="299">
        <f t="shared" si="5"/>
        <v>0</v>
      </c>
      <c r="H66" s="298">
        <f t="shared" si="6"/>
        <v>0</v>
      </c>
      <c r="I66" s="294"/>
      <c r="O66" s="295">
        <f t="shared" si="3"/>
        <v>47</v>
      </c>
    </row>
    <row r="67" spans="1:15">
      <c r="A67" s="286"/>
      <c r="B67" s="300">
        <f t="shared" si="7"/>
        <v>48</v>
      </c>
      <c r="C67" s="301">
        <f t="shared" si="13"/>
        <v>0</v>
      </c>
      <c r="D67" s="302">
        <f t="shared" si="8"/>
        <v>0</v>
      </c>
      <c r="E67" s="303">
        <f t="shared" si="14"/>
        <v>0</v>
      </c>
      <c r="F67" s="303">
        <f t="shared" si="2"/>
        <v>0</v>
      </c>
      <c r="G67" s="303">
        <f t="shared" si="5"/>
        <v>0</v>
      </c>
      <c r="H67" s="302">
        <f t="shared" si="6"/>
        <v>0</v>
      </c>
      <c r="I67" s="304" t="e">
        <f>H67/$D$5</f>
        <v>#VALUE!</v>
      </c>
      <c r="J67" s="305"/>
      <c r="K67" s="305"/>
      <c r="L67" s="305"/>
      <c r="M67" s="305"/>
      <c r="N67" s="305"/>
      <c r="O67" s="306">
        <f t="shared" si="3"/>
        <v>48</v>
      </c>
    </row>
    <row r="68" spans="1:15">
      <c r="A68" s="286"/>
      <c r="B68" s="296">
        <f t="shared" si="7"/>
        <v>49</v>
      </c>
      <c r="C68" s="297">
        <f t="shared" si="13"/>
        <v>0</v>
      </c>
      <c r="D68" s="298">
        <f t="shared" si="8"/>
        <v>0</v>
      </c>
      <c r="E68" s="299">
        <f t="shared" ref="E68:E131" si="15">IF(H67&lt;=E67,H67+G68,$H$10)</f>
        <v>0</v>
      </c>
      <c r="F68" s="299">
        <f t="shared" si="2"/>
        <v>0</v>
      </c>
      <c r="G68" s="299">
        <f t="shared" si="5"/>
        <v>0</v>
      </c>
      <c r="H68" s="298">
        <f t="shared" si="6"/>
        <v>0</v>
      </c>
      <c r="I68" s="294"/>
      <c r="O68" s="295">
        <f t="shared" si="3"/>
        <v>49</v>
      </c>
    </row>
    <row r="69" spans="1:15">
      <c r="A69" s="286"/>
      <c r="B69" s="296">
        <f t="shared" si="7"/>
        <v>50</v>
      </c>
      <c r="C69" s="297">
        <f t="shared" si="13"/>
        <v>0</v>
      </c>
      <c r="D69" s="298">
        <f t="shared" si="8"/>
        <v>0</v>
      </c>
      <c r="E69" s="299">
        <f t="shared" si="15"/>
        <v>0</v>
      </c>
      <c r="F69" s="299">
        <f t="shared" si="2"/>
        <v>0</v>
      </c>
      <c r="G69" s="299">
        <f t="shared" si="5"/>
        <v>0</v>
      </c>
      <c r="H69" s="298">
        <f t="shared" si="6"/>
        <v>0</v>
      </c>
      <c r="I69" s="294"/>
      <c r="O69" s="295">
        <f t="shared" si="3"/>
        <v>50</v>
      </c>
    </row>
    <row r="70" spans="1:15">
      <c r="A70" s="286"/>
      <c r="B70" s="296">
        <f t="shared" si="7"/>
        <v>51</v>
      </c>
      <c r="C70" s="297">
        <f t="shared" si="13"/>
        <v>0</v>
      </c>
      <c r="D70" s="298">
        <f t="shared" si="8"/>
        <v>0</v>
      </c>
      <c r="E70" s="299">
        <f t="shared" si="15"/>
        <v>0</v>
      </c>
      <c r="F70" s="299">
        <f t="shared" si="2"/>
        <v>0</v>
      </c>
      <c r="G70" s="299">
        <f t="shared" si="5"/>
        <v>0</v>
      </c>
      <c r="H70" s="298">
        <f t="shared" si="6"/>
        <v>0</v>
      </c>
      <c r="I70" s="294"/>
      <c r="O70" s="295">
        <f t="shared" si="3"/>
        <v>51</v>
      </c>
    </row>
    <row r="71" spans="1:15">
      <c r="A71" s="286"/>
      <c r="B71" s="296">
        <f t="shared" si="7"/>
        <v>52</v>
      </c>
      <c r="C71" s="297">
        <f t="shared" si="13"/>
        <v>0</v>
      </c>
      <c r="D71" s="298">
        <f t="shared" si="8"/>
        <v>0</v>
      </c>
      <c r="E71" s="299">
        <f t="shared" si="15"/>
        <v>0</v>
      </c>
      <c r="F71" s="299">
        <f t="shared" si="2"/>
        <v>0</v>
      </c>
      <c r="G71" s="299">
        <f t="shared" si="5"/>
        <v>0</v>
      </c>
      <c r="H71" s="298">
        <f t="shared" si="6"/>
        <v>0</v>
      </c>
      <c r="I71" s="294"/>
      <c r="O71" s="295">
        <f t="shared" si="3"/>
        <v>52</v>
      </c>
    </row>
    <row r="72" spans="1:15">
      <c r="A72" s="286"/>
      <c r="B72" s="296">
        <f t="shared" si="7"/>
        <v>53</v>
      </c>
      <c r="C72" s="297">
        <f t="shared" si="13"/>
        <v>0</v>
      </c>
      <c r="D72" s="298">
        <f t="shared" si="8"/>
        <v>0</v>
      </c>
      <c r="E72" s="299">
        <f t="shared" si="15"/>
        <v>0</v>
      </c>
      <c r="F72" s="299">
        <f t="shared" si="2"/>
        <v>0</v>
      </c>
      <c r="G72" s="299">
        <f t="shared" si="5"/>
        <v>0</v>
      </c>
      <c r="H72" s="298">
        <f t="shared" si="6"/>
        <v>0</v>
      </c>
      <c r="I72" s="294"/>
      <c r="O72" s="295">
        <f t="shared" si="3"/>
        <v>53</v>
      </c>
    </row>
    <row r="73" spans="1:15">
      <c r="A73" s="286"/>
      <c r="B73" s="296">
        <f t="shared" si="7"/>
        <v>54</v>
      </c>
      <c r="C73" s="297">
        <f t="shared" si="13"/>
        <v>0</v>
      </c>
      <c r="D73" s="298">
        <f t="shared" si="8"/>
        <v>0</v>
      </c>
      <c r="E73" s="299">
        <f t="shared" si="15"/>
        <v>0</v>
      </c>
      <c r="F73" s="299">
        <f t="shared" si="2"/>
        <v>0</v>
      </c>
      <c r="G73" s="299">
        <f t="shared" si="5"/>
        <v>0</v>
      </c>
      <c r="H73" s="298">
        <f t="shared" si="6"/>
        <v>0</v>
      </c>
      <c r="I73" s="294"/>
      <c r="O73" s="295">
        <f t="shared" si="3"/>
        <v>54</v>
      </c>
    </row>
    <row r="74" spans="1:15">
      <c r="A74" s="286"/>
      <c r="B74" s="296">
        <f t="shared" si="7"/>
        <v>55</v>
      </c>
      <c r="C74" s="297">
        <f t="shared" si="13"/>
        <v>0</v>
      </c>
      <c r="D74" s="298">
        <f t="shared" si="8"/>
        <v>0</v>
      </c>
      <c r="E74" s="299">
        <f t="shared" si="15"/>
        <v>0</v>
      </c>
      <c r="F74" s="299">
        <f t="shared" si="2"/>
        <v>0</v>
      </c>
      <c r="G74" s="299">
        <f t="shared" si="5"/>
        <v>0</v>
      </c>
      <c r="H74" s="298">
        <f t="shared" si="6"/>
        <v>0</v>
      </c>
      <c r="I74" s="294"/>
      <c r="O74" s="295">
        <f t="shared" si="3"/>
        <v>55</v>
      </c>
    </row>
    <row r="75" spans="1:15">
      <c r="A75" s="286"/>
      <c r="B75" s="296">
        <f t="shared" si="7"/>
        <v>56</v>
      </c>
      <c r="C75" s="297">
        <f t="shared" si="13"/>
        <v>0</v>
      </c>
      <c r="D75" s="298">
        <f t="shared" si="8"/>
        <v>0</v>
      </c>
      <c r="E75" s="299">
        <f t="shared" si="15"/>
        <v>0</v>
      </c>
      <c r="F75" s="299">
        <f t="shared" si="2"/>
        <v>0</v>
      </c>
      <c r="G75" s="299">
        <f t="shared" si="5"/>
        <v>0</v>
      </c>
      <c r="H75" s="298">
        <f t="shared" si="6"/>
        <v>0</v>
      </c>
      <c r="I75" s="294"/>
      <c r="O75" s="295">
        <f t="shared" si="3"/>
        <v>56</v>
      </c>
    </row>
    <row r="76" spans="1:15">
      <c r="A76" s="286"/>
      <c r="B76" s="296">
        <f t="shared" si="7"/>
        <v>57</v>
      </c>
      <c r="C76" s="297">
        <f t="shared" si="13"/>
        <v>0</v>
      </c>
      <c r="D76" s="298">
        <f t="shared" si="8"/>
        <v>0</v>
      </c>
      <c r="E76" s="299">
        <f t="shared" si="15"/>
        <v>0</v>
      </c>
      <c r="F76" s="299">
        <f t="shared" si="2"/>
        <v>0</v>
      </c>
      <c r="G76" s="299">
        <f t="shared" si="5"/>
        <v>0</v>
      </c>
      <c r="H76" s="298">
        <f t="shared" si="6"/>
        <v>0</v>
      </c>
      <c r="I76" s="294"/>
      <c r="O76" s="295">
        <f t="shared" si="3"/>
        <v>57</v>
      </c>
    </row>
    <row r="77" spans="1:15">
      <c r="A77" s="286"/>
      <c r="B77" s="296">
        <f t="shared" si="7"/>
        <v>58</v>
      </c>
      <c r="C77" s="297">
        <f t="shared" si="13"/>
        <v>0</v>
      </c>
      <c r="D77" s="298">
        <f t="shared" si="8"/>
        <v>0</v>
      </c>
      <c r="E77" s="299">
        <f t="shared" si="15"/>
        <v>0</v>
      </c>
      <c r="F77" s="299">
        <f t="shared" si="2"/>
        <v>0</v>
      </c>
      <c r="G77" s="299">
        <f t="shared" si="5"/>
        <v>0</v>
      </c>
      <c r="H77" s="298">
        <f t="shared" si="6"/>
        <v>0</v>
      </c>
      <c r="I77" s="294"/>
      <c r="O77" s="295">
        <f t="shared" si="3"/>
        <v>58</v>
      </c>
    </row>
    <row r="78" spans="1:15">
      <c r="A78" s="286"/>
      <c r="B78" s="296">
        <f t="shared" si="7"/>
        <v>59</v>
      </c>
      <c r="C78" s="297">
        <f t="shared" si="13"/>
        <v>0</v>
      </c>
      <c r="D78" s="298">
        <f t="shared" si="8"/>
        <v>0</v>
      </c>
      <c r="E78" s="299">
        <f t="shared" si="15"/>
        <v>0</v>
      </c>
      <c r="F78" s="299">
        <f t="shared" si="2"/>
        <v>0</v>
      </c>
      <c r="G78" s="299">
        <f t="shared" si="5"/>
        <v>0</v>
      </c>
      <c r="H78" s="298">
        <f t="shared" si="6"/>
        <v>0</v>
      </c>
      <c r="I78" s="294"/>
      <c r="O78" s="295">
        <f t="shared" si="3"/>
        <v>59</v>
      </c>
    </row>
    <row r="79" spans="1:15">
      <c r="A79" s="286"/>
      <c r="B79" s="300">
        <f t="shared" si="7"/>
        <v>60</v>
      </c>
      <c r="C79" s="301">
        <f t="shared" si="13"/>
        <v>0</v>
      </c>
      <c r="D79" s="302">
        <f t="shared" si="8"/>
        <v>0</v>
      </c>
      <c r="E79" s="303">
        <f t="shared" si="15"/>
        <v>0</v>
      </c>
      <c r="F79" s="303">
        <f t="shared" si="2"/>
        <v>0</v>
      </c>
      <c r="G79" s="303">
        <f t="shared" si="5"/>
        <v>0</v>
      </c>
      <c r="H79" s="302">
        <f t="shared" si="6"/>
        <v>0</v>
      </c>
      <c r="I79" s="304" t="e">
        <f>H79/$D$5</f>
        <v>#VALUE!</v>
      </c>
      <c r="J79" s="305"/>
      <c r="K79" s="305"/>
      <c r="L79" s="305"/>
      <c r="M79" s="305"/>
      <c r="N79" s="305"/>
      <c r="O79" s="306">
        <f t="shared" si="3"/>
        <v>60</v>
      </c>
    </row>
    <row r="80" spans="1:15">
      <c r="A80" s="286"/>
      <c r="B80" s="296">
        <f t="shared" si="7"/>
        <v>61</v>
      </c>
      <c r="C80" s="297">
        <f t="shared" si="13"/>
        <v>0</v>
      </c>
      <c r="D80" s="298">
        <f t="shared" si="8"/>
        <v>0</v>
      </c>
      <c r="E80" s="299">
        <f t="shared" si="15"/>
        <v>0</v>
      </c>
      <c r="F80" s="299">
        <f t="shared" si="2"/>
        <v>0</v>
      </c>
      <c r="G80" s="299">
        <f t="shared" si="5"/>
        <v>0</v>
      </c>
      <c r="H80" s="298">
        <f t="shared" si="6"/>
        <v>0</v>
      </c>
      <c r="I80" s="294"/>
      <c r="O80" s="295">
        <f t="shared" si="3"/>
        <v>61</v>
      </c>
    </row>
    <row r="81" spans="1:15">
      <c r="A81" s="286"/>
      <c r="B81" s="296">
        <f t="shared" si="7"/>
        <v>62</v>
      </c>
      <c r="C81" s="297">
        <f t="shared" si="13"/>
        <v>0</v>
      </c>
      <c r="D81" s="298">
        <f t="shared" si="8"/>
        <v>0</v>
      </c>
      <c r="E81" s="299">
        <f t="shared" si="15"/>
        <v>0</v>
      </c>
      <c r="F81" s="299">
        <f t="shared" si="2"/>
        <v>0</v>
      </c>
      <c r="G81" s="299">
        <f t="shared" si="5"/>
        <v>0</v>
      </c>
      <c r="H81" s="298">
        <f t="shared" si="6"/>
        <v>0</v>
      </c>
      <c r="I81" s="294"/>
      <c r="O81" s="295">
        <f t="shared" si="3"/>
        <v>62</v>
      </c>
    </row>
    <row r="82" spans="1:15">
      <c r="A82" s="286"/>
      <c r="B82" s="296">
        <f t="shared" si="7"/>
        <v>63</v>
      </c>
      <c r="C82" s="297">
        <f t="shared" si="13"/>
        <v>0</v>
      </c>
      <c r="D82" s="298">
        <f t="shared" si="8"/>
        <v>0</v>
      </c>
      <c r="E82" s="299">
        <f t="shared" si="15"/>
        <v>0</v>
      </c>
      <c r="F82" s="299">
        <f t="shared" si="2"/>
        <v>0</v>
      </c>
      <c r="G82" s="299">
        <f t="shared" si="5"/>
        <v>0</v>
      </c>
      <c r="H82" s="298">
        <f t="shared" si="6"/>
        <v>0</v>
      </c>
      <c r="I82" s="294"/>
      <c r="O82" s="295">
        <f t="shared" si="3"/>
        <v>63</v>
      </c>
    </row>
    <row r="83" spans="1:15">
      <c r="A83" s="286"/>
      <c r="B83" s="296">
        <f t="shared" si="7"/>
        <v>64</v>
      </c>
      <c r="C83" s="297">
        <f t="shared" si="13"/>
        <v>0</v>
      </c>
      <c r="D83" s="298">
        <f t="shared" si="8"/>
        <v>0</v>
      </c>
      <c r="E83" s="299">
        <f t="shared" si="15"/>
        <v>0</v>
      </c>
      <c r="F83" s="299">
        <f t="shared" si="2"/>
        <v>0</v>
      </c>
      <c r="G83" s="299">
        <f t="shared" si="5"/>
        <v>0</v>
      </c>
      <c r="H83" s="298">
        <f t="shared" si="6"/>
        <v>0</v>
      </c>
      <c r="I83" s="294"/>
      <c r="O83" s="295">
        <f t="shared" si="3"/>
        <v>64</v>
      </c>
    </row>
    <row r="84" spans="1:15">
      <c r="A84" s="286"/>
      <c r="B84" s="296">
        <f t="shared" si="7"/>
        <v>65</v>
      </c>
      <c r="C84" s="297">
        <f t="shared" si="13"/>
        <v>0</v>
      </c>
      <c r="D84" s="298">
        <f t="shared" si="8"/>
        <v>0</v>
      </c>
      <c r="E84" s="299">
        <f t="shared" si="15"/>
        <v>0</v>
      </c>
      <c r="F84" s="299">
        <f t="shared" ref="F84:F147" si="16">E84-G84</f>
        <v>0</v>
      </c>
      <c r="G84" s="299">
        <f t="shared" si="5"/>
        <v>0</v>
      </c>
      <c r="H84" s="298">
        <f t="shared" si="6"/>
        <v>0</v>
      </c>
      <c r="I84" s="294"/>
      <c r="O84" s="295">
        <f t="shared" ref="O84:O147" si="17">IF(H84=0,B84,"n.a.")</f>
        <v>65</v>
      </c>
    </row>
    <row r="85" spans="1:15">
      <c r="A85" s="286"/>
      <c r="B85" s="296">
        <f t="shared" si="7"/>
        <v>66</v>
      </c>
      <c r="C85" s="297">
        <f t="shared" si="13"/>
        <v>0</v>
      </c>
      <c r="D85" s="298">
        <f t="shared" si="8"/>
        <v>0</v>
      </c>
      <c r="E85" s="299">
        <f t="shared" si="15"/>
        <v>0</v>
      </c>
      <c r="F85" s="299">
        <f t="shared" si="16"/>
        <v>0</v>
      </c>
      <c r="G85" s="299">
        <f t="shared" ref="G85:G148" si="18">C85*(D85/365)*30</f>
        <v>0</v>
      </c>
      <c r="H85" s="298">
        <f t="shared" ref="H85:H148" si="19">IF((D85+G85-E85)&lt;0,0,D85+G85-E85)</f>
        <v>0</v>
      </c>
      <c r="I85" s="294"/>
      <c r="O85" s="295">
        <f t="shared" si="17"/>
        <v>66</v>
      </c>
    </row>
    <row r="86" spans="1:15">
      <c r="A86" s="286"/>
      <c r="B86" s="296">
        <f t="shared" ref="B86:B149" si="20">B85+1</f>
        <v>67</v>
      </c>
      <c r="C86" s="297">
        <f t="shared" si="13"/>
        <v>0</v>
      </c>
      <c r="D86" s="298">
        <f t="shared" ref="D86:D149" si="21">H85</f>
        <v>0</v>
      </c>
      <c r="E86" s="299">
        <f t="shared" si="15"/>
        <v>0</v>
      </c>
      <c r="F86" s="299">
        <f t="shared" si="16"/>
        <v>0</v>
      </c>
      <c r="G86" s="299">
        <f t="shared" si="18"/>
        <v>0</v>
      </c>
      <c r="H86" s="298">
        <f t="shared" si="19"/>
        <v>0</v>
      </c>
      <c r="I86" s="294"/>
      <c r="O86" s="295">
        <f t="shared" si="17"/>
        <v>67</v>
      </c>
    </row>
    <row r="87" spans="1:15">
      <c r="A87" s="286"/>
      <c r="B87" s="296">
        <f t="shared" si="20"/>
        <v>68</v>
      </c>
      <c r="C87" s="297">
        <f t="shared" si="13"/>
        <v>0</v>
      </c>
      <c r="D87" s="298">
        <f t="shared" si="21"/>
        <v>0</v>
      </c>
      <c r="E87" s="299">
        <f t="shared" si="15"/>
        <v>0</v>
      </c>
      <c r="F87" s="299">
        <f t="shared" si="16"/>
        <v>0</v>
      </c>
      <c r="G87" s="299">
        <f t="shared" si="18"/>
        <v>0</v>
      </c>
      <c r="H87" s="298">
        <f t="shared" si="19"/>
        <v>0</v>
      </c>
      <c r="I87" s="294"/>
      <c r="O87" s="295">
        <f t="shared" si="17"/>
        <v>68</v>
      </c>
    </row>
    <row r="88" spans="1:15">
      <c r="A88" s="286"/>
      <c r="B88" s="296">
        <f t="shared" si="20"/>
        <v>69</v>
      </c>
      <c r="C88" s="297">
        <f t="shared" si="13"/>
        <v>0</v>
      </c>
      <c r="D88" s="298">
        <f t="shared" si="21"/>
        <v>0</v>
      </c>
      <c r="E88" s="299">
        <f t="shared" si="15"/>
        <v>0</v>
      </c>
      <c r="F88" s="299">
        <f t="shared" si="16"/>
        <v>0</v>
      </c>
      <c r="G88" s="299">
        <f t="shared" si="18"/>
        <v>0</v>
      </c>
      <c r="H88" s="298">
        <f t="shared" si="19"/>
        <v>0</v>
      </c>
      <c r="I88" s="294"/>
      <c r="O88" s="295">
        <f t="shared" si="17"/>
        <v>69</v>
      </c>
    </row>
    <row r="89" spans="1:15">
      <c r="A89" s="286"/>
      <c r="B89" s="296">
        <f t="shared" si="20"/>
        <v>70</v>
      </c>
      <c r="C89" s="297">
        <f t="shared" si="13"/>
        <v>0</v>
      </c>
      <c r="D89" s="298">
        <f t="shared" si="21"/>
        <v>0</v>
      </c>
      <c r="E89" s="299">
        <f t="shared" si="15"/>
        <v>0</v>
      </c>
      <c r="F89" s="299">
        <f t="shared" si="16"/>
        <v>0</v>
      </c>
      <c r="G89" s="299">
        <f t="shared" si="18"/>
        <v>0</v>
      </c>
      <c r="H89" s="298">
        <f t="shared" si="19"/>
        <v>0</v>
      </c>
      <c r="I89" s="294"/>
      <c r="O89" s="295">
        <f t="shared" si="17"/>
        <v>70</v>
      </c>
    </row>
    <row r="90" spans="1:15">
      <c r="A90" s="286"/>
      <c r="B90" s="296">
        <f t="shared" si="20"/>
        <v>71</v>
      </c>
      <c r="C90" s="297">
        <f t="shared" si="13"/>
        <v>0</v>
      </c>
      <c r="D90" s="298">
        <f t="shared" si="21"/>
        <v>0</v>
      </c>
      <c r="E90" s="299">
        <f t="shared" si="15"/>
        <v>0</v>
      </c>
      <c r="F90" s="299">
        <f t="shared" si="16"/>
        <v>0</v>
      </c>
      <c r="G90" s="299">
        <f t="shared" si="18"/>
        <v>0</v>
      </c>
      <c r="H90" s="298">
        <f t="shared" si="19"/>
        <v>0</v>
      </c>
      <c r="I90" s="294"/>
      <c r="O90" s="295">
        <f t="shared" si="17"/>
        <v>71</v>
      </c>
    </row>
    <row r="91" spans="1:15">
      <c r="A91" s="286"/>
      <c r="B91" s="300">
        <f t="shared" si="20"/>
        <v>72</v>
      </c>
      <c r="C91" s="301">
        <f t="shared" si="13"/>
        <v>0</v>
      </c>
      <c r="D91" s="302">
        <f t="shared" si="21"/>
        <v>0</v>
      </c>
      <c r="E91" s="303">
        <f t="shared" si="15"/>
        <v>0</v>
      </c>
      <c r="F91" s="303">
        <f t="shared" si="16"/>
        <v>0</v>
      </c>
      <c r="G91" s="303">
        <f t="shared" si="18"/>
        <v>0</v>
      </c>
      <c r="H91" s="302">
        <f t="shared" si="19"/>
        <v>0</v>
      </c>
      <c r="I91" s="304" t="e">
        <f>H91/$D$5</f>
        <v>#VALUE!</v>
      </c>
      <c r="J91" s="305"/>
      <c r="K91" s="305"/>
      <c r="L91" s="305"/>
      <c r="M91" s="305"/>
      <c r="N91" s="305"/>
      <c r="O91" s="306">
        <f t="shared" si="17"/>
        <v>72</v>
      </c>
    </row>
    <row r="92" spans="1:15">
      <c r="A92" s="286"/>
      <c r="B92" s="296">
        <f t="shared" si="20"/>
        <v>73</v>
      </c>
      <c r="C92" s="297">
        <f t="shared" si="13"/>
        <v>0</v>
      </c>
      <c r="D92" s="298">
        <f t="shared" si="21"/>
        <v>0</v>
      </c>
      <c r="E92" s="299">
        <f t="shared" si="15"/>
        <v>0</v>
      </c>
      <c r="F92" s="299">
        <f t="shared" si="16"/>
        <v>0</v>
      </c>
      <c r="G92" s="299">
        <f t="shared" si="18"/>
        <v>0</v>
      </c>
      <c r="H92" s="298">
        <f t="shared" si="19"/>
        <v>0</v>
      </c>
      <c r="I92" s="294"/>
      <c r="O92" s="295">
        <f t="shared" si="17"/>
        <v>73</v>
      </c>
    </row>
    <row r="93" spans="1:15">
      <c r="A93" s="286"/>
      <c r="B93" s="296">
        <f t="shared" si="20"/>
        <v>74</v>
      </c>
      <c r="C93" s="297">
        <f t="shared" si="13"/>
        <v>0</v>
      </c>
      <c r="D93" s="298">
        <f t="shared" si="21"/>
        <v>0</v>
      </c>
      <c r="E93" s="299">
        <f t="shared" si="15"/>
        <v>0</v>
      </c>
      <c r="F93" s="299">
        <f t="shared" si="16"/>
        <v>0</v>
      </c>
      <c r="G93" s="299">
        <f t="shared" si="18"/>
        <v>0</v>
      </c>
      <c r="H93" s="298">
        <f t="shared" si="19"/>
        <v>0</v>
      </c>
      <c r="I93" s="294"/>
      <c r="O93" s="295">
        <f t="shared" si="17"/>
        <v>74</v>
      </c>
    </row>
    <row r="94" spans="1:15">
      <c r="A94" s="286"/>
      <c r="B94" s="296">
        <f t="shared" si="20"/>
        <v>75</v>
      </c>
      <c r="C94" s="297">
        <f t="shared" si="13"/>
        <v>0</v>
      </c>
      <c r="D94" s="298">
        <f t="shared" si="21"/>
        <v>0</v>
      </c>
      <c r="E94" s="299">
        <f t="shared" si="15"/>
        <v>0</v>
      </c>
      <c r="F94" s="299">
        <f t="shared" si="16"/>
        <v>0</v>
      </c>
      <c r="G94" s="299">
        <f t="shared" si="18"/>
        <v>0</v>
      </c>
      <c r="H94" s="298">
        <f t="shared" si="19"/>
        <v>0</v>
      </c>
      <c r="I94" s="294"/>
      <c r="O94" s="295">
        <f t="shared" si="17"/>
        <v>75</v>
      </c>
    </row>
    <row r="95" spans="1:15">
      <c r="A95" s="286"/>
      <c r="B95" s="296">
        <f t="shared" si="20"/>
        <v>76</v>
      </c>
      <c r="C95" s="297">
        <f t="shared" si="13"/>
        <v>0</v>
      </c>
      <c r="D95" s="298">
        <f t="shared" si="21"/>
        <v>0</v>
      </c>
      <c r="E95" s="299">
        <f t="shared" si="15"/>
        <v>0</v>
      </c>
      <c r="F95" s="299">
        <f t="shared" si="16"/>
        <v>0</v>
      </c>
      <c r="G95" s="299">
        <f t="shared" si="18"/>
        <v>0</v>
      </c>
      <c r="H95" s="298">
        <f t="shared" si="19"/>
        <v>0</v>
      </c>
      <c r="I95" s="294"/>
      <c r="O95" s="295">
        <f t="shared" si="17"/>
        <v>76</v>
      </c>
    </row>
    <row r="96" spans="1:15">
      <c r="A96" s="286"/>
      <c r="B96" s="296">
        <f t="shared" si="20"/>
        <v>77</v>
      </c>
      <c r="C96" s="297">
        <f t="shared" si="13"/>
        <v>0</v>
      </c>
      <c r="D96" s="298">
        <f t="shared" si="21"/>
        <v>0</v>
      </c>
      <c r="E96" s="299">
        <f t="shared" si="15"/>
        <v>0</v>
      </c>
      <c r="F96" s="299">
        <f t="shared" si="16"/>
        <v>0</v>
      </c>
      <c r="G96" s="299">
        <f t="shared" si="18"/>
        <v>0</v>
      </c>
      <c r="H96" s="298">
        <f t="shared" si="19"/>
        <v>0</v>
      </c>
      <c r="I96" s="294"/>
      <c r="O96" s="295">
        <f t="shared" si="17"/>
        <v>77</v>
      </c>
    </row>
    <row r="97" spans="1:15">
      <c r="A97" s="286"/>
      <c r="B97" s="296">
        <f t="shared" si="20"/>
        <v>78</v>
      </c>
      <c r="C97" s="297">
        <f t="shared" si="13"/>
        <v>0</v>
      </c>
      <c r="D97" s="298">
        <f t="shared" si="21"/>
        <v>0</v>
      </c>
      <c r="E97" s="299">
        <f t="shared" si="15"/>
        <v>0</v>
      </c>
      <c r="F97" s="299">
        <f t="shared" si="16"/>
        <v>0</v>
      </c>
      <c r="G97" s="299">
        <f t="shared" si="18"/>
        <v>0</v>
      </c>
      <c r="H97" s="298">
        <f t="shared" si="19"/>
        <v>0</v>
      </c>
      <c r="I97" s="294"/>
      <c r="O97" s="295">
        <f t="shared" si="17"/>
        <v>78</v>
      </c>
    </row>
    <row r="98" spans="1:15">
      <c r="A98" s="286"/>
      <c r="B98" s="296">
        <f t="shared" si="20"/>
        <v>79</v>
      </c>
      <c r="C98" s="297">
        <f t="shared" si="13"/>
        <v>0</v>
      </c>
      <c r="D98" s="298">
        <f t="shared" si="21"/>
        <v>0</v>
      </c>
      <c r="E98" s="299">
        <f t="shared" si="15"/>
        <v>0</v>
      </c>
      <c r="F98" s="299">
        <f t="shared" si="16"/>
        <v>0</v>
      </c>
      <c r="G98" s="299">
        <f t="shared" si="18"/>
        <v>0</v>
      </c>
      <c r="H98" s="298">
        <f t="shared" si="19"/>
        <v>0</v>
      </c>
      <c r="I98" s="294"/>
      <c r="O98" s="295">
        <f t="shared" si="17"/>
        <v>79</v>
      </c>
    </row>
    <row r="99" spans="1:15">
      <c r="A99" s="286"/>
      <c r="B99" s="296">
        <f t="shared" si="20"/>
        <v>80</v>
      </c>
      <c r="C99" s="297">
        <f t="shared" si="13"/>
        <v>0</v>
      </c>
      <c r="D99" s="298">
        <f t="shared" si="21"/>
        <v>0</v>
      </c>
      <c r="E99" s="299">
        <f t="shared" si="15"/>
        <v>0</v>
      </c>
      <c r="F99" s="299">
        <f t="shared" si="16"/>
        <v>0</v>
      </c>
      <c r="G99" s="299">
        <f t="shared" si="18"/>
        <v>0</v>
      </c>
      <c r="H99" s="298">
        <f t="shared" si="19"/>
        <v>0</v>
      </c>
      <c r="I99" s="294"/>
      <c r="O99" s="295">
        <f t="shared" si="17"/>
        <v>80</v>
      </c>
    </row>
    <row r="100" spans="1:15">
      <c r="A100" s="286"/>
      <c r="B100" s="296">
        <f t="shared" si="20"/>
        <v>81</v>
      </c>
      <c r="C100" s="297">
        <f t="shared" si="13"/>
        <v>0</v>
      </c>
      <c r="D100" s="298">
        <f t="shared" si="21"/>
        <v>0</v>
      </c>
      <c r="E100" s="299">
        <f t="shared" si="15"/>
        <v>0</v>
      </c>
      <c r="F100" s="299">
        <f t="shared" si="16"/>
        <v>0</v>
      </c>
      <c r="G100" s="299">
        <f t="shared" si="18"/>
        <v>0</v>
      </c>
      <c r="H100" s="298">
        <f t="shared" si="19"/>
        <v>0</v>
      </c>
      <c r="I100" s="294"/>
      <c r="O100" s="295">
        <f t="shared" si="17"/>
        <v>81</v>
      </c>
    </row>
    <row r="101" spans="1:15">
      <c r="A101" s="286"/>
      <c r="B101" s="296">
        <f t="shared" si="20"/>
        <v>82</v>
      </c>
      <c r="C101" s="297">
        <f t="shared" si="13"/>
        <v>0</v>
      </c>
      <c r="D101" s="298">
        <f t="shared" si="21"/>
        <v>0</v>
      </c>
      <c r="E101" s="299">
        <f t="shared" si="15"/>
        <v>0</v>
      </c>
      <c r="F101" s="299">
        <f t="shared" si="16"/>
        <v>0</v>
      </c>
      <c r="G101" s="299">
        <f t="shared" si="18"/>
        <v>0</v>
      </c>
      <c r="H101" s="298">
        <f t="shared" si="19"/>
        <v>0</v>
      </c>
      <c r="I101" s="294"/>
      <c r="O101" s="295">
        <f t="shared" si="17"/>
        <v>82</v>
      </c>
    </row>
    <row r="102" spans="1:15">
      <c r="A102" s="286"/>
      <c r="B102" s="296">
        <f t="shared" si="20"/>
        <v>83</v>
      </c>
      <c r="C102" s="297">
        <f t="shared" si="13"/>
        <v>0</v>
      </c>
      <c r="D102" s="298">
        <f t="shared" si="21"/>
        <v>0</v>
      </c>
      <c r="E102" s="299">
        <f t="shared" si="15"/>
        <v>0</v>
      </c>
      <c r="F102" s="299">
        <f t="shared" si="16"/>
        <v>0</v>
      </c>
      <c r="G102" s="299">
        <f t="shared" si="18"/>
        <v>0</v>
      </c>
      <c r="H102" s="298">
        <f t="shared" si="19"/>
        <v>0</v>
      </c>
      <c r="I102" s="294"/>
      <c r="O102" s="295">
        <f t="shared" si="17"/>
        <v>83</v>
      </c>
    </row>
    <row r="103" spans="1:15">
      <c r="A103" s="286"/>
      <c r="B103" s="300">
        <f t="shared" si="20"/>
        <v>84</v>
      </c>
      <c r="C103" s="301">
        <f t="shared" si="13"/>
        <v>0</v>
      </c>
      <c r="D103" s="302">
        <f t="shared" si="21"/>
        <v>0</v>
      </c>
      <c r="E103" s="303">
        <f t="shared" si="15"/>
        <v>0</v>
      </c>
      <c r="F103" s="303">
        <f t="shared" si="16"/>
        <v>0</v>
      </c>
      <c r="G103" s="303">
        <f t="shared" si="18"/>
        <v>0</v>
      </c>
      <c r="H103" s="302">
        <f t="shared" si="19"/>
        <v>0</v>
      </c>
      <c r="I103" s="304" t="e">
        <f>H103/$D$5</f>
        <v>#VALUE!</v>
      </c>
      <c r="J103" s="305"/>
      <c r="K103" s="305"/>
      <c r="L103" s="305"/>
      <c r="M103" s="305"/>
      <c r="N103" s="305"/>
      <c r="O103" s="306">
        <f t="shared" si="17"/>
        <v>84</v>
      </c>
    </row>
    <row r="104" spans="1:15">
      <c r="A104" s="286"/>
      <c r="B104" s="296">
        <f t="shared" si="20"/>
        <v>85</v>
      </c>
      <c r="C104" s="297">
        <f t="shared" si="13"/>
        <v>0</v>
      </c>
      <c r="D104" s="298">
        <f t="shared" si="21"/>
        <v>0</v>
      </c>
      <c r="E104" s="299">
        <f t="shared" si="15"/>
        <v>0</v>
      </c>
      <c r="F104" s="299">
        <f t="shared" si="16"/>
        <v>0</v>
      </c>
      <c r="G104" s="299">
        <f t="shared" si="18"/>
        <v>0</v>
      </c>
      <c r="H104" s="298">
        <f t="shared" si="19"/>
        <v>0</v>
      </c>
      <c r="I104" s="294"/>
      <c r="O104" s="295">
        <f t="shared" si="17"/>
        <v>85</v>
      </c>
    </row>
    <row r="105" spans="1:15">
      <c r="A105" s="286"/>
      <c r="B105" s="296">
        <f t="shared" si="20"/>
        <v>86</v>
      </c>
      <c r="C105" s="297">
        <f t="shared" si="13"/>
        <v>0</v>
      </c>
      <c r="D105" s="298">
        <f t="shared" si="21"/>
        <v>0</v>
      </c>
      <c r="E105" s="299">
        <f t="shared" si="15"/>
        <v>0</v>
      </c>
      <c r="F105" s="299">
        <f t="shared" si="16"/>
        <v>0</v>
      </c>
      <c r="G105" s="299">
        <f t="shared" si="18"/>
        <v>0</v>
      </c>
      <c r="H105" s="298">
        <f t="shared" si="19"/>
        <v>0</v>
      </c>
      <c r="I105" s="294"/>
      <c r="O105" s="295">
        <f t="shared" si="17"/>
        <v>86</v>
      </c>
    </row>
    <row r="106" spans="1:15">
      <c r="A106" s="286"/>
      <c r="B106" s="296">
        <f t="shared" si="20"/>
        <v>87</v>
      </c>
      <c r="C106" s="297">
        <f t="shared" si="13"/>
        <v>0</v>
      </c>
      <c r="D106" s="298">
        <f t="shared" si="21"/>
        <v>0</v>
      </c>
      <c r="E106" s="299">
        <f t="shared" si="15"/>
        <v>0</v>
      </c>
      <c r="F106" s="299">
        <f t="shared" si="16"/>
        <v>0</v>
      </c>
      <c r="G106" s="299">
        <f t="shared" si="18"/>
        <v>0</v>
      </c>
      <c r="H106" s="298">
        <f t="shared" si="19"/>
        <v>0</v>
      </c>
      <c r="I106" s="294"/>
      <c r="O106" s="295">
        <f t="shared" si="17"/>
        <v>87</v>
      </c>
    </row>
    <row r="107" spans="1:15">
      <c r="A107" s="286"/>
      <c r="B107" s="296">
        <f t="shared" si="20"/>
        <v>88</v>
      </c>
      <c r="C107" s="297">
        <f t="shared" si="13"/>
        <v>0</v>
      </c>
      <c r="D107" s="298">
        <f t="shared" si="21"/>
        <v>0</v>
      </c>
      <c r="E107" s="299">
        <f t="shared" si="15"/>
        <v>0</v>
      </c>
      <c r="F107" s="299">
        <f t="shared" si="16"/>
        <v>0</v>
      </c>
      <c r="G107" s="299">
        <f t="shared" si="18"/>
        <v>0</v>
      </c>
      <c r="H107" s="298">
        <f t="shared" si="19"/>
        <v>0</v>
      </c>
      <c r="I107" s="294"/>
      <c r="O107" s="295">
        <f t="shared" si="17"/>
        <v>88</v>
      </c>
    </row>
    <row r="108" spans="1:15">
      <c r="A108" s="286"/>
      <c r="B108" s="296">
        <f t="shared" si="20"/>
        <v>89</v>
      </c>
      <c r="C108" s="297">
        <f t="shared" si="13"/>
        <v>0</v>
      </c>
      <c r="D108" s="298">
        <f t="shared" si="21"/>
        <v>0</v>
      </c>
      <c r="E108" s="299">
        <f t="shared" si="15"/>
        <v>0</v>
      </c>
      <c r="F108" s="299">
        <f t="shared" si="16"/>
        <v>0</v>
      </c>
      <c r="G108" s="299">
        <f t="shared" si="18"/>
        <v>0</v>
      </c>
      <c r="H108" s="298">
        <f t="shared" si="19"/>
        <v>0</v>
      </c>
      <c r="I108" s="294"/>
      <c r="O108" s="295">
        <f t="shared" si="17"/>
        <v>89</v>
      </c>
    </row>
    <row r="109" spans="1:15">
      <c r="A109" s="286"/>
      <c r="B109" s="296">
        <f t="shared" si="20"/>
        <v>90</v>
      </c>
      <c r="C109" s="297">
        <f t="shared" si="13"/>
        <v>0</v>
      </c>
      <c r="D109" s="298">
        <f t="shared" si="21"/>
        <v>0</v>
      </c>
      <c r="E109" s="299">
        <f t="shared" si="15"/>
        <v>0</v>
      </c>
      <c r="F109" s="299">
        <f t="shared" si="16"/>
        <v>0</v>
      </c>
      <c r="G109" s="299">
        <f t="shared" si="18"/>
        <v>0</v>
      </c>
      <c r="H109" s="298">
        <f t="shared" si="19"/>
        <v>0</v>
      </c>
      <c r="I109" s="294"/>
      <c r="O109" s="295">
        <f t="shared" si="17"/>
        <v>90</v>
      </c>
    </row>
    <row r="110" spans="1:15">
      <c r="A110" s="286"/>
      <c r="B110" s="296">
        <f t="shared" si="20"/>
        <v>91</v>
      </c>
      <c r="C110" s="297">
        <f t="shared" si="13"/>
        <v>0</v>
      </c>
      <c r="D110" s="298">
        <f t="shared" si="21"/>
        <v>0</v>
      </c>
      <c r="E110" s="299">
        <f t="shared" si="15"/>
        <v>0</v>
      </c>
      <c r="F110" s="299">
        <f t="shared" si="16"/>
        <v>0</v>
      </c>
      <c r="G110" s="299">
        <f t="shared" si="18"/>
        <v>0</v>
      </c>
      <c r="H110" s="298">
        <f t="shared" si="19"/>
        <v>0</v>
      </c>
      <c r="I110" s="294"/>
      <c r="O110" s="295">
        <f t="shared" si="17"/>
        <v>91</v>
      </c>
    </row>
    <row r="111" spans="1:15">
      <c r="A111" s="286"/>
      <c r="B111" s="296">
        <f t="shared" si="20"/>
        <v>92</v>
      </c>
      <c r="C111" s="297">
        <f t="shared" si="13"/>
        <v>0</v>
      </c>
      <c r="D111" s="298">
        <f t="shared" si="21"/>
        <v>0</v>
      </c>
      <c r="E111" s="299">
        <f t="shared" si="15"/>
        <v>0</v>
      </c>
      <c r="F111" s="299">
        <f t="shared" si="16"/>
        <v>0</v>
      </c>
      <c r="G111" s="299">
        <f t="shared" si="18"/>
        <v>0</v>
      </c>
      <c r="H111" s="298">
        <f t="shared" si="19"/>
        <v>0</v>
      </c>
      <c r="I111" s="294"/>
      <c r="O111" s="295">
        <f t="shared" si="17"/>
        <v>92</v>
      </c>
    </row>
    <row r="112" spans="1:15">
      <c r="A112" s="286"/>
      <c r="B112" s="296">
        <f t="shared" si="20"/>
        <v>93</v>
      </c>
      <c r="C112" s="297">
        <f t="shared" si="13"/>
        <v>0</v>
      </c>
      <c r="D112" s="298">
        <f t="shared" si="21"/>
        <v>0</v>
      </c>
      <c r="E112" s="299">
        <f t="shared" si="15"/>
        <v>0</v>
      </c>
      <c r="F112" s="299">
        <f t="shared" si="16"/>
        <v>0</v>
      </c>
      <c r="G112" s="299">
        <f t="shared" si="18"/>
        <v>0</v>
      </c>
      <c r="H112" s="298">
        <f t="shared" si="19"/>
        <v>0</v>
      </c>
      <c r="I112" s="294"/>
      <c r="O112" s="295">
        <f t="shared" si="17"/>
        <v>93</v>
      </c>
    </row>
    <row r="113" spans="1:15">
      <c r="A113" s="286"/>
      <c r="B113" s="296">
        <f t="shared" si="20"/>
        <v>94</v>
      </c>
      <c r="C113" s="297">
        <f t="shared" si="13"/>
        <v>0</v>
      </c>
      <c r="D113" s="298">
        <f t="shared" si="21"/>
        <v>0</v>
      </c>
      <c r="E113" s="299">
        <f t="shared" si="15"/>
        <v>0</v>
      </c>
      <c r="F113" s="299">
        <f t="shared" si="16"/>
        <v>0</v>
      </c>
      <c r="G113" s="299">
        <f t="shared" si="18"/>
        <v>0</v>
      </c>
      <c r="H113" s="298">
        <f t="shared" si="19"/>
        <v>0</v>
      </c>
      <c r="I113" s="294"/>
      <c r="O113" s="295">
        <f t="shared" si="17"/>
        <v>94</v>
      </c>
    </row>
    <row r="114" spans="1:15">
      <c r="A114" s="286"/>
      <c r="B114" s="296">
        <f t="shared" si="20"/>
        <v>95</v>
      </c>
      <c r="C114" s="297">
        <f t="shared" si="13"/>
        <v>0</v>
      </c>
      <c r="D114" s="298">
        <f t="shared" si="21"/>
        <v>0</v>
      </c>
      <c r="E114" s="299">
        <f t="shared" si="15"/>
        <v>0</v>
      </c>
      <c r="F114" s="299">
        <f t="shared" si="16"/>
        <v>0</v>
      </c>
      <c r="G114" s="299">
        <f t="shared" si="18"/>
        <v>0</v>
      </c>
      <c r="H114" s="298">
        <f t="shared" si="19"/>
        <v>0</v>
      </c>
      <c r="I114" s="294"/>
      <c r="O114" s="295">
        <f t="shared" si="17"/>
        <v>95</v>
      </c>
    </row>
    <row r="115" spans="1:15">
      <c r="A115" s="286"/>
      <c r="B115" s="300">
        <f t="shared" si="20"/>
        <v>96</v>
      </c>
      <c r="C115" s="301">
        <f t="shared" si="13"/>
        <v>0</v>
      </c>
      <c r="D115" s="302">
        <f t="shared" si="21"/>
        <v>0</v>
      </c>
      <c r="E115" s="303">
        <f t="shared" si="15"/>
        <v>0</v>
      </c>
      <c r="F115" s="303">
        <f t="shared" si="16"/>
        <v>0</v>
      </c>
      <c r="G115" s="303">
        <f t="shared" si="18"/>
        <v>0</v>
      </c>
      <c r="H115" s="302">
        <f t="shared" si="19"/>
        <v>0</v>
      </c>
      <c r="I115" s="304" t="e">
        <f>H115/$D$5</f>
        <v>#VALUE!</v>
      </c>
      <c r="J115" s="305"/>
      <c r="K115" s="305"/>
      <c r="L115" s="305"/>
      <c r="M115" s="305"/>
      <c r="N115" s="305"/>
      <c r="O115" s="306">
        <f t="shared" si="17"/>
        <v>96</v>
      </c>
    </row>
    <row r="116" spans="1:15">
      <c r="A116" s="286"/>
      <c r="B116" s="296">
        <f t="shared" si="20"/>
        <v>97</v>
      </c>
      <c r="C116" s="297">
        <f t="shared" si="13"/>
        <v>0</v>
      </c>
      <c r="D116" s="298">
        <f t="shared" si="21"/>
        <v>0</v>
      </c>
      <c r="E116" s="299">
        <f t="shared" si="15"/>
        <v>0</v>
      </c>
      <c r="F116" s="299">
        <f t="shared" si="16"/>
        <v>0</v>
      </c>
      <c r="G116" s="299">
        <f t="shared" si="18"/>
        <v>0</v>
      </c>
      <c r="H116" s="298">
        <f t="shared" si="19"/>
        <v>0</v>
      </c>
      <c r="I116" s="294"/>
      <c r="O116" s="295">
        <f t="shared" si="17"/>
        <v>97</v>
      </c>
    </row>
    <row r="117" spans="1:15">
      <c r="A117" s="286"/>
      <c r="B117" s="296">
        <f t="shared" si="20"/>
        <v>98</v>
      </c>
      <c r="C117" s="297">
        <f t="shared" si="13"/>
        <v>0</v>
      </c>
      <c r="D117" s="298">
        <f t="shared" si="21"/>
        <v>0</v>
      </c>
      <c r="E117" s="299">
        <f t="shared" si="15"/>
        <v>0</v>
      </c>
      <c r="F117" s="299">
        <f t="shared" si="16"/>
        <v>0</v>
      </c>
      <c r="G117" s="299">
        <f t="shared" si="18"/>
        <v>0</v>
      </c>
      <c r="H117" s="298">
        <f t="shared" si="19"/>
        <v>0</v>
      </c>
      <c r="I117" s="294"/>
      <c r="O117" s="295">
        <f t="shared" si="17"/>
        <v>98</v>
      </c>
    </row>
    <row r="118" spans="1:15">
      <c r="A118" s="286"/>
      <c r="B118" s="296">
        <f t="shared" si="20"/>
        <v>99</v>
      </c>
      <c r="C118" s="297">
        <f t="shared" si="13"/>
        <v>0</v>
      </c>
      <c r="D118" s="298">
        <f t="shared" si="21"/>
        <v>0</v>
      </c>
      <c r="E118" s="299">
        <f t="shared" si="15"/>
        <v>0</v>
      </c>
      <c r="F118" s="299">
        <f t="shared" si="16"/>
        <v>0</v>
      </c>
      <c r="G118" s="299">
        <f t="shared" si="18"/>
        <v>0</v>
      </c>
      <c r="H118" s="298">
        <f t="shared" si="19"/>
        <v>0</v>
      </c>
      <c r="I118" s="294"/>
      <c r="O118" s="295">
        <f t="shared" si="17"/>
        <v>99</v>
      </c>
    </row>
    <row r="119" spans="1:15">
      <c r="A119" s="286"/>
      <c r="B119" s="296">
        <f t="shared" si="20"/>
        <v>100</v>
      </c>
      <c r="C119" s="297">
        <f t="shared" si="13"/>
        <v>0</v>
      </c>
      <c r="D119" s="298">
        <f t="shared" si="21"/>
        <v>0</v>
      </c>
      <c r="E119" s="299">
        <f t="shared" si="15"/>
        <v>0</v>
      </c>
      <c r="F119" s="299">
        <f t="shared" si="16"/>
        <v>0</v>
      </c>
      <c r="G119" s="299">
        <f t="shared" si="18"/>
        <v>0</v>
      </c>
      <c r="H119" s="298">
        <f t="shared" si="19"/>
        <v>0</v>
      </c>
      <c r="I119" s="294"/>
      <c r="O119" s="295">
        <f t="shared" si="17"/>
        <v>100</v>
      </c>
    </row>
    <row r="120" spans="1:15">
      <c r="A120" s="286"/>
      <c r="B120" s="296">
        <f t="shared" si="20"/>
        <v>101</v>
      </c>
      <c r="C120" s="297">
        <f t="shared" ref="C120:C183" si="22">IF(D120&gt;0,$F$7,0)</f>
        <v>0</v>
      </c>
      <c r="D120" s="298">
        <f t="shared" si="21"/>
        <v>0</v>
      </c>
      <c r="E120" s="299">
        <f t="shared" si="15"/>
        <v>0</v>
      </c>
      <c r="F120" s="299">
        <f t="shared" si="16"/>
        <v>0</v>
      </c>
      <c r="G120" s="299">
        <f t="shared" si="18"/>
        <v>0</v>
      </c>
      <c r="H120" s="298">
        <f t="shared" si="19"/>
        <v>0</v>
      </c>
      <c r="I120" s="294"/>
      <c r="O120" s="295">
        <f t="shared" si="17"/>
        <v>101</v>
      </c>
    </row>
    <row r="121" spans="1:15">
      <c r="A121" s="286"/>
      <c r="B121" s="296">
        <f t="shared" si="20"/>
        <v>102</v>
      </c>
      <c r="C121" s="297">
        <f t="shared" si="22"/>
        <v>0</v>
      </c>
      <c r="D121" s="298">
        <f t="shared" si="21"/>
        <v>0</v>
      </c>
      <c r="E121" s="299">
        <f t="shared" si="15"/>
        <v>0</v>
      </c>
      <c r="F121" s="299">
        <f t="shared" si="16"/>
        <v>0</v>
      </c>
      <c r="G121" s="299">
        <f t="shared" si="18"/>
        <v>0</v>
      </c>
      <c r="H121" s="298">
        <f t="shared" si="19"/>
        <v>0</v>
      </c>
      <c r="I121" s="294"/>
      <c r="O121" s="295">
        <f t="shared" si="17"/>
        <v>102</v>
      </c>
    </row>
    <row r="122" spans="1:15">
      <c r="A122" s="286"/>
      <c r="B122" s="296">
        <f t="shared" si="20"/>
        <v>103</v>
      </c>
      <c r="C122" s="297">
        <f t="shared" si="22"/>
        <v>0</v>
      </c>
      <c r="D122" s="298">
        <f t="shared" si="21"/>
        <v>0</v>
      </c>
      <c r="E122" s="299">
        <f t="shared" si="15"/>
        <v>0</v>
      </c>
      <c r="F122" s="299">
        <f t="shared" si="16"/>
        <v>0</v>
      </c>
      <c r="G122" s="299">
        <f t="shared" si="18"/>
        <v>0</v>
      </c>
      <c r="H122" s="298">
        <f t="shared" si="19"/>
        <v>0</v>
      </c>
      <c r="I122" s="294"/>
      <c r="O122" s="295">
        <f t="shared" si="17"/>
        <v>103</v>
      </c>
    </row>
    <row r="123" spans="1:15">
      <c r="A123" s="286"/>
      <c r="B123" s="296">
        <f t="shared" si="20"/>
        <v>104</v>
      </c>
      <c r="C123" s="297">
        <f t="shared" si="22"/>
        <v>0</v>
      </c>
      <c r="D123" s="298">
        <f t="shared" si="21"/>
        <v>0</v>
      </c>
      <c r="E123" s="299">
        <f t="shared" si="15"/>
        <v>0</v>
      </c>
      <c r="F123" s="299">
        <f t="shared" si="16"/>
        <v>0</v>
      </c>
      <c r="G123" s="299">
        <f t="shared" si="18"/>
        <v>0</v>
      </c>
      <c r="H123" s="298">
        <f t="shared" si="19"/>
        <v>0</v>
      </c>
      <c r="I123" s="294"/>
      <c r="O123" s="295">
        <f t="shared" si="17"/>
        <v>104</v>
      </c>
    </row>
    <row r="124" spans="1:15">
      <c r="A124" s="286"/>
      <c r="B124" s="296">
        <f t="shared" si="20"/>
        <v>105</v>
      </c>
      <c r="C124" s="297">
        <f t="shared" si="22"/>
        <v>0</v>
      </c>
      <c r="D124" s="298">
        <f t="shared" si="21"/>
        <v>0</v>
      </c>
      <c r="E124" s="299">
        <f t="shared" si="15"/>
        <v>0</v>
      </c>
      <c r="F124" s="299">
        <f t="shared" si="16"/>
        <v>0</v>
      </c>
      <c r="G124" s="299">
        <f t="shared" si="18"/>
        <v>0</v>
      </c>
      <c r="H124" s="298">
        <f t="shared" si="19"/>
        <v>0</v>
      </c>
      <c r="I124" s="294"/>
      <c r="O124" s="295">
        <f t="shared" si="17"/>
        <v>105</v>
      </c>
    </row>
    <row r="125" spans="1:15">
      <c r="A125" s="286"/>
      <c r="B125" s="296">
        <f t="shared" si="20"/>
        <v>106</v>
      </c>
      <c r="C125" s="297">
        <f t="shared" si="22"/>
        <v>0</v>
      </c>
      <c r="D125" s="298">
        <f t="shared" si="21"/>
        <v>0</v>
      </c>
      <c r="E125" s="299">
        <f t="shared" si="15"/>
        <v>0</v>
      </c>
      <c r="F125" s="299">
        <f t="shared" si="16"/>
        <v>0</v>
      </c>
      <c r="G125" s="299">
        <f t="shared" si="18"/>
        <v>0</v>
      </c>
      <c r="H125" s="298">
        <f t="shared" si="19"/>
        <v>0</v>
      </c>
      <c r="I125" s="294"/>
      <c r="O125" s="295">
        <f t="shared" si="17"/>
        <v>106</v>
      </c>
    </row>
    <row r="126" spans="1:15">
      <c r="A126" s="286"/>
      <c r="B126" s="296">
        <f t="shared" si="20"/>
        <v>107</v>
      </c>
      <c r="C126" s="297">
        <f t="shared" si="22"/>
        <v>0</v>
      </c>
      <c r="D126" s="298">
        <f t="shared" si="21"/>
        <v>0</v>
      </c>
      <c r="E126" s="299">
        <f t="shared" si="15"/>
        <v>0</v>
      </c>
      <c r="F126" s="299">
        <f t="shared" si="16"/>
        <v>0</v>
      </c>
      <c r="G126" s="299">
        <f t="shared" si="18"/>
        <v>0</v>
      </c>
      <c r="H126" s="298">
        <f t="shared" si="19"/>
        <v>0</v>
      </c>
      <c r="I126" s="294"/>
      <c r="O126" s="295">
        <f t="shared" si="17"/>
        <v>107</v>
      </c>
    </row>
    <row r="127" spans="1:15">
      <c r="A127" s="286"/>
      <c r="B127" s="300">
        <f t="shared" si="20"/>
        <v>108</v>
      </c>
      <c r="C127" s="301">
        <f t="shared" si="22"/>
        <v>0</v>
      </c>
      <c r="D127" s="302">
        <f t="shared" si="21"/>
        <v>0</v>
      </c>
      <c r="E127" s="303">
        <f t="shared" si="15"/>
        <v>0</v>
      </c>
      <c r="F127" s="303">
        <f t="shared" si="16"/>
        <v>0</v>
      </c>
      <c r="G127" s="303">
        <f t="shared" si="18"/>
        <v>0</v>
      </c>
      <c r="H127" s="302">
        <f t="shared" si="19"/>
        <v>0</v>
      </c>
      <c r="I127" s="304" t="e">
        <f>H127/$D$5</f>
        <v>#VALUE!</v>
      </c>
      <c r="J127" s="305"/>
      <c r="K127" s="305"/>
      <c r="L127" s="305"/>
      <c r="M127" s="305"/>
      <c r="N127" s="305"/>
      <c r="O127" s="306">
        <f t="shared" si="17"/>
        <v>108</v>
      </c>
    </row>
    <row r="128" spans="1:15">
      <c r="A128" s="286"/>
      <c r="B128" s="296">
        <f t="shared" si="20"/>
        <v>109</v>
      </c>
      <c r="C128" s="297">
        <f t="shared" si="22"/>
        <v>0</v>
      </c>
      <c r="D128" s="298">
        <f t="shared" si="21"/>
        <v>0</v>
      </c>
      <c r="E128" s="299">
        <f t="shared" si="15"/>
        <v>0</v>
      </c>
      <c r="F128" s="299">
        <f t="shared" si="16"/>
        <v>0</v>
      </c>
      <c r="G128" s="299">
        <f t="shared" si="18"/>
        <v>0</v>
      </c>
      <c r="H128" s="298">
        <f t="shared" si="19"/>
        <v>0</v>
      </c>
      <c r="I128" s="294"/>
      <c r="O128" s="295">
        <f t="shared" si="17"/>
        <v>109</v>
      </c>
    </row>
    <row r="129" spans="1:15">
      <c r="A129" s="286"/>
      <c r="B129" s="296">
        <f t="shared" si="20"/>
        <v>110</v>
      </c>
      <c r="C129" s="297">
        <f t="shared" si="22"/>
        <v>0</v>
      </c>
      <c r="D129" s="298">
        <f t="shared" si="21"/>
        <v>0</v>
      </c>
      <c r="E129" s="299">
        <f t="shared" si="15"/>
        <v>0</v>
      </c>
      <c r="F129" s="299">
        <f t="shared" si="16"/>
        <v>0</v>
      </c>
      <c r="G129" s="299">
        <f t="shared" si="18"/>
        <v>0</v>
      </c>
      <c r="H129" s="298">
        <f t="shared" si="19"/>
        <v>0</v>
      </c>
      <c r="I129" s="294"/>
      <c r="O129" s="295">
        <f t="shared" si="17"/>
        <v>110</v>
      </c>
    </row>
    <row r="130" spans="1:15">
      <c r="A130" s="286"/>
      <c r="B130" s="296">
        <f t="shared" si="20"/>
        <v>111</v>
      </c>
      <c r="C130" s="297">
        <f t="shared" si="22"/>
        <v>0</v>
      </c>
      <c r="D130" s="298">
        <f t="shared" si="21"/>
        <v>0</v>
      </c>
      <c r="E130" s="299">
        <f t="shared" si="15"/>
        <v>0</v>
      </c>
      <c r="F130" s="299">
        <f t="shared" si="16"/>
        <v>0</v>
      </c>
      <c r="G130" s="299">
        <f t="shared" si="18"/>
        <v>0</v>
      </c>
      <c r="H130" s="298">
        <f t="shared" si="19"/>
        <v>0</v>
      </c>
      <c r="I130" s="294"/>
      <c r="O130" s="295">
        <f t="shared" si="17"/>
        <v>111</v>
      </c>
    </row>
    <row r="131" spans="1:15">
      <c r="A131" s="286"/>
      <c r="B131" s="296">
        <f t="shared" si="20"/>
        <v>112</v>
      </c>
      <c r="C131" s="297">
        <f t="shared" si="22"/>
        <v>0</v>
      </c>
      <c r="D131" s="298">
        <f t="shared" si="21"/>
        <v>0</v>
      </c>
      <c r="E131" s="299">
        <f t="shared" si="15"/>
        <v>0</v>
      </c>
      <c r="F131" s="299">
        <f t="shared" si="16"/>
        <v>0</v>
      </c>
      <c r="G131" s="299">
        <f t="shared" si="18"/>
        <v>0</v>
      </c>
      <c r="H131" s="298">
        <f t="shared" si="19"/>
        <v>0</v>
      </c>
      <c r="I131" s="294"/>
      <c r="O131" s="295">
        <f t="shared" si="17"/>
        <v>112</v>
      </c>
    </row>
    <row r="132" spans="1:15">
      <c r="A132" s="286"/>
      <c r="B132" s="296">
        <f t="shared" si="20"/>
        <v>113</v>
      </c>
      <c r="C132" s="297">
        <f t="shared" si="22"/>
        <v>0</v>
      </c>
      <c r="D132" s="298">
        <f t="shared" si="21"/>
        <v>0</v>
      </c>
      <c r="E132" s="299">
        <f t="shared" ref="E132:E195" si="23">IF(H131&lt;=E131,H131+G132,$H$10)</f>
        <v>0</v>
      </c>
      <c r="F132" s="299">
        <f t="shared" si="16"/>
        <v>0</v>
      </c>
      <c r="G132" s="299">
        <f t="shared" si="18"/>
        <v>0</v>
      </c>
      <c r="H132" s="298">
        <f t="shared" si="19"/>
        <v>0</v>
      </c>
      <c r="I132" s="294"/>
      <c r="O132" s="295">
        <f t="shared" si="17"/>
        <v>113</v>
      </c>
    </row>
    <row r="133" spans="1:15">
      <c r="A133" s="286"/>
      <c r="B133" s="296">
        <f t="shared" si="20"/>
        <v>114</v>
      </c>
      <c r="C133" s="297">
        <f t="shared" si="22"/>
        <v>0</v>
      </c>
      <c r="D133" s="298">
        <f t="shared" si="21"/>
        <v>0</v>
      </c>
      <c r="E133" s="299">
        <f t="shared" si="23"/>
        <v>0</v>
      </c>
      <c r="F133" s="299">
        <f t="shared" si="16"/>
        <v>0</v>
      </c>
      <c r="G133" s="299">
        <f t="shared" si="18"/>
        <v>0</v>
      </c>
      <c r="H133" s="298">
        <f t="shared" si="19"/>
        <v>0</v>
      </c>
      <c r="I133" s="294"/>
      <c r="O133" s="295">
        <f t="shared" si="17"/>
        <v>114</v>
      </c>
    </row>
    <row r="134" spans="1:15">
      <c r="A134" s="286"/>
      <c r="B134" s="296">
        <f t="shared" si="20"/>
        <v>115</v>
      </c>
      <c r="C134" s="297">
        <f t="shared" si="22"/>
        <v>0</v>
      </c>
      <c r="D134" s="298">
        <f t="shared" si="21"/>
        <v>0</v>
      </c>
      <c r="E134" s="299">
        <f t="shared" si="23"/>
        <v>0</v>
      </c>
      <c r="F134" s="299">
        <f t="shared" si="16"/>
        <v>0</v>
      </c>
      <c r="G134" s="299">
        <f t="shared" si="18"/>
        <v>0</v>
      </c>
      <c r="H134" s="298">
        <f t="shared" si="19"/>
        <v>0</v>
      </c>
      <c r="I134" s="294"/>
      <c r="O134" s="295">
        <f t="shared" si="17"/>
        <v>115</v>
      </c>
    </row>
    <row r="135" spans="1:15">
      <c r="A135" s="286"/>
      <c r="B135" s="296">
        <f t="shared" si="20"/>
        <v>116</v>
      </c>
      <c r="C135" s="297">
        <f t="shared" si="22"/>
        <v>0</v>
      </c>
      <c r="D135" s="298">
        <f t="shared" si="21"/>
        <v>0</v>
      </c>
      <c r="E135" s="299">
        <f t="shared" si="23"/>
        <v>0</v>
      </c>
      <c r="F135" s="299">
        <f t="shared" si="16"/>
        <v>0</v>
      </c>
      <c r="G135" s="299">
        <f t="shared" si="18"/>
        <v>0</v>
      </c>
      <c r="H135" s="298">
        <f t="shared" si="19"/>
        <v>0</v>
      </c>
      <c r="I135" s="294"/>
      <c r="O135" s="295">
        <f t="shared" si="17"/>
        <v>116</v>
      </c>
    </row>
    <row r="136" spans="1:15">
      <c r="A136" s="286"/>
      <c r="B136" s="296">
        <f t="shared" si="20"/>
        <v>117</v>
      </c>
      <c r="C136" s="297">
        <f t="shared" si="22"/>
        <v>0</v>
      </c>
      <c r="D136" s="298">
        <f t="shared" si="21"/>
        <v>0</v>
      </c>
      <c r="E136" s="299">
        <f t="shared" si="23"/>
        <v>0</v>
      </c>
      <c r="F136" s="299">
        <f t="shared" si="16"/>
        <v>0</v>
      </c>
      <c r="G136" s="299">
        <f t="shared" si="18"/>
        <v>0</v>
      </c>
      <c r="H136" s="298">
        <f t="shared" si="19"/>
        <v>0</v>
      </c>
      <c r="I136" s="294"/>
      <c r="O136" s="295">
        <f t="shared" si="17"/>
        <v>117</v>
      </c>
    </row>
    <row r="137" spans="1:15">
      <c r="A137" s="286"/>
      <c r="B137" s="296">
        <f t="shared" si="20"/>
        <v>118</v>
      </c>
      <c r="C137" s="297">
        <f t="shared" si="22"/>
        <v>0</v>
      </c>
      <c r="D137" s="298">
        <f t="shared" si="21"/>
        <v>0</v>
      </c>
      <c r="E137" s="299">
        <f t="shared" si="23"/>
        <v>0</v>
      </c>
      <c r="F137" s="299">
        <f t="shared" si="16"/>
        <v>0</v>
      </c>
      <c r="G137" s="299">
        <f t="shared" si="18"/>
        <v>0</v>
      </c>
      <c r="H137" s="298">
        <f t="shared" si="19"/>
        <v>0</v>
      </c>
      <c r="I137" s="294"/>
      <c r="O137" s="295">
        <f t="shared" si="17"/>
        <v>118</v>
      </c>
    </row>
    <row r="138" spans="1:15">
      <c r="A138" s="286"/>
      <c r="B138" s="296">
        <f t="shared" si="20"/>
        <v>119</v>
      </c>
      <c r="C138" s="297">
        <f t="shared" si="22"/>
        <v>0</v>
      </c>
      <c r="D138" s="298">
        <f t="shared" si="21"/>
        <v>0</v>
      </c>
      <c r="E138" s="299">
        <f t="shared" si="23"/>
        <v>0</v>
      </c>
      <c r="F138" s="299">
        <f t="shared" si="16"/>
        <v>0</v>
      </c>
      <c r="G138" s="299">
        <f t="shared" si="18"/>
        <v>0</v>
      </c>
      <c r="H138" s="298">
        <f t="shared" si="19"/>
        <v>0</v>
      </c>
      <c r="I138" s="294"/>
      <c r="O138" s="295">
        <f t="shared" si="17"/>
        <v>119</v>
      </c>
    </row>
    <row r="139" spans="1:15">
      <c r="A139" s="286"/>
      <c r="B139" s="300">
        <f t="shared" si="20"/>
        <v>120</v>
      </c>
      <c r="C139" s="301">
        <f t="shared" si="22"/>
        <v>0</v>
      </c>
      <c r="D139" s="302">
        <f t="shared" si="21"/>
        <v>0</v>
      </c>
      <c r="E139" s="303">
        <f t="shared" si="23"/>
        <v>0</v>
      </c>
      <c r="F139" s="303">
        <f t="shared" si="16"/>
        <v>0</v>
      </c>
      <c r="G139" s="303">
        <f t="shared" si="18"/>
        <v>0</v>
      </c>
      <c r="H139" s="302">
        <f t="shared" si="19"/>
        <v>0</v>
      </c>
      <c r="I139" s="304" t="e">
        <f>H139/$D$5</f>
        <v>#VALUE!</v>
      </c>
      <c r="J139" s="305"/>
      <c r="K139" s="305"/>
      <c r="L139" s="305"/>
      <c r="M139" s="305"/>
      <c r="N139" s="305"/>
      <c r="O139" s="306">
        <f t="shared" si="17"/>
        <v>120</v>
      </c>
    </row>
    <row r="140" spans="1:15">
      <c r="A140" s="286"/>
      <c r="B140" s="296">
        <f t="shared" si="20"/>
        <v>121</v>
      </c>
      <c r="C140" s="297">
        <f t="shared" si="22"/>
        <v>0</v>
      </c>
      <c r="D140" s="298">
        <f t="shared" si="21"/>
        <v>0</v>
      </c>
      <c r="E140" s="299">
        <f t="shared" si="23"/>
        <v>0</v>
      </c>
      <c r="F140" s="299">
        <f t="shared" si="16"/>
        <v>0</v>
      </c>
      <c r="G140" s="299">
        <f t="shared" si="18"/>
        <v>0</v>
      </c>
      <c r="H140" s="298">
        <f t="shared" si="19"/>
        <v>0</v>
      </c>
      <c r="I140" s="294"/>
      <c r="O140" s="295">
        <f t="shared" si="17"/>
        <v>121</v>
      </c>
    </row>
    <row r="141" spans="1:15">
      <c r="A141" s="286"/>
      <c r="B141" s="296">
        <f t="shared" si="20"/>
        <v>122</v>
      </c>
      <c r="C141" s="297">
        <f t="shared" si="22"/>
        <v>0</v>
      </c>
      <c r="D141" s="298">
        <f t="shared" si="21"/>
        <v>0</v>
      </c>
      <c r="E141" s="299">
        <f t="shared" si="23"/>
        <v>0</v>
      </c>
      <c r="F141" s="299">
        <f t="shared" si="16"/>
        <v>0</v>
      </c>
      <c r="G141" s="299">
        <f t="shared" si="18"/>
        <v>0</v>
      </c>
      <c r="H141" s="298">
        <f t="shared" si="19"/>
        <v>0</v>
      </c>
      <c r="I141" s="294"/>
      <c r="O141" s="295">
        <f t="shared" si="17"/>
        <v>122</v>
      </c>
    </row>
    <row r="142" spans="1:15">
      <c r="A142" s="286"/>
      <c r="B142" s="296">
        <f t="shared" si="20"/>
        <v>123</v>
      </c>
      <c r="C142" s="297">
        <f t="shared" si="22"/>
        <v>0</v>
      </c>
      <c r="D142" s="298">
        <f t="shared" si="21"/>
        <v>0</v>
      </c>
      <c r="E142" s="299">
        <f t="shared" si="23"/>
        <v>0</v>
      </c>
      <c r="F142" s="299">
        <f t="shared" si="16"/>
        <v>0</v>
      </c>
      <c r="G142" s="299">
        <f t="shared" si="18"/>
        <v>0</v>
      </c>
      <c r="H142" s="298">
        <f t="shared" si="19"/>
        <v>0</v>
      </c>
      <c r="I142" s="294"/>
      <c r="O142" s="295">
        <f t="shared" si="17"/>
        <v>123</v>
      </c>
    </row>
    <row r="143" spans="1:15">
      <c r="A143" s="286"/>
      <c r="B143" s="296">
        <f t="shared" si="20"/>
        <v>124</v>
      </c>
      <c r="C143" s="297">
        <f t="shared" si="22"/>
        <v>0</v>
      </c>
      <c r="D143" s="298">
        <f t="shared" si="21"/>
        <v>0</v>
      </c>
      <c r="E143" s="299">
        <f t="shared" si="23"/>
        <v>0</v>
      </c>
      <c r="F143" s="299">
        <f t="shared" si="16"/>
        <v>0</v>
      </c>
      <c r="G143" s="299">
        <f t="shared" si="18"/>
        <v>0</v>
      </c>
      <c r="H143" s="298">
        <f t="shared" si="19"/>
        <v>0</v>
      </c>
      <c r="I143" s="294"/>
      <c r="O143" s="295">
        <f t="shared" si="17"/>
        <v>124</v>
      </c>
    </row>
    <row r="144" spans="1:15">
      <c r="A144" s="286"/>
      <c r="B144" s="296">
        <f t="shared" si="20"/>
        <v>125</v>
      </c>
      <c r="C144" s="297">
        <f t="shared" si="22"/>
        <v>0</v>
      </c>
      <c r="D144" s="298">
        <f t="shared" si="21"/>
        <v>0</v>
      </c>
      <c r="E144" s="299">
        <f t="shared" si="23"/>
        <v>0</v>
      </c>
      <c r="F144" s="299">
        <f t="shared" si="16"/>
        <v>0</v>
      </c>
      <c r="G144" s="299">
        <f t="shared" si="18"/>
        <v>0</v>
      </c>
      <c r="H144" s="298">
        <f t="shared" si="19"/>
        <v>0</v>
      </c>
      <c r="I144" s="294"/>
      <c r="O144" s="295">
        <f t="shared" si="17"/>
        <v>125</v>
      </c>
    </row>
    <row r="145" spans="1:15">
      <c r="A145" s="286"/>
      <c r="B145" s="296">
        <f t="shared" si="20"/>
        <v>126</v>
      </c>
      <c r="C145" s="297">
        <f t="shared" si="22"/>
        <v>0</v>
      </c>
      <c r="D145" s="298">
        <f t="shared" si="21"/>
        <v>0</v>
      </c>
      <c r="E145" s="299">
        <f t="shared" si="23"/>
        <v>0</v>
      </c>
      <c r="F145" s="299">
        <f t="shared" si="16"/>
        <v>0</v>
      </c>
      <c r="G145" s="299">
        <f t="shared" si="18"/>
        <v>0</v>
      </c>
      <c r="H145" s="298">
        <f t="shared" si="19"/>
        <v>0</v>
      </c>
      <c r="I145" s="294"/>
      <c r="O145" s="295">
        <f t="shared" si="17"/>
        <v>126</v>
      </c>
    </row>
    <row r="146" spans="1:15">
      <c r="A146" s="286"/>
      <c r="B146" s="296">
        <f t="shared" si="20"/>
        <v>127</v>
      </c>
      <c r="C146" s="297">
        <f t="shared" si="22"/>
        <v>0</v>
      </c>
      <c r="D146" s="298">
        <f t="shared" si="21"/>
        <v>0</v>
      </c>
      <c r="E146" s="299">
        <f t="shared" si="23"/>
        <v>0</v>
      </c>
      <c r="F146" s="299">
        <f t="shared" si="16"/>
        <v>0</v>
      </c>
      <c r="G146" s="299">
        <f t="shared" si="18"/>
        <v>0</v>
      </c>
      <c r="H146" s="298">
        <f t="shared" si="19"/>
        <v>0</v>
      </c>
      <c r="I146" s="294"/>
      <c r="O146" s="295">
        <f t="shared" si="17"/>
        <v>127</v>
      </c>
    </row>
    <row r="147" spans="1:15">
      <c r="A147" s="286"/>
      <c r="B147" s="296">
        <f t="shared" si="20"/>
        <v>128</v>
      </c>
      <c r="C147" s="297">
        <f t="shared" si="22"/>
        <v>0</v>
      </c>
      <c r="D147" s="298">
        <f t="shared" si="21"/>
        <v>0</v>
      </c>
      <c r="E147" s="299">
        <f t="shared" si="23"/>
        <v>0</v>
      </c>
      <c r="F147" s="299">
        <f t="shared" si="16"/>
        <v>0</v>
      </c>
      <c r="G147" s="299">
        <f t="shared" si="18"/>
        <v>0</v>
      </c>
      <c r="H147" s="298">
        <f t="shared" si="19"/>
        <v>0</v>
      </c>
      <c r="I147" s="294"/>
      <c r="O147" s="295">
        <f t="shared" si="17"/>
        <v>128</v>
      </c>
    </row>
    <row r="148" spans="1:15">
      <c r="A148" s="286"/>
      <c r="B148" s="296">
        <f t="shared" si="20"/>
        <v>129</v>
      </c>
      <c r="C148" s="297">
        <f t="shared" si="22"/>
        <v>0</v>
      </c>
      <c r="D148" s="298">
        <f t="shared" si="21"/>
        <v>0</v>
      </c>
      <c r="E148" s="299">
        <f t="shared" si="23"/>
        <v>0</v>
      </c>
      <c r="F148" s="299">
        <f t="shared" ref="F148:F211" si="24">E148-G148</f>
        <v>0</v>
      </c>
      <c r="G148" s="299">
        <f t="shared" si="18"/>
        <v>0</v>
      </c>
      <c r="H148" s="298">
        <f t="shared" si="19"/>
        <v>0</v>
      </c>
      <c r="I148" s="294"/>
      <c r="O148" s="295">
        <f t="shared" ref="O148:O211" si="25">IF(H148=0,B148,"n.a.")</f>
        <v>129</v>
      </c>
    </row>
    <row r="149" spans="1:15">
      <c r="A149" s="286"/>
      <c r="B149" s="296">
        <f t="shared" si="20"/>
        <v>130</v>
      </c>
      <c r="C149" s="297">
        <f t="shared" si="22"/>
        <v>0</v>
      </c>
      <c r="D149" s="298">
        <f t="shared" si="21"/>
        <v>0</v>
      </c>
      <c r="E149" s="299">
        <f t="shared" si="23"/>
        <v>0</v>
      </c>
      <c r="F149" s="299">
        <f t="shared" si="24"/>
        <v>0</v>
      </c>
      <c r="G149" s="299">
        <f t="shared" ref="G149:G212" si="26">C149*(D149/365)*30</f>
        <v>0</v>
      </c>
      <c r="H149" s="298">
        <f t="shared" ref="H149:H212" si="27">IF((D149+G149-E149)&lt;0,0,D149+G149-E149)</f>
        <v>0</v>
      </c>
      <c r="I149" s="294"/>
      <c r="O149" s="295">
        <f t="shared" si="25"/>
        <v>130</v>
      </c>
    </row>
    <row r="150" spans="1:15">
      <c r="A150" s="286"/>
      <c r="B150" s="296">
        <f t="shared" ref="B150:B213" si="28">B149+1</f>
        <v>131</v>
      </c>
      <c r="C150" s="297">
        <f t="shared" si="22"/>
        <v>0</v>
      </c>
      <c r="D150" s="298">
        <f t="shared" ref="D150:D213" si="29">H149</f>
        <v>0</v>
      </c>
      <c r="E150" s="299">
        <f t="shared" si="23"/>
        <v>0</v>
      </c>
      <c r="F150" s="299">
        <f t="shared" si="24"/>
        <v>0</v>
      </c>
      <c r="G150" s="299">
        <f t="shared" si="26"/>
        <v>0</v>
      </c>
      <c r="H150" s="298">
        <f t="shared" si="27"/>
        <v>0</v>
      </c>
      <c r="I150" s="294"/>
      <c r="O150" s="295">
        <f t="shared" si="25"/>
        <v>131</v>
      </c>
    </row>
    <row r="151" spans="1:15">
      <c r="A151" s="286"/>
      <c r="B151" s="300">
        <f t="shared" si="28"/>
        <v>132</v>
      </c>
      <c r="C151" s="301">
        <f t="shared" si="22"/>
        <v>0</v>
      </c>
      <c r="D151" s="302">
        <f t="shared" si="29"/>
        <v>0</v>
      </c>
      <c r="E151" s="303">
        <f t="shared" si="23"/>
        <v>0</v>
      </c>
      <c r="F151" s="303">
        <f t="shared" si="24"/>
        <v>0</v>
      </c>
      <c r="G151" s="303">
        <f t="shared" si="26"/>
        <v>0</v>
      </c>
      <c r="H151" s="302">
        <f t="shared" si="27"/>
        <v>0</v>
      </c>
      <c r="I151" s="304" t="e">
        <f>H151/$D$5</f>
        <v>#VALUE!</v>
      </c>
      <c r="J151" s="305"/>
      <c r="K151" s="305"/>
      <c r="L151" s="305"/>
      <c r="M151" s="305"/>
      <c r="N151" s="305"/>
      <c r="O151" s="306">
        <f t="shared" si="25"/>
        <v>132</v>
      </c>
    </row>
    <row r="152" spans="1:15">
      <c r="A152" s="286"/>
      <c r="B152" s="296">
        <f t="shared" si="28"/>
        <v>133</v>
      </c>
      <c r="C152" s="297">
        <f t="shared" si="22"/>
        <v>0</v>
      </c>
      <c r="D152" s="298">
        <f t="shared" si="29"/>
        <v>0</v>
      </c>
      <c r="E152" s="299">
        <f t="shared" si="23"/>
        <v>0</v>
      </c>
      <c r="F152" s="299">
        <f t="shared" si="24"/>
        <v>0</v>
      </c>
      <c r="G152" s="299">
        <f t="shared" si="26"/>
        <v>0</v>
      </c>
      <c r="H152" s="298">
        <f t="shared" si="27"/>
        <v>0</v>
      </c>
      <c r="I152" s="294"/>
      <c r="O152" s="295">
        <f t="shared" si="25"/>
        <v>133</v>
      </c>
    </row>
    <row r="153" spans="1:15">
      <c r="A153" s="286"/>
      <c r="B153" s="296">
        <f t="shared" si="28"/>
        <v>134</v>
      </c>
      <c r="C153" s="297">
        <f t="shared" si="22"/>
        <v>0</v>
      </c>
      <c r="D153" s="298">
        <f t="shared" si="29"/>
        <v>0</v>
      </c>
      <c r="E153" s="299">
        <f t="shared" si="23"/>
        <v>0</v>
      </c>
      <c r="F153" s="299">
        <f t="shared" si="24"/>
        <v>0</v>
      </c>
      <c r="G153" s="299">
        <f t="shared" si="26"/>
        <v>0</v>
      </c>
      <c r="H153" s="298">
        <f t="shared" si="27"/>
        <v>0</v>
      </c>
      <c r="I153" s="294"/>
      <c r="O153" s="295">
        <f t="shared" si="25"/>
        <v>134</v>
      </c>
    </row>
    <row r="154" spans="1:15">
      <c r="A154" s="286"/>
      <c r="B154" s="296">
        <f t="shared" si="28"/>
        <v>135</v>
      </c>
      <c r="C154" s="297">
        <f t="shared" si="22"/>
        <v>0</v>
      </c>
      <c r="D154" s="298">
        <f t="shared" si="29"/>
        <v>0</v>
      </c>
      <c r="E154" s="299">
        <f t="shared" si="23"/>
        <v>0</v>
      </c>
      <c r="F154" s="299">
        <f t="shared" si="24"/>
        <v>0</v>
      </c>
      <c r="G154" s="299">
        <f t="shared" si="26"/>
        <v>0</v>
      </c>
      <c r="H154" s="298">
        <f t="shared" si="27"/>
        <v>0</v>
      </c>
      <c r="I154" s="294"/>
      <c r="O154" s="295">
        <f t="shared" si="25"/>
        <v>135</v>
      </c>
    </row>
    <row r="155" spans="1:15">
      <c r="A155" s="286"/>
      <c r="B155" s="296">
        <f t="shared" si="28"/>
        <v>136</v>
      </c>
      <c r="C155" s="297">
        <f t="shared" si="22"/>
        <v>0</v>
      </c>
      <c r="D155" s="298">
        <f t="shared" si="29"/>
        <v>0</v>
      </c>
      <c r="E155" s="299">
        <f t="shared" si="23"/>
        <v>0</v>
      </c>
      <c r="F155" s="299">
        <f t="shared" si="24"/>
        <v>0</v>
      </c>
      <c r="G155" s="299">
        <f t="shared" si="26"/>
        <v>0</v>
      </c>
      <c r="H155" s="298">
        <f t="shared" si="27"/>
        <v>0</v>
      </c>
      <c r="I155" s="294"/>
      <c r="O155" s="295">
        <f t="shared" si="25"/>
        <v>136</v>
      </c>
    </row>
    <row r="156" spans="1:15">
      <c r="A156" s="286"/>
      <c r="B156" s="296">
        <f t="shared" si="28"/>
        <v>137</v>
      </c>
      <c r="C156" s="297">
        <f t="shared" si="22"/>
        <v>0</v>
      </c>
      <c r="D156" s="298">
        <f t="shared" si="29"/>
        <v>0</v>
      </c>
      <c r="E156" s="299">
        <f t="shared" si="23"/>
        <v>0</v>
      </c>
      <c r="F156" s="299">
        <f t="shared" si="24"/>
        <v>0</v>
      </c>
      <c r="G156" s="299">
        <f t="shared" si="26"/>
        <v>0</v>
      </c>
      <c r="H156" s="298">
        <f t="shared" si="27"/>
        <v>0</v>
      </c>
      <c r="I156" s="294"/>
      <c r="O156" s="295">
        <f t="shared" si="25"/>
        <v>137</v>
      </c>
    </row>
    <row r="157" spans="1:15">
      <c r="A157" s="286"/>
      <c r="B157" s="296">
        <f t="shared" si="28"/>
        <v>138</v>
      </c>
      <c r="C157" s="297">
        <f t="shared" si="22"/>
        <v>0</v>
      </c>
      <c r="D157" s="298">
        <f t="shared" si="29"/>
        <v>0</v>
      </c>
      <c r="E157" s="299">
        <f t="shared" si="23"/>
        <v>0</v>
      </c>
      <c r="F157" s="299">
        <f t="shared" si="24"/>
        <v>0</v>
      </c>
      <c r="G157" s="299">
        <f t="shared" si="26"/>
        <v>0</v>
      </c>
      <c r="H157" s="298">
        <f t="shared" si="27"/>
        <v>0</v>
      </c>
      <c r="I157" s="294"/>
      <c r="O157" s="295">
        <f t="shared" si="25"/>
        <v>138</v>
      </c>
    </row>
    <row r="158" spans="1:15">
      <c r="A158" s="286"/>
      <c r="B158" s="296">
        <f t="shared" si="28"/>
        <v>139</v>
      </c>
      <c r="C158" s="297">
        <f t="shared" si="22"/>
        <v>0</v>
      </c>
      <c r="D158" s="298">
        <f t="shared" si="29"/>
        <v>0</v>
      </c>
      <c r="E158" s="299">
        <f t="shared" si="23"/>
        <v>0</v>
      </c>
      <c r="F158" s="299">
        <f t="shared" si="24"/>
        <v>0</v>
      </c>
      <c r="G158" s="299">
        <f t="shared" si="26"/>
        <v>0</v>
      </c>
      <c r="H158" s="298">
        <f t="shared" si="27"/>
        <v>0</v>
      </c>
      <c r="I158" s="294"/>
      <c r="O158" s="295">
        <f t="shared" si="25"/>
        <v>139</v>
      </c>
    </row>
    <row r="159" spans="1:15">
      <c r="A159" s="286"/>
      <c r="B159" s="296">
        <f t="shared" si="28"/>
        <v>140</v>
      </c>
      <c r="C159" s="297">
        <f t="shared" si="22"/>
        <v>0</v>
      </c>
      <c r="D159" s="298">
        <f t="shared" si="29"/>
        <v>0</v>
      </c>
      <c r="E159" s="299">
        <f t="shared" si="23"/>
        <v>0</v>
      </c>
      <c r="F159" s="299">
        <f t="shared" si="24"/>
        <v>0</v>
      </c>
      <c r="G159" s="299">
        <f t="shared" si="26"/>
        <v>0</v>
      </c>
      <c r="H159" s="298">
        <f t="shared" si="27"/>
        <v>0</v>
      </c>
      <c r="I159" s="294"/>
      <c r="O159" s="295">
        <f t="shared" si="25"/>
        <v>140</v>
      </c>
    </row>
    <row r="160" spans="1:15">
      <c r="A160" s="286"/>
      <c r="B160" s="296">
        <f t="shared" si="28"/>
        <v>141</v>
      </c>
      <c r="C160" s="297">
        <f t="shared" si="22"/>
        <v>0</v>
      </c>
      <c r="D160" s="298">
        <f t="shared" si="29"/>
        <v>0</v>
      </c>
      <c r="E160" s="299">
        <f t="shared" si="23"/>
        <v>0</v>
      </c>
      <c r="F160" s="299">
        <f t="shared" si="24"/>
        <v>0</v>
      </c>
      <c r="G160" s="299">
        <f t="shared" si="26"/>
        <v>0</v>
      </c>
      <c r="H160" s="298">
        <f t="shared" si="27"/>
        <v>0</v>
      </c>
      <c r="I160" s="294"/>
      <c r="O160" s="295">
        <f t="shared" si="25"/>
        <v>141</v>
      </c>
    </row>
    <row r="161" spans="1:15">
      <c r="A161" s="286"/>
      <c r="B161" s="296">
        <f t="shared" si="28"/>
        <v>142</v>
      </c>
      <c r="C161" s="297">
        <f t="shared" si="22"/>
        <v>0</v>
      </c>
      <c r="D161" s="298">
        <f t="shared" si="29"/>
        <v>0</v>
      </c>
      <c r="E161" s="299">
        <f t="shared" si="23"/>
        <v>0</v>
      </c>
      <c r="F161" s="299">
        <f t="shared" si="24"/>
        <v>0</v>
      </c>
      <c r="G161" s="299">
        <f t="shared" si="26"/>
        <v>0</v>
      </c>
      <c r="H161" s="298">
        <f t="shared" si="27"/>
        <v>0</v>
      </c>
      <c r="I161" s="294"/>
      <c r="O161" s="295">
        <f t="shared" si="25"/>
        <v>142</v>
      </c>
    </row>
    <row r="162" spans="1:15">
      <c r="A162" s="286"/>
      <c r="B162" s="296">
        <f t="shared" si="28"/>
        <v>143</v>
      </c>
      <c r="C162" s="297">
        <f t="shared" si="22"/>
        <v>0</v>
      </c>
      <c r="D162" s="298">
        <f t="shared" si="29"/>
        <v>0</v>
      </c>
      <c r="E162" s="299">
        <f t="shared" si="23"/>
        <v>0</v>
      </c>
      <c r="F162" s="299">
        <f t="shared" si="24"/>
        <v>0</v>
      </c>
      <c r="G162" s="299">
        <f t="shared" si="26"/>
        <v>0</v>
      </c>
      <c r="H162" s="298">
        <f t="shared" si="27"/>
        <v>0</v>
      </c>
      <c r="I162" s="294"/>
      <c r="O162" s="295">
        <f t="shared" si="25"/>
        <v>143</v>
      </c>
    </row>
    <row r="163" spans="1:15">
      <c r="A163" s="286"/>
      <c r="B163" s="300">
        <f t="shared" si="28"/>
        <v>144</v>
      </c>
      <c r="C163" s="301">
        <f t="shared" si="22"/>
        <v>0</v>
      </c>
      <c r="D163" s="302">
        <f t="shared" si="29"/>
        <v>0</v>
      </c>
      <c r="E163" s="303">
        <f t="shared" si="23"/>
        <v>0</v>
      </c>
      <c r="F163" s="303">
        <f t="shared" si="24"/>
        <v>0</v>
      </c>
      <c r="G163" s="303">
        <f t="shared" si="26"/>
        <v>0</v>
      </c>
      <c r="H163" s="302">
        <f t="shared" si="27"/>
        <v>0</v>
      </c>
      <c r="I163" s="304" t="e">
        <f>H163/$D$5</f>
        <v>#VALUE!</v>
      </c>
      <c r="J163" s="305"/>
      <c r="K163" s="305"/>
      <c r="L163" s="305"/>
      <c r="M163" s="305"/>
      <c r="N163" s="305"/>
      <c r="O163" s="306">
        <f t="shared" si="25"/>
        <v>144</v>
      </c>
    </row>
    <row r="164" spans="1:15">
      <c r="A164" s="286"/>
      <c r="B164" s="296">
        <f t="shared" si="28"/>
        <v>145</v>
      </c>
      <c r="C164" s="297">
        <f t="shared" si="22"/>
        <v>0</v>
      </c>
      <c r="D164" s="298">
        <f t="shared" si="29"/>
        <v>0</v>
      </c>
      <c r="E164" s="299">
        <f t="shared" si="23"/>
        <v>0</v>
      </c>
      <c r="F164" s="299">
        <f t="shared" si="24"/>
        <v>0</v>
      </c>
      <c r="G164" s="299">
        <f t="shared" si="26"/>
        <v>0</v>
      </c>
      <c r="H164" s="298">
        <f t="shared" si="27"/>
        <v>0</v>
      </c>
      <c r="I164" s="294"/>
      <c r="O164" s="295">
        <f t="shared" si="25"/>
        <v>145</v>
      </c>
    </row>
    <row r="165" spans="1:15">
      <c r="A165" s="286"/>
      <c r="B165" s="296">
        <f t="shared" si="28"/>
        <v>146</v>
      </c>
      <c r="C165" s="297">
        <f t="shared" si="22"/>
        <v>0</v>
      </c>
      <c r="D165" s="298">
        <f t="shared" si="29"/>
        <v>0</v>
      </c>
      <c r="E165" s="299">
        <f t="shared" si="23"/>
        <v>0</v>
      </c>
      <c r="F165" s="299">
        <f t="shared" si="24"/>
        <v>0</v>
      </c>
      <c r="G165" s="299">
        <f t="shared" si="26"/>
        <v>0</v>
      </c>
      <c r="H165" s="298">
        <f t="shared" si="27"/>
        <v>0</v>
      </c>
      <c r="I165" s="294"/>
      <c r="O165" s="295">
        <f t="shared" si="25"/>
        <v>146</v>
      </c>
    </row>
    <row r="166" spans="1:15">
      <c r="A166" s="286"/>
      <c r="B166" s="296">
        <f t="shared" si="28"/>
        <v>147</v>
      </c>
      <c r="C166" s="297">
        <f t="shared" si="22"/>
        <v>0</v>
      </c>
      <c r="D166" s="298">
        <f t="shared" si="29"/>
        <v>0</v>
      </c>
      <c r="E166" s="299">
        <f t="shared" si="23"/>
        <v>0</v>
      </c>
      <c r="F166" s="299">
        <f t="shared" si="24"/>
        <v>0</v>
      </c>
      <c r="G166" s="299">
        <f t="shared" si="26"/>
        <v>0</v>
      </c>
      <c r="H166" s="298">
        <f t="shared" si="27"/>
        <v>0</v>
      </c>
      <c r="I166" s="294"/>
      <c r="O166" s="295">
        <f t="shared" si="25"/>
        <v>147</v>
      </c>
    </row>
    <row r="167" spans="1:15">
      <c r="A167" s="286"/>
      <c r="B167" s="296">
        <f t="shared" si="28"/>
        <v>148</v>
      </c>
      <c r="C167" s="297">
        <f t="shared" si="22"/>
        <v>0</v>
      </c>
      <c r="D167" s="298">
        <f t="shared" si="29"/>
        <v>0</v>
      </c>
      <c r="E167" s="299">
        <f t="shared" si="23"/>
        <v>0</v>
      </c>
      <c r="F167" s="299">
        <f t="shared" si="24"/>
        <v>0</v>
      </c>
      <c r="G167" s="299">
        <f t="shared" si="26"/>
        <v>0</v>
      </c>
      <c r="H167" s="298">
        <f t="shared" si="27"/>
        <v>0</v>
      </c>
      <c r="I167" s="294"/>
      <c r="O167" s="295">
        <f t="shared" si="25"/>
        <v>148</v>
      </c>
    </row>
    <row r="168" spans="1:15">
      <c r="A168" s="286"/>
      <c r="B168" s="296">
        <f t="shared" si="28"/>
        <v>149</v>
      </c>
      <c r="C168" s="297">
        <f t="shared" si="22"/>
        <v>0</v>
      </c>
      <c r="D168" s="298">
        <f t="shared" si="29"/>
        <v>0</v>
      </c>
      <c r="E168" s="299">
        <f t="shared" si="23"/>
        <v>0</v>
      </c>
      <c r="F168" s="299">
        <f t="shared" si="24"/>
        <v>0</v>
      </c>
      <c r="G168" s="299">
        <f t="shared" si="26"/>
        <v>0</v>
      </c>
      <c r="H168" s="298">
        <f t="shared" si="27"/>
        <v>0</v>
      </c>
      <c r="I168" s="294"/>
      <c r="O168" s="295">
        <f t="shared" si="25"/>
        <v>149</v>
      </c>
    </row>
    <row r="169" spans="1:15">
      <c r="A169" s="286"/>
      <c r="B169" s="296">
        <f t="shared" si="28"/>
        <v>150</v>
      </c>
      <c r="C169" s="297">
        <f t="shared" si="22"/>
        <v>0</v>
      </c>
      <c r="D169" s="298">
        <f t="shared" si="29"/>
        <v>0</v>
      </c>
      <c r="E169" s="299">
        <f t="shared" si="23"/>
        <v>0</v>
      </c>
      <c r="F169" s="299">
        <f t="shared" si="24"/>
        <v>0</v>
      </c>
      <c r="G169" s="299">
        <f t="shared" si="26"/>
        <v>0</v>
      </c>
      <c r="H169" s="298">
        <f t="shared" si="27"/>
        <v>0</v>
      </c>
      <c r="I169" s="294"/>
      <c r="O169" s="295">
        <f t="shared" si="25"/>
        <v>150</v>
      </c>
    </row>
    <row r="170" spans="1:15">
      <c r="A170" s="286"/>
      <c r="B170" s="296">
        <f t="shared" si="28"/>
        <v>151</v>
      </c>
      <c r="C170" s="297">
        <f t="shared" si="22"/>
        <v>0</v>
      </c>
      <c r="D170" s="298">
        <f t="shared" si="29"/>
        <v>0</v>
      </c>
      <c r="E170" s="299">
        <f t="shared" si="23"/>
        <v>0</v>
      </c>
      <c r="F170" s="299">
        <f t="shared" si="24"/>
        <v>0</v>
      </c>
      <c r="G170" s="299">
        <f t="shared" si="26"/>
        <v>0</v>
      </c>
      <c r="H170" s="298">
        <f t="shared" si="27"/>
        <v>0</v>
      </c>
      <c r="I170" s="294"/>
      <c r="O170" s="295">
        <f t="shared" si="25"/>
        <v>151</v>
      </c>
    </row>
    <row r="171" spans="1:15">
      <c r="A171" s="286"/>
      <c r="B171" s="296">
        <f t="shared" si="28"/>
        <v>152</v>
      </c>
      <c r="C171" s="297">
        <f t="shared" si="22"/>
        <v>0</v>
      </c>
      <c r="D171" s="298">
        <f t="shared" si="29"/>
        <v>0</v>
      </c>
      <c r="E171" s="299">
        <f t="shared" si="23"/>
        <v>0</v>
      </c>
      <c r="F171" s="299">
        <f t="shared" si="24"/>
        <v>0</v>
      </c>
      <c r="G171" s="299">
        <f t="shared" si="26"/>
        <v>0</v>
      </c>
      <c r="H171" s="298">
        <f t="shared" si="27"/>
        <v>0</v>
      </c>
      <c r="I171" s="294"/>
      <c r="O171" s="295">
        <f t="shared" si="25"/>
        <v>152</v>
      </c>
    </row>
    <row r="172" spans="1:15">
      <c r="A172" s="286"/>
      <c r="B172" s="296">
        <f t="shared" si="28"/>
        <v>153</v>
      </c>
      <c r="C172" s="297">
        <f t="shared" si="22"/>
        <v>0</v>
      </c>
      <c r="D172" s="298">
        <f t="shared" si="29"/>
        <v>0</v>
      </c>
      <c r="E172" s="299">
        <f t="shared" si="23"/>
        <v>0</v>
      </c>
      <c r="F172" s="299">
        <f t="shared" si="24"/>
        <v>0</v>
      </c>
      <c r="G172" s="299">
        <f t="shared" si="26"/>
        <v>0</v>
      </c>
      <c r="H172" s="298">
        <f t="shared" si="27"/>
        <v>0</v>
      </c>
      <c r="I172" s="294"/>
      <c r="O172" s="295">
        <f t="shared" si="25"/>
        <v>153</v>
      </c>
    </row>
    <row r="173" spans="1:15">
      <c r="A173" s="286"/>
      <c r="B173" s="296">
        <f t="shared" si="28"/>
        <v>154</v>
      </c>
      <c r="C173" s="297">
        <f t="shared" si="22"/>
        <v>0</v>
      </c>
      <c r="D173" s="298">
        <f t="shared" si="29"/>
        <v>0</v>
      </c>
      <c r="E173" s="299">
        <f t="shared" si="23"/>
        <v>0</v>
      </c>
      <c r="F173" s="299">
        <f t="shared" si="24"/>
        <v>0</v>
      </c>
      <c r="G173" s="299">
        <f t="shared" si="26"/>
        <v>0</v>
      </c>
      <c r="H173" s="298">
        <f t="shared" si="27"/>
        <v>0</v>
      </c>
      <c r="I173" s="294"/>
      <c r="O173" s="295">
        <f t="shared" si="25"/>
        <v>154</v>
      </c>
    </row>
    <row r="174" spans="1:15">
      <c r="A174" s="286"/>
      <c r="B174" s="296">
        <f t="shared" si="28"/>
        <v>155</v>
      </c>
      <c r="C174" s="297">
        <f t="shared" si="22"/>
        <v>0</v>
      </c>
      <c r="D174" s="298">
        <f t="shared" si="29"/>
        <v>0</v>
      </c>
      <c r="E174" s="299">
        <f t="shared" si="23"/>
        <v>0</v>
      </c>
      <c r="F174" s="299">
        <f t="shared" si="24"/>
        <v>0</v>
      </c>
      <c r="G174" s="299">
        <f t="shared" si="26"/>
        <v>0</v>
      </c>
      <c r="H174" s="298">
        <f t="shared" si="27"/>
        <v>0</v>
      </c>
      <c r="I174" s="294"/>
      <c r="O174" s="295">
        <f t="shared" si="25"/>
        <v>155</v>
      </c>
    </row>
    <row r="175" spans="1:15">
      <c r="A175" s="286"/>
      <c r="B175" s="300">
        <f t="shared" si="28"/>
        <v>156</v>
      </c>
      <c r="C175" s="301">
        <f t="shared" si="22"/>
        <v>0</v>
      </c>
      <c r="D175" s="302">
        <f t="shared" si="29"/>
        <v>0</v>
      </c>
      <c r="E175" s="303">
        <f t="shared" si="23"/>
        <v>0</v>
      </c>
      <c r="F175" s="303">
        <f t="shared" si="24"/>
        <v>0</v>
      </c>
      <c r="G175" s="303">
        <f t="shared" si="26"/>
        <v>0</v>
      </c>
      <c r="H175" s="302">
        <f t="shared" si="27"/>
        <v>0</v>
      </c>
      <c r="I175" s="304" t="e">
        <f>H175/$D$5</f>
        <v>#VALUE!</v>
      </c>
      <c r="J175" s="305"/>
      <c r="K175" s="305"/>
      <c r="L175" s="305"/>
      <c r="M175" s="305"/>
      <c r="N175" s="305"/>
      <c r="O175" s="306">
        <f t="shared" si="25"/>
        <v>156</v>
      </c>
    </row>
    <row r="176" spans="1:15">
      <c r="A176" s="286"/>
      <c r="B176" s="296">
        <f t="shared" si="28"/>
        <v>157</v>
      </c>
      <c r="C176" s="297">
        <f t="shared" si="22"/>
        <v>0</v>
      </c>
      <c r="D176" s="298">
        <f t="shared" si="29"/>
        <v>0</v>
      </c>
      <c r="E176" s="299">
        <f t="shared" si="23"/>
        <v>0</v>
      </c>
      <c r="F176" s="299">
        <f t="shared" si="24"/>
        <v>0</v>
      </c>
      <c r="G176" s="299">
        <f t="shared" si="26"/>
        <v>0</v>
      </c>
      <c r="H176" s="298">
        <f t="shared" si="27"/>
        <v>0</v>
      </c>
      <c r="I176" s="294"/>
      <c r="O176" s="295">
        <f t="shared" si="25"/>
        <v>157</v>
      </c>
    </row>
    <row r="177" spans="1:15">
      <c r="A177" s="286"/>
      <c r="B177" s="296">
        <f t="shared" si="28"/>
        <v>158</v>
      </c>
      <c r="C177" s="297">
        <f t="shared" si="22"/>
        <v>0</v>
      </c>
      <c r="D177" s="298">
        <f t="shared" si="29"/>
        <v>0</v>
      </c>
      <c r="E177" s="299">
        <f t="shared" si="23"/>
        <v>0</v>
      </c>
      <c r="F177" s="299">
        <f t="shared" si="24"/>
        <v>0</v>
      </c>
      <c r="G177" s="299">
        <f t="shared" si="26"/>
        <v>0</v>
      </c>
      <c r="H177" s="298">
        <f t="shared" si="27"/>
        <v>0</v>
      </c>
      <c r="I177" s="294"/>
      <c r="O177" s="295">
        <f t="shared" si="25"/>
        <v>158</v>
      </c>
    </row>
    <row r="178" spans="1:15">
      <c r="A178" s="286"/>
      <c r="B178" s="296">
        <f t="shared" si="28"/>
        <v>159</v>
      </c>
      <c r="C178" s="297">
        <f t="shared" si="22"/>
        <v>0</v>
      </c>
      <c r="D178" s="298">
        <f t="shared" si="29"/>
        <v>0</v>
      </c>
      <c r="E178" s="299">
        <f t="shared" si="23"/>
        <v>0</v>
      </c>
      <c r="F178" s="299">
        <f t="shared" si="24"/>
        <v>0</v>
      </c>
      <c r="G178" s="299">
        <f t="shared" si="26"/>
        <v>0</v>
      </c>
      <c r="H178" s="298">
        <f t="shared" si="27"/>
        <v>0</v>
      </c>
      <c r="I178" s="294"/>
      <c r="O178" s="295">
        <f t="shared" si="25"/>
        <v>159</v>
      </c>
    </row>
    <row r="179" spans="1:15">
      <c r="A179" s="286"/>
      <c r="B179" s="296">
        <f t="shared" si="28"/>
        <v>160</v>
      </c>
      <c r="C179" s="297">
        <f t="shared" si="22"/>
        <v>0</v>
      </c>
      <c r="D179" s="298">
        <f t="shared" si="29"/>
        <v>0</v>
      </c>
      <c r="E179" s="299">
        <f t="shared" si="23"/>
        <v>0</v>
      </c>
      <c r="F179" s="299">
        <f t="shared" si="24"/>
        <v>0</v>
      </c>
      <c r="G179" s="299">
        <f t="shared" si="26"/>
        <v>0</v>
      </c>
      <c r="H179" s="298">
        <f t="shared" si="27"/>
        <v>0</v>
      </c>
      <c r="I179" s="294"/>
      <c r="O179" s="295">
        <f t="shared" si="25"/>
        <v>160</v>
      </c>
    </row>
    <row r="180" spans="1:15">
      <c r="A180" s="286"/>
      <c r="B180" s="296">
        <f t="shared" si="28"/>
        <v>161</v>
      </c>
      <c r="C180" s="297">
        <f t="shared" si="22"/>
        <v>0</v>
      </c>
      <c r="D180" s="298">
        <f t="shared" si="29"/>
        <v>0</v>
      </c>
      <c r="E180" s="299">
        <f t="shared" si="23"/>
        <v>0</v>
      </c>
      <c r="F180" s="299">
        <f t="shared" si="24"/>
        <v>0</v>
      </c>
      <c r="G180" s="299">
        <f t="shared" si="26"/>
        <v>0</v>
      </c>
      <c r="H180" s="298">
        <f t="shared" si="27"/>
        <v>0</v>
      </c>
      <c r="I180" s="294"/>
      <c r="O180" s="295">
        <f t="shared" si="25"/>
        <v>161</v>
      </c>
    </row>
    <row r="181" spans="1:15">
      <c r="A181" s="286"/>
      <c r="B181" s="296">
        <f t="shared" si="28"/>
        <v>162</v>
      </c>
      <c r="C181" s="297">
        <f t="shared" si="22"/>
        <v>0</v>
      </c>
      <c r="D181" s="298">
        <f t="shared" si="29"/>
        <v>0</v>
      </c>
      <c r="E181" s="299">
        <f t="shared" si="23"/>
        <v>0</v>
      </c>
      <c r="F181" s="299">
        <f t="shared" si="24"/>
        <v>0</v>
      </c>
      <c r="G181" s="299">
        <f t="shared" si="26"/>
        <v>0</v>
      </c>
      <c r="H181" s="298">
        <f t="shared" si="27"/>
        <v>0</v>
      </c>
      <c r="I181" s="294"/>
      <c r="O181" s="295">
        <f t="shared" si="25"/>
        <v>162</v>
      </c>
    </row>
    <row r="182" spans="1:15">
      <c r="A182" s="286"/>
      <c r="B182" s="296">
        <f t="shared" si="28"/>
        <v>163</v>
      </c>
      <c r="C182" s="297">
        <f t="shared" si="22"/>
        <v>0</v>
      </c>
      <c r="D182" s="298">
        <f t="shared" si="29"/>
        <v>0</v>
      </c>
      <c r="E182" s="299">
        <f t="shared" si="23"/>
        <v>0</v>
      </c>
      <c r="F182" s="299">
        <f t="shared" si="24"/>
        <v>0</v>
      </c>
      <c r="G182" s="299">
        <f t="shared" si="26"/>
        <v>0</v>
      </c>
      <c r="H182" s="298">
        <f t="shared" si="27"/>
        <v>0</v>
      </c>
      <c r="I182" s="294"/>
      <c r="O182" s="295">
        <f t="shared" si="25"/>
        <v>163</v>
      </c>
    </row>
    <row r="183" spans="1:15">
      <c r="A183" s="286"/>
      <c r="B183" s="296">
        <f t="shared" si="28"/>
        <v>164</v>
      </c>
      <c r="C183" s="297">
        <f t="shared" si="22"/>
        <v>0</v>
      </c>
      <c r="D183" s="298">
        <f t="shared" si="29"/>
        <v>0</v>
      </c>
      <c r="E183" s="299">
        <f t="shared" si="23"/>
        <v>0</v>
      </c>
      <c r="F183" s="299">
        <f t="shared" si="24"/>
        <v>0</v>
      </c>
      <c r="G183" s="299">
        <f t="shared" si="26"/>
        <v>0</v>
      </c>
      <c r="H183" s="298">
        <f t="shared" si="27"/>
        <v>0</v>
      </c>
      <c r="I183" s="294"/>
      <c r="O183" s="295">
        <f t="shared" si="25"/>
        <v>164</v>
      </c>
    </row>
    <row r="184" spans="1:15">
      <c r="A184" s="286"/>
      <c r="B184" s="296">
        <f t="shared" si="28"/>
        <v>165</v>
      </c>
      <c r="C184" s="297">
        <f t="shared" ref="C184:C247" si="30">IF(D184&gt;0,$F$7,0)</f>
        <v>0</v>
      </c>
      <c r="D184" s="298">
        <f t="shared" si="29"/>
        <v>0</v>
      </c>
      <c r="E184" s="299">
        <f t="shared" si="23"/>
        <v>0</v>
      </c>
      <c r="F184" s="299">
        <f t="shared" si="24"/>
        <v>0</v>
      </c>
      <c r="G184" s="299">
        <f t="shared" si="26"/>
        <v>0</v>
      </c>
      <c r="H184" s="298">
        <f t="shared" si="27"/>
        <v>0</v>
      </c>
      <c r="I184" s="294"/>
      <c r="O184" s="295">
        <f t="shared" si="25"/>
        <v>165</v>
      </c>
    </row>
    <row r="185" spans="1:15">
      <c r="A185" s="286"/>
      <c r="B185" s="296">
        <f t="shared" si="28"/>
        <v>166</v>
      </c>
      <c r="C185" s="297">
        <f t="shared" si="30"/>
        <v>0</v>
      </c>
      <c r="D185" s="298">
        <f t="shared" si="29"/>
        <v>0</v>
      </c>
      <c r="E185" s="299">
        <f t="shared" si="23"/>
        <v>0</v>
      </c>
      <c r="F185" s="299">
        <f t="shared" si="24"/>
        <v>0</v>
      </c>
      <c r="G185" s="299">
        <f t="shared" si="26"/>
        <v>0</v>
      </c>
      <c r="H185" s="298">
        <f t="shared" si="27"/>
        <v>0</v>
      </c>
      <c r="I185" s="294"/>
      <c r="O185" s="295">
        <f t="shared" si="25"/>
        <v>166</v>
      </c>
    </row>
    <row r="186" spans="1:15">
      <c r="A186" s="286"/>
      <c r="B186" s="296">
        <f t="shared" si="28"/>
        <v>167</v>
      </c>
      <c r="C186" s="297">
        <f t="shared" si="30"/>
        <v>0</v>
      </c>
      <c r="D186" s="298">
        <f t="shared" si="29"/>
        <v>0</v>
      </c>
      <c r="E186" s="299">
        <f t="shared" si="23"/>
        <v>0</v>
      </c>
      <c r="F186" s="299">
        <f t="shared" si="24"/>
        <v>0</v>
      </c>
      <c r="G186" s="299">
        <f t="shared" si="26"/>
        <v>0</v>
      </c>
      <c r="H186" s="298">
        <f t="shared" si="27"/>
        <v>0</v>
      </c>
      <c r="I186" s="294"/>
      <c r="O186" s="295">
        <f t="shared" si="25"/>
        <v>167</v>
      </c>
    </row>
    <row r="187" spans="1:15">
      <c r="A187" s="286"/>
      <c r="B187" s="300">
        <f t="shared" si="28"/>
        <v>168</v>
      </c>
      <c r="C187" s="301">
        <f t="shared" si="30"/>
        <v>0</v>
      </c>
      <c r="D187" s="302">
        <f t="shared" si="29"/>
        <v>0</v>
      </c>
      <c r="E187" s="303">
        <f t="shared" si="23"/>
        <v>0</v>
      </c>
      <c r="F187" s="303">
        <f t="shared" si="24"/>
        <v>0</v>
      </c>
      <c r="G187" s="303">
        <f t="shared" si="26"/>
        <v>0</v>
      </c>
      <c r="H187" s="302">
        <f t="shared" si="27"/>
        <v>0</v>
      </c>
      <c r="I187" s="304" t="e">
        <f>H187/$D$5</f>
        <v>#VALUE!</v>
      </c>
      <c r="J187" s="305"/>
      <c r="K187" s="305"/>
      <c r="L187" s="305"/>
      <c r="M187" s="305"/>
      <c r="N187" s="305"/>
      <c r="O187" s="306">
        <f t="shared" si="25"/>
        <v>168</v>
      </c>
    </row>
    <row r="188" spans="1:15">
      <c r="A188" s="286"/>
      <c r="B188" s="296">
        <f t="shared" si="28"/>
        <v>169</v>
      </c>
      <c r="C188" s="297">
        <f t="shared" si="30"/>
        <v>0</v>
      </c>
      <c r="D188" s="298">
        <f t="shared" si="29"/>
        <v>0</v>
      </c>
      <c r="E188" s="299">
        <f t="shared" si="23"/>
        <v>0</v>
      </c>
      <c r="F188" s="299">
        <f t="shared" si="24"/>
        <v>0</v>
      </c>
      <c r="G188" s="299">
        <f t="shared" si="26"/>
        <v>0</v>
      </c>
      <c r="H188" s="298">
        <f t="shared" si="27"/>
        <v>0</v>
      </c>
      <c r="I188" s="294"/>
      <c r="O188" s="295">
        <f t="shared" si="25"/>
        <v>169</v>
      </c>
    </row>
    <row r="189" spans="1:15">
      <c r="A189" s="286"/>
      <c r="B189" s="296">
        <f t="shared" si="28"/>
        <v>170</v>
      </c>
      <c r="C189" s="297">
        <f t="shared" si="30"/>
        <v>0</v>
      </c>
      <c r="D189" s="298">
        <f t="shared" si="29"/>
        <v>0</v>
      </c>
      <c r="E189" s="299">
        <f t="shared" si="23"/>
        <v>0</v>
      </c>
      <c r="F189" s="299">
        <f t="shared" si="24"/>
        <v>0</v>
      </c>
      <c r="G189" s="299">
        <f t="shared" si="26"/>
        <v>0</v>
      </c>
      <c r="H189" s="298">
        <f t="shared" si="27"/>
        <v>0</v>
      </c>
      <c r="I189" s="294"/>
      <c r="O189" s="295">
        <f t="shared" si="25"/>
        <v>170</v>
      </c>
    </row>
    <row r="190" spans="1:15">
      <c r="A190" s="286"/>
      <c r="B190" s="296">
        <f t="shared" si="28"/>
        <v>171</v>
      </c>
      <c r="C190" s="297">
        <f t="shared" si="30"/>
        <v>0</v>
      </c>
      <c r="D190" s="298">
        <f t="shared" si="29"/>
        <v>0</v>
      </c>
      <c r="E190" s="299">
        <f t="shared" si="23"/>
        <v>0</v>
      </c>
      <c r="F190" s="299">
        <f t="shared" si="24"/>
        <v>0</v>
      </c>
      <c r="G190" s="299">
        <f t="shared" si="26"/>
        <v>0</v>
      </c>
      <c r="H190" s="298">
        <f t="shared" si="27"/>
        <v>0</v>
      </c>
      <c r="I190" s="294"/>
      <c r="O190" s="295">
        <f t="shared" si="25"/>
        <v>171</v>
      </c>
    </row>
    <row r="191" spans="1:15">
      <c r="A191" s="286"/>
      <c r="B191" s="296">
        <f t="shared" si="28"/>
        <v>172</v>
      </c>
      <c r="C191" s="297">
        <f t="shared" si="30"/>
        <v>0</v>
      </c>
      <c r="D191" s="298">
        <f t="shared" si="29"/>
        <v>0</v>
      </c>
      <c r="E191" s="299">
        <f t="shared" si="23"/>
        <v>0</v>
      </c>
      <c r="F191" s="299">
        <f t="shared" si="24"/>
        <v>0</v>
      </c>
      <c r="G191" s="299">
        <f t="shared" si="26"/>
        <v>0</v>
      </c>
      <c r="H191" s="298">
        <f t="shared" si="27"/>
        <v>0</v>
      </c>
      <c r="I191" s="294"/>
      <c r="O191" s="295">
        <f t="shared" si="25"/>
        <v>172</v>
      </c>
    </row>
    <row r="192" spans="1:15">
      <c r="A192" s="286"/>
      <c r="B192" s="296">
        <f t="shared" si="28"/>
        <v>173</v>
      </c>
      <c r="C192" s="297">
        <f t="shared" si="30"/>
        <v>0</v>
      </c>
      <c r="D192" s="298">
        <f t="shared" si="29"/>
        <v>0</v>
      </c>
      <c r="E192" s="299">
        <f t="shared" si="23"/>
        <v>0</v>
      </c>
      <c r="F192" s="299">
        <f t="shared" si="24"/>
        <v>0</v>
      </c>
      <c r="G192" s="299">
        <f t="shared" si="26"/>
        <v>0</v>
      </c>
      <c r="H192" s="298">
        <f t="shared" si="27"/>
        <v>0</v>
      </c>
      <c r="I192" s="294"/>
      <c r="O192" s="295">
        <f t="shared" si="25"/>
        <v>173</v>
      </c>
    </row>
    <row r="193" spans="1:15">
      <c r="A193" s="286"/>
      <c r="B193" s="296">
        <f t="shared" si="28"/>
        <v>174</v>
      </c>
      <c r="C193" s="297">
        <f t="shared" si="30"/>
        <v>0</v>
      </c>
      <c r="D193" s="298">
        <f t="shared" si="29"/>
        <v>0</v>
      </c>
      <c r="E193" s="299">
        <f t="shared" si="23"/>
        <v>0</v>
      </c>
      <c r="F193" s="299">
        <f t="shared" si="24"/>
        <v>0</v>
      </c>
      <c r="G193" s="299">
        <f t="shared" si="26"/>
        <v>0</v>
      </c>
      <c r="H193" s="298">
        <f t="shared" si="27"/>
        <v>0</v>
      </c>
      <c r="I193" s="294"/>
      <c r="O193" s="295">
        <f t="shared" si="25"/>
        <v>174</v>
      </c>
    </row>
    <row r="194" spans="1:15">
      <c r="A194" s="286"/>
      <c r="B194" s="296">
        <f t="shared" si="28"/>
        <v>175</v>
      </c>
      <c r="C194" s="297">
        <f t="shared" si="30"/>
        <v>0</v>
      </c>
      <c r="D194" s="298">
        <f t="shared" si="29"/>
        <v>0</v>
      </c>
      <c r="E194" s="299">
        <f t="shared" si="23"/>
        <v>0</v>
      </c>
      <c r="F194" s="299">
        <f t="shared" si="24"/>
        <v>0</v>
      </c>
      <c r="G194" s="299">
        <f t="shared" si="26"/>
        <v>0</v>
      </c>
      <c r="H194" s="298">
        <f t="shared" si="27"/>
        <v>0</v>
      </c>
      <c r="I194" s="294"/>
      <c r="O194" s="295">
        <f t="shared" si="25"/>
        <v>175</v>
      </c>
    </row>
    <row r="195" spans="1:15">
      <c r="A195" s="286"/>
      <c r="B195" s="296">
        <f t="shared" si="28"/>
        <v>176</v>
      </c>
      <c r="C195" s="297">
        <f t="shared" si="30"/>
        <v>0</v>
      </c>
      <c r="D195" s="298">
        <f t="shared" si="29"/>
        <v>0</v>
      </c>
      <c r="E195" s="299">
        <f t="shared" si="23"/>
        <v>0</v>
      </c>
      <c r="F195" s="299">
        <f t="shared" si="24"/>
        <v>0</v>
      </c>
      <c r="G195" s="299">
        <f t="shared" si="26"/>
        <v>0</v>
      </c>
      <c r="H195" s="298">
        <f t="shared" si="27"/>
        <v>0</v>
      </c>
      <c r="I195" s="294"/>
      <c r="O195" s="295">
        <f t="shared" si="25"/>
        <v>176</v>
      </c>
    </row>
    <row r="196" spans="1:15">
      <c r="A196" s="286"/>
      <c r="B196" s="296">
        <f t="shared" si="28"/>
        <v>177</v>
      </c>
      <c r="C196" s="297">
        <f t="shared" si="30"/>
        <v>0</v>
      </c>
      <c r="D196" s="298">
        <f t="shared" si="29"/>
        <v>0</v>
      </c>
      <c r="E196" s="299">
        <f t="shared" ref="E196:E259" si="31">IF(H195&lt;=E195,H195+G196,$H$10)</f>
        <v>0</v>
      </c>
      <c r="F196" s="299">
        <f t="shared" si="24"/>
        <v>0</v>
      </c>
      <c r="G196" s="299">
        <f t="shared" si="26"/>
        <v>0</v>
      </c>
      <c r="H196" s="298">
        <f t="shared" si="27"/>
        <v>0</v>
      </c>
      <c r="I196" s="294"/>
      <c r="O196" s="295">
        <f t="shared" si="25"/>
        <v>177</v>
      </c>
    </row>
    <row r="197" spans="1:15">
      <c r="A197" s="286"/>
      <c r="B197" s="296">
        <f t="shared" si="28"/>
        <v>178</v>
      </c>
      <c r="C197" s="297">
        <f t="shared" si="30"/>
        <v>0</v>
      </c>
      <c r="D197" s="298">
        <f t="shared" si="29"/>
        <v>0</v>
      </c>
      <c r="E197" s="299">
        <f t="shared" si="31"/>
        <v>0</v>
      </c>
      <c r="F197" s="299">
        <f t="shared" si="24"/>
        <v>0</v>
      </c>
      <c r="G197" s="299">
        <f t="shared" si="26"/>
        <v>0</v>
      </c>
      <c r="H197" s="298">
        <f t="shared" si="27"/>
        <v>0</v>
      </c>
      <c r="I197" s="294"/>
      <c r="O197" s="295">
        <f t="shared" si="25"/>
        <v>178</v>
      </c>
    </row>
    <row r="198" spans="1:15">
      <c r="A198" s="286"/>
      <c r="B198" s="296">
        <f t="shared" si="28"/>
        <v>179</v>
      </c>
      <c r="C198" s="297">
        <f t="shared" si="30"/>
        <v>0</v>
      </c>
      <c r="D198" s="298">
        <f t="shared" si="29"/>
        <v>0</v>
      </c>
      <c r="E198" s="299">
        <f t="shared" si="31"/>
        <v>0</v>
      </c>
      <c r="F198" s="299">
        <f t="shared" si="24"/>
        <v>0</v>
      </c>
      <c r="G198" s="299">
        <f t="shared" si="26"/>
        <v>0</v>
      </c>
      <c r="H198" s="298">
        <f t="shared" si="27"/>
        <v>0</v>
      </c>
      <c r="I198" s="294"/>
      <c r="O198" s="295">
        <f t="shared" si="25"/>
        <v>179</v>
      </c>
    </row>
    <row r="199" spans="1:15">
      <c r="A199" s="286"/>
      <c r="B199" s="300">
        <f t="shared" si="28"/>
        <v>180</v>
      </c>
      <c r="C199" s="301">
        <f t="shared" si="30"/>
        <v>0</v>
      </c>
      <c r="D199" s="302">
        <f t="shared" si="29"/>
        <v>0</v>
      </c>
      <c r="E199" s="303">
        <f t="shared" si="31"/>
        <v>0</v>
      </c>
      <c r="F199" s="303">
        <f t="shared" si="24"/>
        <v>0</v>
      </c>
      <c r="G199" s="303">
        <f t="shared" si="26"/>
        <v>0</v>
      </c>
      <c r="H199" s="302">
        <f t="shared" si="27"/>
        <v>0</v>
      </c>
      <c r="I199" s="304" t="e">
        <f>H199/$D$5</f>
        <v>#VALUE!</v>
      </c>
      <c r="J199" s="305"/>
      <c r="K199" s="305"/>
      <c r="L199" s="305"/>
      <c r="M199" s="305"/>
      <c r="N199" s="305"/>
      <c r="O199" s="306">
        <f t="shared" si="25"/>
        <v>180</v>
      </c>
    </row>
    <row r="200" spans="1:15">
      <c r="A200" s="286"/>
      <c r="B200" s="296">
        <f t="shared" si="28"/>
        <v>181</v>
      </c>
      <c r="C200" s="297">
        <f t="shared" si="30"/>
        <v>0</v>
      </c>
      <c r="D200" s="298">
        <f t="shared" si="29"/>
        <v>0</v>
      </c>
      <c r="E200" s="299">
        <f t="shared" si="31"/>
        <v>0</v>
      </c>
      <c r="F200" s="299">
        <f t="shared" si="24"/>
        <v>0</v>
      </c>
      <c r="G200" s="299">
        <f t="shared" si="26"/>
        <v>0</v>
      </c>
      <c r="H200" s="298">
        <f t="shared" si="27"/>
        <v>0</v>
      </c>
      <c r="I200" s="294"/>
      <c r="O200" s="295">
        <f t="shared" si="25"/>
        <v>181</v>
      </c>
    </row>
    <row r="201" spans="1:15">
      <c r="A201" s="286"/>
      <c r="B201" s="296">
        <f t="shared" si="28"/>
        <v>182</v>
      </c>
      <c r="C201" s="297">
        <f t="shared" si="30"/>
        <v>0</v>
      </c>
      <c r="D201" s="298">
        <f t="shared" si="29"/>
        <v>0</v>
      </c>
      <c r="E201" s="299">
        <f t="shared" si="31"/>
        <v>0</v>
      </c>
      <c r="F201" s="299">
        <f t="shared" si="24"/>
        <v>0</v>
      </c>
      <c r="G201" s="299">
        <f t="shared" si="26"/>
        <v>0</v>
      </c>
      <c r="H201" s="298">
        <f t="shared" si="27"/>
        <v>0</v>
      </c>
      <c r="I201" s="294"/>
      <c r="O201" s="295">
        <f t="shared" si="25"/>
        <v>182</v>
      </c>
    </row>
    <row r="202" spans="1:15">
      <c r="A202" s="286"/>
      <c r="B202" s="296">
        <f t="shared" si="28"/>
        <v>183</v>
      </c>
      <c r="C202" s="297">
        <f t="shared" si="30"/>
        <v>0</v>
      </c>
      <c r="D202" s="298">
        <f t="shared" si="29"/>
        <v>0</v>
      </c>
      <c r="E202" s="299">
        <f t="shared" si="31"/>
        <v>0</v>
      </c>
      <c r="F202" s="299">
        <f t="shared" si="24"/>
        <v>0</v>
      </c>
      <c r="G202" s="299">
        <f t="shared" si="26"/>
        <v>0</v>
      </c>
      <c r="H202" s="298">
        <f t="shared" si="27"/>
        <v>0</v>
      </c>
      <c r="I202" s="294"/>
      <c r="O202" s="295">
        <f t="shared" si="25"/>
        <v>183</v>
      </c>
    </row>
    <row r="203" spans="1:15">
      <c r="A203" s="286"/>
      <c r="B203" s="296">
        <f t="shared" si="28"/>
        <v>184</v>
      </c>
      <c r="C203" s="297">
        <f t="shared" si="30"/>
        <v>0</v>
      </c>
      <c r="D203" s="298">
        <f t="shared" si="29"/>
        <v>0</v>
      </c>
      <c r="E203" s="299">
        <f t="shared" si="31"/>
        <v>0</v>
      </c>
      <c r="F203" s="299">
        <f t="shared" si="24"/>
        <v>0</v>
      </c>
      <c r="G203" s="299">
        <f t="shared" si="26"/>
        <v>0</v>
      </c>
      <c r="H203" s="298">
        <f t="shared" si="27"/>
        <v>0</v>
      </c>
      <c r="I203" s="294"/>
      <c r="O203" s="295">
        <f t="shared" si="25"/>
        <v>184</v>
      </c>
    </row>
    <row r="204" spans="1:15">
      <c r="A204" s="286"/>
      <c r="B204" s="296">
        <f t="shared" si="28"/>
        <v>185</v>
      </c>
      <c r="C204" s="297">
        <f t="shared" si="30"/>
        <v>0</v>
      </c>
      <c r="D204" s="298">
        <f t="shared" si="29"/>
        <v>0</v>
      </c>
      <c r="E204" s="299">
        <f t="shared" si="31"/>
        <v>0</v>
      </c>
      <c r="F204" s="299">
        <f t="shared" si="24"/>
        <v>0</v>
      </c>
      <c r="G204" s="299">
        <f t="shared" si="26"/>
        <v>0</v>
      </c>
      <c r="H204" s="298">
        <f t="shared" si="27"/>
        <v>0</v>
      </c>
      <c r="I204" s="294"/>
      <c r="O204" s="295">
        <f t="shared" si="25"/>
        <v>185</v>
      </c>
    </row>
    <row r="205" spans="1:15">
      <c r="A205" s="286"/>
      <c r="B205" s="296">
        <f t="shared" si="28"/>
        <v>186</v>
      </c>
      <c r="C205" s="297">
        <f t="shared" si="30"/>
        <v>0</v>
      </c>
      <c r="D205" s="298">
        <f t="shared" si="29"/>
        <v>0</v>
      </c>
      <c r="E205" s="299">
        <f t="shared" si="31"/>
        <v>0</v>
      </c>
      <c r="F205" s="299">
        <f t="shared" si="24"/>
        <v>0</v>
      </c>
      <c r="G205" s="299">
        <f t="shared" si="26"/>
        <v>0</v>
      </c>
      <c r="H205" s="298">
        <f t="shared" si="27"/>
        <v>0</v>
      </c>
      <c r="I205" s="294"/>
      <c r="O205" s="295">
        <f t="shared" si="25"/>
        <v>186</v>
      </c>
    </row>
    <row r="206" spans="1:15">
      <c r="A206" s="286"/>
      <c r="B206" s="296">
        <f t="shared" si="28"/>
        <v>187</v>
      </c>
      <c r="C206" s="297">
        <f t="shared" si="30"/>
        <v>0</v>
      </c>
      <c r="D206" s="298">
        <f t="shared" si="29"/>
        <v>0</v>
      </c>
      <c r="E206" s="299">
        <f t="shared" si="31"/>
        <v>0</v>
      </c>
      <c r="F206" s="299">
        <f t="shared" si="24"/>
        <v>0</v>
      </c>
      <c r="G206" s="299">
        <f t="shared" si="26"/>
        <v>0</v>
      </c>
      <c r="H206" s="298">
        <f t="shared" si="27"/>
        <v>0</v>
      </c>
      <c r="I206" s="294"/>
      <c r="O206" s="295">
        <f t="shared" si="25"/>
        <v>187</v>
      </c>
    </row>
    <row r="207" spans="1:15">
      <c r="A207" s="286"/>
      <c r="B207" s="296">
        <f t="shared" si="28"/>
        <v>188</v>
      </c>
      <c r="C207" s="297">
        <f t="shared" si="30"/>
        <v>0</v>
      </c>
      <c r="D207" s="298">
        <f t="shared" si="29"/>
        <v>0</v>
      </c>
      <c r="E207" s="299">
        <f t="shared" si="31"/>
        <v>0</v>
      </c>
      <c r="F207" s="299">
        <f t="shared" si="24"/>
        <v>0</v>
      </c>
      <c r="G207" s="299">
        <f t="shared" si="26"/>
        <v>0</v>
      </c>
      <c r="H207" s="298">
        <f t="shared" si="27"/>
        <v>0</v>
      </c>
      <c r="I207" s="294"/>
      <c r="O207" s="295">
        <f t="shared" si="25"/>
        <v>188</v>
      </c>
    </row>
    <row r="208" spans="1:15">
      <c r="A208" s="286"/>
      <c r="B208" s="296">
        <f t="shared" si="28"/>
        <v>189</v>
      </c>
      <c r="C208" s="297">
        <f t="shared" si="30"/>
        <v>0</v>
      </c>
      <c r="D208" s="298">
        <f t="shared" si="29"/>
        <v>0</v>
      </c>
      <c r="E208" s="299">
        <f t="shared" si="31"/>
        <v>0</v>
      </c>
      <c r="F208" s="299">
        <f t="shared" si="24"/>
        <v>0</v>
      </c>
      <c r="G208" s="299">
        <f t="shared" si="26"/>
        <v>0</v>
      </c>
      <c r="H208" s="298">
        <f t="shared" si="27"/>
        <v>0</v>
      </c>
      <c r="I208" s="294"/>
      <c r="O208" s="295">
        <f t="shared" si="25"/>
        <v>189</v>
      </c>
    </row>
    <row r="209" spans="1:15">
      <c r="A209" s="286"/>
      <c r="B209" s="296">
        <f t="shared" si="28"/>
        <v>190</v>
      </c>
      <c r="C209" s="297">
        <f t="shared" si="30"/>
        <v>0</v>
      </c>
      <c r="D209" s="298">
        <f t="shared" si="29"/>
        <v>0</v>
      </c>
      <c r="E209" s="299">
        <f t="shared" si="31"/>
        <v>0</v>
      </c>
      <c r="F209" s="299">
        <f t="shared" si="24"/>
        <v>0</v>
      </c>
      <c r="G209" s="299">
        <f t="shared" si="26"/>
        <v>0</v>
      </c>
      <c r="H209" s="298">
        <f t="shared" si="27"/>
        <v>0</v>
      </c>
      <c r="I209" s="294"/>
      <c r="O209" s="295">
        <f t="shared" si="25"/>
        <v>190</v>
      </c>
    </row>
    <row r="210" spans="1:15">
      <c r="A210" s="286"/>
      <c r="B210" s="296">
        <f t="shared" si="28"/>
        <v>191</v>
      </c>
      <c r="C210" s="297">
        <f t="shared" si="30"/>
        <v>0</v>
      </c>
      <c r="D210" s="298">
        <f t="shared" si="29"/>
        <v>0</v>
      </c>
      <c r="E210" s="299">
        <f t="shared" si="31"/>
        <v>0</v>
      </c>
      <c r="F210" s="299">
        <f t="shared" si="24"/>
        <v>0</v>
      </c>
      <c r="G210" s="299">
        <f t="shared" si="26"/>
        <v>0</v>
      </c>
      <c r="H210" s="298">
        <f t="shared" si="27"/>
        <v>0</v>
      </c>
      <c r="I210" s="294"/>
      <c r="O210" s="295">
        <f t="shared" si="25"/>
        <v>191</v>
      </c>
    </row>
    <row r="211" spans="1:15">
      <c r="A211" s="286"/>
      <c r="B211" s="300">
        <f t="shared" si="28"/>
        <v>192</v>
      </c>
      <c r="C211" s="301">
        <f t="shared" si="30"/>
        <v>0</v>
      </c>
      <c r="D211" s="302">
        <f t="shared" si="29"/>
        <v>0</v>
      </c>
      <c r="E211" s="303">
        <f t="shared" si="31"/>
        <v>0</v>
      </c>
      <c r="F211" s="303">
        <f t="shared" si="24"/>
        <v>0</v>
      </c>
      <c r="G211" s="303">
        <f t="shared" si="26"/>
        <v>0</v>
      </c>
      <c r="H211" s="302">
        <f t="shared" si="27"/>
        <v>0</v>
      </c>
      <c r="I211" s="304" t="e">
        <f>H211/$D$5</f>
        <v>#VALUE!</v>
      </c>
      <c r="J211" s="305"/>
      <c r="K211" s="305"/>
      <c r="L211" s="305"/>
      <c r="M211" s="305"/>
      <c r="N211" s="305"/>
      <c r="O211" s="306">
        <f t="shared" si="25"/>
        <v>192</v>
      </c>
    </row>
    <row r="212" spans="1:15">
      <c r="A212" s="286"/>
      <c r="B212" s="296">
        <f t="shared" si="28"/>
        <v>193</v>
      </c>
      <c r="C212" s="297">
        <f t="shared" si="30"/>
        <v>0</v>
      </c>
      <c r="D212" s="298">
        <f t="shared" si="29"/>
        <v>0</v>
      </c>
      <c r="E212" s="299">
        <f t="shared" si="31"/>
        <v>0</v>
      </c>
      <c r="F212" s="299">
        <f t="shared" ref="F212:F271" si="32">E212-G212</f>
        <v>0</v>
      </c>
      <c r="G212" s="299">
        <f t="shared" si="26"/>
        <v>0</v>
      </c>
      <c r="H212" s="298">
        <f t="shared" si="27"/>
        <v>0</v>
      </c>
      <c r="I212" s="294"/>
      <c r="O212" s="295">
        <f t="shared" ref="O212:O275" si="33">IF(H212=0,B212,"n.a.")</f>
        <v>193</v>
      </c>
    </row>
    <row r="213" spans="1:15">
      <c r="A213" s="286"/>
      <c r="B213" s="296">
        <f t="shared" si="28"/>
        <v>194</v>
      </c>
      <c r="C213" s="297">
        <f t="shared" si="30"/>
        <v>0</v>
      </c>
      <c r="D213" s="298">
        <f t="shared" si="29"/>
        <v>0</v>
      </c>
      <c r="E213" s="299">
        <f t="shared" si="31"/>
        <v>0</v>
      </c>
      <c r="F213" s="299">
        <f t="shared" si="32"/>
        <v>0</v>
      </c>
      <c r="G213" s="299">
        <f t="shared" ref="G213:G276" si="34">C213*(D213/365)*30</f>
        <v>0</v>
      </c>
      <c r="H213" s="298">
        <f t="shared" ref="H213:H276" si="35">IF((D213+G213-E213)&lt;0,0,D213+G213-E213)</f>
        <v>0</v>
      </c>
      <c r="I213" s="294"/>
      <c r="O213" s="295">
        <f t="shared" si="33"/>
        <v>194</v>
      </c>
    </row>
    <row r="214" spans="1:15">
      <c r="A214" s="286"/>
      <c r="B214" s="296">
        <f t="shared" ref="B214:B277" si="36">B213+1</f>
        <v>195</v>
      </c>
      <c r="C214" s="297">
        <f t="shared" si="30"/>
        <v>0</v>
      </c>
      <c r="D214" s="298">
        <f t="shared" ref="D214:D277" si="37">H213</f>
        <v>0</v>
      </c>
      <c r="E214" s="299">
        <f t="shared" si="31"/>
        <v>0</v>
      </c>
      <c r="F214" s="299">
        <f t="shared" si="32"/>
        <v>0</v>
      </c>
      <c r="G214" s="299">
        <f t="shared" si="34"/>
        <v>0</v>
      </c>
      <c r="H214" s="298">
        <f t="shared" si="35"/>
        <v>0</v>
      </c>
      <c r="I214" s="294"/>
      <c r="O214" s="295">
        <f t="shared" si="33"/>
        <v>195</v>
      </c>
    </row>
    <row r="215" spans="1:15">
      <c r="A215" s="286"/>
      <c r="B215" s="296">
        <f t="shared" si="36"/>
        <v>196</v>
      </c>
      <c r="C215" s="297">
        <f t="shared" si="30"/>
        <v>0</v>
      </c>
      <c r="D215" s="298">
        <f t="shared" si="37"/>
        <v>0</v>
      </c>
      <c r="E215" s="299">
        <f t="shared" si="31"/>
        <v>0</v>
      </c>
      <c r="F215" s="299">
        <f t="shared" si="32"/>
        <v>0</v>
      </c>
      <c r="G215" s="299">
        <f t="shared" si="34"/>
        <v>0</v>
      </c>
      <c r="H215" s="298">
        <f t="shared" si="35"/>
        <v>0</v>
      </c>
      <c r="I215" s="294"/>
      <c r="O215" s="295">
        <f t="shared" si="33"/>
        <v>196</v>
      </c>
    </row>
    <row r="216" spans="1:15">
      <c r="A216" s="286"/>
      <c r="B216" s="296">
        <f t="shared" si="36"/>
        <v>197</v>
      </c>
      <c r="C216" s="297">
        <f t="shared" si="30"/>
        <v>0</v>
      </c>
      <c r="D216" s="298">
        <f t="shared" si="37"/>
        <v>0</v>
      </c>
      <c r="E216" s="299">
        <f t="shared" si="31"/>
        <v>0</v>
      </c>
      <c r="F216" s="299">
        <f t="shared" si="32"/>
        <v>0</v>
      </c>
      <c r="G216" s="299">
        <f t="shared" si="34"/>
        <v>0</v>
      </c>
      <c r="H216" s="298">
        <f t="shared" si="35"/>
        <v>0</v>
      </c>
      <c r="I216" s="294"/>
      <c r="O216" s="295">
        <f t="shared" si="33"/>
        <v>197</v>
      </c>
    </row>
    <row r="217" spans="1:15">
      <c r="A217" s="286"/>
      <c r="B217" s="296">
        <f t="shared" si="36"/>
        <v>198</v>
      </c>
      <c r="C217" s="297">
        <f t="shared" si="30"/>
        <v>0</v>
      </c>
      <c r="D217" s="298">
        <f t="shared" si="37"/>
        <v>0</v>
      </c>
      <c r="E217" s="299">
        <f t="shared" si="31"/>
        <v>0</v>
      </c>
      <c r="F217" s="299">
        <f t="shared" si="32"/>
        <v>0</v>
      </c>
      <c r="G217" s="299">
        <f t="shared" si="34"/>
        <v>0</v>
      </c>
      <c r="H217" s="298">
        <f t="shared" si="35"/>
        <v>0</v>
      </c>
      <c r="I217" s="294"/>
      <c r="O217" s="295">
        <f t="shared" si="33"/>
        <v>198</v>
      </c>
    </row>
    <row r="218" spans="1:15">
      <c r="A218" s="286"/>
      <c r="B218" s="296">
        <f t="shared" si="36"/>
        <v>199</v>
      </c>
      <c r="C218" s="297">
        <f t="shared" si="30"/>
        <v>0</v>
      </c>
      <c r="D218" s="298">
        <f t="shared" si="37"/>
        <v>0</v>
      </c>
      <c r="E218" s="299">
        <f t="shared" si="31"/>
        <v>0</v>
      </c>
      <c r="F218" s="299">
        <f t="shared" si="32"/>
        <v>0</v>
      </c>
      <c r="G218" s="299">
        <f t="shared" si="34"/>
        <v>0</v>
      </c>
      <c r="H218" s="298">
        <f t="shared" si="35"/>
        <v>0</v>
      </c>
      <c r="I218" s="294"/>
      <c r="O218" s="295">
        <f t="shared" si="33"/>
        <v>199</v>
      </c>
    </row>
    <row r="219" spans="1:15">
      <c r="A219" s="286"/>
      <c r="B219" s="296">
        <f t="shared" si="36"/>
        <v>200</v>
      </c>
      <c r="C219" s="297">
        <f t="shared" si="30"/>
        <v>0</v>
      </c>
      <c r="D219" s="298">
        <f t="shared" si="37"/>
        <v>0</v>
      </c>
      <c r="E219" s="299">
        <f t="shared" si="31"/>
        <v>0</v>
      </c>
      <c r="F219" s="299">
        <f t="shared" si="32"/>
        <v>0</v>
      </c>
      <c r="G219" s="299">
        <f t="shared" si="34"/>
        <v>0</v>
      </c>
      <c r="H219" s="298">
        <f t="shared" si="35"/>
        <v>0</v>
      </c>
      <c r="I219" s="294"/>
      <c r="O219" s="295">
        <f t="shared" si="33"/>
        <v>200</v>
      </c>
    </row>
    <row r="220" spans="1:15">
      <c r="A220" s="286"/>
      <c r="B220" s="296">
        <f t="shared" si="36"/>
        <v>201</v>
      </c>
      <c r="C220" s="297">
        <f t="shared" si="30"/>
        <v>0</v>
      </c>
      <c r="D220" s="298">
        <f t="shared" si="37"/>
        <v>0</v>
      </c>
      <c r="E220" s="299">
        <f t="shared" si="31"/>
        <v>0</v>
      </c>
      <c r="F220" s="299">
        <f t="shared" si="32"/>
        <v>0</v>
      </c>
      <c r="G220" s="299">
        <f t="shared" si="34"/>
        <v>0</v>
      </c>
      <c r="H220" s="298">
        <f t="shared" si="35"/>
        <v>0</v>
      </c>
      <c r="I220" s="294"/>
      <c r="O220" s="295">
        <f t="shared" si="33"/>
        <v>201</v>
      </c>
    </row>
    <row r="221" spans="1:15">
      <c r="A221" s="286"/>
      <c r="B221" s="296">
        <f t="shared" si="36"/>
        <v>202</v>
      </c>
      <c r="C221" s="297">
        <f t="shared" si="30"/>
        <v>0</v>
      </c>
      <c r="D221" s="298">
        <f t="shared" si="37"/>
        <v>0</v>
      </c>
      <c r="E221" s="299">
        <f t="shared" si="31"/>
        <v>0</v>
      </c>
      <c r="F221" s="299">
        <f t="shared" si="32"/>
        <v>0</v>
      </c>
      <c r="G221" s="299">
        <f t="shared" si="34"/>
        <v>0</v>
      </c>
      <c r="H221" s="298">
        <f t="shared" si="35"/>
        <v>0</v>
      </c>
      <c r="I221" s="294"/>
      <c r="O221" s="295">
        <f t="shared" si="33"/>
        <v>202</v>
      </c>
    </row>
    <row r="222" spans="1:15">
      <c r="A222" s="286"/>
      <c r="B222" s="296">
        <f t="shared" si="36"/>
        <v>203</v>
      </c>
      <c r="C222" s="297">
        <f t="shared" si="30"/>
        <v>0</v>
      </c>
      <c r="D222" s="298">
        <f t="shared" si="37"/>
        <v>0</v>
      </c>
      <c r="E222" s="299">
        <f t="shared" si="31"/>
        <v>0</v>
      </c>
      <c r="F222" s="299">
        <f t="shared" si="32"/>
        <v>0</v>
      </c>
      <c r="G222" s="299">
        <f t="shared" si="34"/>
        <v>0</v>
      </c>
      <c r="H222" s="298">
        <f t="shared" si="35"/>
        <v>0</v>
      </c>
      <c r="I222" s="294"/>
      <c r="O222" s="295">
        <f t="shared" si="33"/>
        <v>203</v>
      </c>
    </row>
    <row r="223" spans="1:15">
      <c r="A223" s="286"/>
      <c r="B223" s="300">
        <f t="shared" si="36"/>
        <v>204</v>
      </c>
      <c r="C223" s="301">
        <f t="shared" si="30"/>
        <v>0</v>
      </c>
      <c r="D223" s="302">
        <f t="shared" si="37"/>
        <v>0</v>
      </c>
      <c r="E223" s="303">
        <f t="shared" si="31"/>
        <v>0</v>
      </c>
      <c r="F223" s="303">
        <f t="shared" si="32"/>
        <v>0</v>
      </c>
      <c r="G223" s="303">
        <f t="shared" si="34"/>
        <v>0</v>
      </c>
      <c r="H223" s="302">
        <f t="shared" si="35"/>
        <v>0</v>
      </c>
      <c r="I223" s="304" t="e">
        <f>H223/$D$5</f>
        <v>#VALUE!</v>
      </c>
      <c r="J223" s="305"/>
      <c r="K223" s="305"/>
      <c r="L223" s="305"/>
      <c r="M223" s="305"/>
      <c r="N223" s="305"/>
      <c r="O223" s="306">
        <f t="shared" si="33"/>
        <v>204</v>
      </c>
    </row>
    <row r="224" spans="1:15">
      <c r="A224" s="286"/>
      <c r="B224" s="296">
        <f t="shared" si="36"/>
        <v>205</v>
      </c>
      <c r="C224" s="297">
        <f t="shared" si="30"/>
        <v>0</v>
      </c>
      <c r="D224" s="298">
        <f t="shared" si="37"/>
        <v>0</v>
      </c>
      <c r="E224" s="299">
        <f t="shared" si="31"/>
        <v>0</v>
      </c>
      <c r="F224" s="299">
        <f t="shared" si="32"/>
        <v>0</v>
      </c>
      <c r="G224" s="299">
        <f t="shared" si="34"/>
        <v>0</v>
      </c>
      <c r="H224" s="298">
        <f t="shared" si="35"/>
        <v>0</v>
      </c>
      <c r="I224" s="294"/>
      <c r="O224" s="295">
        <f t="shared" si="33"/>
        <v>205</v>
      </c>
    </row>
    <row r="225" spans="1:15">
      <c r="A225" s="286"/>
      <c r="B225" s="296">
        <f t="shared" si="36"/>
        <v>206</v>
      </c>
      <c r="C225" s="297">
        <f t="shared" si="30"/>
        <v>0</v>
      </c>
      <c r="D225" s="298">
        <f t="shared" si="37"/>
        <v>0</v>
      </c>
      <c r="E225" s="299">
        <f t="shared" si="31"/>
        <v>0</v>
      </c>
      <c r="F225" s="299">
        <f t="shared" si="32"/>
        <v>0</v>
      </c>
      <c r="G225" s="299">
        <f t="shared" si="34"/>
        <v>0</v>
      </c>
      <c r="H225" s="298">
        <f t="shared" si="35"/>
        <v>0</v>
      </c>
      <c r="I225" s="294"/>
      <c r="O225" s="295">
        <f t="shared" si="33"/>
        <v>206</v>
      </c>
    </row>
    <row r="226" spans="1:15">
      <c r="A226" s="286"/>
      <c r="B226" s="296">
        <f t="shared" si="36"/>
        <v>207</v>
      </c>
      <c r="C226" s="297">
        <f t="shared" si="30"/>
        <v>0</v>
      </c>
      <c r="D226" s="298">
        <f t="shared" si="37"/>
        <v>0</v>
      </c>
      <c r="E226" s="299">
        <f t="shared" si="31"/>
        <v>0</v>
      </c>
      <c r="F226" s="299">
        <f t="shared" si="32"/>
        <v>0</v>
      </c>
      <c r="G226" s="299">
        <f t="shared" si="34"/>
        <v>0</v>
      </c>
      <c r="H226" s="298">
        <f t="shared" si="35"/>
        <v>0</v>
      </c>
      <c r="I226" s="294"/>
      <c r="O226" s="295">
        <f t="shared" si="33"/>
        <v>207</v>
      </c>
    </row>
    <row r="227" spans="1:15">
      <c r="A227" s="286"/>
      <c r="B227" s="296">
        <f t="shared" si="36"/>
        <v>208</v>
      </c>
      <c r="C227" s="297">
        <f t="shared" si="30"/>
        <v>0</v>
      </c>
      <c r="D227" s="298">
        <f t="shared" si="37"/>
        <v>0</v>
      </c>
      <c r="E227" s="299">
        <f t="shared" si="31"/>
        <v>0</v>
      </c>
      <c r="F227" s="299">
        <f t="shared" si="32"/>
        <v>0</v>
      </c>
      <c r="G227" s="299">
        <f t="shared" si="34"/>
        <v>0</v>
      </c>
      <c r="H227" s="298">
        <f t="shared" si="35"/>
        <v>0</v>
      </c>
      <c r="I227" s="294"/>
      <c r="O227" s="295">
        <f t="shared" si="33"/>
        <v>208</v>
      </c>
    </row>
    <row r="228" spans="1:15">
      <c r="A228" s="286"/>
      <c r="B228" s="296">
        <f t="shared" si="36"/>
        <v>209</v>
      </c>
      <c r="C228" s="297">
        <f t="shared" si="30"/>
        <v>0</v>
      </c>
      <c r="D228" s="298">
        <f t="shared" si="37"/>
        <v>0</v>
      </c>
      <c r="E228" s="299">
        <f t="shared" si="31"/>
        <v>0</v>
      </c>
      <c r="F228" s="299">
        <f t="shared" si="32"/>
        <v>0</v>
      </c>
      <c r="G228" s="299">
        <f t="shared" si="34"/>
        <v>0</v>
      </c>
      <c r="H228" s="298">
        <f t="shared" si="35"/>
        <v>0</v>
      </c>
      <c r="I228" s="294"/>
      <c r="O228" s="295">
        <f t="shared" si="33"/>
        <v>209</v>
      </c>
    </row>
    <row r="229" spans="1:15">
      <c r="A229" s="286"/>
      <c r="B229" s="296">
        <f t="shared" si="36"/>
        <v>210</v>
      </c>
      <c r="C229" s="297">
        <f t="shared" si="30"/>
        <v>0</v>
      </c>
      <c r="D229" s="298">
        <f t="shared" si="37"/>
        <v>0</v>
      </c>
      <c r="E229" s="299">
        <f t="shared" si="31"/>
        <v>0</v>
      </c>
      <c r="F229" s="299">
        <f t="shared" si="32"/>
        <v>0</v>
      </c>
      <c r="G229" s="299">
        <f t="shared" si="34"/>
        <v>0</v>
      </c>
      <c r="H229" s="298">
        <f t="shared" si="35"/>
        <v>0</v>
      </c>
      <c r="I229" s="294"/>
      <c r="O229" s="295">
        <f t="shared" si="33"/>
        <v>210</v>
      </c>
    </row>
    <row r="230" spans="1:15">
      <c r="A230" s="286"/>
      <c r="B230" s="296">
        <f t="shared" si="36"/>
        <v>211</v>
      </c>
      <c r="C230" s="297">
        <f t="shared" si="30"/>
        <v>0</v>
      </c>
      <c r="D230" s="298">
        <f t="shared" si="37"/>
        <v>0</v>
      </c>
      <c r="E230" s="299">
        <f t="shared" si="31"/>
        <v>0</v>
      </c>
      <c r="F230" s="299">
        <f t="shared" si="32"/>
        <v>0</v>
      </c>
      <c r="G230" s="299">
        <f t="shared" si="34"/>
        <v>0</v>
      </c>
      <c r="H230" s="298">
        <f t="shared" si="35"/>
        <v>0</v>
      </c>
      <c r="I230" s="294"/>
      <c r="O230" s="295">
        <f t="shared" si="33"/>
        <v>211</v>
      </c>
    </row>
    <row r="231" spans="1:15">
      <c r="A231" s="286"/>
      <c r="B231" s="296">
        <f t="shared" si="36"/>
        <v>212</v>
      </c>
      <c r="C231" s="297">
        <f t="shared" si="30"/>
        <v>0</v>
      </c>
      <c r="D231" s="298">
        <f t="shared" si="37"/>
        <v>0</v>
      </c>
      <c r="E231" s="299">
        <f t="shared" si="31"/>
        <v>0</v>
      </c>
      <c r="F231" s="299">
        <f t="shared" si="32"/>
        <v>0</v>
      </c>
      <c r="G231" s="299">
        <f t="shared" si="34"/>
        <v>0</v>
      </c>
      <c r="H231" s="298">
        <f t="shared" si="35"/>
        <v>0</v>
      </c>
      <c r="I231" s="294"/>
      <c r="O231" s="295">
        <f t="shared" si="33"/>
        <v>212</v>
      </c>
    </row>
    <row r="232" spans="1:15">
      <c r="A232" s="286"/>
      <c r="B232" s="296">
        <f t="shared" si="36"/>
        <v>213</v>
      </c>
      <c r="C232" s="297">
        <f t="shared" si="30"/>
        <v>0</v>
      </c>
      <c r="D232" s="298">
        <f t="shared" si="37"/>
        <v>0</v>
      </c>
      <c r="E232" s="299">
        <f t="shared" si="31"/>
        <v>0</v>
      </c>
      <c r="F232" s="299">
        <f t="shared" si="32"/>
        <v>0</v>
      </c>
      <c r="G232" s="299">
        <f t="shared" si="34"/>
        <v>0</v>
      </c>
      <c r="H232" s="298">
        <f t="shared" si="35"/>
        <v>0</v>
      </c>
      <c r="I232" s="294"/>
      <c r="O232" s="295">
        <f t="shared" si="33"/>
        <v>213</v>
      </c>
    </row>
    <row r="233" spans="1:15">
      <c r="A233" s="286"/>
      <c r="B233" s="296">
        <f t="shared" si="36"/>
        <v>214</v>
      </c>
      <c r="C233" s="297">
        <f t="shared" si="30"/>
        <v>0</v>
      </c>
      <c r="D233" s="298">
        <f t="shared" si="37"/>
        <v>0</v>
      </c>
      <c r="E233" s="299">
        <f t="shared" si="31"/>
        <v>0</v>
      </c>
      <c r="F233" s="299">
        <f t="shared" si="32"/>
        <v>0</v>
      </c>
      <c r="G233" s="299">
        <f t="shared" si="34"/>
        <v>0</v>
      </c>
      <c r="H233" s="298">
        <f t="shared" si="35"/>
        <v>0</v>
      </c>
      <c r="I233" s="294"/>
      <c r="O233" s="295">
        <f t="shared" si="33"/>
        <v>214</v>
      </c>
    </row>
    <row r="234" spans="1:15">
      <c r="A234" s="286"/>
      <c r="B234" s="296">
        <f t="shared" si="36"/>
        <v>215</v>
      </c>
      <c r="C234" s="297">
        <f t="shared" si="30"/>
        <v>0</v>
      </c>
      <c r="D234" s="298">
        <f t="shared" si="37"/>
        <v>0</v>
      </c>
      <c r="E234" s="299">
        <f t="shared" si="31"/>
        <v>0</v>
      </c>
      <c r="F234" s="299">
        <f t="shared" si="32"/>
        <v>0</v>
      </c>
      <c r="G234" s="299">
        <f t="shared" si="34"/>
        <v>0</v>
      </c>
      <c r="H234" s="298">
        <f t="shared" si="35"/>
        <v>0</v>
      </c>
      <c r="I234" s="294"/>
      <c r="O234" s="295">
        <f t="shared" si="33"/>
        <v>215</v>
      </c>
    </row>
    <row r="235" spans="1:15">
      <c r="A235" s="286"/>
      <c r="B235" s="300">
        <f t="shared" si="36"/>
        <v>216</v>
      </c>
      <c r="C235" s="301">
        <f t="shared" si="30"/>
        <v>0</v>
      </c>
      <c r="D235" s="302">
        <f t="shared" si="37"/>
        <v>0</v>
      </c>
      <c r="E235" s="303">
        <f t="shared" si="31"/>
        <v>0</v>
      </c>
      <c r="F235" s="303">
        <f t="shared" si="32"/>
        <v>0</v>
      </c>
      <c r="G235" s="303">
        <f t="shared" si="34"/>
        <v>0</v>
      </c>
      <c r="H235" s="302">
        <f t="shared" si="35"/>
        <v>0</v>
      </c>
      <c r="I235" s="304" t="e">
        <f>H235/$D$5</f>
        <v>#VALUE!</v>
      </c>
      <c r="J235" s="305"/>
      <c r="K235" s="305"/>
      <c r="L235" s="305"/>
      <c r="M235" s="305"/>
      <c r="N235" s="305"/>
      <c r="O235" s="306">
        <f t="shared" si="33"/>
        <v>216</v>
      </c>
    </row>
    <row r="236" spans="1:15">
      <c r="A236" s="286"/>
      <c r="B236" s="296">
        <f t="shared" si="36"/>
        <v>217</v>
      </c>
      <c r="C236" s="297">
        <f t="shared" si="30"/>
        <v>0</v>
      </c>
      <c r="D236" s="298">
        <f t="shared" si="37"/>
        <v>0</v>
      </c>
      <c r="E236" s="299">
        <f t="shared" si="31"/>
        <v>0</v>
      </c>
      <c r="F236" s="299">
        <f t="shared" si="32"/>
        <v>0</v>
      </c>
      <c r="G236" s="299">
        <f t="shared" si="34"/>
        <v>0</v>
      </c>
      <c r="H236" s="298">
        <f t="shared" si="35"/>
        <v>0</v>
      </c>
      <c r="I236" s="294"/>
      <c r="O236" s="295">
        <f t="shared" si="33"/>
        <v>217</v>
      </c>
    </row>
    <row r="237" spans="1:15">
      <c r="A237" s="286"/>
      <c r="B237" s="296">
        <f t="shared" si="36"/>
        <v>218</v>
      </c>
      <c r="C237" s="297">
        <f t="shared" si="30"/>
        <v>0</v>
      </c>
      <c r="D237" s="298">
        <f t="shared" si="37"/>
        <v>0</v>
      </c>
      <c r="E237" s="299">
        <f t="shared" si="31"/>
        <v>0</v>
      </c>
      <c r="F237" s="299">
        <f t="shared" si="32"/>
        <v>0</v>
      </c>
      <c r="G237" s="299">
        <f t="shared" si="34"/>
        <v>0</v>
      </c>
      <c r="H237" s="298">
        <f t="shared" si="35"/>
        <v>0</v>
      </c>
      <c r="I237" s="294"/>
      <c r="O237" s="295">
        <f t="shared" si="33"/>
        <v>218</v>
      </c>
    </row>
    <row r="238" spans="1:15">
      <c r="A238" s="286"/>
      <c r="B238" s="296">
        <f t="shared" si="36"/>
        <v>219</v>
      </c>
      <c r="C238" s="297">
        <f t="shared" si="30"/>
        <v>0</v>
      </c>
      <c r="D238" s="298">
        <f t="shared" si="37"/>
        <v>0</v>
      </c>
      <c r="E238" s="299">
        <f t="shared" si="31"/>
        <v>0</v>
      </c>
      <c r="F238" s="299">
        <f t="shared" si="32"/>
        <v>0</v>
      </c>
      <c r="G238" s="299">
        <f t="shared" si="34"/>
        <v>0</v>
      </c>
      <c r="H238" s="298">
        <f t="shared" si="35"/>
        <v>0</v>
      </c>
      <c r="I238" s="294"/>
      <c r="O238" s="295">
        <f t="shared" si="33"/>
        <v>219</v>
      </c>
    </row>
    <row r="239" spans="1:15">
      <c r="A239" s="286"/>
      <c r="B239" s="296">
        <f t="shared" si="36"/>
        <v>220</v>
      </c>
      <c r="C239" s="297">
        <f t="shared" si="30"/>
        <v>0</v>
      </c>
      <c r="D239" s="298">
        <f t="shared" si="37"/>
        <v>0</v>
      </c>
      <c r="E239" s="299">
        <f t="shared" si="31"/>
        <v>0</v>
      </c>
      <c r="F239" s="299">
        <f t="shared" si="32"/>
        <v>0</v>
      </c>
      <c r="G239" s="299">
        <f t="shared" si="34"/>
        <v>0</v>
      </c>
      <c r="H239" s="298">
        <f t="shared" si="35"/>
        <v>0</v>
      </c>
      <c r="I239" s="294"/>
      <c r="O239" s="295">
        <f t="shared" si="33"/>
        <v>220</v>
      </c>
    </row>
    <row r="240" spans="1:15">
      <c r="A240" s="286"/>
      <c r="B240" s="296">
        <f t="shared" si="36"/>
        <v>221</v>
      </c>
      <c r="C240" s="297">
        <f t="shared" si="30"/>
        <v>0</v>
      </c>
      <c r="D240" s="298">
        <f t="shared" si="37"/>
        <v>0</v>
      </c>
      <c r="E240" s="299">
        <f t="shared" si="31"/>
        <v>0</v>
      </c>
      <c r="F240" s="299">
        <f t="shared" si="32"/>
        <v>0</v>
      </c>
      <c r="G240" s="299">
        <f t="shared" si="34"/>
        <v>0</v>
      </c>
      <c r="H240" s="298">
        <f t="shared" si="35"/>
        <v>0</v>
      </c>
      <c r="I240" s="294"/>
      <c r="O240" s="295">
        <f t="shared" si="33"/>
        <v>221</v>
      </c>
    </row>
    <row r="241" spans="1:15">
      <c r="A241" s="286"/>
      <c r="B241" s="296">
        <f t="shared" si="36"/>
        <v>222</v>
      </c>
      <c r="C241" s="297">
        <f t="shared" si="30"/>
        <v>0</v>
      </c>
      <c r="D241" s="298">
        <f t="shared" si="37"/>
        <v>0</v>
      </c>
      <c r="E241" s="299">
        <f t="shared" si="31"/>
        <v>0</v>
      </c>
      <c r="F241" s="299">
        <f t="shared" si="32"/>
        <v>0</v>
      </c>
      <c r="G241" s="299">
        <f t="shared" si="34"/>
        <v>0</v>
      </c>
      <c r="H241" s="298">
        <f t="shared" si="35"/>
        <v>0</v>
      </c>
      <c r="I241" s="294"/>
      <c r="O241" s="295">
        <f t="shared" si="33"/>
        <v>222</v>
      </c>
    </row>
    <row r="242" spans="1:15">
      <c r="A242" s="286"/>
      <c r="B242" s="296">
        <f t="shared" si="36"/>
        <v>223</v>
      </c>
      <c r="C242" s="297">
        <f t="shared" si="30"/>
        <v>0</v>
      </c>
      <c r="D242" s="298">
        <f t="shared" si="37"/>
        <v>0</v>
      </c>
      <c r="E242" s="299">
        <f t="shared" si="31"/>
        <v>0</v>
      </c>
      <c r="F242" s="299">
        <f t="shared" si="32"/>
        <v>0</v>
      </c>
      <c r="G242" s="299">
        <f t="shared" si="34"/>
        <v>0</v>
      </c>
      <c r="H242" s="298">
        <f t="shared" si="35"/>
        <v>0</v>
      </c>
      <c r="I242" s="294"/>
      <c r="O242" s="295">
        <f t="shared" si="33"/>
        <v>223</v>
      </c>
    </row>
    <row r="243" spans="1:15">
      <c r="A243" s="286"/>
      <c r="B243" s="296">
        <f t="shared" si="36"/>
        <v>224</v>
      </c>
      <c r="C243" s="297">
        <f t="shared" si="30"/>
        <v>0</v>
      </c>
      <c r="D243" s="298">
        <f t="shared" si="37"/>
        <v>0</v>
      </c>
      <c r="E243" s="299">
        <f t="shared" si="31"/>
        <v>0</v>
      </c>
      <c r="F243" s="299">
        <f t="shared" si="32"/>
        <v>0</v>
      </c>
      <c r="G243" s="299">
        <f t="shared" si="34"/>
        <v>0</v>
      </c>
      <c r="H243" s="298">
        <f t="shared" si="35"/>
        <v>0</v>
      </c>
      <c r="I243" s="294"/>
      <c r="O243" s="295">
        <f t="shared" si="33"/>
        <v>224</v>
      </c>
    </row>
    <row r="244" spans="1:15">
      <c r="A244" s="286"/>
      <c r="B244" s="296">
        <f t="shared" si="36"/>
        <v>225</v>
      </c>
      <c r="C244" s="297">
        <f t="shared" si="30"/>
        <v>0</v>
      </c>
      <c r="D244" s="298">
        <f t="shared" si="37"/>
        <v>0</v>
      </c>
      <c r="E244" s="299">
        <f t="shared" si="31"/>
        <v>0</v>
      </c>
      <c r="F244" s="299">
        <f t="shared" si="32"/>
        <v>0</v>
      </c>
      <c r="G244" s="299">
        <f t="shared" si="34"/>
        <v>0</v>
      </c>
      <c r="H244" s="298">
        <f t="shared" si="35"/>
        <v>0</v>
      </c>
      <c r="I244" s="294"/>
      <c r="O244" s="295">
        <f t="shared" si="33"/>
        <v>225</v>
      </c>
    </row>
    <row r="245" spans="1:15">
      <c r="A245" s="286"/>
      <c r="B245" s="296">
        <f t="shared" si="36"/>
        <v>226</v>
      </c>
      <c r="C245" s="297">
        <f t="shared" si="30"/>
        <v>0</v>
      </c>
      <c r="D245" s="298">
        <f t="shared" si="37"/>
        <v>0</v>
      </c>
      <c r="E245" s="299">
        <f t="shared" si="31"/>
        <v>0</v>
      </c>
      <c r="F245" s="299">
        <f t="shared" si="32"/>
        <v>0</v>
      </c>
      <c r="G245" s="299">
        <f t="shared" si="34"/>
        <v>0</v>
      </c>
      <c r="H245" s="298">
        <f t="shared" si="35"/>
        <v>0</v>
      </c>
      <c r="I245" s="294"/>
      <c r="O245" s="295">
        <f t="shared" si="33"/>
        <v>226</v>
      </c>
    </row>
    <row r="246" spans="1:15">
      <c r="A246" s="286"/>
      <c r="B246" s="296">
        <f t="shared" si="36"/>
        <v>227</v>
      </c>
      <c r="C246" s="297">
        <f t="shared" si="30"/>
        <v>0</v>
      </c>
      <c r="D246" s="298">
        <f t="shared" si="37"/>
        <v>0</v>
      </c>
      <c r="E246" s="299">
        <f t="shared" si="31"/>
        <v>0</v>
      </c>
      <c r="F246" s="299">
        <f t="shared" si="32"/>
        <v>0</v>
      </c>
      <c r="G246" s="299">
        <f t="shared" si="34"/>
        <v>0</v>
      </c>
      <c r="H246" s="298">
        <f t="shared" si="35"/>
        <v>0</v>
      </c>
      <c r="I246" s="294"/>
      <c r="O246" s="295">
        <f t="shared" si="33"/>
        <v>227</v>
      </c>
    </row>
    <row r="247" spans="1:15">
      <c r="A247" s="286"/>
      <c r="B247" s="300">
        <f t="shared" si="36"/>
        <v>228</v>
      </c>
      <c r="C247" s="301">
        <f t="shared" si="30"/>
        <v>0</v>
      </c>
      <c r="D247" s="302">
        <f t="shared" si="37"/>
        <v>0</v>
      </c>
      <c r="E247" s="303">
        <f t="shared" si="31"/>
        <v>0</v>
      </c>
      <c r="F247" s="303">
        <f t="shared" si="32"/>
        <v>0</v>
      </c>
      <c r="G247" s="303">
        <f t="shared" si="34"/>
        <v>0</v>
      </c>
      <c r="H247" s="302">
        <f t="shared" si="35"/>
        <v>0</v>
      </c>
      <c r="I247" s="304" t="e">
        <f>H247/$D$5</f>
        <v>#VALUE!</v>
      </c>
      <c r="J247" s="305"/>
      <c r="K247" s="305"/>
      <c r="L247" s="305"/>
      <c r="M247" s="305"/>
      <c r="N247" s="305"/>
      <c r="O247" s="306">
        <f t="shared" si="33"/>
        <v>228</v>
      </c>
    </row>
    <row r="248" spans="1:15">
      <c r="A248" s="286"/>
      <c r="B248" s="296">
        <f t="shared" si="36"/>
        <v>229</v>
      </c>
      <c r="C248" s="297">
        <f t="shared" ref="C248:C311" si="38">IF(D248&gt;0,$F$7,0)</f>
        <v>0</v>
      </c>
      <c r="D248" s="298">
        <f t="shared" si="37"/>
        <v>0</v>
      </c>
      <c r="E248" s="299">
        <f t="shared" si="31"/>
        <v>0</v>
      </c>
      <c r="F248" s="299">
        <f t="shared" si="32"/>
        <v>0</v>
      </c>
      <c r="G248" s="299">
        <f t="shared" si="34"/>
        <v>0</v>
      </c>
      <c r="H248" s="298">
        <f t="shared" si="35"/>
        <v>0</v>
      </c>
      <c r="I248" s="294"/>
      <c r="O248" s="295">
        <f t="shared" si="33"/>
        <v>229</v>
      </c>
    </row>
    <row r="249" spans="1:15">
      <c r="A249" s="286"/>
      <c r="B249" s="296">
        <f t="shared" si="36"/>
        <v>230</v>
      </c>
      <c r="C249" s="297">
        <f t="shared" si="38"/>
        <v>0</v>
      </c>
      <c r="D249" s="298">
        <f t="shared" si="37"/>
        <v>0</v>
      </c>
      <c r="E249" s="299">
        <f t="shared" si="31"/>
        <v>0</v>
      </c>
      <c r="F249" s="299">
        <f t="shared" si="32"/>
        <v>0</v>
      </c>
      <c r="G249" s="299">
        <f t="shared" si="34"/>
        <v>0</v>
      </c>
      <c r="H249" s="298">
        <f t="shared" si="35"/>
        <v>0</v>
      </c>
      <c r="I249" s="294"/>
      <c r="O249" s="295">
        <f t="shared" si="33"/>
        <v>230</v>
      </c>
    </row>
    <row r="250" spans="1:15">
      <c r="A250" s="286"/>
      <c r="B250" s="296">
        <f t="shared" si="36"/>
        <v>231</v>
      </c>
      <c r="C250" s="297">
        <f t="shared" si="38"/>
        <v>0</v>
      </c>
      <c r="D250" s="298">
        <f t="shared" si="37"/>
        <v>0</v>
      </c>
      <c r="E250" s="299">
        <f t="shared" si="31"/>
        <v>0</v>
      </c>
      <c r="F250" s="299">
        <f t="shared" si="32"/>
        <v>0</v>
      </c>
      <c r="G250" s="299">
        <f t="shared" si="34"/>
        <v>0</v>
      </c>
      <c r="H250" s="298">
        <f t="shared" si="35"/>
        <v>0</v>
      </c>
      <c r="I250" s="294"/>
      <c r="O250" s="295">
        <f t="shared" si="33"/>
        <v>231</v>
      </c>
    </row>
    <row r="251" spans="1:15">
      <c r="A251" s="286"/>
      <c r="B251" s="296">
        <f t="shared" si="36"/>
        <v>232</v>
      </c>
      <c r="C251" s="297">
        <f t="shared" si="38"/>
        <v>0</v>
      </c>
      <c r="D251" s="298">
        <f t="shared" si="37"/>
        <v>0</v>
      </c>
      <c r="E251" s="299">
        <f t="shared" si="31"/>
        <v>0</v>
      </c>
      <c r="F251" s="299">
        <f t="shared" si="32"/>
        <v>0</v>
      </c>
      <c r="G251" s="299">
        <f t="shared" si="34"/>
        <v>0</v>
      </c>
      <c r="H251" s="298">
        <f t="shared" si="35"/>
        <v>0</v>
      </c>
      <c r="I251" s="294"/>
      <c r="O251" s="295">
        <f t="shared" si="33"/>
        <v>232</v>
      </c>
    </row>
    <row r="252" spans="1:15">
      <c r="A252" s="286"/>
      <c r="B252" s="296">
        <f t="shared" si="36"/>
        <v>233</v>
      </c>
      <c r="C252" s="297">
        <f t="shared" si="38"/>
        <v>0</v>
      </c>
      <c r="D252" s="298">
        <f t="shared" si="37"/>
        <v>0</v>
      </c>
      <c r="E252" s="299">
        <f t="shared" si="31"/>
        <v>0</v>
      </c>
      <c r="F252" s="299">
        <f t="shared" si="32"/>
        <v>0</v>
      </c>
      <c r="G252" s="299">
        <f t="shared" si="34"/>
        <v>0</v>
      </c>
      <c r="H252" s="298">
        <f t="shared" si="35"/>
        <v>0</v>
      </c>
      <c r="I252" s="294"/>
      <c r="O252" s="295">
        <f t="shared" si="33"/>
        <v>233</v>
      </c>
    </row>
    <row r="253" spans="1:15">
      <c r="A253" s="286"/>
      <c r="B253" s="296">
        <f t="shared" si="36"/>
        <v>234</v>
      </c>
      <c r="C253" s="297">
        <f t="shared" si="38"/>
        <v>0</v>
      </c>
      <c r="D253" s="298">
        <f t="shared" si="37"/>
        <v>0</v>
      </c>
      <c r="E253" s="299">
        <f t="shared" si="31"/>
        <v>0</v>
      </c>
      <c r="F253" s="299">
        <f t="shared" si="32"/>
        <v>0</v>
      </c>
      <c r="G253" s="299">
        <f t="shared" si="34"/>
        <v>0</v>
      </c>
      <c r="H253" s="298">
        <f t="shared" si="35"/>
        <v>0</v>
      </c>
      <c r="I253" s="294"/>
      <c r="O253" s="295">
        <f t="shared" si="33"/>
        <v>234</v>
      </c>
    </row>
    <row r="254" spans="1:15">
      <c r="A254" s="286"/>
      <c r="B254" s="296">
        <f t="shared" si="36"/>
        <v>235</v>
      </c>
      <c r="C254" s="297">
        <f t="shared" si="38"/>
        <v>0</v>
      </c>
      <c r="D254" s="298">
        <f t="shared" si="37"/>
        <v>0</v>
      </c>
      <c r="E254" s="299">
        <f t="shared" si="31"/>
        <v>0</v>
      </c>
      <c r="F254" s="299">
        <f t="shared" si="32"/>
        <v>0</v>
      </c>
      <c r="G254" s="299">
        <f t="shared" si="34"/>
        <v>0</v>
      </c>
      <c r="H254" s="298">
        <f t="shared" si="35"/>
        <v>0</v>
      </c>
      <c r="I254" s="294"/>
      <c r="O254" s="295">
        <f t="shared" si="33"/>
        <v>235</v>
      </c>
    </row>
    <row r="255" spans="1:15">
      <c r="A255" s="286"/>
      <c r="B255" s="296">
        <f t="shared" si="36"/>
        <v>236</v>
      </c>
      <c r="C255" s="297">
        <f t="shared" si="38"/>
        <v>0</v>
      </c>
      <c r="D255" s="298">
        <f t="shared" si="37"/>
        <v>0</v>
      </c>
      <c r="E255" s="299">
        <f t="shared" si="31"/>
        <v>0</v>
      </c>
      <c r="F255" s="299">
        <f t="shared" si="32"/>
        <v>0</v>
      </c>
      <c r="G255" s="299">
        <f t="shared" si="34"/>
        <v>0</v>
      </c>
      <c r="H255" s="298">
        <f t="shared" si="35"/>
        <v>0</v>
      </c>
      <c r="I255" s="294"/>
      <c r="O255" s="295">
        <f t="shared" si="33"/>
        <v>236</v>
      </c>
    </row>
    <row r="256" spans="1:15">
      <c r="A256" s="286"/>
      <c r="B256" s="296">
        <f t="shared" si="36"/>
        <v>237</v>
      </c>
      <c r="C256" s="297">
        <f t="shared" si="38"/>
        <v>0</v>
      </c>
      <c r="D256" s="298">
        <f t="shared" si="37"/>
        <v>0</v>
      </c>
      <c r="E256" s="299">
        <f t="shared" si="31"/>
        <v>0</v>
      </c>
      <c r="F256" s="299">
        <f t="shared" si="32"/>
        <v>0</v>
      </c>
      <c r="G256" s="299">
        <f t="shared" si="34"/>
        <v>0</v>
      </c>
      <c r="H256" s="298">
        <f t="shared" si="35"/>
        <v>0</v>
      </c>
      <c r="I256" s="294"/>
      <c r="O256" s="295">
        <f t="shared" si="33"/>
        <v>237</v>
      </c>
    </row>
    <row r="257" spans="1:15">
      <c r="A257" s="286"/>
      <c r="B257" s="296">
        <f t="shared" si="36"/>
        <v>238</v>
      </c>
      <c r="C257" s="297">
        <f t="shared" si="38"/>
        <v>0</v>
      </c>
      <c r="D257" s="298">
        <f t="shared" si="37"/>
        <v>0</v>
      </c>
      <c r="E257" s="299">
        <f t="shared" si="31"/>
        <v>0</v>
      </c>
      <c r="F257" s="299">
        <f t="shared" si="32"/>
        <v>0</v>
      </c>
      <c r="G257" s="299">
        <f t="shared" si="34"/>
        <v>0</v>
      </c>
      <c r="H257" s="298">
        <f t="shared" si="35"/>
        <v>0</v>
      </c>
      <c r="I257" s="294"/>
      <c r="O257" s="295">
        <f t="shared" si="33"/>
        <v>238</v>
      </c>
    </row>
    <row r="258" spans="1:15">
      <c r="A258" s="286"/>
      <c r="B258" s="296">
        <f t="shared" si="36"/>
        <v>239</v>
      </c>
      <c r="C258" s="297">
        <f t="shared" si="38"/>
        <v>0</v>
      </c>
      <c r="D258" s="298">
        <f t="shared" si="37"/>
        <v>0</v>
      </c>
      <c r="E258" s="299">
        <f t="shared" si="31"/>
        <v>0</v>
      </c>
      <c r="F258" s="299">
        <f t="shared" si="32"/>
        <v>0</v>
      </c>
      <c r="G258" s="299">
        <f t="shared" si="34"/>
        <v>0</v>
      </c>
      <c r="H258" s="298">
        <f t="shared" si="35"/>
        <v>0</v>
      </c>
      <c r="I258" s="294"/>
      <c r="O258" s="295">
        <f t="shared" si="33"/>
        <v>239</v>
      </c>
    </row>
    <row r="259" spans="1:15">
      <c r="A259" s="286"/>
      <c r="B259" s="300">
        <f t="shared" si="36"/>
        <v>240</v>
      </c>
      <c r="C259" s="301">
        <f t="shared" si="38"/>
        <v>0</v>
      </c>
      <c r="D259" s="302">
        <f t="shared" si="37"/>
        <v>0</v>
      </c>
      <c r="E259" s="303">
        <f t="shared" si="31"/>
        <v>0</v>
      </c>
      <c r="F259" s="303">
        <f t="shared" si="32"/>
        <v>0</v>
      </c>
      <c r="G259" s="303">
        <f t="shared" si="34"/>
        <v>0</v>
      </c>
      <c r="H259" s="302">
        <f t="shared" si="35"/>
        <v>0</v>
      </c>
      <c r="I259" s="304" t="e">
        <f>H259/$D$5</f>
        <v>#VALUE!</v>
      </c>
      <c r="J259" s="305"/>
      <c r="K259" s="305"/>
      <c r="L259" s="305"/>
      <c r="M259" s="305"/>
      <c r="N259" s="305"/>
      <c r="O259" s="306">
        <f t="shared" si="33"/>
        <v>240</v>
      </c>
    </row>
    <row r="260" spans="1:15">
      <c r="A260" s="286"/>
      <c r="B260" s="296">
        <f t="shared" si="36"/>
        <v>241</v>
      </c>
      <c r="C260" s="297">
        <f t="shared" si="38"/>
        <v>0</v>
      </c>
      <c r="D260" s="298">
        <f t="shared" si="37"/>
        <v>0</v>
      </c>
      <c r="E260" s="299">
        <f t="shared" ref="E260:E271" si="39">IF(H259&lt;=E259,H259+G260,$H$10)</f>
        <v>0</v>
      </c>
      <c r="F260" s="299">
        <f t="shared" si="32"/>
        <v>0</v>
      </c>
      <c r="G260" s="299">
        <f t="shared" si="34"/>
        <v>0</v>
      </c>
      <c r="H260" s="298">
        <f t="shared" si="35"/>
        <v>0</v>
      </c>
      <c r="I260" s="294"/>
      <c r="O260" s="295">
        <f t="shared" si="33"/>
        <v>241</v>
      </c>
    </row>
    <row r="261" spans="1:15">
      <c r="A261" s="286"/>
      <c r="B261" s="296">
        <f t="shared" si="36"/>
        <v>242</v>
      </c>
      <c r="C261" s="297">
        <f t="shared" si="38"/>
        <v>0</v>
      </c>
      <c r="D261" s="298">
        <f t="shared" si="37"/>
        <v>0</v>
      </c>
      <c r="E261" s="299">
        <f t="shared" si="39"/>
        <v>0</v>
      </c>
      <c r="F261" s="299">
        <f t="shared" si="32"/>
        <v>0</v>
      </c>
      <c r="G261" s="299">
        <f t="shared" si="34"/>
        <v>0</v>
      </c>
      <c r="H261" s="298">
        <f t="shared" si="35"/>
        <v>0</v>
      </c>
      <c r="I261" s="294"/>
      <c r="O261" s="295">
        <f t="shared" si="33"/>
        <v>242</v>
      </c>
    </row>
    <row r="262" spans="1:15">
      <c r="A262" s="286"/>
      <c r="B262" s="296">
        <f t="shared" si="36"/>
        <v>243</v>
      </c>
      <c r="C262" s="297">
        <f t="shared" si="38"/>
        <v>0</v>
      </c>
      <c r="D262" s="298">
        <f t="shared" si="37"/>
        <v>0</v>
      </c>
      <c r="E262" s="299">
        <f t="shared" si="39"/>
        <v>0</v>
      </c>
      <c r="F262" s="299">
        <f t="shared" si="32"/>
        <v>0</v>
      </c>
      <c r="G262" s="299">
        <f t="shared" si="34"/>
        <v>0</v>
      </c>
      <c r="H262" s="298">
        <f t="shared" si="35"/>
        <v>0</v>
      </c>
      <c r="I262" s="294"/>
      <c r="O262" s="295">
        <f t="shared" si="33"/>
        <v>243</v>
      </c>
    </row>
    <row r="263" spans="1:15">
      <c r="A263" s="286"/>
      <c r="B263" s="296">
        <f t="shared" si="36"/>
        <v>244</v>
      </c>
      <c r="C263" s="297">
        <f t="shared" si="38"/>
        <v>0</v>
      </c>
      <c r="D263" s="298">
        <f t="shared" si="37"/>
        <v>0</v>
      </c>
      <c r="E263" s="299">
        <f t="shared" si="39"/>
        <v>0</v>
      </c>
      <c r="F263" s="299">
        <f t="shared" si="32"/>
        <v>0</v>
      </c>
      <c r="G263" s="299">
        <f t="shared" si="34"/>
        <v>0</v>
      </c>
      <c r="H263" s="298">
        <f t="shared" si="35"/>
        <v>0</v>
      </c>
      <c r="I263" s="294"/>
      <c r="O263" s="295">
        <f t="shared" si="33"/>
        <v>244</v>
      </c>
    </row>
    <row r="264" spans="1:15">
      <c r="A264" s="286"/>
      <c r="B264" s="296">
        <f t="shared" si="36"/>
        <v>245</v>
      </c>
      <c r="C264" s="297">
        <f t="shared" si="38"/>
        <v>0</v>
      </c>
      <c r="D264" s="298">
        <f t="shared" si="37"/>
        <v>0</v>
      </c>
      <c r="E264" s="299">
        <f t="shared" si="39"/>
        <v>0</v>
      </c>
      <c r="F264" s="299">
        <f t="shared" si="32"/>
        <v>0</v>
      </c>
      <c r="G264" s="299">
        <f t="shared" si="34"/>
        <v>0</v>
      </c>
      <c r="H264" s="298">
        <f t="shared" si="35"/>
        <v>0</v>
      </c>
      <c r="I264" s="294"/>
      <c r="O264" s="295">
        <f t="shared" si="33"/>
        <v>245</v>
      </c>
    </row>
    <row r="265" spans="1:15">
      <c r="A265" s="286"/>
      <c r="B265" s="296">
        <f t="shared" si="36"/>
        <v>246</v>
      </c>
      <c r="C265" s="297">
        <f t="shared" si="38"/>
        <v>0</v>
      </c>
      <c r="D265" s="298">
        <f t="shared" si="37"/>
        <v>0</v>
      </c>
      <c r="E265" s="299">
        <f t="shared" si="39"/>
        <v>0</v>
      </c>
      <c r="F265" s="299">
        <f t="shared" si="32"/>
        <v>0</v>
      </c>
      <c r="G265" s="299">
        <f t="shared" si="34"/>
        <v>0</v>
      </c>
      <c r="H265" s="298">
        <f t="shared" si="35"/>
        <v>0</v>
      </c>
      <c r="I265" s="294"/>
      <c r="O265" s="295">
        <f t="shared" si="33"/>
        <v>246</v>
      </c>
    </row>
    <row r="266" spans="1:15">
      <c r="A266" s="286"/>
      <c r="B266" s="296">
        <f t="shared" si="36"/>
        <v>247</v>
      </c>
      <c r="C266" s="297">
        <f t="shared" si="38"/>
        <v>0</v>
      </c>
      <c r="D266" s="298">
        <f t="shared" si="37"/>
        <v>0</v>
      </c>
      <c r="E266" s="299">
        <f t="shared" si="39"/>
        <v>0</v>
      </c>
      <c r="F266" s="299">
        <f t="shared" si="32"/>
        <v>0</v>
      </c>
      <c r="G266" s="299">
        <f t="shared" si="34"/>
        <v>0</v>
      </c>
      <c r="H266" s="298">
        <f t="shared" si="35"/>
        <v>0</v>
      </c>
      <c r="I266" s="294"/>
      <c r="O266" s="295">
        <f t="shared" si="33"/>
        <v>247</v>
      </c>
    </row>
    <row r="267" spans="1:15">
      <c r="A267" s="286"/>
      <c r="B267" s="296">
        <f t="shared" si="36"/>
        <v>248</v>
      </c>
      <c r="C267" s="297">
        <f t="shared" si="38"/>
        <v>0</v>
      </c>
      <c r="D267" s="298">
        <f t="shared" si="37"/>
        <v>0</v>
      </c>
      <c r="E267" s="299">
        <f t="shared" si="39"/>
        <v>0</v>
      </c>
      <c r="F267" s="299">
        <f t="shared" si="32"/>
        <v>0</v>
      </c>
      <c r="G267" s="299">
        <f t="shared" si="34"/>
        <v>0</v>
      </c>
      <c r="H267" s="298">
        <f t="shared" si="35"/>
        <v>0</v>
      </c>
      <c r="I267" s="294"/>
      <c r="O267" s="295">
        <f t="shared" si="33"/>
        <v>248</v>
      </c>
    </row>
    <row r="268" spans="1:15">
      <c r="A268" s="286"/>
      <c r="B268" s="296">
        <f t="shared" si="36"/>
        <v>249</v>
      </c>
      <c r="C268" s="297">
        <f t="shared" si="38"/>
        <v>0</v>
      </c>
      <c r="D268" s="298">
        <f t="shared" si="37"/>
        <v>0</v>
      </c>
      <c r="E268" s="299">
        <f t="shared" si="39"/>
        <v>0</v>
      </c>
      <c r="F268" s="299">
        <f t="shared" si="32"/>
        <v>0</v>
      </c>
      <c r="G268" s="299">
        <f t="shared" si="34"/>
        <v>0</v>
      </c>
      <c r="H268" s="298">
        <f t="shared" si="35"/>
        <v>0</v>
      </c>
      <c r="I268" s="294"/>
      <c r="O268" s="295">
        <f t="shared" si="33"/>
        <v>249</v>
      </c>
    </row>
    <row r="269" spans="1:15">
      <c r="A269" s="286"/>
      <c r="B269" s="296">
        <f t="shared" si="36"/>
        <v>250</v>
      </c>
      <c r="C269" s="297">
        <f t="shared" si="38"/>
        <v>0</v>
      </c>
      <c r="D269" s="298">
        <f t="shared" si="37"/>
        <v>0</v>
      </c>
      <c r="E269" s="299">
        <f t="shared" si="39"/>
        <v>0</v>
      </c>
      <c r="F269" s="299">
        <f t="shared" si="32"/>
        <v>0</v>
      </c>
      <c r="G269" s="299">
        <f t="shared" si="34"/>
        <v>0</v>
      </c>
      <c r="H269" s="298">
        <f t="shared" si="35"/>
        <v>0</v>
      </c>
      <c r="I269" s="294"/>
      <c r="O269" s="295">
        <f t="shared" si="33"/>
        <v>250</v>
      </c>
    </row>
    <row r="270" spans="1:15">
      <c r="A270" s="286"/>
      <c r="B270" s="296">
        <f t="shared" si="36"/>
        <v>251</v>
      </c>
      <c r="C270" s="297">
        <f t="shared" si="38"/>
        <v>0</v>
      </c>
      <c r="D270" s="298">
        <f t="shared" si="37"/>
        <v>0</v>
      </c>
      <c r="E270" s="299">
        <f t="shared" si="39"/>
        <v>0</v>
      </c>
      <c r="F270" s="299">
        <f t="shared" si="32"/>
        <v>0</v>
      </c>
      <c r="G270" s="299">
        <f t="shared" si="34"/>
        <v>0</v>
      </c>
      <c r="H270" s="298">
        <f t="shared" si="35"/>
        <v>0</v>
      </c>
      <c r="I270" s="294"/>
      <c r="O270" s="295">
        <f t="shared" si="33"/>
        <v>251</v>
      </c>
    </row>
    <row r="271" spans="1:15">
      <c r="A271" s="286"/>
      <c r="B271" s="300">
        <f t="shared" si="36"/>
        <v>252</v>
      </c>
      <c r="C271" s="301">
        <f t="shared" si="38"/>
        <v>0</v>
      </c>
      <c r="D271" s="302">
        <f t="shared" si="37"/>
        <v>0</v>
      </c>
      <c r="E271" s="303">
        <f t="shared" si="39"/>
        <v>0</v>
      </c>
      <c r="F271" s="303">
        <f t="shared" si="32"/>
        <v>0</v>
      </c>
      <c r="G271" s="303">
        <f t="shared" si="34"/>
        <v>0</v>
      </c>
      <c r="H271" s="302">
        <f t="shared" si="35"/>
        <v>0</v>
      </c>
      <c r="I271" s="304" t="e">
        <f>H271/$D$5</f>
        <v>#VALUE!</v>
      </c>
      <c r="J271" s="305"/>
      <c r="K271" s="305"/>
      <c r="L271" s="305"/>
      <c r="M271" s="305"/>
      <c r="N271" s="305"/>
      <c r="O271" s="306">
        <f t="shared" si="33"/>
        <v>252</v>
      </c>
    </row>
    <row r="272" spans="1:15">
      <c r="A272" s="286"/>
      <c r="B272" s="296">
        <f t="shared" si="36"/>
        <v>253</v>
      </c>
      <c r="C272" s="297">
        <f t="shared" si="38"/>
        <v>0</v>
      </c>
      <c r="D272" s="298">
        <f t="shared" si="37"/>
        <v>0</v>
      </c>
      <c r="E272" s="299">
        <f>IF(H271&lt;=E271,H271+G272,$H$10)</f>
        <v>0</v>
      </c>
      <c r="F272" s="299">
        <f>E272-G272</f>
        <v>0</v>
      </c>
      <c r="G272" s="299">
        <f t="shared" si="34"/>
        <v>0</v>
      </c>
      <c r="H272" s="298">
        <f t="shared" si="35"/>
        <v>0</v>
      </c>
      <c r="I272" s="294"/>
      <c r="O272" s="295">
        <f t="shared" si="33"/>
        <v>253</v>
      </c>
    </row>
    <row r="273" spans="1:15">
      <c r="A273" s="286"/>
      <c r="B273" s="296">
        <f t="shared" si="36"/>
        <v>254</v>
      </c>
      <c r="C273" s="297">
        <f t="shared" si="38"/>
        <v>0</v>
      </c>
      <c r="D273" s="298">
        <f t="shared" si="37"/>
        <v>0</v>
      </c>
      <c r="E273" s="299">
        <f>IF(H272&lt;=E272,H272+G273,$H$10)</f>
        <v>0</v>
      </c>
      <c r="F273" s="299">
        <f t="shared" ref="F273:F336" si="40">E273-G273</f>
        <v>0</v>
      </c>
      <c r="G273" s="299">
        <f t="shared" si="34"/>
        <v>0</v>
      </c>
      <c r="H273" s="298">
        <f t="shared" si="35"/>
        <v>0</v>
      </c>
      <c r="I273" s="294"/>
      <c r="O273" s="295">
        <f t="shared" si="33"/>
        <v>254</v>
      </c>
    </row>
    <row r="274" spans="1:15">
      <c r="A274" s="286"/>
      <c r="B274" s="296">
        <f t="shared" si="36"/>
        <v>255</v>
      </c>
      <c r="C274" s="297">
        <f t="shared" si="38"/>
        <v>0</v>
      </c>
      <c r="D274" s="298">
        <f t="shared" si="37"/>
        <v>0</v>
      </c>
      <c r="E274" s="299">
        <f>IF(H273&lt;=E273,H273+G274,$H$10)</f>
        <v>0</v>
      </c>
      <c r="F274" s="299">
        <f t="shared" si="40"/>
        <v>0</v>
      </c>
      <c r="G274" s="299">
        <f t="shared" si="34"/>
        <v>0</v>
      </c>
      <c r="H274" s="298">
        <f t="shared" si="35"/>
        <v>0</v>
      </c>
      <c r="I274" s="294"/>
      <c r="O274" s="295">
        <f t="shared" si="33"/>
        <v>255</v>
      </c>
    </row>
    <row r="275" spans="1:15">
      <c r="A275" s="286"/>
      <c r="B275" s="296">
        <f t="shared" si="36"/>
        <v>256</v>
      </c>
      <c r="C275" s="297">
        <f t="shared" si="38"/>
        <v>0</v>
      </c>
      <c r="D275" s="298">
        <f t="shared" si="37"/>
        <v>0</v>
      </c>
      <c r="E275" s="299">
        <f t="shared" ref="E275:E338" si="41">IF(H274&lt;=E274,H274+G275,$H$10)</f>
        <v>0</v>
      </c>
      <c r="F275" s="299">
        <f t="shared" si="40"/>
        <v>0</v>
      </c>
      <c r="G275" s="299">
        <f t="shared" si="34"/>
        <v>0</v>
      </c>
      <c r="H275" s="298">
        <f t="shared" si="35"/>
        <v>0</v>
      </c>
      <c r="I275" s="294"/>
      <c r="O275" s="295">
        <f t="shared" si="33"/>
        <v>256</v>
      </c>
    </row>
    <row r="276" spans="1:15">
      <c r="A276" s="286"/>
      <c r="B276" s="296">
        <f t="shared" si="36"/>
        <v>257</v>
      </c>
      <c r="C276" s="297">
        <f t="shared" si="38"/>
        <v>0</v>
      </c>
      <c r="D276" s="298">
        <f t="shared" si="37"/>
        <v>0</v>
      </c>
      <c r="E276" s="299">
        <f t="shared" si="41"/>
        <v>0</v>
      </c>
      <c r="F276" s="299">
        <f t="shared" si="40"/>
        <v>0</v>
      </c>
      <c r="G276" s="299">
        <f t="shared" si="34"/>
        <v>0</v>
      </c>
      <c r="H276" s="298">
        <f t="shared" si="35"/>
        <v>0</v>
      </c>
      <c r="I276" s="294"/>
      <c r="O276" s="295">
        <f t="shared" ref="O276:O339" si="42">IF(H276=0,B276,"n.a.")</f>
        <v>257</v>
      </c>
    </row>
    <row r="277" spans="1:15">
      <c r="A277" s="286"/>
      <c r="B277" s="296">
        <f t="shared" si="36"/>
        <v>258</v>
      </c>
      <c r="C277" s="297">
        <f t="shared" si="38"/>
        <v>0</v>
      </c>
      <c r="D277" s="298">
        <f t="shared" si="37"/>
        <v>0</v>
      </c>
      <c r="E277" s="299">
        <f t="shared" si="41"/>
        <v>0</v>
      </c>
      <c r="F277" s="299">
        <f t="shared" si="40"/>
        <v>0</v>
      </c>
      <c r="G277" s="299">
        <f t="shared" ref="G277:G340" si="43">C277*(D277/365)*30</f>
        <v>0</v>
      </c>
      <c r="H277" s="298">
        <f t="shared" ref="H277:H340" si="44">IF((D277+G277-E277)&lt;0,0,D277+G277-E277)</f>
        <v>0</v>
      </c>
      <c r="I277" s="294"/>
      <c r="O277" s="295">
        <f t="shared" si="42"/>
        <v>258</v>
      </c>
    </row>
    <row r="278" spans="1:15">
      <c r="A278" s="286"/>
      <c r="B278" s="296">
        <f t="shared" ref="B278:B341" si="45">B277+1</f>
        <v>259</v>
      </c>
      <c r="C278" s="297">
        <f t="shared" si="38"/>
        <v>0</v>
      </c>
      <c r="D278" s="298">
        <f t="shared" ref="D278:D341" si="46">H277</f>
        <v>0</v>
      </c>
      <c r="E278" s="299">
        <f t="shared" si="41"/>
        <v>0</v>
      </c>
      <c r="F278" s="299">
        <f t="shared" si="40"/>
        <v>0</v>
      </c>
      <c r="G278" s="299">
        <f t="shared" si="43"/>
        <v>0</v>
      </c>
      <c r="H278" s="298">
        <f t="shared" si="44"/>
        <v>0</v>
      </c>
      <c r="I278" s="294"/>
      <c r="O278" s="295">
        <f t="shared" si="42"/>
        <v>259</v>
      </c>
    </row>
    <row r="279" spans="1:15">
      <c r="A279" s="286"/>
      <c r="B279" s="296">
        <f t="shared" si="45"/>
        <v>260</v>
      </c>
      <c r="C279" s="297">
        <f t="shared" si="38"/>
        <v>0</v>
      </c>
      <c r="D279" s="298">
        <f t="shared" si="46"/>
        <v>0</v>
      </c>
      <c r="E279" s="299">
        <f t="shared" si="41"/>
        <v>0</v>
      </c>
      <c r="F279" s="299">
        <f t="shared" si="40"/>
        <v>0</v>
      </c>
      <c r="G279" s="299">
        <f t="shared" si="43"/>
        <v>0</v>
      </c>
      <c r="H279" s="298">
        <f t="shared" si="44"/>
        <v>0</v>
      </c>
      <c r="I279" s="294"/>
      <c r="O279" s="295">
        <f t="shared" si="42"/>
        <v>260</v>
      </c>
    </row>
    <row r="280" spans="1:15">
      <c r="A280" s="286"/>
      <c r="B280" s="296">
        <f t="shared" si="45"/>
        <v>261</v>
      </c>
      <c r="C280" s="297">
        <f t="shared" si="38"/>
        <v>0</v>
      </c>
      <c r="D280" s="298">
        <f t="shared" si="46"/>
        <v>0</v>
      </c>
      <c r="E280" s="299">
        <f t="shared" si="41"/>
        <v>0</v>
      </c>
      <c r="F280" s="299">
        <f t="shared" si="40"/>
        <v>0</v>
      </c>
      <c r="G280" s="299">
        <f t="shared" si="43"/>
        <v>0</v>
      </c>
      <c r="H280" s="298">
        <f t="shared" si="44"/>
        <v>0</v>
      </c>
      <c r="I280" s="294"/>
      <c r="O280" s="295">
        <f t="shared" si="42"/>
        <v>261</v>
      </c>
    </row>
    <row r="281" spans="1:15">
      <c r="A281" s="286"/>
      <c r="B281" s="296">
        <f t="shared" si="45"/>
        <v>262</v>
      </c>
      <c r="C281" s="297">
        <f t="shared" si="38"/>
        <v>0</v>
      </c>
      <c r="D281" s="298">
        <f t="shared" si="46"/>
        <v>0</v>
      </c>
      <c r="E281" s="299">
        <f t="shared" si="41"/>
        <v>0</v>
      </c>
      <c r="F281" s="299">
        <f t="shared" si="40"/>
        <v>0</v>
      </c>
      <c r="G281" s="299">
        <f t="shared" si="43"/>
        <v>0</v>
      </c>
      <c r="H281" s="298">
        <f t="shared" si="44"/>
        <v>0</v>
      </c>
      <c r="I281" s="294"/>
      <c r="O281" s="295">
        <f t="shared" si="42"/>
        <v>262</v>
      </c>
    </row>
    <row r="282" spans="1:15">
      <c r="A282" s="286"/>
      <c r="B282" s="296">
        <f t="shared" si="45"/>
        <v>263</v>
      </c>
      <c r="C282" s="297">
        <f t="shared" si="38"/>
        <v>0</v>
      </c>
      <c r="D282" s="298">
        <f t="shared" si="46"/>
        <v>0</v>
      </c>
      <c r="E282" s="299">
        <f t="shared" si="41"/>
        <v>0</v>
      </c>
      <c r="F282" s="299">
        <f t="shared" si="40"/>
        <v>0</v>
      </c>
      <c r="G282" s="299">
        <f t="shared" si="43"/>
        <v>0</v>
      </c>
      <c r="H282" s="298">
        <f t="shared" si="44"/>
        <v>0</v>
      </c>
      <c r="I282" s="294"/>
      <c r="O282" s="295">
        <f t="shared" si="42"/>
        <v>263</v>
      </c>
    </row>
    <row r="283" spans="1:15">
      <c r="A283" s="286"/>
      <c r="B283" s="300">
        <f t="shared" si="45"/>
        <v>264</v>
      </c>
      <c r="C283" s="301">
        <f t="shared" si="38"/>
        <v>0</v>
      </c>
      <c r="D283" s="302">
        <f t="shared" si="46"/>
        <v>0</v>
      </c>
      <c r="E283" s="303">
        <f t="shared" si="41"/>
        <v>0</v>
      </c>
      <c r="F283" s="303">
        <f t="shared" si="40"/>
        <v>0</v>
      </c>
      <c r="G283" s="303">
        <f t="shared" si="43"/>
        <v>0</v>
      </c>
      <c r="H283" s="302">
        <f t="shared" si="44"/>
        <v>0</v>
      </c>
      <c r="I283" s="304" t="e">
        <f>H283/$D$5</f>
        <v>#VALUE!</v>
      </c>
      <c r="J283" s="305"/>
      <c r="K283" s="305"/>
      <c r="L283" s="305"/>
      <c r="M283" s="305"/>
      <c r="N283" s="305"/>
      <c r="O283" s="306">
        <f t="shared" si="42"/>
        <v>264</v>
      </c>
    </row>
    <row r="284" spans="1:15">
      <c r="A284" s="286"/>
      <c r="B284" s="296">
        <f t="shared" si="45"/>
        <v>265</v>
      </c>
      <c r="C284" s="297">
        <f t="shared" si="38"/>
        <v>0</v>
      </c>
      <c r="D284" s="298">
        <f t="shared" si="46"/>
        <v>0</v>
      </c>
      <c r="E284" s="299">
        <f t="shared" si="41"/>
        <v>0</v>
      </c>
      <c r="F284" s="299">
        <f t="shared" si="40"/>
        <v>0</v>
      </c>
      <c r="G284" s="299">
        <f t="shared" si="43"/>
        <v>0</v>
      </c>
      <c r="H284" s="298">
        <f t="shared" si="44"/>
        <v>0</v>
      </c>
      <c r="I284" s="294"/>
      <c r="O284" s="295">
        <f t="shared" si="42"/>
        <v>265</v>
      </c>
    </row>
    <row r="285" spans="1:15">
      <c r="A285" s="286"/>
      <c r="B285" s="296">
        <f t="shared" si="45"/>
        <v>266</v>
      </c>
      <c r="C285" s="297">
        <f t="shared" si="38"/>
        <v>0</v>
      </c>
      <c r="D285" s="298">
        <f t="shared" si="46"/>
        <v>0</v>
      </c>
      <c r="E285" s="299">
        <f t="shared" si="41"/>
        <v>0</v>
      </c>
      <c r="F285" s="299">
        <f t="shared" si="40"/>
        <v>0</v>
      </c>
      <c r="G285" s="299">
        <f t="shared" si="43"/>
        <v>0</v>
      </c>
      <c r="H285" s="298">
        <f t="shared" si="44"/>
        <v>0</v>
      </c>
      <c r="I285" s="294"/>
      <c r="O285" s="295">
        <f t="shared" si="42"/>
        <v>266</v>
      </c>
    </row>
    <row r="286" spans="1:15">
      <c r="A286" s="286"/>
      <c r="B286" s="296">
        <f t="shared" si="45"/>
        <v>267</v>
      </c>
      <c r="C286" s="297">
        <f t="shared" si="38"/>
        <v>0</v>
      </c>
      <c r="D286" s="298">
        <f t="shared" si="46"/>
        <v>0</v>
      </c>
      <c r="E286" s="299">
        <f t="shared" si="41"/>
        <v>0</v>
      </c>
      <c r="F286" s="299">
        <f t="shared" si="40"/>
        <v>0</v>
      </c>
      <c r="G286" s="299">
        <f t="shared" si="43"/>
        <v>0</v>
      </c>
      <c r="H286" s="298">
        <f t="shared" si="44"/>
        <v>0</v>
      </c>
      <c r="I286" s="294"/>
      <c r="O286" s="295">
        <f t="shared" si="42"/>
        <v>267</v>
      </c>
    </row>
    <row r="287" spans="1:15">
      <c r="A287" s="286"/>
      <c r="B287" s="296">
        <f t="shared" si="45"/>
        <v>268</v>
      </c>
      <c r="C287" s="297">
        <f t="shared" si="38"/>
        <v>0</v>
      </c>
      <c r="D287" s="298">
        <f t="shared" si="46"/>
        <v>0</v>
      </c>
      <c r="E287" s="299">
        <f t="shared" si="41"/>
        <v>0</v>
      </c>
      <c r="F287" s="299">
        <f t="shared" si="40"/>
        <v>0</v>
      </c>
      <c r="G287" s="299">
        <f t="shared" si="43"/>
        <v>0</v>
      </c>
      <c r="H287" s="298">
        <f t="shared" si="44"/>
        <v>0</v>
      </c>
      <c r="I287" s="294"/>
      <c r="O287" s="295">
        <f t="shared" si="42"/>
        <v>268</v>
      </c>
    </row>
    <row r="288" spans="1:15">
      <c r="A288" s="286"/>
      <c r="B288" s="296">
        <f t="shared" si="45"/>
        <v>269</v>
      </c>
      <c r="C288" s="297">
        <f t="shared" si="38"/>
        <v>0</v>
      </c>
      <c r="D288" s="298">
        <f t="shared" si="46"/>
        <v>0</v>
      </c>
      <c r="E288" s="299">
        <f t="shared" si="41"/>
        <v>0</v>
      </c>
      <c r="F288" s="299">
        <f t="shared" si="40"/>
        <v>0</v>
      </c>
      <c r="G288" s="299">
        <f t="shared" si="43"/>
        <v>0</v>
      </c>
      <c r="H288" s="298">
        <f t="shared" si="44"/>
        <v>0</v>
      </c>
      <c r="I288" s="294"/>
      <c r="O288" s="295">
        <f t="shared" si="42"/>
        <v>269</v>
      </c>
    </row>
    <row r="289" spans="1:15">
      <c r="A289" s="286"/>
      <c r="B289" s="296">
        <f t="shared" si="45"/>
        <v>270</v>
      </c>
      <c r="C289" s="297">
        <f t="shared" si="38"/>
        <v>0</v>
      </c>
      <c r="D289" s="298">
        <f t="shared" si="46"/>
        <v>0</v>
      </c>
      <c r="E289" s="299">
        <f t="shared" si="41"/>
        <v>0</v>
      </c>
      <c r="F289" s="299">
        <f t="shared" si="40"/>
        <v>0</v>
      </c>
      <c r="G289" s="299">
        <f t="shared" si="43"/>
        <v>0</v>
      </c>
      <c r="H289" s="298">
        <f t="shared" si="44"/>
        <v>0</v>
      </c>
      <c r="I289" s="294"/>
      <c r="O289" s="295">
        <f t="shared" si="42"/>
        <v>270</v>
      </c>
    </row>
    <row r="290" spans="1:15">
      <c r="A290" s="286"/>
      <c r="B290" s="296">
        <f t="shared" si="45"/>
        <v>271</v>
      </c>
      <c r="C290" s="297">
        <f t="shared" si="38"/>
        <v>0</v>
      </c>
      <c r="D290" s="298">
        <f t="shared" si="46"/>
        <v>0</v>
      </c>
      <c r="E290" s="299">
        <f t="shared" si="41"/>
        <v>0</v>
      </c>
      <c r="F290" s="299">
        <f t="shared" si="40"/>
        <v>0</v>
      </c>
      <c r="G290" s="299">
        <f t="shared" si="43"/>
        <v>0</v>
      </c>
      <c r="H290" s="298">
        <f t="shared" si="44"/>
        <v>0</v>
      </c>
      <c r="I290" s="294"/>
      <c r="O290" s="295">
        <f t="shared" si="42"/>
        <v>271</v>
      </c>
    </row>
    <row r="291" spans="1:15">
      <c r="A291" s="286"/>
      <c r="B291" s="296">
        <f t="shared" si="45"/>
        <v>272</v>
      </c>
      <c r="C291" s="297">
        <f t="shared" si="38"/>
        <v>0</v>
      </c>
      <c r="D291" s="298">
        <f t="shared" si="46"/>
        <v>0</v>
      </c>
      <c r="E291" s="299">
        <f t="shared" si="41"/>
        <v>0</v>
      </c>
      <c r="F291" s="299">
        <f t="shared" si="40"/>
        <v>0</v>
      </c>
      <c r="G291" s="299">
        <f t="shared" si="43"/>
        <v>0</v>
      </c>
      <c r="H291" s="298">
        <f t="shared" si="44"/>
        <v>0</v>
      </c>
      <c r="I291" s="294"/>
      <c r="O291" s="295">
        <f t="shared" si="42"/>
        <v>272</v>
      </c>
    </row>
    <row r="292" spans="1:15">
      <c r="A292" s="286"/>
      <c r="B292" s="296">
        <f t="shared" si="45"/>
        <v>273</v>
      </c>
      <c r="C292" s="297">
        <f t="shared" si="38"/>
        <v>0</v>
      </c>
      <c r="D292" s="298">
        <f t="shared" si="46"/>
        <v>0</v>
      </c>
      <c r="E292" s="299">
        <f t="shared" si="41"/>
        <v>0</v>
      </c>
      <c r="F292" s="299">
        <f t="shared" si="40"/>
        <v>0</v>
      </c>
      <c r="G292" s="299">
        <f t="shared" si="43"/>
        <v>0</v>
      </c>
      <c r="H292" s="298">
        <f t="shared" si="44"/>
        <v>0</v>
      </c>
      <c r="I292" s="294"/>
      <c r="O292" s="295">
        <f t="shared" si="42"/>
        <v>273</v>
      </c>
    </row>
    <row r="293" spans="1:15">
      <c r="A293" s="286"/>
      <c r="B293" s="296">
        <f t="shared" si="45"/>
        <v>274</v>
      </c>
      <c r="C293" s="297">
        <f t="shared" si="38"/>
        <v>0</v>
      </c>
      <c r="D293" s="298">
        <f t="shared" si="46"/>
        <v>0</v>
      </c>
      <c r="E293" s="299">
        <f t="shared" si="41"/>
        <v>0</v>
      </c>
      <c r="F293" s="299">
        <f t="shared" si="40"/>
        <v>0</v>
      </c>
      <c r="G293" s="299">
        <f t="shared" si="43"/>
        <v>0</v>
      </c>
      <c r="H293" s="298">
        <f t="shared" si="44"/>
        <v>0</v>
      </c>
      <c r="I293" s="294"/>
      <c r="O293" s="295">
        <f t="shared" si="42"/>
        <v>274</v>
      </c>
    </row>
    <row r="294" spans="1:15">
      <c r="A294" s="286"/>
      <c r="B294" s="296">
        <f t="shared" si="45"/>
        <v>275</v>
      </c>
      <c r="C294" s="297">
        <f t="shared" si="38"/>
        <v>0</v>
      </c>
      <c r="D294" s="298">
        <f t="shared" si="46"/>
        <v>0</v>
      </c>
      <c r="E294" s="299">
        <f t="shared" si="41"/>
        <v>0</v>
      </c>
      <c r="F294" s="299">
        <f t="shared" si="40"/>
        <v>0</v>
      </c>
      <c r="G294" s="299">
        <f t="shared" si="43"/>
        <v>0</v>
      </c>
      <c r="H294" s="298">
        <f t="shared" si="44"/>
        <v>0</v>
      </c>
      <c r="I294" s="294"/>
      <c r="O294" s="295">
        <f t="shared" si="42"/>
        <v>275</v>
      </c>
    </row>
    <row r="295" spans="1:15">
      <c r="A295" s="286"/>
      <c r="B295" s="300">
        <f t="shared" si="45"/>
        <v>276</v>
      </c>
      <c r="C295" s="301">
        <f t="shared" si="38"/>
        <v>0</v>
      </c>
      <c r="D295" s="302">
        <f t="shared" si="46"/>
        <v>0</v>
      </c>
      <c r="E295" s="303">
        <f t="shared" si="41"/>
        <v>0</v>
      </c>
      <c r="F295" s="303">
        <f t="shared" si="40"/>
        <v>0</v>
      </c>
      <c r="G295" s="303">
        <f t="shared" si="43"/>
        <v>0</v>
      </c>
      <c r="H295" s="302">
        <f t="shared" si="44"/>
        <v>0</v>
      </c>
      <c r="I295" s="304" t="e">
        <f>H295/$D$5</f>
        <v>#VALUE!</v>
      </c>
      <c r="J295" s="305"/>
      <c r="K295" s="305"/>
      <c r="L295" s="305"/>
      <c r="M295" s="305"/>
      <c r="N295" s="305"/>
      <c r="O295" s="306">
        <f t="shared" si="42"/>
        <v>276</v>
      </c>
    </row>
    <row r="296" spans="1:15">
      <c r="A296" s="286"/>
      <c r="B296" s="296">
        <f t="shared" si="45"/>
        <v>277</v>
      </c>
      <c r="C296" s="297">
        <f t="shared" si="38"/>
        <v>0</v>
      </c>
      <c r="D296" s="298">
        <f t="shared" si="46"/>
        <v>0</v>
      </c>
      <c r="E296" s="299">
        <f t="shared" si="41"/>
        <v>0</v>
      </c>
      <c r="F296" s="299">
        <f t="shared" si="40"/>
        <v>0</v>
      </c>
      <c r="G296" s="299">
        <f t="shared" si="43"/>
        <v>0</v>
      </c>
      <c r="H296" s="298">
        <f t="shared" si="44"/>
        <v>0</v>
      </c>
      <c r="I296" s="294"/>
      <c r="O296" s="295">
        <f t="shared" si="42"/>
        <v>277</v>
      </c>
    </row>
    <row r="297" spans="1:15">
      <c r="A297" s="286"/>
      <c r="B297" s="296">
        <f t="shared" si="45"/>
        <v>278</v>
      </c>
      <c r="C297" s="297">
        <f t="shared" si="38"/>
        <v>0</v>
      </c>
      <c r="D297" s="298">
        <f t="shared" si="46"/>
        <v>0</v>
      </c>
      <c r="E297" s="299">
        <f t="shared" si="41"/>
        <v>0</v>
      </c>
      <c r="F297" s="299">
        <f t="shared" si="40"/>
        <v>0</v>
      </c>
      <c r="G297" s="299">
        <f t="shared" si="43"/>
        <v>0</v>
      </c>
      <c r="H297" s="298">
        <f t="shared" si="44"/>
        <v>0</v>
      </c>
      <c r="I297" s="294"/>
      <c r="O297" s="295">
        <f t="shared" si="42"/>
        <v>278</v>
      </c>
    </row>
    <row r="298" spans="1:15">
      <c r="A298" s="286"/>
      <c r="B298" s="296">
        <f t="shared" si="45"/>
        <v>279</v>
      </c>
      <c r="C298" s="297">
        <f t="shared" si="38"/>
        <v>0</v>
      </c>
      <c r="D298" s="298">
        <f t="shared" si="46"/>
        <v>0</v>
      </c>
      <c r="E298" s="299">
        <f t="shared" si="41"/>
        <v>0</v>
      </c>
      <c r="F298" s="299">
        <f t="shared" si="40"/>
        <v>0</v>
      </c>
      <c r="G298" s="299">
        <f t="shared" si="43"/>
        <v>0</v>
      </c>
      <c r="H298" s="298">
        <f t="shared" si="44"/>
        <v>0</v>
      </c>
      <c r="I298" s="294"/>
      <c r="O298" s="295">
        <f t="shared" si="42"/>
        <v>279</v>
      </c>
    </row>
    <row r="299" spans="1:15">
      <c r="A299" s="286"/>
      <c r="B299" s="296">
        <f t="shared" si="45"/>
        <v>280</v>
      </c>
      <c r="C299" s="297">
        <f t="shared" si="38"/>
        <v>0</v>
      </c>
      <c r="D299" s="298">
        <f t="shared" si="46"/>
        <v>0</v>
      </c>
      <c r="E299" s="299">
        <f t="shared" si="41"/>
        <v>0</v>
      </c>
      <c r="F299" s="299">
        <f t="shared" si="40"/>
        <v>0</v>
      </c>
      <c r="G299" s="299">
        <f t="shared" si="43"/>
        <v>0</v>
      </c>
      <c r="H299" s="298">
        <f t="shared" si="44"/>
        <v>0</v>
      </c>
      <c r="I299" s="294"/>
      <c r="O299" s="295">
        <f t="shared" si="42"/>
        <v>280</v>
      </c>
    </row>
    <row r="300" spans="1:15">
      <c r="A300" s="286"/>
      <c r="B300" s="296">
        <f t="shared" si="45"/>
        <v>281</v>
      </c>
      <c r="C300" s="297">
        <f t="shared" si="38"/>
        <v>0</v>
      </c>
      <c r="D300" s="298">
        <f t="shared" si="46"/>
        <v>0</v>
      </c>
      <c r="E300" s="299">
        <f t="shared" si="41"/>
        <v>0</v>
      </c>
      <c r="F300" s="299">
        <f t="shared" si="40"/>
        <v>0</v>
      </c>
      <c r="G300" s="299">
        <f t="shared" si="43"/>
        <v>0</v>
      </c>
      <c r="H300" s="298">
        <f t="shared" si="44"/>
        <v>0</v>
      </c>
      <c r="I300" s="294"/>
      <c r="O300" s="295">
        <f t="shared" si="42"/>
        <v>281</v>
      </c>
    </row>
    <row r="301" spans="1:15">
      <c r="A301" s="286"/>
      <c r="B301" s="296">
        <f t="shared" si="45"/>
        <v>282</v>
      </c>
      <c r="C301" s="297">
        <f t="shared" si="38"/>
        <v>0</v>
      </c>
      <c r="D301" s="298">
        <f t="shared" si="46"/>
        <v>0</v>
      </c>
      <c r="E301" s="299">
        <f t="shared" si="41"/>
        <v>0</v>
      </c>
      <c r="F301" s="299">
        <f t="shared" si="40"/>
        <v>0</v>
      </c>
      <c r="G301" s="299">
        <f t="shared" si="43"/>
        <v>0</v>
      </c>
      <c r="H301" s="298">
        <f t="shared" si="44"/>
        <v>0</v>
      </c>
      <c r="I301" s="294"/>
      <c r="O301" s="295">
        <f t="shared" si="42"/>
        <v>282</v>
      </c>
    </row>
    <row r="302" spans="1:15">
      <c r="A302" s="286"/>
      <c r="B302" s="296">
        <f t="shared" si="45"/>
        <v>283</v>
      </c>
      <c r="C302" s="297">
        <f t="shared" si="38"/>
        <v>0</v>
      </c>
      <c r="D302" s="298">
        <f t="shared" si="46"/>
        <v>0</v>
      </c>
      <c r="E302" s="299">
        <f t="shared" si="41"/>
        <v>0</v>
      </c>
      <c r="F302" s="299">
        <f t="shared" si="40"/>
        <v>0</v>
      </c>
      <c r="G302" s="299">
        <f t="shared" si="43"/>
        <v>0</v>
      </c>
      <c r="H302" s="298">
        <f t="shared" si="44"/>
        <v>0</v>
      </c>
      <c r="I302" s="294"/>
      <c r="O302" s="295">
        <f t="shared" si="42"/>
        <v>283</v>
      </c>
    </row>
    <row r="303" spans="1:15">
      <c r="A303" s="286"/>
      <c r="B303" s="296">
        <f t="shared" si="45"/>
        <v>284</v>
      </c>
      <c r="C303" s="297">
        <f t="shared" si="38"/>
        <v>0</v>
      </c>
      <c r="D303" s="298">
        <f t="shared" si="46"/>
        <v>0</v>
      </c>
      <c r="E303" s="299">
        <f t="shared" si="41"/>
        <v>0</v>
      </c>
      <c r="F303" s="299">
        <f t="shared" si="40"/>
        <v>0</v>
      </c>
      <c r="G303" s="299">
        <f t="shared" si="43"/>
        <v>0</v>
      </c>
      <c r="H303" s="298">
        <f t="shared" si="44"/>
        <v>0</v>
      </c>
      <c r="I303" s="294"/>
      <c r="O303" s="295">
        <f t="shared" si="42"/>
        <v>284</v>
      </c>
    </row>
    <row r="304" spans="1:15">
      <c r="A304" s="286"/>
      <c r="B304" s="296">
        <f t="shared" si="45"/>
        <v>285</v>
      </c>
      <c r="C304" s="297">
        <f t="shared" si="38"/>
        <v>0</v>
      </c>
      <c r="D304" s="298">
        <f t="shared" si="46"/>
        <v>0</v>
      </c>
      <c r="E304" s="299">
        <f t="shared" si="41"/>
        <v>0</v>
      </c>
      <c r="F304" s="299">
        <f t="shared" si="40"/>
        <v>0</v>
      </c>
      <c r="G304" s="299">
        <f t="shared" si="43"/>
        <v>0</v>
      </c>
      <c r="H304" s="298">
        <f t="shared" si="44"/>
        <v>0</v>
      </c>
      <c r="I304" s="294"/>
      <c r="O304" s="295">
        <f t="shared" si="42"/>
        <v>285</v>
      </c>
    </row>
    <row r="305" spans="1:15">
      <c r="A305" s="286"/>
      <c r="B305" s="296">
        <f t="shared" si="45"/>
        <v>286</v>
      </c>
      <c r="C305" s="297">
        <f t="shared" si="38"/>
        <v>0</v>
      </c>
      <c r="D305" s="298">
        <f t="shared" si="46"/>
        <v>0</v>
      </c>
      <c r="E305" s="299">
        <f t="shared" si="41"/>
        <v>0</v>
      </c>
      <c r="F305" s="299">
        <f t="shared" si="40"/>
        <v>0</v>
      </c>
      <c r="G305" s="299">
        <f t="shared" si="43"/>
        <v>0</v>
      </c>
      <c r="H305" s="298">
        <f t="shared" si="44"/>
        <v>0</v>
      </c>
      <c r="I305" s="294"/>
      <c r="O305" s="295">
        <f t="shared" si="42"/>
        <v>286</v>
      </c>
    </row>
    <row r="306" spans="1:15">
      <c r="A306" s="286"/>
      <c r="B306" s="296">
        <f t="shared" si="45"/>
        <v>287</v>
      </c>
      <c r="C306" s="297">
        <f t="shared" si="38"/>
        <v>0</v>
      </c>
      <c r="D306" s="298">
        <f t="shared" si="46"/>
        <v>0</v>
      </c>
      <c r="E306" s="299">
        <f t="shared" si="41"/>
        <v>0</v>
      </c>
      <c r="F306" s="299">
        <f t="shared" si="40"/>
        <v>0</v>
      </c>
      <c r="G306" s="299">
        <f t="shared" si="43"/>
        <v>0</v>
      </c>
      <c r="H306" s="298">
        <f t="shared" si="44"/>
        <v>0</v>
      </c>
      <c r="I306" s="294"/>
      <c r="O306" s="295">
        <f t="shared" si="42"/>
        <v>287</v>
      </c>
    </row>
    <row r="307" spans="1:15">
      <c r="A307" s="286"/>
      <c r="B307" s="300">
        <f t="shared" si="45"/>
        <v>288</v>
      </c>
      <c r="C307" s="301">
        <f t="shared" si="38"/>
        <v>0</v>
      </c>
      <c r="D307" s="302">
        <f t="shared" si="46"/>
        <v>0</v>
      </c>
      <c r="E307" s="303">
        <f t="shared" si="41"/>
        <v>0</v>
      </c>
      <c r="F307" s="303">
        <f t="shared" si="40"/>
        <v>0</v>
      </c>
      <c r="G307" s="303">
        <f t="shared" si="43"/>
        <v>0</v>
      </c>
      <c r="H307" s="302">
        <f t="shared" si="44"/>
        <v>0</v>
      </c>
      <c r="I307" s="304" t="e">
        <f>H307/$D$5</f>
        <v>#VALUE!</v>
      </c>
      <c r="J307" s="305"/>
      <c r="K307" s="305"/>
      <c r="L307" s="305"/>
      <c r="M307" s="305"/>
      <c r="N307" s="305"/>
      <c r="O307" s="306">
        <f t="shared" si="42"/>
        <v>288</v>
      </c>
    </row>
    <row r="308" spans="1:15">
      <c r="A308" s="286"/>
      <c r="B308" s="296">
        <f t="shared" si="45"/>
        <v>289</v>
      </c>
      <c r="C308" s="297">
        <f t="shared" si="38"/>
        <v>0</v>
      </c>
      <c r="D308" s="298">
        <f t="shared" si="46"/>
        <v>0</v>
      </c>
      <c r="E308" s="299">
        <f t="shared" si="41"/>
        <v>0</v>
      </c>
      <c r="F308" s="299">
        <f t="shared" si="40"/>
        <v>0</v>
      </c>
      <c r="G308" s="299">
        <f t="shared" si="43"/>
        <v>0</v>
      </c>
      <c r="H308" s="298">
        <f t="shared" si="44"/>
        <v>0</v>
      </c>
      <c r="I308" s="294"/>
      <c r="O308" s="295">
        <f t="shared" si="42"/>
        <v>289</v>
      </c>
    </row>
    <row r="309" spans="1:15">
      <c r="A309" s="286"/>
      <c r="B309" s="296">
        <f t="shared" si="45"/>
        <v>290</v>
      </c>
      <c r="C309" s="297">
        <f t="shared" si="38"/>
        <v>0</v>
      </c>
      <c r="D309" s="298">
        <f t="shared" si="46"/>
        <v>0</v>
      </c>
      <c r="E309" s="299">
        <f t="shared" si="41"/>
        <v>0</v>
      </c>
      <c r="F309" s="299">
        <f t="shared" si="40"/>
        <v>0</v>
      </c>
      <c r="G309" s="299">
        <f t="shared" si="43"/>
        <v>0</v>
      </c>
      <c r="H309" s="298">
        <f t="shared" si="44"/>
        <v>0</v>
      </c>
      <c r="I309" s="294"/>
      <c r="O309" s="295">
        <f t="shared" si="42"/>
        <v>290</v>
      </c>
    </row>
    <row r="310" spans="1:15">
      <c r="A310" s="286"/>
      <c r="B310" s="296">
        <f t="shared" si="45"/>
        <v>291</v>
      </c>
      <c r="C310" s="297">
        <f t="shared" si="38"/>
        <v>0</v>
      </c>
      <c r="D310" s="298">
        <f t="shared" si="46"/>
        <v>0</v>
      </c>
      <c r="E310" s="299">
        <f t="shared" si="41"/>
        <v>0</v>
      </c>
      <c r="F310" s="299">
        <f t="shared" si="40"/>
        <v>0</v>
      </c>
      <c r="G310" s="299">
        <f t="shared" si="43"/>
        <v>0</v>
      </c>
      <c r="H310" s="298">
        <f t="shared" si="44"/>
        <v>0</v>
      </c>
      <c r="I310" s="294"/>
      <c r="O310" s="295">
        <f t="shared" si="42"/>
        <v>291</v>
      </c>
    </row>
    <row r="311" spans="1:15">
      <c r="A311" s="286"/>
      <c r="B311" s="296">
        <f t="shared" si="45"/>
        <v>292</v>
      </c>
      <c r="C311" s="297">
        <f t="shared" si="38"/>
        <v>0</v>
      </c>
      <c r="D311" s="298">
        <f t="shared" si="46"/>
        <v>0</v>
      </c>
      <c r="E311" s="299">
        <f t="shared" si="41"/>
        <v>0</v>
      </c>
      <c r="F311" s="299">
        <f t="shared" si="40"/>
        <v>0</v>
      </c>
      <c r="G311" s="299">
        <f t="shared" si="43"/>
        <v>0</v>
      </c>
      <c r="H311" s="298">
        <f t="shared" si="44"/>
        <v>0</v>
      </c>
      <c r="I311" s="294"/>
      <c r="O311" s="295">
        <f t="shared" si="42"/>
        <v>292</v>
      </c>
    </row>
    <row r="312" spans="1:15">
      <c r="A312" s="286"/>
      <c r="B312" s="296">
        <f t="shared" si="45"/>
        <v>293</v>
      </c>
      <c r="C312" s="297">
        <f t="shared" ref="C312:C375" si="47">IF(D312&gt;0,$F$7,0)</f>
        <v>0</v>
      </c>
      <c r="D312" s="298">
        <f t="shared" si="46"/>
        <v>0</v>
      </c>
      <c r="E312" s="299">
        <f t="shared" si="41"/>
        <v>0</v>
      </c>
      <c r="F312" s="299">
        <f t="shared" si="40"/>
        <v>0</v>
      </c>
      <c r="G312" s="299">
        <f t="shared" si="43"/>
        <v>0</v>
      </c>
      <c r="H312" s="298">
        <f t="shared" si="44"/>
        <v>0</v>
      </c>
      <c r="I312" s="294"/>
      <c r="O312" s="295">
        <f t="shared" si="42"/>
        <v>293</v>
      </c>
    </row>
    <row r="313" spans="1:15">
      <c r="A313" s="286"/>
      <c r="B313" s="296">
        <f t="shared" si="45"/>
        <v>294</v>
      </c>
      <c r="C313" s="297">
        <f t="shared" si="47"/>
        <v>0</v>
      </c>
      <c r="D313" s="298">
        <f t="shared" si="46"/>
        <v>0</v>
      </c>
      <c r="E313" s="299">
        <f t="shared" si="41"/>
        <v>0</v>
      </c>
      <c r="F313" s="299">
        <f t="shared" si="40"/>
        <v>0</v>
      </c>
      <c r="G313" s="299">
        <f t="shared" si="43"/>
        <v>0</v>
      </c>
      <c r="H313" s="298">
        <f t="shared" si="44"/>
        <v>0</v>
      </c>
      <c r="I313" s="294"/>
      <c r="O313" s="295">
        <f t="shared" si="42"/>
        <v>294</v>
      </c>
    </row>
    <row r="314" spans="1:15">
      <c r="A314" s="286"/>
      <c r="B314" s="296">
        <f t="shared" si="45"/>
        <v>295</v>
      </c>
      <c r="C314" s="297">
        <f t="shared" si="47"/>
        <v>0</v>
      </c>
      <c r="D314" s="298">
        <f t="shared" si="46"/>
        <v>0</v>
      </c>
      <c r="E314" s="299">
        <f t="shared" si="41"/>
        <v>0</v>
      </c>
      <c r="F314" s="299">
        <f t="shared" si="40"/>
        <v>0</v>
      </c>
      <c r="G314" s="299">
        <f t="shared" si="43"/>
        <v>0</v>
      </c>
      <c r="H314" s="298">
        <f t="shared" si="44"/>
        <v>0</v>
      </c>
      <c r="I314" s="294"/>
      <c r="O314" s="295">
        <f t="shared" si="42"/>
        <v>295</v>
      </c>
    </row>
    <row r="315" spans="1:15">
      <c r="A315" s="286"/>
      <c r="B315" s="296">
        <f t="shared" si="45"/>
        <v>296</v>
      </c>
      <c r="C315" s="297">
        <f t="shared" si="47"/>
        <v>0</v>
      </c>
      <c r="D315" s="298">
        <f t="shared" si="46"/>
        <v>0</v>
      </c>
      <c r="E315" s="299">
        <f t="shared" si="41"/>
        <v>0</v>
      </c>
      <c r="F315" s="299">
        <f t="shared" si="40"/>
        <v>0</v>
      </c>
      <c r="G315" s="299">
        <f t="shared" si="43"/>
        <v>0</v>
      </c>
      <c r="H315" s="298">
        <f t="shared" si="44"/>
        <v>0</v>
      </c>
      <c r="I315" s="294"/>
      <c r="O315" s="295">
        <f t="shared" si="42"/>
        <v>296</v>
      </c>
    </row>
    <row r="316" spans="1:15">
      <c r="A316" s="286"/>
      <c r="B316" s="296">
        <f t="shared" si="45"/>
        <v>297</v>
      </c>
      <c r="C316" s="297">
        <f t="shared" si="47"/>
        <v>0</v>
      </c>
      <c r="D316" s="298">
        <f t="shared" si="46"/>
        <v>0</v>
      </c>
      <c r="E316" s="299">
        <f t="shared" si="41"/>
        <v>0</v>
      </c>
      <c r="F316" s="299">
        <f t="shared" si="40"/>
        <v>0</v>
      </c>
      <c r="G316" s="299">
        <f t="shared" si="43"/>
        <v>0</v>
      </c>
      <c r="H316" s="298">
        <f t="shared" si="44"/>
        <v>0</v>
      </c>
      <c r="I316" s="294"/>
      <c r="O316" s="295">
        <f t="shared" si="42"/>
        <v>297</v>
      </c>
    </row>
    <row r="317" spans="1:15">
      <c r="A317" s="286"/>
      <c r="B317" s="296">
        <f t="shared" si="45"/>
        <v>298</v>
      </c>
      <c r="C317" s="297">
        <f t="shared" si="47"/>
        <v>0</v>
      </c>
      <c r="D317" s="298">
        <f t="shared" si="46"/>
        <v>0</v>
      </c>
      <c r="E317" s="299">
        <f t="shared" si="41"/>
        <v>0</v>
      </c>
      <c r="F317" s="299">
        <f t="shared" si="40"/>
        <v>0</v>
      </c>
      <c r="G317" s="299">
        <f t="shared" si="43"/>
        <v>0</v>
      </c>
      <c r="H317" s="298">
        <f t="shared" si="44"/>
        <v>0</v>
      </c>
      <c r="I317" s="294"/>
      <c r="O317" s="295">
        <f t="shared" si="42"/>
        <v>298</v>
      </c>
    </row>
    <row r="318" spans="1:15">
      <c r="A318" s="286"/>
      <c r="B318" s="296">
        <f t="shared" si="45"/>
        <v>299</v>
      </c>
      <c r="C318" s="297">
        <f t="shared" si="47"/>
        <v>0</v>
      </c>
      <c r="D318" s="298">
        <f t="shared" si="46"/>
        <v>0</v>
      </c>
      <c r="E318" s="299">
        <f t="shared" si="41"/>
        <v>0</v>
      </c>
      <c r="F318" s="299">
        <f t="shared" si="40"/>
        <v>0</v>
      </c>
      <c r="G318" s="299">
        <f t="shared" si="43"/>
        <v>0</v>
      </c>
      <c r="H318" s="298">
        <f t="shared" si="44"/>
        <v>0</v>
      </c>
      <c r="I318" s="294"/>
      <c r="O318" s="295">
        <f t="shared" si="42"/>
        <v>299</v>
      </c>
    </row>
    <row r="319" spans="1:15">
      <c r="A319" s="286"/>
      <c r="B319" s="300">
        <f t="shared" si="45"/>
        <v>300</v>
      </c>
      <c r="C319" s="301">
        <f t="shared" si="47"/>
        <v>0</v>
      </c>
      <c r="D319" s="302">
        <f t="shared" si="46"/>
        <v>0</v>
      </c>
      <c r="E319" s="303">
        <f t="shared" si="41"/>
        <v>0</v>
      </c>
      <c r="F319" s="303">
        <f t="shared" si="40"/>
        <v>0</v>
      </c>
      <c r="G319" s="303">
        <f t="shared" si="43"/>
        <v>0</v>
      </c>
      <c r="H319" s="302">
        <f t="shared" si="44"/>
        <v>0</v>
      </c>
      <c r="I319" s="304" t="e">
        <f>H319/$D$5</f>
        <v>#VALUE!</v>
      </c>
      <c r="J319" s="305"/>
      <c r="K319" s="305"/>
      <c r="L319" s="305"/>
      <c r="M319" s="305"/>
      <c r="N319" s="305"/>
      <c r="O319" s="306">
        <f t="shared" si="42"/>
        <v>300</v>
      </c>
    </row>
    <row r="320" spans="1:15">
      <c r="A320" s="286"/>
      <c r="B320" s="296">
        <f t="shared" si="45"/>
        <v>301</v>
      </c>
      <c r="C320" s="297">
        <f t="shared" si="47"/>
        <v>0</v>
      </c>
      <c r="D320" s="298">
        <f t="shared" si="46"/>
        <v>0</v>
      </c>
      <c r="E320" s="299">
        <f t="shared" si="41"/>
        <v>0</v>
      </c>
      <c r="F320" s="299">
        <f t="shared" si="40"/>
        <v>0</v>
      </c>
      <c r="G320" s="299">
        <f t="shared" si="43"/>
        <v>0</v>
      </c>
      <c r="H320" s="298">
        <f t="shared" si="44"/>
        <v>0</v>
      </c>
      <c r="I320" s="294"/>
      <c r="O320" s="295">
        <f t="shared" si="42"/>
        <v>301</v>
      </c>
    </row>
    <row r="321" spans="1:15">
      <c r="A321" s="286"/>
      <c r="B321" s="296">
        <f t="shared" si="45"/>
        <v>302</v>
      </c>
      <c r="C321" s="297">
        <f t="shared" si="47"/>
        <v>0</v>
      </c>
      <c r="D321" s="298">
        <f t="shared" si="46"/>
        <v>0</v>
      </c>
      <c r="E321" s="299">
        <f t="shared" si="41"/>
        <v>0</v>
      </c>
      <c r="F321" s="299">
        <f t="shared" si="40"/>
        <v>0</v>
      </c>
      <c r="G321" s="299">
        <f t="shared" si="43"/>
        <v>0</v>
      </c>
      <c r="H321" s="298">
        <f t="shared" si="44"/>
        <v>0</v>
      </c>
      <c r="I321" s="294"/>
      <c r="O321" s="295">
        <f t="shared" si="42"/>
        <v>302</v>
      </c>
    </row>
    <row r="322" spans="1:15">
      <c r="A322" s="286"/>
      <c r="B322" s="296">
        <f t="shared" si="45"/>
        <v>303</v>
      </c>
      <c r="C322" s="297">
        <f t="shared" si="47"/>
        <v>0</v>
      </c>
      <c r="D322" s="298">
        <f t="shared" si="46"/>
        <v>0</v>
      </c>
      <c r="E322" s="299">
        <f t="shared" si="41"/>
        <v>0</v>
      </c>
      <c r="F322" s="299">
        <f t="shared" si="40"/>
        <v>0</v>
      </c>
      <c r="G322" s="299">
        <f t="shared" si="43"/>
        <v>0</v>
      </c>
      <c r="H322" s="298">
        <f t="shared" si="44"/>
        <v>0</v>
      </c>
      <c r="I322" s="294"/>
      <c r="O322" s="295">
        <f t="shared" si="42"/>
        <v>303</v>
      </c>
    </row>
    <row r="323" spans="1:15">
      <c r="A323" s="286"/>
      <c r="B323" s="296">
        <f t="shared" si="45"/>
        <v>304</v>
      </c>
      <c r="C323" s="297">
        <f t="shared" si="47"/>
        <v>0</v>
      </c>
      <c r="D323" s="298">
        <f t="shared" si="46"/>
        <v>0</v>
      </c>
      <c r="E323" s="299">
        <f t="shared" si="41"/>
        <v>0</v>
      </c>
      <c r="F323" s="299">
        <f t="shared" si="40"/>
        <v>0</v>
      </c>
      <c r="G323" s="299">
        <f t="shared" si="43"/>
        <v>0</v>
      </c>
      <c r="H323" s="298">
        <f t="shared" si="44"/>
        <v>0</v>
      </c>
      <c r="I323" s="294"/>
      <c r="O323" s="295">
        <f t="shared" si="42"/>
        <v>304</v>
      </c>
    </row>
    <row r="324" spans="1:15">
      <c r="A324" s="286"/>
      <c r="B324" s="296">
        <f t="shared" si="45"/>
        <v>305</v>
      </c>
      <c r="C324" s="297">
        <f t="shared" si="47"/>
        <v>0</v>
      </c>
      <c r="D324" s="298">
        <f t="shared" si="46"/>
        <v>0</v>
      </c>
      <c r="E324" s="299">
        <f t="shared" si="41"/>
        <v>0</v>
      </c>
      <c r="F324" s="299">
        <f t="shared" si="40"/>
        <v>0</v>
      </c>
      <c r="G324" s="299">
        <f t="shared" si="43"/>
        <v>0</v>
      </c>
      <c r="H324" s="298">
        <f t="shared" si="44"/>
        <v>0</v>
      </c>
      <c r="I324" s="294"/>
      <c r="O324" s="295">
        <f t="shared" si="42"/>
        <v>305</v>
      </c>
    </row>
    <row r="325" spans="1:15">
      <c r="A325" s="286"/>
      <c r="B325" s="296">
        <f t="shared" si="45"/>
        <v>306</v>
      </c>
      <c r="C325" s="297">
        <f t="shared" si="47"/>
        <v>0</v>
      </c>
      <c r="D325" s="298">
        <f t="shared" si="46"/>
        <v>0</v>
      </c>
      <c r="E325" s="299">
        <f t="shared" si="41"/>
        <v>0</v>
      </c>
      <c r="F325" s="299">
        <f t="shared" si="40"/>
        <v>0</v>
      </c>
      <c r="G325" s="299">
        <f t="shared" si="43"/>
        <v>0</v>
      </c>
      <c r="H325" s="298">
        <f t="shared" si="44"/>
        <v>0</v>
      </c>
      <c r="I325" s="294"/>
      <c r="O325" s="295">
        <f t="shared" si="42"/>
        <v>306</v>
      </c>
    </row>
    <row r="326" spans="1:15">
      <c r="A326" s="286"/>
      <c r="B326" s="296">
        <f t="shared" si="45"/>
        <v>307</v>
      </c>
      <c r="C326" s="297">
        <f t="shared" si="47"/>
        <v>0</v>
      </c>
      <c r="D326" s="298">
        <f t="shared" si="46"/>
        <v>0</v>
      </c>
      <c r="E326" s="299">
        <f t="shared" si="41"/>
        <v>0</v>
      </c>
      <c r="F326" s="299">
        <f t="shared" si="40"/>
        <v>0</v>
      </c>
      <c r="G326" s="299">
        <f t="shared" si="43"/>
        <v>0</v>
      </c>
      <c r="H326" s="298">
        <f t="shared" si="44"/>
        <v>0</v>
      </c>
      <c r="I326" s="294"/>
      <c r="O326" s="295">
        <f t="shared" si="42"/>
        <v>307</v>
      </c>
    </row>
    <row r="327" spans="1:15">
      <c r="A327" s="286"/>
      <c r="B327" s="296">
        <f t="shared" si="45"/>
        <v>308</v>
      </c>
      <c r="C327" s="297">
        <f t="shared" si="47"/>
        <v>0</v>
      </c>
      <c r="D327" s="298">
        <f t="shared" si="46"/>
        <v>0</v>
      </c>
      <c r="E327" s="299">
        <f t="shared" si="41"/>
        <v>0</v>
      </c>
      <c r="F327" s="299">
        <f t="shared" si="40"/>
        <v>0</v>
      </c>
      <c r="G327" s="299">
        <f t="shared" si="43"/>
        <v>0</v>
      </c>
      <c r="H327" s="298">
        <f t="shared" si="44"/>
        <v>0</v>
      </c>
      <c r="I327" s="294"/>
      <c r="O327" s="295">
        <f t="shared" si="42"/>
        <v>308</v>
      </c>
    </row>
    <row r="328" spans="1:15">
      <c r="A328" s="286"/>
      <c r="B328" s="296">
        <f t="shared" si="45"/>
        <v>309</v>
      </c>
      <c r="C328" s="297">
        <f t="shared" si="47"/>
        <v>0</v>
      </c>
      <c r="D328" s="298">
        <f t="shared" si="46"/>
        <v>0</v>
      </c>
      <c r="E328" s="299">
        <f t="shared" si="41"/>
        <v>0</v>
      </c>
      <c r="F328" s="299">
        <f t="shared" si="40"/>
        <v>0</v>
      </c>
      <c r="G328" s="299">
        <f t="shared" si="43"/>
        <v>0</v>
      </c>
      <c r="H328" s="298">
        <f t="shared" si="44"/>
        <v>0</v>
      </c>
      <c r="I328" s="294"/>
      <c r="O328" s="295">
        <f t="shared" si="42"/>
        <v>309</v>
      </c>
    </row>
    <row r="329" spans="1:15">
      <c r="A329" s="286"/>
      <c r="B329" s="296">
        <f t="shared" si="45"/>
        <v>310</v>
      </c>
      <c r="C329" s="297">
        <f t="shared" si="47"/>
        <v>0</v>
      </c>
      <c r="D329" s="298">
        <f t="shared" si="46"/>
        <v>0</v>
      </c>
      <c r="E329" s="299">
        <f t="shared" si="41"/>
        <v>0</v>
      </c>
      <c r="F329" s="299">
        <f t="shared" si="40"/>
        <v>0</v>
      </c>
      <c r="G329" s="299">
        <f t="shared" si="43"/>
        <v>0</v>
      </c>
      <c r="H329" s="298">
        <f t="shared" si="44"/>
        <v>0</v>
      </c>
      <c r="I329" s="294"/>
      <c r="O329" s="295">
        <f t="shared" si="42"/>
        <v>310</v>
      </c>
    </row>
    <row r="330" spans="1:15">
      <c r="A330" s="286"/>
      <c r="B330" s="296">
        <f t="shared" si="45"/>
        <v>311</v>
      </c>
      <c r="C330" s="297">
        <f t="shared" si="47"/>
        <v>0</v>
      </c>
      <c r="D330" s="298">
        <f t="shared" si="46"/>
        <v>0</v>
      </c>
      <c r="E330" s="299">
        <f t="shared" si="41"/>
        <v>0</v>
      </c>
      <c r="F330" s="299">
        <f t="shared" si="40"/>
        <v>0</v>
      </c>
      <c r="G330" s="299">
        <f t="shared" si="43"/>
        <v>0</v>
      </c>
      <c r="H330" s="298">
        <f t="shared" si="44"/>
        <v>0</v>
      </c>
      <c r="I330" s="294"/>
      <c r="O330" s="295">
        <f t="shared" si="42"/>
        <v>311</v>
      </c>
    </row>
    <row r="331" spans="1:15">
      <c r="A331" s="286"/>
      <c r="B331" s="300">
        <f t="shared" si="45"/>
        <v>312</v>
      </c>
      <c r="C331" s="301">
        <f t="shared" si="47"/>
        <v>0</v>
      </c>
      <c r="D331" s="302">
        <f t="shared" si="46"/>
        <v>0</v>
      </c>
      <c r="E331" s="303">
        <f t="shared" si="41"/>
        <v>0</v>
      </c>
      <c r="F331" s="303">
        <f t="shared" si="40"/>
        <v>0</v>
      </c>
      <c r="G331" s="303">
        <f t="shared" si="43"/>
        <v>0</v>
      </c>
      <c r="H331" s="302">
        <f t="shared" si="44"/>
        <v>0</v>
      </c>
      <c r="I331" s="304" t="e">
        <f>H331/$D$5</f>
        <v>#VALUE!</v>
      </c>
      <c r="J331" s="305"/>
      <c r="K331" s="305"/>
      <c r="L331" s="305"/>
      <c r="M331" s="305"/>
      <c r="N331" s="305"/>
      <c r="O331" s="306">
        <f t="shared" si="42"/>
        <v>312</v>
      </c>
    </row>
    <row r="332" spans="1:15">
      <c r="A332" s="286"/>
      <c r="B332" s="296">
        <f t="shared" si="45"/>
        <v>313</v>
      </c>
      <c r="C332" s="297">
        <f t="shared" si="47"/>
        <v>0</v>
      </c>
      <c r="D332" s="298">
        <f t="shared" si="46"/>
        <v>0</v>
      </c>
      <c r="E332" s="299">
        <f t="shared" si="41"/>
        <v>0</v>
      </c>
      <c r="F332" s="299">
        <f t="shared" si="40"/>
        <v>0</v>
      </c>
      <c r="G332" s="299">
        <f t="shared" si="43"/>
        <v>0</v>
      </c>
      <c r="H332" s="298">
        <f t="shared" si="44"/>
        <v>0</v>
      </c>
      <c r="I332" s="294"/>
      <c r="O332" s="295">
        <f t="shared" si="42"/>
        <v>313</v>
      </c>
    </row>
    <row r="333" spans="1:15">
      <c r="A333" s="286"/>
      <c r="B333" s="296">
        <f t="shared" si="45"/>
        <v>314</v>
      </c>
      <c r="C333" s="297">
        <f t="shared" si="47"/>
        <v>0</v>
      </c>
      <c r="D333" s="298">
        <f t="shared" si="46"/>
        <v>0</v>
      </c>
      <c r="E333" s="299">
        <f t="shared" si="41"/>
        <v>0</v>
      </c>
      <c r="F333" s="299">
        <f t="shared" si="40"/>
        <v>0</v>
      </c>
      <c r="G333" s="299">
        <f t="shared" si="43"/>
        <v>0</v>
      </c>
      <c r="H333" s="298">
        <f t="shared" si="44"/>
        <v>0</v>
      </c>
      <c r="I333" s="294"/>
      <c r="O333" s="295">
        <f t="shared" si="42"/>
        <v>314</v>
      </c>
    </row>
    <row r="334" spans="1:15">
      <c r="A334" s="286"/>
      <c r="B334" s="296">
        <f t="shared" si="45"/>
        <v>315</v>
      </c>
      <c r="C334" s="297">
        <f t="shared" si="47"/>
        <v>0</v>
      </c>
      <c r="D334" s="298">
        <f t="shared" si="46"/>
        <v>0</v>
      </c>
      <c r="E334" s="299">
        <f t="shared" si="41"/>
        <v>0</v>
      </c>
      <c r="F334" s="299">
        <f t="shared" si="40"/>
        <v>0</v>
      </c>
      <c r="G334" s="299">
        <f t="shared" si="43"/>
        <v>0</v>
      </c>
      <c r="H334" s="298">
        <f t="shared" si="44"/>
        <v>0</v>
      </c>
      <c r="I334" s="294"/>
      <c r="O334" s="295">
        <f t="shared" si="42"/>
        <v>315</v>
      </c>
    </row>
    <row r="335" spans="1:15">
      <c r="A335" s="286"/>
      <c r="B335" s="296">
        <f t="shared" si="45"/>
        <v>316</v>
      </c>
      <c r="C335" s="297">
        <f t="shared" si="47"/>
        <v>0</v>
      </c>
      <c r="D335" s="298">
        <f t="shared" si="46"/>
        <v>0</v>
      </c>
      <c r="E335" s="299">
        <f t="shared" si="41"/>
        <v>0</v>
      </c>
      <c r="F335" s="299">
        <f t="shared" si="40"/>
        <v>0</v>
      </c>
      <c r="G335" s="299">
        <f t="shared" si="43"/>
        <v>0</v>
      </c>
      <c r="H335" s="298">
        <f t="shared" si="44"/>
        <v>0</v>
      </c>
      <c r="I335" s="294"/>
      <c r="O335" s="295">
        <f t="shared" si="42"/>
        <v>316</v>
      </c>
    </row>
    <row r="336" spans="1:15">
      <c r="A336" s="286"/>
      <c r="B336" s="296">
        <f t="shared" si="45"/>
        <v>317</v>
      </c>
      <c r="C336" s="297">
        <f t="shared" si="47"/>
        <v>0</v>
      </c>
      <c r="D336" s="298">
        <f t="shared" si="46"/>
        <v>0</v>
      </c>
      <c r="E336" s="299">
        <f t="shared" si="41"/>
        <v>0</v>
      </c>
      <c r="F336" s="299">
        <f t="shared" si="40"/>
        <v>0</v>
      </c>
      <c r="G336" s="299">
        <f t="shared" si="43"/>
        <v>0</v>
      </c>
      <c r="H336" s="298">
        <f t="shared" si="44"/>
        <v>0</v>
      </c>
      <c r="I336" s="294"/>
      <c r="O336" s="295">
        <f t="shared" si="42"/>
        <v>317</v>
      </c>
    </row>
    <row r="337" spans="1:15">
      <c r="A337" s="286"/>
      <c r="B337" s="296">
        <f t="shared" si="45"/>
        <v>318</v>
      </c>
      <c r="C337" s="297">
        <f t="shared" si="47"/>
        <v>0</v>
      </c>
      <c r="D337" s="298">
        <f t="shared" si="46"/>
        <v>0</v>
      </c>
      <c r="E337" s="299">
        <f t="shared" si="41"/>
        <v>0</v>
      </c>
      <c r="F337" s="299">
        <f t="shared" ref="F337:F400" si="48">E337-G337</f>
        <v>0</v>
      </c>
      <c r="G337" s="299">
        <f t="shared" si="43"/>
        <v>0</v>
      </c>
      <c r="H337" s="298">
        <f t="shared" si="44"/>
        <v>0</v>
      </c>
      <c r="I337" s="294"/>
      <c r="O337" s="295">
        <f t="shared" si="42"/>
        <v>318</v>
      </c>
    </row>
    <row r="338" spans="1:15">
      <c r="A338" s="286"/>
      <c r="B338" s="296">
        <f t="shared" si="45"/>
        <v>319</v>
      </c>
      <c r="C338" s="297">
        <f t="shared" si="47"/>
        <v>0</v>
      </c>
      <c r="D338" s="298">
        <f t="shared" si="46"/>
        <v>0</v>
      </c>
      <c r="E338" s="299">
        <f t="shared" si="41"/>
        <v>0</v>
      </c>
      <c r="F338" s="299">
        <f t="shared" si="48"/>
        <v>0</v>
      </c>
      <c r="G338" s="299">
        <f t="shared" si="43"/>
        <v>0</v>
      </c>
      <c r="H338" s="298">
        <f t="shared" si="44"/>
        <v>0</v>
      </c>
      <c r="I338" s="294"/>
      <c r="O338" s="295">
        <f t="shared" si="42"/>
        <v>319</v>
      </c>
    </row>
    <row r="339" spans="1:15">
      <c r="A339" s="286"/>
      <c r="B339" s="296">
        <f t="shared" si="45"/>
        <v>320</v>
      </c>
      <c r="C339" s="297">
        <f t="shared" si="47"/>
        <v>0</v>
      </c>
      <c r="D339" s="298">
        <f t="shared" si="46"/>
        <v>0</v>
      </c>
      <c r="E339" s="299">
        <f t="shared" ref="E339:E402" si="49">IF(H338&lt;=E338,H338+G339,$H$10)</f>
        <v>0</v>
      </c>
      <c r="F339" s="299">
        <f t="shared" si="48"/>
        <v>0</v>
      </c>
      <c r="G339" s="299">
        <f t="shared" si="43"/>
        <v>0</v>
      </c>
      <c r="H339" s="298">
        <f t="shared" si="44"/>
        <v>0</v>
      </c>
      <c r="I339" s="294"/>
      <c r="O339" s="295">
        <f t="shared" si="42"/>
        <v>320</v>
      </c>
    </row>
    <row r="340" spans="1:15">
      <c r="A340" s="286"/>
      <c r="B340" s="296">
        <f t="shared" si="45"/>
        <v>321</v>
      </c>
      <c r="C340" s="297">
        <f t="shared" si="47"/>
        <v>0</v>
      </c>
      <c r="D340" s="298">
        <f t="shared" si="46"/>
        <v>0</v>
      </c>
      <c r="E340" s="299">
        <f t="shared" si="49"/>
        <v>0</v>
      </c>
      <c r="F340" s="299">
        <f t="shared" si="48"/>
        <v>0</v>
      </c>
      <c r="G340" s="299">
        <f t="shared" si="43"/>
        <v>0</v>
      </c>
      <c r="H340" s="298">
        <f t="shared" si="44"/>
        <v>0</v>
      </c>
      <c r="I340" s="294"/>
      <c r="O340" s="295">
        <f t="shared" ref="O340:O379" si="50">IF(H340=0,B340,"n.a.")</f>
        <v>321</v>
      </c>
    </row>
    <row r="341" spans="1:15">
      <c r="A341" s="286"/>
      <c r="B341" s="296">
        <f t="shared" si="45"/>
        <v>322</v>
      </c>
      <c r="C341" s="297">
        <f t="shared" si="47"/>
        <v>0</v>
      </c>
      <c r="D341" s="298">
        <f t="shared" si="46"/>
        <v>0</v>
      </c>
      <c r="E341" s="299">
        <f t="shared" si="49"/>
        <v>0</v>
      </c>
      <c r="F341" s="299">
        <f t="shared" si="48"/>
        <v>0</v>
      </c>
      <c r="G341" s="299">
        <f t="shared" ref="G341:G404" si="51">C341*(D341/365)*30</f>
        <v>0</v>
      </c>
      <c r="H341" s="298">
        <f t="shared" ref="H341:H404" si="52">IF((D341+G341-E341)&lt;0,0,D341+G341-E341)</f>
        <v>0</v>
      </c>
      <c r="I341" s="294"/>
      <c r="O341" s="295">
        <f t="shared" si="50"/>
        <v>322</v>
      </c>
    </row>
    <row r="342" spans="1:15">
      <c r="A342" s="286"/>
      <c r="B342" s="296">
        <f t="shared" ref="B342:B405" si="53">B341+1</f>
        <v>323</v>
      </c>
      <c r="C342" s="297">
        <f t="shared" si="47"/>
        <v>0</v>
      </c>
      <c r="D342" s="298">
        <f t="shared" ref="D342:D405" si="54">H341</f>
        <v>0</v>
      </c>
      <c r="E342" s="299">
        <f t="shared" si="49"/>
        <v>0</v>
      </c>
      <c r="F342" s="299">
        <f t="shared" si="48"/>
        <v>0</v>
      </c>
      <c r="G342" s="299">
        <f t="shared" si="51"/>
        <v>0</v>
      </c>
      <c r="H342" s="298">
        <f t="shared" si="52"/>
        <v>0</v>
      </c>
      <c r="I342" s="294"/>
      <c r="O342" s="295">
        <f t="shared" si="50"/>
        <v>323</v>
      </c>
    </row>
    <row r="343" spans="1:15">
      <c r="A343" s="286"/>
      <c r="B343" s="300">
        <f t="shared" si="53"/>
        <v>324</v>
      </c>
      <c r="C343" s="301">
        <f t="shared" si="47"/>
        <v>0</v>
      </c>
      <c r="D343" s="302">
        <f t="shared" si="54"/>
        <v>0</v>
      </c>
      <c r="E343" s="303">
        <f t="shared" si="49"/>
        <v>0</v>
      </c>
      <c r="F343" s="303">
        <f t="shared" si="48"/>
        <v>0</v>
      </c>
      <c r="G343" s="303">
        <f t="shared" si="51"/>
        <v>0</v>
      </c>
      <c r="H343" s="302">
        <f t="shared" si="52"/>
        <v>0</v>
      </c>
      <c r="I343" s="304" t="e">
        <f>H343/$D$5</f>
        <v>#VALUE!</v>
      </c>
      <c r="J343" s="305"/>
      <c r="K343" s="305"/>
      <c r="L343" s="305"/>
      <c r="M343" s="305"/>
      <c r="N343" s="305"/>
      <c r="O343" s="306">
        <f t="shared" si="50"/>
        <v>324</v>
      </c>
    </row>
    <row r="344" spans="1:15">
      <c r="A344" s="286"/>
      <c r="B344" s="296">
        <f t="shared" si="53"/>
        <v>325</v>
      </c>
      <c r="C344" s="297">
        <f t="shared" si="47"/>
        <v>0</v>
      </c>
      <c r="D344" s="298">
        <f t="shared" si="54"/>
        <v>0</v>
      </c>
      <c r="E344" s="299">
        <f t="shared" si="49"/>
        <v>0</v>
      </c>
      <c r="F344" s="299">
        <f t="shared" si="48"/>
        <v>0</v>
      </c>
      <c r="G344" s="299">
        <f t="shared" si="51"/>
        <v>0</v>
      </c>
      <c r="H344" s="298">
        <f t="shared" si="52"/>
        <v>0</v>
      </c>
      <c r="I344" s="294"/>
      <c r="O344" s="295">
        <f t="shared" si="50"/>
        <v>325</v>
      </c>
    </row>
    <row r="345" spans="1:15">
      <c r="A345" s="286"/>
      <c r="B345" s="296">
        <f t="shared" si="53"/>
        <v>326</v>
      </c>
      <c r="C345" s="297">
        <f t="shared" si="47"/>
        <v>0</v>
      </c>
      <c r="D345" s="298">
        <f t="shared" si="54"/>
        <v>0</v>
      </c>
      <c r="E345" s="299">
        <f t="shared" si="49"/>
        <v>0</v>
      </c>
      <c r="F345" s="299">
        <f t="shared" si="48"/>
        <v>0</v>
      </c>
      <c r="G345" s="299">
        <f t="shared" si="51"/>
        <v>0</v>
      </c>
      <c r="H345" s="298">
        <f t="shared" si="52"/>
        <v>0</v>
      </c>
      <c r="I345" s="294"/>
      <c r="O345" s="295">
        <f t="shared" si="50"/>
        <v>326</v>
      </c>
    </row>
    <row r="346" spans="1:15">
      <c r="A346" s="286"/>
      <c r="B346" s="296">
        <f t="shared" si="53"/>
        <v>327</v>
      </c>
      <c r="C346" s="297">
        <f t="shared" si="47"/>
        <v>0</v>
      </c>
      <c r="D346" s="298">
        <f t="shared" si="54"/>
        <v>0</v>
      </c>
      <c r="E346" s="299">
        <f t="shared" si="49"/>
        <v>0</v>
      </c>
      <c r="F346" s="299">
        <f t="shared" si="48"/>
        <v>0</v>
      </c>
      <c r="G346" s="299">
        <f t="shared" si="51"/>
        <v>0</v>
      </c>
      <c r="H346" s="298">
        <f t="shared" si="52"/>
        <v>0</v>
      </c>
      <c r="I346" s="294"/>
      <c r="O346" s="295">
        <f t="shared" si="50"/>
        <v>327</v>
      </c>
    </row>
    <row r="347" spans="1:15">
      <c r="A347" s="286"/>
      <c r="B347" s="296">
        <f t="shared" si="53"/>
        <v>328</v>
      </c>
      <c r="C347" s="297">
        <f t="shared" si="47"/>
        <v>0</v>
      </c>
      <c r="D347" s="298">
        <f t="shared" si="54"/>
        <v>0</v>
      </c>
      <c r="E347" s="299">
        <f t="shared" si="49"/>
        <v>0</v>
      </c>
      <c r="F347" s="299">
        <f t="shared" si="48"/>
        <v>0</v>
      </c>
      <c r="G347" s="299">
        <f t="shared" si="51"/>
        <v>0</v>
      </c>
      <c r="H347" s="298">
        <f t="shared" si="52"/>
        <v>0</v>
      </c>
      <c r="I347" s="294"/>
      <c r="O347" s="295">
        <f t="shared" si="50"/>
        <v>328</v>
      </c>
    </row>
    <row r="348" spans="1:15">
      <c r="A348" s="286"/>
      <c r="B348" s="296">
        <f t="shared" si="53"/>
        <v>329</v>
      </c>
      <c r="C348" s="297">
        <f t="shared" si="47"/>
        <v>0</v>
      </c>
      <c r="D348" s="298">
        <f t="shared" si="54"/>
        <v>0</v>
      </c>
      <c r="E348" s="299">
        <f t="shared" si="49"/>
        <v>0</v>
      </c>
      <c r="F348" s="299">
        <f t="shared" si="48"/>
        <v>0</v>
      </c>
      <c r="G348" s="299">
        <f t="shared" si="51"/>
        <v>0</v>
      </c>
      <c r="H348" s="298">
        <f t="shared" si="52"/>
        <v>0</v>
      </c>
      <c r="I348" s="294"/>
      <c r="O348" s="295">
        <f t="shared" si="50"/>
        <v>329</v>
      </c>
    </row>
    <row r="349" spans="1:15">
      <c r="A349" s="286"/>
      <c r="B349" s="296">
        <f t="shared" si="53"/>
        <v>330</v>
      </c>
      <c r="C349" s="297">
        <f t="shared" si="47"/>
        <v>0</v>
      </c>
      <c r="D349" s="298">
        <f t="shared" si="54"/>
        <v>0</v>
      </c>
      <c r="E349" s="299">
        <f t="shared" si="49"/>
        <v>0</v>
      </c>
      <c r="F349" s="299">
        <f t="shared" si="48"/>
        <v>0</v>
      </c>
      <c r="G349" s="299">
        <f t="shared" si="51"/>
        <v>0</v>
      </c>
      <c r="H349" s="298">
        <f t="shared" si="52"/>
        <v>0</v>
      </c>
      <c r="I349" s="294"/>
      <c r="O349" s="295">
        <f t="shared" si="50"/>
        <v>330</v>
      </c>
    </row>
    <row r="350" spans="1:15">
      <c r="A350" s="286"/>
      <c r="B350" s="296">
        <f t="shared" si="53"/>
        <v>331</v>
      </c>
      <c r="C350" s="307">
        <f t="shared" si="47"/>
        <v>0</v>
      </c>
      <c r="D350" s="298">
        <f t="shared" si="54"/>
        <v>0</v>
      </c>
      <c r="E350" s="299">
        <f t="shared" si="49"/>
        <v>0</v>
      </c>
      <c r="F350" s="299">
        <f t="shared" si="48"/>
        <v>0</v>
      </c>
      <c r="G350" s="299">
        <f t="shared" si="51"/>
        <v>0</v>
      </c>
      <c r="H350" s="298">
        <f t="shared" si="52"/>
        <v>0</v>
      </c>
      <c r="I350" s="294"/>
      <c r="O350" s="295">
        <f t="shared" si="50"/>
        <v>331</v>
      </c>
    </row>
    <row r="351" spans="1:15">
      <c r="A351" s="286"/>
      <c r="B351" s="296">
        <f t="shared" si="53"/>
        <v>332</v>
      </c>
      <c r="C351" s="307">
        <f t="shared" si="47"/>
        <v>0</v>
      </c>
      <c r="D351" s="298">
        <f t="shared" si="54"/>
        <v>0</v>
      </c>
      <c r="E351" s="299">
        <f t="shared" si="49"/>
        <v>0</v>
      </c>
      <c r="F351" s="299">
        <f t="shared" si="48"/>
        <v>0</v>
      </c>
      <c r="G351" s="299">
        <f t="shared" si="51"/>
        <v>0</v>
      </c>
      <c r="H351" s="298">
        <f t="shared" si="52"/>
        <v>0</v>
      </c>
      <c r="I351" s="294"/>
      <c r="O351" s="295">
        <f t="shared" si="50"/>
        <v>332</v>
      </c>
    </row>
    <row r="352" spans="1:15">
      <c r="A352" s="286"/>
      <c r="B352" s="296">
        <f t="shared" si="53"/>
        <v>333</v>
      </c>
      <c r="C352" s="307">
        <f t="shared" si="47"/>
        <v>0</v>
      </c>
      <c r="D352" s="298">
        <f t="shared" si="54"/>
        <v>0</v>
      </c>
      <c r="E352" s="299">
        <f t="shared" si="49"/>
        <v>0</v>
      </c>
      <c r="F352" s="299">
        <f t="shared" si="48"/>
        <v>0</v>
      </c>
      <c r="G352" s="299">
        <f t="shared" si="51"/>
        <v>0</v>
      </c>
      <c r="H352" s="298">
        <f t="shared" si="52"/>
        <v>0</v>
      </c>
      <c r="I352" s="294"/>
      <c r="O352" s="295">
        <f t="shared" si="50"/>
        <v>333</v>
      </c>
    </row>
    <row r="353" spans="1:15">
      <c r="A353" s="286"/>
      <c r="B353" s="296">
        <f t="shared" si="53"/>
        <v>334</v>
      </c>
      <c r="C353" s="307">
        <f t="shared" si="47"/>
        <v>0</v>
      </c>
      <c r="D353" s="298">
        <f t="shared" si="54"/>
        <v>0</v>
      </c>
      <c r="E353" s="299">
        <f t="shared" si="49"/>
        <v>0</v>
      </c>
      <c r="F353" s="299">
        <f t="shared" si="48"/>
        <v>0</v>
      </c>
      <c r="G353" s="299">
        <f t="shared" si="51"/>
        <v>0</v>
      </c>
      <c r="H353" s="298">
        <f t="shared" si="52"/>
        <v>0</v>
      </c>
      <c r="I353" s="294"/>
      <c r="O353" s="295">
        <f t="shared" si="50"/>
        <v>334</v>
      </c>
    </row>
    <row r="354" spans="1:15">
      <c r="A354" s="286"/>
      <c r="B354" s="296">
        <f t="shared" si="53"/>
        <v>335</v>
      </c>
      <c r="C354" s="307">
        <f t="shared" si="47"/>
        <v>0</v>
      </c>
      <c r="D354" s="298">
        <f t="shared" si="54"/>
        <v>0</v>
      </c>
      <c r="E354" s="299">
        <f t="shared" si="49"/>
        <v>0</v>
      </c>
      <c r="F354" s="299">
        <f t="shared" si="48"/>
        <v>0</v>
      </c>
      <c r="G354" s="299">
        <f t="shared" si="51"/>
        <v>0</v>
      </c>
      <c r="H354" s="298">
        <f t="shared" si="52"/>
        <v>0</v>
      </c>
      <c r="I354" s="294"/>
      <c r="O354" s="295">
        <f t="shared" si="50"/>
        <v>335</v>
      </c>
    </row>
    <row r="355" spans="1:15">
      <c r="A355" s="286"/>
      <c r="B355" s="300">
        <f t="shared" si="53"/>
        <v>336</v>
      </c>
      <c r="C355" s="308">
        <f t="shared" si="47"/>
        <v>0</v>
      </c>
      <c r="D355" s="302">
        <f t="shared" si="54"/>
        <v>0</v>
      </c>
      <c r="E355" s="303">
        <f t="shared" si="49"/>
        <v>0</v>
      </c>
      <c r="F355" s="303">
        <f t="shared" si="48"/>
        <v>0</v>
      </c>
      <c r="G355" s="303">
        <f t="shared" si="51"/>
        <v>0</v>
      </c>
      <c r="H355" s="302">
        <f t="shared" si="52"/>
        <v>0</v>
      </c>
      <c r="I355" s="304" t="e">
        <f>H355/$D$5</f>
        <v>#VALUE!</v>
      </c>
      <c r="J355" s="305"/>
      <c r="K355" s="305"/>
      <c r="L355" s="305"/>
      <c r="M355" s="305"/>
      <c r="N355" s="305"/>
      <c r="O355" s="306">
        <f t="shared" si="50"/>
        <v>336</v>
      </c>
    </row>
    <row r="356" spans="1:15">
      <c r="A356" s="286"/>
      <c r="B356" s="296">
        <f t="shared" si="53"/>
        <v>337</v>
      </c>
      <c r="C356" s="307">
        <f t="shared" si="47"/>
        <v>0</v>
      </c>
      <c r="D356" s="298">
        <f t="shared" si="54"/>
        <v>0</v>
      </c>
      <c r="E356" s="299">
        <f t="shared" si="49"/>
        <v>0</v>
      </c>
      <c r="F356" s="299">
        <f t="shared" si="48"/>
        <v>0</v>
      </c>
      <c r="G356" s="299">
        <f t="shared" si="51"/>
        <v>0</v>
      </c>
      <c r="H356" s="298">
        <f t="shared" si="52"/>
        <v>0</v>
      </c>
      <c r="I356" s="294"/>
      <c r="O356" s="295">
        <f t="shared" si="50"/>
        <v>337</v>
      </c>
    </row>
    <row r="357" spans="1:15">
      <c r="A357" s="286"/>
      <c r="B357" s="296">
        <f t="shared" si="53"/>
        <v>338</v>
      </c>
      <c r="C357" s="307">
        <f t="shared" si="47"/>
        <v>0</v>
      </c>
      <c r="D357" s="298">
        <f t="shared" si="54"/>
        <v>0</v>
      </c>
      <c r="E357" s="299">
        <f t="shared" si="49"/>
        <v>0</v>
      </c>
      <c r="F357" s="299">
        <f t="shared" si="48"/>
        <v>0</v>
      </c>
      <c r="G357" s="299">
        <f t="shared" si="51"/>
        <v>0</v>
      </c>
      <c r="H357" s="298">
        <f t="shared" si="52"/>
        <v>0</v>
      </c>
      <c r="I357" s="294"/>
      <c r="O357" s="295">
        <f t="shared" si="50"/>
        <v>338</v>
      </c>
    </row>
    <row r="358" spans="1:15">
      <c r="A358" s="286"/>
      <c r="B358" s="296">
        <f t="shared" si="53"/>
        <v>339</v>
      </c>
      <c r="C358" s="307">
        <f t="shared" si="47"/>
        <v>0</v>
      </c>
      <c r="D358" s="298">
        <f t="shared" si="54"/>
        <v>0</v>
      </c>
      <c r="E358" s="299">
        <f t="shared" si="49"/>
        <v>0</v>
      </c>
      <c r="F358" s="299">
        <f t="shared" si="48"/>
        <v>0</v>
      </c>
      <c r="G358" s="299">
        <f t="shared" si="51"/>
        <v>0</v>
      </c>
      <c r="H358" s="298">
        <f t="shared" si="52"/>
        <v>0</v>
      </c>
      <c r="I358" s="294"/>
      <c r="O358" s="295">
        <f t="shared" si="50"/>
        <v>339</v>
      </c>
    </row>
    <row r="359" spans="1:15">
      <c r="A359" s="286"/>
      <c r="B359" s="296">
        <f t="shared" si="53"/>
        <v>340</v>
      </c>
      <c r="C359" s="307">
        <f t="shared" si="47"/>
        <v>0</v>
      </c>
      <c r="D359" s="298">
        <f t="shared" si="54"/>
        <v>0</v>
      </c>
      <c r="E359" s="299">
        <f t="shared" si="49"/>
        <v>0</v>
      </c>
      <c r="F359" s="299">
        <f t="shared" si="48"/>
        <v>0</v>
      </c>
      <c r="G359" s="299">
        <f t="shared" si="51"/>
        <v>0</v>
      </c>
      <c r="H359" s="298">
        <f t="shared" si="52"/>
        <v>0</v>
      </c>
      <c r="I359" s="294"/>
      <c r="O359" s="295">
        <f t="shared" si="50"/>
        <v>340</v>
      </c>
    </row>
    <row r="360" spans="1:15">
      <c r="A360" s="286"/>
      <c r="B360" s="296">
        <f t="shared" si="53"/>
        <v>341</v>
      </c>
      <c r="C360" s="307">
        <f t="shared" si="47"/>
        <v>0</v>
      </c>
      <c r="D360" s="298">
        <f t="shared" si="54"/>
        <v>0</v>
      </c>
      <c r="E360" s="299">
        <f t="shared" si="49"/>
        <v>0</v>
      </c>
      <c r="F360" s="299">
        <f t="shared" si="48"/>
        <v>0</v>
      </c>
      <c r="G360" s="299">
        <f t="shared" si="51"/>
        <v>0</v>
      </c>
      <c r="H360" s="298">
        <f t="shared" si="52"/>
        <v>0</v>
      </c>
      <c r="I360" s="294"/>
      <c r="O360" s="295">
        <f t="shared" si="50"/>
        <v>341</v>
      </c>
    </row>
    <row r="361" spans="1:15">
      <c r="A361" s="286"/>
      <c r="B361" s="296">
        <f t="shared" si="53"/>
        <v>342</v>
      </c>
      <c r="C361" s="307">
        <f t="shared" si="47"/>
        <v>0</v>
      </c>
      <c r="D361" s="298">
        <f t="shared" si="54"/>
        <v>0</v>
      </c>
      <c r="E361" s="299">
        <f t="shared" si="49"/>
        <v>0</v>
      </c>
      <c r="F361" s="299">
        <f t="shared" si="48"/>
        <v>0</v>
      </c>
      <c r="G361" s="299">
        <f t="shared" si="51"/>
        <v>0</v>
      </c>
      <c r="H361" s="298">
        <f t="shared" si="52"/>
        <v>0</v>
      </c>
      <c r="I361" s="294"/>
      <c r="O361" s="295">
        <f t="shared" si="50"/>
        <v>342</v>
      </c>
    </row>
    <row r="362" spans="1:15">
      <c r="A362" s="286"/>
      <c r="B362" s="296">
        <f t="shared" si="53"/>
        <v>343</v>
      </c>
      <c r="C362" s="307">
        <f t="shared" si="47"/>
        <v>0</v>
      </c>
      <c r="D362" s="298">
        <f t="shared" si="54"/>
        <v>0</v>
      </c>
      <c r="E362" s="299">
        <f t="shared" si="49"/>
        <v>0</v>
      </c>
      <c r="F362" s="299">
        <f t="shared" si="48"/>
        <v>0</v>
      </c>
      <c r="G362" s="299">
        <f t="shared" si="51"/>
        <v>0</v>
      </c>
      <c r="H362" s="298">
        <f t="shared" si="52"/>
        <v>0</v>
      </c>
      <c r="I362" s="294"/>
      <c r="O362" s="295">
        <f t="shared" si="50"/>
        <v>343</v>
      </c>
    </row>
    <row r="363" spans="1:15">
      <c r="A363" s="286"/>
      <c r="B363" s="296">
        <f t="shared" si="53"/>
        <v>344</v>
      </c>
      <c r="C363" s="307">
        <f t="shared" si="47"/>
        <v>0</v>
      </c>
      <c r="D363" s="298">
        <f t="shared" si="54"/>
        <v>0</v>
      </c>
      <c r="E363" s="299">
        <f t="shared" si="49"/>
        <v>0</v>
      </c>
      <c r="F363" s="299">
        <f t="shared" si="48"/>
        <v>0</v>
      </c>
      <c r="G363" s="299">
        <f t="shared" si="51"/>
        <v>0</v>
      </c>
      <c r="H363" s="298">
        <f t="shared" si="52"/>
        <v>0</v>
      </c>
      <c r="I363" s="294"/>
      <c r="O363" s="295">
        <f t="shared" si="50"/>
        <v>344</v>
      </c>
    </row>
    <row r="364" spans="1:15">
      <c r="A364" s="286"/>
      <c r="B364" s="296">
        <f t="shared" si="53"/>
        <v>345</v>
      </c>
      <c r="C364" s="307">
        <f t="shared" si="47"/>
        <v>0</v>
      </c>
      <c r="D364" s="298">
        <f t="shared" si="54"/>
        <v>0</v>
      </c>
      <c r="E364" s="299">
        <f t="shared" si="49"/>
        <v>0</v>
      </c>
      <c r="F364" s="299">
        <f t="shared" si="48"/>
        <v>0</v>
      </c>
      <c r="G364" s="299">
        <f t="shared" si="51"/>
        <v>0</v>
      </c>
      <c r="H364" s="298">
        <f t="shared" si="52"/>
        <v>0</v>
      </c>
      <c r="I364" s="294"/>
      <c r="O364" s="295">
        <f t="shared" si="50"/>
        <v>345</v>
      </c>
    </row>
    <row r="365" spans="1:15">
      <c r="A365" s="286"/>
      <c r="B365" s="296">
        <f t="shared" si="53"/>
        <v>346</v>
      </c>
      <c r="C365" s="307">
        <f t="shared" si="47"/>
        <v>0</v>
      </c>
      <c r="D365" s="298">
        <f t="shared" si="54"/>
        <v>0</v>
      </c>
      <c r="E365" s="299">
        <f t="shared" si="49"/>
        <v>0</v>
      </c>
      <c r="F365" s="299">
        <f t="shared" si="48"/>
        <v>0</v>
      </c>
      <c r="G365" s="299">
        <f t="shared" si="51"/>
        <v>0</v>
      </c>
      <c r="H365" s="298">
        <f t="shared" si="52"/>
        <v>0</v>
      </c>
      <c r="I365" s="294"/>
      <c r="O365" s="295">
        <f t="shared" si="50"/>
        <v>346</v>
      </c>
    </row>
    <row r="366" spans="1:15">
      <c r="A366" s="286"/>
      <c r="B366" s="296">
        <f t="shared" si="53"/>
        <v>347</v>
      </c>
      <c r="C366" s="307">
        <f t="shared" si="47"/>
        <v>0</v>
      </c>
      <c r="D366" s="298">
        <f t="shared" si="54"/>
        <v>0</v>
      </c>
      <c r="E366" s="299">
        <f t="shared" si="49"/>
        <v>0</v>
      </c>
      <c r="F366" s="299">
        <f t="shared" si="48"/>
        <v>0</v>
      </c>
      <c r="G366" s="299">
        <f t="shared" si="51"/>
        <v>0</v>
      </c>
      <c r="H366" s="298">
        <f t="shared" si="52"/>
        <v>0</v>
      </c>
      <c r="I366" s="294"/>
      <c r="O366" s="295">
        <f t="shared" si="50"/>
        <v>347</v>
      </c>
    </row>
    <row r="367" spans="1:15">
      <c r="A367" s="286"/>
      <c r="B367" s="300">
        <f t="shared" si="53"/>
        <v>348</v>
      </c>
      <c r="C367" s="308">
        <f t="shared" si="47"/>
        <v>0</v>
      </c>
      <c r="D367" s="302">
        <f t="shared" si="54"/>
        <v>0</v>
      </c>
      <c r="E367" s="303">
        <f t="shared" si="49"/>
        <v>0</v>
      </c>
      <c r="F367" s="303">
        <f t="shared" si="48"/>
        <v>0</v>
      </c>
      <c r="G367" s="303">
        <f t="shared" si="51"/>
        <v>0</v>
      </c>
      <c r="H367" s="302">
        <f t="shared" si="52"/>
        <v>0</v>
      </c>
      <c r="I367" s="304" t="e">
        <f>H367/$D$5</f>
        <v>#VALUE!</v>
      </c>
      <c r="J367" s="305"/>
      <c r="K367" s="305"/>
      <c r="L367" s="305"/>
      <c r="M367" s="305"/>
      <c r="N367" s="305"/>
      <c r="O367" s="306">
        <f t="shared" si="50"/>
        <v>348</v>
      </c>
    </row>
    <row r="368" spans="1:15">
      <c r="A368" s="286"/>
      <c r="B368" s="296">
        <f t="shared" si="53"/>
        <v>349</v>
      </c>
      <c r="C368" s="307">
        <f t="shared" si="47"/>
        <v>0</v>
      </c>
      <c r="D368" s="298">
        <f t="shared" si="54"/>
        <v>0</v>
      </c>
      <c r="E368" s="299">
        <f t="shared" si="49"/>
        <v>0</v>
      </c>
      <c r="F368" s="299">
        <f t="shared" si="48"/>
        <v>0</v>
      </c>
      <c r="G368" s="299">
        <f t="shared" si="51"/>
        <v>0</v>
      </c>
      <c r="H368" s="298">
        <f t="shared" si="52"/>
        <v>0</v>
      </c>
      <c r="I368" s="294"/>
      <c r="O368" s="295">
        <f t="shared" si="50"/>
        <v>349</v>
      </c>
    </row>
    <row r="369" spans="1:15">
      <c r="A369" s="286"/>
      <c r="B369" s="296">
        <f t="shared" si="53"/>
        <v>350</v>
      </c>
      <c r="C369" s="307">
        <f t="shared" si="47"/>
        <v>0</v>
      </c>
      <c r="D369" s="298">
        <f t="shared" si="54"/>
        <v>0</v>
      </c>
      <c r="E369" s="299">
        <f t="shared" si="49"/>
        <v>0</v>
      </c>
      <c r="F369" s="299">
        <f t="shared" si="48"/>
        <v>0</v>
      </c>
      <c r="G369" s="299">
        <f t="shared" si="51"/>
        <v>0</v>
      </c>
      <c r="H369" s="298">
        <f t="shared" si="52"/>
        <v>0</v>
      </c>
      <c r="I369" s="294"/>
      <c r="O369" s="295">
        <f t="shared" si="50"/>
        <v>350</v>
      </c>
    </row>
    <row r="370" spans="1:15">
      <c r="A370" s="286"/>
      <c r="B370" s="296">
        <f t="shared" si="53"/>
        <v>351</v>
      </c>
      <c r="C370" s="307">
        <f t="shared" si="47"/>
        <v>0</v>
      </c>
      <c r="D370" s="298">
        <f t="shared" si="54"/>
        <v>0</v>
      </c>
      <c r="E370" s="299">
        <f t="shared" si="49"/>
        <v>0</v>
      </c>
      <c r="F370" s="299">
        <f t="shared" si="48"/>
        <v>0</v>
      </c>
      <c r="G370" s="299">
        <f t="shared" si="51"/>
        <v>0</v>
      </c>
      <c r="H370" s="298">
        <f t="shared" si="52"/>
        <v>0</v>
      </c>
      <c r="I370" s="294"/>
      <c r="O370" s="295">
        <f t="shared" si="50"/>
        <v>351</v>
      </c>
    </row>
    <row r="371" spans="1:15">
      <c r="A371" s="286"/>
      <c r="B371" s="296">
        <f t="shared" si="53"/>
        <v>352</v>
      </c>
      <c r="C371" s="307">
        <f t="shared" si="47"/>
        <v>0</v>
      </c>
      <c r="D371" s="298">
        <f t="shared" si="54"/>
        <v>0</v>
      </c>
      <c r="E371" s="299">
        <f t="shared" si="49"/>
        <v>0</v>
      </c>
      <c r="F371" s="299">
        <f t="shared" si="48"/>
        <v>0</v>
      </c>
      <c r="G371" s="299">
        <f t="shared" si="51"/>
        <v>0</v>
      </c>
      <c r="H371" s="298">
        <f t="shared" si="52"/>
        <v>0</v>
      </c>
      <c r="I371" s="294"/>
      <c r="O371" s="295">
        <f t="shared" si="50"/>
        <v>352</v>
      </c>
    </row>
    <row r="372" spans="1:15">
      <c r="A372" s="286"/>
      <c r="B372" s="296">
        <f t="shared" si="53"/>
        <v>353</v>
      </c>
      <c r="C372" s="307">
        <f t="shared" si="47"/>
        <v>0</v>
      </c>
      <c r="D372" s="298">
        <f t="shared" si="54"/>
        <v>0</v>
      </c>
      <c r="E372" s="299">
        <f t="shared" si="49"/>
        <v>0</v>
      </c>
      <c r="F372" s="299">
        <f t="shared" si="48"/>
        <v>0</v>
      </c>
      <c r="G372" s="299">
        <f t="shared" si="51"/>
        <v>0</v>
      </c>
      <c r="H372" s="298">
        <f t="shared" si="52"/>
        <v>0</v>
      </c>
      <c r="I372" s="294"/>
      <c r="O372" s="295">
        <f t="shared" si="50"/>
        <v>353</v>
      </c>
    </row>
    <row r="373" spans="1:15">
      <c r="A373" s="286"/>
      <c r="B373" s="296">
        <f t="shared" si="53"/>
        <v>354</v>
      </c>
      <c r="C373" s="307">
        <f t="shared" si="47"/>
        <v>0</v>
      </c>
      <c r="D373" s="298">
        <f t="shared" si="54"/>
        <v>0</v>
      </c>
      <c r="E373" s="299">
        <f t="shared" si="49"/>
        <v>0</v>
      </c>
      <c r="F373" s="299">
        <f t="shared" si="48"/>
        <v>0</v>
      </c>
      <c r="G373" s="299">
        <f t="shared" si="51"/>
        <v>0</v>
      </c>
      <c r="H373" s="298">
        <f t="shared" si="52"/>
        <v>0</v>
      </c>
      <c r="I373" s="294"/>
      <c r="O373" s="295">
        <f t="shared" si="50"/>
        <v>354</v>
      </c>
    </row>
    <row r="374" spans="1:15">
      <c r="A374" s="286"/>
      <c r="B374" s="296">
        <f t="shared" si="53"/>
        <v>355</v>
      </c>
      <c r="C374" s="307">
        <f t="shared" si="47"/>
        <v>0</v>
      </c>
      <c r="D374" s="298">
        <f t="shared" si="54"/>
        <v>0</v>
      </c>
      <c r="E374" s="299">
        <f t="shared" si="49"/>
        <v>0</v>
      </c>
      <c r="F374" s="299">
        <f t="shared" si="48"/>
        <v>0</v>
      </c>
      <c r="G374" s="299">
        <f t="shared" si="51"/>
        <v>0</v>
      </c>
      <c r="H374" s="298">
        <f t="shared" si="52"/>
        <v>0</v>
      </c>
      <c r="I374" s="294"/>
      <c r="O374" s="295">
        <f t="shared" si="50"/>
        <v>355</v>
      </c>
    </row>
    <row r="375" spans="1:15">
      <c r="A375" s="286"/>
      <c r="B375" s="296">
        <f t="shared" si="53"/>
        <v>356</v>
      </c>
      <c r="C375" s="307">
        <f t="shared" si="47"/>
        <v>0</v>
      </c>
      <c r="D375" s="298">
        <f t="shared" si="54"/>
        <v>0</v>
      </c>
      <c r="E375" s="299">
        <f t="shared" si="49"/>
        <v>0</v>
      </c>
      <c r="F375" s="299">
        <f t="shared" si="48"/>
        <v>0</v>
      </c>
      <c r="G375" s="299">
        <f t="shared" si="51"/>
        <v>0</v>
      </c>
      <c r="H375" s="298">
        <f t="shared" si="52"/>
        <v>0</v>
      </c>
      <c r="I375" s="294"/>
      <c r="O375" s="295">
        <f t="shared" si="50"/>
        <v>356</v>
      </c>
    </row>
    <row r="376" spans="1:15">
      <c r="A376" s="286"/>
      <c r="B376" s="296">
        <f t="shared" si="53"/>
        <v>357</v>
      </c>
      <c r="C376" s="307">
        <f t="shared" ref="C376:C431" si="55">IF(D376&gt;0,$F$7,0)</f>
        <v>0</v>
      </c>
      <c r="D376" s="298">
        <f t="shared" si="54"/>
        <v>0</v>
      </c>
      <c r="E376" s="299">
        <f t="shared" si="49"/>
        <v>0</v>
      </c>
      <c r="F376" s="299">
        <f t="shared" si="48"/>
        <v>0</v>
      </c>
      <c r="G376" s="299">
        <f t="shared" si="51"/>
        <v>0</v>
      </c>
      <c r="H376" s="298">
        <f t="shared" si="52"/>
        <v>0</v>
      </c>
      <c r="I376" s="294"/>
      <c r="O376" s="295">
        <f t="shared" si="50"/>
        <v>357</v>
      </c>
    </row>
    <row r="377" spans="1:15">
      <c r="A377" s="286"/>
      <c r="B377" s="296">
        <f t="shared" si="53"/>
        <v>358</v>
      </c>
      <c r="C377" s="307">
        <f t="shared" si="55"/>
        <v>0</v>
      </c>
      <c r="D377" s="298">
        <f t="shared" si="54"/>
        <v>0</v>
      </c>
      <c r="E377" s="299">
        <f t="shared" si="49"/>
        <v>0</v>
      </c>
      <c r="F377" s="299">
        <f t="shared" si="48"/>
        <v>0</v>
      </c>
      <c r="G377" s="299">
        <f t="shared" si="51"/>
        <v>0</v>
      </c>
      <c r="H377" s="298">
        <f t="shared" si="52"/>
        <v>0</v>
      </c>
      <c r="I377" s="294"/>
      <c r="O377" s="295">
        <f t="shared" si="50"/>
        <v>358</v>
      </c>
    </row>
    <row r="378" spans="1:15">
      <c r="A378" s="286"/>
      <c r="B378" s="296">
        <f t="shared" si="53"/>
        <v>359</v>
      </c>
      <c r="C378" s="307">
        <f t="shared" si="55"/>
        <v>0</v>
      </c>
      <c r="D378" s="298">
        <f t="shared" si="54"/>
        <v>0</v>
      </c>
      <c r="E378" s="299">
        <f t="shared" si="49"/>
        <v>0</v>
      </c>
      <c r="F378" s="299">
        <f t="shared" si="48"/>
        <v>0</v>
      </c>
      <c r="G378" s="299">
        <f t="shared" si="51"/>
        <v>0</v>
      </c>
      <c r="H378" s="298">
        <f t="shared" si="52"/>
        <v>0</v>
      </c>
      <c r="I378" s="294"/>
      <c r="O378" s="295">
        <f t="shared" si="50"/>
        <v>359</v>
      </c>
    </row>
    <row r="379" spans="1:15">
      <c r="A379" s="286"/>
      <c r="B379" s="309">
        <f t="shared" si="53"/>
        <v>360</v>
      </c>
      <c r="C379" s="310">
        <f t="shared" si="55"/>
        <v>0</v>
      </c>
      <c r="D379" s="311">
        <f t="shared" si="54"/>
        <v>0</v>
      </c>
      <c r="E379" s="312">
        <f t="shared" si="49"/>
        <v>0</v>
      </c>
      <c r="F379" s="312">
        <f t="shared" si="48"/>
        <v>0</v>
      </c>
      <c r="G379" s="312">
        <f t="shared" si="51"/>
        <v>0</v>
      </c>
      <c r="H379" s="311">
        <f t="shared" si="52"/>
        <v>0</v>
      </c>
      <c r="I379" s="304" t="e">
        <f>H379/$D$5</f>
        <v>#VALUE!</v>
      </c>
      <c r="J379" s="305"/>
      <c r="K379" s="305"/>
      <c r="L379" s="305"/>
      <c r="M379" s="305"/>
      <c r="N379" s="305"/>
      <c r="O379" s="306">
        <f t="shared" si="50"/>
        <v>360</v>
      </c>
    </row>
    <row r="380" spans="1:15">
      <c r="B380" s="296">
        <f t="shared" si="53"/>
        <v>361</v>
      </c>
      <c r="C380" s="307">
        <f t="shared" si="55"/>
        <v>0</v>
      </c>
      <c r="D380" s="298">
        <f t="shared" si="54"/>
        <v>0</v>
      </c>
      <c r="E380" s="299">
        <f t="shared" si="49"/>
        <v>0</v>
      </c>
      <c r="F380" s="299">
        <f t="shared" si="48"/>
        <v>0</v>
      </c>
      <c r="G380" s="299">
        <f t="shared" si="51"/>
        <v>0</v>
      </c>
      <c r="H380" s="298">
        <f t="shared" si="52"/>
        <v>0</v>
      </c>
    </row>
    <row r="381" spans="1:15">
      <c r="B381" s="296">
        <f t="shared" si="53"/>
        <v>362</v>
      </c>
      <c r="C381" s="307">
        <f t="shared" si="55"/>
        <v>0</v>
      </c>
      <c r="D381" s="298">
        <f t="shared" si="54"/>
        <v>0</v>
      </c>
      <c r="E381" s="299">
        <f t="shared" si="49"/>
        <v>0</v>
      </c>
      <c r="F381" s="299">
        <f t="shared" si="48"/>
        <v>0</v>
      </c>
      <c r="G381" s="299">
        <f t="shared" si="51"/>
        <v>0</v>
      </c>
      <c r="H381" s="298">
        <f t="shared" si="52"/>
        <v>0</v>
      </c>
    </row>
    <row r="382" spans="1:15">
      <c r="B382" s="296">
        <f t="shared" si="53"/>
        <v>363</v>
      </c>
      <c r="C382" s="307">
        <f t="shared" si="55"/>
        <v>0</v>
      </c>
      <c r="D382" s="298">
        <f t="shared" si="54"/>
        <v>0</v>
      </c>
      <c r="E382" s="299">
        <f t="shared" si="49"/>
        <v>0</v>
      </c>
      <c r="F382" s="299">
        <f t="shared" si="48"/>
        <v>0</v>
      </c>
      <c r="G382" s="299">
        <f t="shared" si="51"/>
        <v>0</v>
      </c>
      <c r="H382" s="298">
        <f t="shared" si="52"/>
        <v>0</v>
      </c>
    </row>
    <row r="383" spans="1:15">
      <c r="B383" s="296">
        <f t="shared" si="53"/>
        <v>364</v>
      </c>
      <c r="C383" s="307">
        <f t="shared" si="55"/>
        <v>0</v>
      </c>
      <c r="D383" s="298">
        <f t="shared" si="54"/>
        <v>0</v>
      </c>
      <c r="E383" s="299">
        <f t="shared" si="49"/>
        <v>0</v>
      </c>
      <c r="F383" s="299">
        <f t="shared" si="48"/>
        <v>0</v>
      </c>
      <c r="G383" s="299">
        <f t="shared" si="51"/>
        <v>0</v>
      </c>
      <c r="H383" s="298">
        <f t="shared" si="52"/>
        <v>0</v>
      </c>
    </row>
    <row r="384" spans="1:15">
      <c r="B384" s="296">
        <f t="shared" si="53"/>
        <v>365</v>
      </c>
      <c r="C384" s="307">
        <f t="shared" si="55"/>
        <v>0</v>
      </c>
      <c r="D384" s="298">
        <f t="shared" si="54"/>
        <v>0</v>
      </c>
      <c r="E384" s="299">
        <f t="shared" si="49"/>
        <v>0</v>
      </c>
      <c r="F384" s="299">
        <f t="shared" si="48"/>
        <v>0</v>
      </c>
      <c r="G384" s="299">
        <f t="shared" si="51"/>
        <v>0</v>
      </c>
      <c r="H384" s="298">
        <f t="shared" si="52"/>
        <v>0</v>
      </c>
    </row>
    <row r="385" spans="2:8" s="252" customFormat="1">
      <c r="B385" s="296">
        <f t="shared" si="53"/>
        <v>366</v>
      </c>
      <c r="C385" s="307">
        <f t="shared" si="55"/>
        <v>0</v>
      </c>
      <c r="D385" s="298">
        <f t="shared" si="54"/>
        <v>0</v>
      </c>
      <c r="E385" s="299">
        <f t="shared" si="49"/>
        <v>0</v>
      </c>
      <c r="F385" s="299">
        <f t="shared" si="48"/>
        <v>0</v>
      </c>
      <c r="G385" s="299">
        <f t="shared" si="51"/>
        <v>0</v>
      </c>
      <c r="H385" s="298">
        <f t="shared" si="52"/>
        <v>0</v>
      </c>
    </row>
    <row r="386" spans="2:8" s="252" customFormat="1">
      <c r="B386" s="296">
        <f t="shared" si="53"/>
        <v>367</v>
      </c>
      <c r="C386" s="307">
        <f t="shared" si="55"/>
        <v>0</v>
      </c>
      <c r="D386" s="298">
        <f t="shared" si="54"/>
        <v>0</v>
      </c>
      <c r="E386" s="299">
        <f t="shared" si="49"/>
        <v>0</v>
      </c>
      <c r="F386" s="299">
        <f t="shared" si="48"/>
        <v>0</v>
      </c>
      <c r="G386" s="299">
        <f t="shared" si="51"/>
        <v>0</v>
      </c>
      <c r="H386" s="298">
        <f t="shared" si="52"/>
        <v>0</v>
      </c>
    </row>
    <row r="387" spans="2:8" s="252" customFormat="1">
      <c r="B387" s="296">
        <f t="shared" si="53"/>
        <v>368</v>
      </c>
      <c r="C387" s="307">
        <f t="shared" si="55"/>
        <v>0</v>
      </c>
      <c r="D387" s="298">
        <f t="shared" si="54"/>
        <v>0</v>
      </c>
      <c r="E387" s="299">
        <f t="shared" si="49"/>
        <v>0</v>
      </c>
      <c r="F387" s="299">
        <f t="shared" si="48"/>
        <v>0</v>
      </c>
      <c r="G387" s="299">
        <f t="shared" si="51"/>
        <v>0</v>
      </c>
      <c r="H387" s="298">
        <f t="shared" si="52"/>
        <v>0</v>
      </c>
    </row>
    <row r="388" spans="2:8" s="252" customFormat="1">
      <c r="B388" s="296">
        <f t="shared" si="53"/>
        <v>369</v>
      </c>
      <c r="C388" s="307">
        <f t="shared" si="55"/>
        <v>0</v>
      </c>
      <c r="D388" s="298">
        <f t="shared" si="54"/>
        <v>0</v>
      </c>
      <c r="E388" s="299">
        <f t="shared" si="49"/>
        <v>0</v>
      </c>
      <c r="F388" s="299">
        <f t="shared" si="48"/>
        <v>0</v>
      </c>
      <c r="G388" s="299">
        <f t="shared" si="51"/>
        <v>0</v>
      </c>
      <c r="H388" s="298">
        <f t="shared" si="52"/>
        <v>0</v>
      </c>
    </row>
    <row r="389" spans="2:8" s="252" customFormat="1">
      <c r="B389" s="296">
        <f t="shared" si="53"/>
        <v>370</v>
      </c>
      <c r="C389" s="307">
        <f t="shared" si="55"/>
        <v>0</v>
      </c>
      <c r="D389" s="298">
        <f t="shared" si="54"/>
        <v>0</v>
      </c>
      <c r="E389" s="299">
        <f t="shared" si="49"/>
        <v>0</v>
      </c>
      <c r="F389" s="299">
        <f t="shared" si="48"/>
        <v>0</v>
      </c>
      <c r="G389" s="299">
        <f t="shared" si="51"/>
        <v>0</v>
      </c>
      <c r="H389" s="298">
        <f t="shared" si="52"/>
        <v>0</v>
      </c>
    </row>
    <row r="390" spans="2:8" s="252" customFormat="1">
      <c r="B390" s="296">
        <f t="shared" si="53"/>
        <v>371</v>
      </c>
      <c r="C390" s="307">
        <f t="shared" si="55"/>
        <v>0</v>
      </c>
      <c r="D390" s="298">
        <f t="shared" si="54"/>
        <v>0</v>
      </c>
      <c r="E390" s="299">
        <f t="shared" si="49"/>
        <v>0</v>
      </c>
      <c r="F390" s="299">
        <f t="shared" si="48"/>
        <v>0</v>
      </c>
      <c r="G390" s="299">
        <f t="shared" si="51"/>
        <v>0</v>
      </c>
      <c r="H390" s="298">
        <f t="shared" si="52"/>
        <v>0</v>
      </c>
    </row>
    <row r="391" spans="2:8" s="252" customFormat="1">
      <c r="B391" s="309">
        <f t="shared" si="53"/>
        <v>372</v>
      </c>
      <c r="C391" s="310">
        <f t="shared" si="55"/>
        <v>0</v>
      </c>
      <c r="D391" s="311">
        <f t="shared" si="54"/>
        <v>0</v>
      </c>
      <c r="E391" s="312">
        <f t="shared" si="49"/>
        <v>0</v>
      </c>
      <c r="F391" s="312">
        <f t="shared" si="48"/>
        <v>0</v>
      </c>
      <c r="G391" s="312">
        <f t="shared" si="51"/>
        <v>0</v>
      </c>
      <c r="H391" s="311">
        <f t="shared" si="52"/>
        <v>0</v>
      </c>
    </row>
    <row r="392" spans="2:8" s="252" customFormat="1">
      <c r="B392" s="296">
        <f t="shared" si="53"/>
        <v>373</v>
      </c>
      <c r="C392" s="307">
        <f t="shared" si="55"/>
        <v>0</v>
      </c>
      <c r="D392" s="298">
        <f t="shared" si="54"/>
        <v>0</v>
      </c>
      <c r="E392" s="299">
        <f t="shared" si="49"/>
        <v>0</v>
      </c>
      <c r="F392" s="299">
        <f t="shared" si="48"/>
        <v>0</v>
      </c>
      <c r="G392" s="299">
        <f t="shared" si="51"/>
        <v>0</v>
      </c>
      <c r="H392" s="298">
        <f t="shared" si="52"/>
        <v>0</v>
      </c>
    </row>
    <row r="393" spans="2:8" s="252" customFormat="1">
      <c r="B393" s="296">
        <f t="shared" si="53"/>
        <v>374</v>
      </c>
      <c r="C393" s="307">
        <f t="shared" si="55"/>
        <v>0</v>
      </c>
      <c r="D393" s="298">
        <f t="shared" si="54"/>
        <v>0</v>
      </c>
      <c r="E393" s="299">
        <f t="shared" si="49"/>
        <v>0</v>
      </c>
      <c r="F393" s="299">
        <f t="shared" si="48"/>
        <v>0</v>
      </c>
      <c r="G393" s="299">
        <f t="shared" si="51"/>
        <v>0</v>
      </c>
      <c r="H393" s="298">
        <f t="shared" si="52"/>
        <v>0</v>
      </c>
    </row>
    <row r="394" spans="2:8" s="252" customFormat="1">
      <c r="B394" s="296">
        <f t="shared" si="53"/>
        <v>375</v>
      </c>
      <c r="C394" s="307">
        <f t="shared" si="55"/>
        <v>0</v>
      </c>
      <c r="D394" s="298">
        <f t="shared" si="54"/>
        <v>0</v>
      </c>
      <c r="E394" s="299">
        <f t="shared" si="49"/>
        <v>0</v>
      </c>
      <c r="F394" s="299">
        <f t="shared" si="48"/>
        <v>0</v>
      </c>
      <c r="G394" s="299">
        <f t="shared" si="51"/>
        <v>0</v>
      </c>
      <c r="H394" s="298">
        <f t="shared" si="52"/>
        <v>0</v>
      </c>
    </row>
    <row r="395" spans="2:8" s="252" customFormat="1">
      <c r="B395" s="296">
        <f t="shared" si="53"/>
        <v>376</v>
      </c>
      <c r="C395" s="307">
        <f t="shared" si="55"/>
        <v>0</v>
      </c>
      <c r="D395" s="298">
        <f t="shared" si="54"/>
        <v>0</v>
      </c>
      <c r="E395" s="299">
        <f t="shared" si="49"/>
        <v>0</v>
      </c>
      <c r="F395" s="299">
        <f t="shared" si="48"/>
        <v>0</v>
      </c>
      <c r="G395" s="299">
        <f t="shared" si="51"/>
        <v>0</v>
      </c>
      <c r="H395" s="298">
        <f t="shared" si="52"/>
        <v>0</v>
      </c>
    </row>
    <row r="396" spans="2:8" s="252" customFormat="1">
      <c r="B396" s="296">
        <f t="shared" si="53"/>
        <v>377</v>
      </c>
      <c r="C396" s="307">
        <f t="shared" si="55"/>
        <v>0</v>
      </c>
      <c r="D396" s="298">
        <f t="shared" si="54"/>
        <v>0</v>
      </c>
      <c r="E396" s="299">
        <f t="shared" si="49"/>
        <v>0</v>
      </c>
      <c r="F396" s="299">
        <f t="shared" si="48"/>
        <v>0</v>
      </c>
      <c r="G396" s="299">
        <f t="shared" si="51"/>
        <v>0</v>
      </c>
      <c r="H396" s="298">
        <f t="shared" si="52"/>
        <v>0</v>
      </c>
    </row>
    <row r="397" spans="2:8" s="252" customFormat="1">
      <c r="B397" s="296">
        <f t="shared" si="53"/>
        <v>378</v>
      </c>
      <c r="C397" s="307">
        <f t="shared" si="55"/>
        <v>0</v>
      </c>
      <c r="D397" s="298">
        <f t="shared" si="54"/>
        <v>0</v>
      </c>
      <c r="E397" s="299">
        <f t="shared" si="49"/>
        <v>0</v>
      </c>
      <c r="F397" s="299">
        <f t="shared" si="48"/>
        <v>0</v>
      </c>
      <c r="G397" s="299">
        <f t="shared" si="51"/>
        <v>0</v>
      </c>
      <c r="H397" s="298">
        <f t="shared" si="52"/>
        <v>0</v>
      </c>
    </row>
    <row r="398" spans="2:8" s="252" customFormat="1">
      <c r="B398" s="296">
        <f t="shared" si="53"/>
        <v>379</v>
      </c>
      <c r="C398" s="307">
        <f t="shared" si="55"/>
        <v>0</v>
      </c>
      <c r="D398" s="298">
        <f t="shared" si="54"/>
        <v>0</v>
      </c>
      <c r="E398" s="299">
        <f t="shared" si="49"/>
        <v>0</v>
      </c>
      <c r="F398" s="299">
        <f t="shared" si="48"/>
        <v>0</v>
      </c>
      <c r="G398" s="299">
        <f t="shared" si="51"/>
        <v>0</v>
      </c>
      <c r="H398" s="298">
        <f t="shared" si="52"/>
        <v>0</v>
      </c>
    </row>
    <row r="399" spans="2:8" s="252" customFormat="1">
      <c r="B399" s="296">
        <f t="shared" si="53"/>
        <v>380</v>
      </c>
      <c r="C399" s="307">
        <f t="shared" si="55"/>
        <v>0</v>
      </c>
      <c r="D399" s="298">
        <f t="shared" si="54"/>
        <v>0</v>
      </c>
      <c r="E399" s="299">
        <f t="shared" si="49"/>
        <v>0</v>
      </c>
      <c r="F399" s="299">
        <f t="shared" si="48"/>
        <v>0</v>
      </c>
      <c r="G399" s="299">
        <f t="shared" si="51"/>
        <v>0</v>
      </c>
      <c r="H399" s="298">
        <f t="shared" si="52"/>
        <v>0</v>
      </c>
    </row>
    <row r="400" spans="2:8" s="252" customFormat="1">
      <c r="B400" s="296">
        <f t="shared" si="53"/>
        <v>381</v>
      </c>
      <c r="C400" s="307">
        <f t="shared" si="55"/>
        <v>0</v>
      </c>
      <c r="D400" s="298">
        <f t="shared" si="54"/>
        <v>0</v>
      </c>
      <c r="E400" s="299">
        <f t="shared" si="49"/>
        <v>0</v>
      </c>
      <c r="F400" s="299">
        <f t="shared" si="48"/>
        <v>0</v>
      </c>
      <c r="G400" s="299">
        <f t="shared" si="51"/>
        <v>0</v>
      </c>
      <c r="H400" s="298">
        <f t="shared" si="52"/>
        <v>0</v>
      </c>
    </row>
    <row r="401" spans="2:8" s="252" customFormat="1">
      <c r="B401" s="296">
        <f t="shared" si="53"/>
        <v>382</v>
      </c>
      <c r="C401" s="307">
        <f t="shared" si="55"/>
        <v>0</v>
      </c>
      <c r="D401" s="298">
        <f t="shared" si="54"/>
        <v>0</v>
      </c>
      <c r="E401" s="299">
        <f t="shared" si="49"/>
        <v>0</v>
      </c>
      <c r="F401" s="299">
        <f t="shared" ref="F401:F439" si="56">E401-G401</f>
        <v>0</v>
      </c>
      <c r="G401" s="299">
        <f t="shared" si="51"/>
        <v>0</v>
      </c>
      <c r="H401" s="298">
        <f t="shared" si="52"/>
        <v>0</v>
      </c>
    </row>
    <row r="402" spans="2:8" s="252" customFormat="1">
      <c r="B402" s="296">
        <f t="shared" si="53"/>
        <v>383</v>
      </c>
      <c r="C402" s="307">
        <f t="shared" si="55"/>
        <v>0</v>
      </c>
      <c r="D402" s="298">
        <f t="shared" si="54"/>
        <v>0</v>
      </c>
      <c r="E402" s="299">
        <f t="shared" si="49"/>
        <v>0</v>
      </c>
      <c r="F402" s="299">
        <f t="shared" si="56"/>
        <v>0</v>
      </c>
      <c r="G402" s="299">
        <f t="shared" si="51"/>
        <v>0</v>
      </c>
      <c r="H402" s="298">
        <f t="shared" si="52"/>
        <v>0</v>
      </c>
    </row>
    <row r="403" spans="2:8" s="252" customFormat="1">
      <c r="B403" s="309">
        <f t="shared" si="53"/>
        <v>384</v>
      </c>
      <c r="C403" s="310">
        <f t="shared" si="55"/>
        <v>0</v>
      </c>
      <c r="D403" s="311">
        <f t="shared" si="54"/>
        <v>0</v>
      </c>
      <c r="E403" s="312">
        <f t="shared" ref="E403:E439" si="57">IF(H402&lt;=E402,H402+G403,$H$10)</f>
        <v>0</v>
      </c>
      <c r="F403" s="312">
        <f t="shared" si="56"/>
        <v>0</v>
      </c>
      <c r="G403" s="312">
        <f t="shared" si="51"/>
        <v>0</v>
      </c>
      <c r="H403" s="311">
        <f t="shared" si="52"/>
        <v>0</v>
      </c>
    </row>
    <row r="404" spans="2:8" s="252" customFormat="1">
      <c r="B404" s="296">
        <f t="shared" si="53"/>
        <v>385</v>
      </c>
      <c r="C404" s="307">
        <f t="shared" si="55"/>
        <v>0</v>
      </c>
      <c r="D404" s="298">
        <f t="shared" si="54"/>
        <v>0</v>
      </c>
      <c r="E404" s="299">
        <f t="shared" si="57"/>
        <v>0</v>
      </c>
      <c r="F404" s="299">
        <f t="shared" si="56"/>
        <v>0</v>
      </c>
      <c r="G404" s="299">
        <f t="shared" si="51"/>
        <v>0</v>
      </c>
      <c r="H404" s="298">
        <f t="shared" si="52"/>
        <v>0</v>
      </c>
    </row>
    <row r="405" spans="2:8" s="252" customFormat="1">
      <c r="B405" s="296">
        <f t="shared" si="53"/>
        <v>386</v>
      </c>
      <c r="C405" s="307">
        <f t="shared" si="55"/>
        <v>0</v>
      </c>
      <c r="D405" s="298">
        <f t="shared" si="54"/>
        <v>0</v>
      </c>
      <c r="E405" s="299">
        <f t="shared" si="57"/>
        <v>0</v>
      </c>
      <c r="F405" s="299">
        <f t="shared" si="56"/>
        <v>0</v>
      </c>
      <c r="G405" s="299">
        <f t="shared" ref="G405:G439" si="58">C405*(D405/365)*30</f>
        <v>0</v>
      </c>
      <c r="H405" s="298">
        <f t="shared" ref="H405:H439" si="59">IF((D405+G405-E405)&lt;0,0,D405+G405-E405)</f>
        <v>0</v>
      </c>
    </row>
    <row r="406" spans="2:8" s="252" customFormat="1">
      <c r="B406" s="296">
        <f t="shared" ref="B406:B439" si="60">B405+1</f>
        <v>387</v>
      </c>
      <c r="C406" s="307">
        <f t="shared" si="55"/>
        <v>0</v>
      </c>
      <c r="D406" s="298">
        <f t="shared" ref="D406:D439" si="61">H405</f>
        <v>0</v>
      </c>
      <c r="E406" s="299">
        <f t="shared" si="57"/>
        <v>0</v>
      </c>
      <c r="F406" s="299">
        <f t="shared" si="56"/>
        <v>0</v>
      </c>
      <c r="G406" s="299">
        <f t="shared" si="58"/>
        <v>0</v>
      </c>
      <c r="H406" s="298">
        <f t="shared" si="59"/>
        <v>0</v>
      </c>
    </row>
    <row r="407" spans="2:8" s="252" customFormat="1">
      <c r="B407" s="296">
        <f t="shared" si="60"/>
        <v>388</v>
      </c>
      <c r="C407" s="307">
        <f t="shared" si="55"/>
        <v>0</v>
      </c>
      <c r="D407" s="298">
        <f t="shared" si="61"/>
        <v>0</v>
      </c>
      <c r="E407" s="299">
        <f t="shared" si="57"/>
        <v>0</v>
      </c>
      <c r="F407" s="299">
        <f t="shared" si="56"/>
        <v>0</v>
      </c>
      <c r="G407" s="299">
        <f t="shared" si="58"/>
        <v>0</v>
      </c>
      <c r="H407" s="298">
        <f t="shared" si="59"/>
        <v>0</v>
      </c>
    </row>
    <row r="408" spans="2:8" s="252" customFormat="1">
      <c r="B408" s="296">
        <f t="shared" si="60"/>
        <v>389</v>
      </c>
      <c r="C408" s="307">
        <f t="shared" si="55"/>
        <v>0</v>
      </c>
      <c r="D408" s="298">
        <f t="shared" si="61"/>
        <v>0</v>
      </c>
      <c r="E408" s="299">
        <f t="shared" si="57"/>
        <v>0</v>
      </c>
      <c r="F408" s="299">
        <f t="shared" si="56"/>
        <v>0</v>
      </c>
      <c r="G408" s="299">
        <f t="shared" si="58"/>
        <v>0</v>
      </c>
      <c r="H408" s="298">
        <f t="shared" si="59"/>
        <v>0</v>
      </c>
    </row>
    <row r="409" spans="2:8" s="252" customFormat="1">
      <c r="B409" s="296">
        <f t="shared" si="60"/>
        <v>390</v>
      </c>
      <c r="C409" s="307">
        <f t="shared" si="55"/>
        <v>0</v>
      </c>
      <c r="D409" s="298">
        <f t="shared" si="61"/>
        <v>0</v>
      </c>
      <c r="E409" s="299">
        <f t="shared" si="57"/>
        <v>0</v>
      </c>
      <c r="F409" s="299">
        <f t="shared" si="56"/>
        <v>0</v>
      </c>
      <c r="G409" s="299">
        <f t="shared" si="58"/>
        <v>0</v>
      </c>
      <c r="H409" s="298">
        <f t="shared" si="59"/>
        <v>0</v>
      </c>
    </row>
    <row r="410" spans="2:8" s="252" customFormat="1">
      <c r="B410" s="296">
        <f t="shared" si="60"/>
        <v>391</v>
      </c>
      <c r="C410" s="307">
        <f t="shared" si="55"/>
        <v>0</v>
      </c>
      <c r="D410" s="298">
        <f t="shared" si="61"/>
        <v>0</v>
      </c>
      <c r="E410" s="299">
        <f t="shared" si="57"/>
        <v>0</v>
      </c>
      <c r="F410" s="299">
        <f t="shared" si="56"/>
        <v>0</v>
      </c>
      <c r="G410" s="299">
        <f t="shared" si="58"/>
        <v>0</v>
      </c>
      <c r="H410" s="298">
        <f t="shared" si="59"/>
        <v>0</v>
      </c>
    </row>
    <row r="411" spans="2:8" s="252" customFormat="1">
      <c r="B411" s="296">
        <f t="shared" si="60"/>
        <v>392</v>
      </c>
      <c r="C411" s="307">
        <f t="shared" si="55"/>
        <v>0</v>
      </c>
      <c r="D411" s="298">
        <f t="shared" si="61"/>
        <v>0</v>
      </c>
      <c r="E411" s="299">
        <f t="shared" si="57"/>
        <v>0</v>
      </c>
      <c r="F411" s="299">
        <f t="shared" si="56"/>
        <v>0</v>
      </c>
      <c r="G411" s="299">
        <f t="shared" si="58"/>
        <v>0</v>
      </c>
      <c r="H411" s="298">
        <f t="shared" si="59"/>
        <v>0</v>
      </c>
    </row>
    <row r="412" spans="2:8" s="252" customFormat="1">
      <c r="B412" s="296">
        <f t="shared" si="60"/>
        <v>393</v>
      </c>
      <c r="C412" s="307">
        <f t="shared" si="55"/>
        <v>0</v>
      </c>
      <c r="D412" s="298">
        <f t="shared" si="61"/>
        <v>0</v>
      </c>
      <c r="E412" s="299">
        <f t="shared" si="57"/>
        <v>0</v>
      </c>
      <c r="F412" s="299">
        <f t="shared" si="56"/>
        <v>0</v>
      </c>
      <c r="G412" s="299">
        <f t="shared" si="58"/>
        <v>0</v>
      </c>
      <c r="H412" s="298">
        <f t="shared" si="59"/>
        <v>0</v>
      </c>
    </row>
    <row r="413" spans="2:8" s="252" customFormat="1">
      <c r="B413" s="296">
        <f t="shared" si="60"/>
        <v>394</v>
      </c>
      <c r="C413" s="307">
        <f t="shared" si="55"/>
        <v>0</v>
      </c>
      <c r="D413" s="298">
        <f t="shared" si="61"/>
        <v>0</v>
      </c>
      <c r="E413" s="299">
        <f t="shared" si="57"/>
        <v>0</v>
      </c>
      <c r="F413" s="299">
        <f t="shared" si="56"/>
        <v>0</v>
      </c>
      <c r="G413" s="299">
        <f t="shared" si="58"/>
        <v>0</v>
      </c>
      <c r="H413" s="298">
        <f t="shared" si="59"/>
        <v>0</v>
      </c>
    </row>
    <row r="414" spans="2:8" s="252" customFormat="1">
      <c r="B414" s="296">
        <f t="shared" si="60"/>
        <v>395</v>
      </c>
      <c r="C414" s="307">
        <f t="shared" si="55"/>
        <v>0</v>
      </c>
      <c r="D414" s="298">
        <f t="shared" si="61"/>
        <v>0</v>
      </c>
      <c r="E414" s="299">
        <f t="shared" si="57"/>
        <v>0</v>
      </c>
      <c r="F414" s="299">
        <f t="shared" si="56"/>
        <v>0</v>
      </c>
      <c r="G414" s="299">
        <f t="shared" si="58"/>
        <v>0</v>
      </c>
      <c r="H414" s="298">
        <f t="shared" si="59"/>
        <v>0</v>
      </c>
    </row>
    <row r="415" spans="2:8" s="252" customFormat="1">
      <c r="B415" s="309">
        <f t="shared" si="60"/>
        <v>396</v>
      </c>
      <c r="C415" s="310">
        <f t="shared" si="55"/>
        <v>0</v>
      </c>
      <c r="D415" s="311">
        <f t="shared" si="61"/>
        <v>0</v>
      </c>
      <c r="E415" s="312">
        <f t="shared" si="57"/>
        <v>0</v>
      </c>
      <c r="F415" s="312">
        <f t="shared" si="56"/>
        <v>0</v>
      </c>
      <c r="G415" s="312">
        <f t="shared" si="58"/>
        <v>0</v>
      </c>
      <c r="H415" s="311">
        <f t="shared" si="59"/>
        <v>0</v>
      </c>
    </row>
    <row r="416" spans="2:8" s="252" customFormat="1">
      <c r="B416" s="296">
        <f t="shared" si="60"/>
        <v>397</v>
      </c>
      <c r="C416" s="307">
        <f t="shared" si="55"/>
        <v>0</v>
      </c>
      <c r="D416" s="298">
        <f t="shared" si="61"/>
        <v>0</v>
      </c>
      <c r="E416" s="299">
        <f t="shared" si="57"/>
        <v>0</v>
      </c>
      <c r="F416" s="299">
        <f t="shared" si="56"/>
        <v>0</v>
      </c>
      <c r="G416" s="299">
        <f t="shared" si="58"/>
        <v>0</v>
      </c>
      <c r="H416" s="298">
        <f t="shared" si="59"/>
        <v>0</v>
      </c>
    </row>
    <row r="417" spans="2:8" s="252" customFormat="1">
      <c r="B417" s="296">
        <f t="shared" si="60"/>
        <v>398</v>
      </c>
      <c r="C417" s="307">
        <f t="shared" si="55"/>
        <v>0</v>
      </c>
      <c r="D417" s="298">
        <f t="shared" si="61"/>
        <v>0</v>
      </c>
      <c r="E417" s="299">
        <f t="shared" si="57"/>
        <v>0</v>
      </c>
      <c r="F417" s="299">
        <f t="shared" si="56"/>
        <v>0</v>
      </c>
      <c r="G417" s="299">
        <f t="shared" si="58"/>
        <v>0</v>
      </c>
      <c r="H417" s="298">
        <f t="shared" si="59"/>
        <v>0</v>
      </c>
    </row>
    <row r="418" spans="2:8" s="252" customFormat="1">
      <c r="B418" s="296">
        <f t="shared" si="60"/>
        <v>399</v>
      </c>
      <c r="C418" s="307">
        <f t="shared" si="55"/>
        <v>0</v>
      </c>
      <c r="D418" s="298">
        <f t="shared" si="61"/>
        <v>0</v>
      </c>
      <c r="E418" s="299">
        <f t="shared" si="57"/>
        <v>0</v>
      </c>
      <c r="F418" s="299">
        <f t="shared" si="56"/>
        <v>0</v>
      </c>
      <c r="G418" s="299">
        <f t="shared" si="58"/>
        <v>0</v>
      </c>
      <c r="H418" s="298">
        <f t="shared" si="59"/>
        <v>0</v>
      </c>
    </row>
    <row r="419" spans="2:8" s="252" customFormat="1">
      <c r="B419" s="296">
        <f t="shared" si="60"/>
        <v>400</v>
      </c>
      <c r="C419" s="307">
        <f t="shared" si="55"/>
        <v>0</v>
      </c>
      <c r="D419" s="298">
        <f t="shared" si="61"/>
        <v>0</v>
      </c>
      <c r="E419" s="299">
        <f t="shared" si="57"/>
        <v>0</v>
      </c>
      <c r="F419" s="299">
        <f t="shared" si="56"/>
        <v>0</v>
      </c>
      <c r="G419" s="299">
        <f t="shared" si="58"/>
        <v>0</v>
      </c>
      <c r="H419" s="298">
        <f t="shared" si="59"/>
        <v>0</v>
      </c>
    </row>
    <row r="420" spans="2:8" s="252" customFormat="1">
      <c r="B420" s="296">
        <f t="shared" si="60"/>
        <v>401</v>
      </c>
      <c r="C420" s="307">
        <f t="shared" si="55"/>
        <v>0</v>
      </c>
      <c r="D420" s="298">
        <f t="shared" si="61"/>
        <v>0</v>
      </c>
      <c r="E420" s="299">
        <f t="shared" si="57"/>
        <v>0</v>
      </c>
      <c r="F420" s="299">
        <f t="shared" si="56"/>
        <v>0</v>
      </c>
      <c r="G420" s="299">
        <f t="shared" si="58"/>
        <v>0</v>
      </c>
      <c r="H420" s="298">
        <f t="shared" si="59"/>
        <v>0</v>
      </c>
    </row>
    <row r="421" spans="2:8" s="252" customFormat="1">
      <c r="B421" s="296">
        <f t="shared" si="60"/>
        <v>402</v>
      </c>
      <c r="C421" s="307">
        <f t="shared" si="55"/>
        <v>0</v>
      </c>
      <c r="D421" s="298">
        <f t="shared" si="61"/>
        <v>0</v>
      </c>
      <c r="E421" s="299">
        <f t="shared" si="57"/>
        <v>0</v>
      </c>
      <c r="F421" s="299">
        <f t="shared" si="56"/>
        <v>0</v>
      </c>
      <c r="G421" s="299">
        <f t="shared" si="58"/>
        <v>0</v>
      </c>
      <c r="H421" s="298">
        <f t="shared" si="59"/>
        <v>0</v>
      </c>
    </row>
    <row r="422" spans="2:8" s="252" customFormat="1">
      <c r="B422" s="296">
        <f t="shared" si="60"/>
        <v>403</v>
      </c>
      <c r="C422" s="307">
        <f t="shared" si="55"/>
        <v>0</v>
      </c>
      <c r="D422" s="298">
        <f t="shared" si="61"/>
        <v>0</v>
      </c>
      <c r="E422" s="299">
        <f t="shared" si="57"/>
        <v>0</v>
      </c>
      <c r="F422" s="299">
        <f t="shared" si="56"/>
        <v>0</v>
      </c>
      <c r="G422" s="299">
        <f t="shared" si="58"/>
        <v>0</v>
      </c>
      <c r="H422" s="298">
        <f t="shared" si="59"/>
        <v>0</v>
      </c>
    </row>
    <row r="423" spans="2:8" s="252" customFormat="1">
      <c r="B423" s="296">
        <f t="shared" si="60"/>
        <v>404</v>
      </c>
      <c r="C423" s="307">
        <f t="shared" si="55"/>
        <v>0</v>
      </c>
      <c r="D423" s="298">
        <f t="shared" si="61"/>
        <v>0</v>
      </c>
      <c r="E423" s="299">
        <f t="shared" si="57"/>
        <v>0</v>
      </c>
      <c r="F423" s="299">
        <f t="shared" si="56"/>
        <v>0</v>
      </c>
      <c r="G423" s="299">
        <f t="shared" si="58"/>
        <v>0</v>
      </c>
      <c r="H423" s="298">
        <f t="shared" si="59"/>
        <v>0</v>
      </c>
    </row>
    <row r="424" spans="2:8" s="252" customFormat="1">
      <c r="B424" s="296">
        <f t="shared" si="60"/>
        <v>405</v>
      </c>
      <c r="C424" s="307">
        <f t="shared" si="55"/>
        <v>0</v>
      </c>
      <c r="D424" s="298">
        <f t="shared" si="61"/>
        <v>0</v>
      </c>
      <c r="E424" s="299">
        <f t="shared" si="57"/>
        <v>0</v>
      </c>
      <c r="F424" s="299">
        <f t="shared" si="56"/>
        <v>0</v>
      </c>
      <c r="G424" s="299">
        <f t="shared" si="58"/>
        <v>0</v>
      </c>
      <c r="H424" s="298">
        <f t="shared" si="59"/>
        <v>0</v>
      </c>
    </row>
    <row r="425" spans="2:8" s="252" customFormat="1">
      <c r="B425" s="296">
        <f t="shared" si="60"/>
        <v>406</v>
      </c>
      <c r="C425" s="307">
        <f t="shared" si="55"/>
        <v>0</v>
      </c>
      <c r="D425" s="298">
        <f t="shared" si="61"/>
        <v>0</v>
      </c>
      <c r="E425" s="299">
        <f t="shared" si="57"/>
        <v>0</v>
      </c>
      <c r="F425" s="299">
        <f t="shared" si="56"/>
        <v>0</v>
      </c>
      <c r="G425" s="299">
        <f t="shared" si="58"/>
        <v>0</v>
      </c>
      <c r="H425" s="298">
        <f t="shared" si="59"/>
        <v>0</v>
      </c>
    </row>
    <row r="426" spans="2:8" s="252" customFormat="1">
      <c r="B426" s="296">
        <f t="shared" si="60"/>
        <v>407</v>
      </c>
      <c r="C426" s="307">
        <f t="shared" si="55"/>
        <v>0</v>
      </c>
      <c r="D426" s="298">
        <f t="shared" si="61"/>
        <v>0</v>
      </c>
      <c r="E426" s="299">
        <f t="shared" si="57"/>
        <v>0</v>
      </c>
      <c r="F426" s="299">
        <f t="shared" si="56"/>
        <v>0</v>
      </c>
      <c r="G426" s="299">
        <f t="shared" si="58"/>
        <v>0</v>
      </c>
      <c r="H426" s="298">
        <f t="shared" si="59"/>
        <v>0</v>
      </c>
    </row>
    <row r="427" spans="2:8" s="252" customFormat="1">
      <c r="B427" s="309">
        <f t="shared" si="60"/>
        <v>408</v>
      </c>
      <c r="C427" s="310">
        <f t="shared" si="55"/>
        <v>0</v>
      </c>
      <c r="D427" s="311">
        <f t="shared" si="61"/>
        <v>0</v>
      </c>
      <c r="E427" s="312">
        <f t="shared" si="57"/>
        <v>0</v>
      </c>
      <c r="F427" s="312">
        <f t="shared" si="56"/>
        <v>0</v>
      </c>
      <c r="G427" s="312">
        <f t="shared" si="58"/>
        <v>0</v>
      </c>
      <c r="H427" s="311">
        <f t="shared" si="59"/>
        <v>0</v>
      </c>
    </row>
    <row r="428" spans="2:8" s="252" customFormat="1">
      <c r="B428" s="296">
        <f t="shared" si="60"/>
        <v>409</v>
      </c>
      <c r="C428" s="307">
        <f t="shared" si="55"/>
        <v>0</v>
      </c>
      <c r="D428" s="298">
        <f t="shared" si="61"/>
        <v>0</v>
      </c>
      <c r="E428" s="299">
        <f t="shared" si="57"/>
        <v>0</v>
      </c>
      <c r="F428" s="299">
        <f t="shared" si="56"/>
        <v>0</v>
      </c>
      <c r="G428" s="299">
        <f t="shared" si="58"/>
        <v>0</v>
      </c>
      <c r="H428" s="298">
        <f t="shared" si="59"/>
        <v>0</v>
      </c>
    </row>
    <row r="429" spans="2:8" s="252" customFormat="1">
      <c r="B429" s="296">
        <f t="shared" si="60"/>
        <v>410</v>
      </c>
      <c r="C429" s="307">
        <f t="shared" si="55"/>
        <v>0</v>
      </c>
      <c r="D429" s="298">
        <f t="shared" si="61"/>
        <v>0</v>
      </c>
      <c r="E429" s="299">
        <f t="shared" si="57"/>
        <v>0</v>
      </c>
      <c r="F429" s="299">
        <f t="shared" si="56"/>
        <v>0</v>
      </c>
      <c r="G429" s="299">
        <f t="shared" si="58"/>
        <v>0</v>
      </c>
      <c r="H429" s="298">
        <f t="shared" si="59"/>
        <v>0</v>
      </c>
    </row>
    <row r="430" spans="2:8" s="252" customFormat="1">
      <c r="B430" s="296">
        <f t="shared" si="60"/>
        <v>411</v>
      </c>
      <c r="C430" s="307">
        <f t="shared" si="55"/>
        <v>0</v>
      </c>
      <c r="D430" s="298">
        <f t="shared" si="61"/>
        <v>0</v>
      </c>
      <c r="E430" s="299">
        <f t="shared" si="57"/>
        <v>0</v>
      </c>
      <c r="F430" s="299">
        <f t="shared" si="56"/>
        <v>0</v>
      </c>
      <c r="G430" s="299">
        <f t="shared" si="58"/>
        <v>0</v>
      </c>
      <c r="H430" s="298">
        <f t="shared" si="59"/>
        <v>0</v>
      </c>
    </row>
    <row r="431" spans="2:8" s="252" customFormat="1">
      <c r="B431" s="296">
        <f t="shared" si="60"/>
        <v>412</v>
      </c>
      <c r="C431" s="307">
        <f t="shared" si="55"/>
        <v>0</v>
      </c>
      <c r="D431" s="298">
        <f t="shared" si="61"/>
        <v>0</v>
      </c>
      <c r="E431" s="299">
        <f t="shared" si="57"/>
        <v>0</v>
      </c>
      <c r="F431" s="299">
        <f t="shared" si="56"/>
        <v>0</v>
      </c>
      <c r="G431" s="299">
        <f t="shared" si="58"/>
        <v>0</v>
      </c>
      <c r="H431" s="298">
        <f t="shared" si="59"/>
        <v>0</v>
      </c>
    </row>
    <row r="432" spans="2:8" s="252" customFormat="1">
      <c r="B432" s="296">
        <f t="shared" si="60"/>
        <v>413</v>
      </c>
      <c r="C432" s="307">
        <v>0</v>
      </c>
      <c r="D432" s="298">
        <f t="shared" si="61"/>
        <v>0</v>
      </c>
      <c r="E432" s="299">
        <f t="shared" si="57"/>
        <v>0</v>
      </c>
      <c r="F432" s="299">
        <f t="shared" si="56"/>
        <v>0</v>
      </c>
      <c r="G432" s="299">
        <f t="shared" si="58"/>
        <v>0</v>
      </c>
      <c r="H432" s="298">
        <f t="shared" si="59"/>
        <v>0</v>
      </c>
    </row>
    <row r="433" spans="2:8" s="252" customFormat="1">
      <c r="B433" s="296">
        <f t="shared" si="60"/>
        <v>414</v>
      </c>
      <c r="C433" s="307">
        <f t="shared" ref="C433:C439" si="62">IF(D433&gt;0,$F$7,0)</f>
        <v>0</v>
      </c>
      <c r="D433" s="298">
        <f t="shared" si="61"/>
        <v>0</v>
      </c>
      <c r="E433" s="299">
        <f t="shared" si="57"/>
        <v>0</v>
      </c>
      <c r="F433" s="299">
        <f t="shared" si="56"/>
        <v>0</v>
      </c>
      <c r="G433" s="299">
        <f t="shared" si="58"/>
        <v>0</v>
      </c>
      <c r="H433" s="298">
        <f t="shared" si="59"/>
        <v>0</v>
      </c>
    </row>
    <row r="434" spans="2:8" s="252" customFormat="1">
      <c r="B434" s="296">
        <f t="shared" si="60"/>
        <v>415</v>
      </c>
      <c r="C434" s="307">
        <f t="shared" si="62"/>
        <v>0</v>
      </c>
      <c r="D434" s="298">
        <f t="shared" si="61"/>
        <v>0</v>
      </c>
      <c r="E434" s="299">
        <f t="shared" si="57"/>
        <v>0</v>
      </c>
      <c r="F434" s="299">
        <f t="shared" si="56"/>
        <v>0</v>
      </c>
      <c r="G434" s="299">
        <f t="shared" si="58"/>
        <v>0</v>
      </c>
      <c r="H434" s="298">
        <f t="shared" si="59"/>
        <v>0</v>
      </c>
    </row>
    <row r="435" spans="2:8" s="252" customFormat="1">
      <c r="B435" s="296">
        <f t="shared" si="60"/>
        <v>416</v>
      </c>
      <c r="C435" s="307">
        <f t="shared" si="62"/>
        <v>0</v>
      </c>
      <c r="D435" s="298">
        <f t="shared" si="61"/>
        <v>0</v>
      </c>
      <c r="E435" s="299">
        <f t="shared" si="57"/>
        <v>0</v>
      </c>
      <c r="F435" s="299">
        <f t="shared" si="56"/>
        <v>0</v>
      </c>
      <c r="G435" s="299">
        <f t="shared" si="58"/>
        <v>0</v>
      </c>
      <c r="H435" s="298">
        <f t="shared" si="59"/>
        <v>0</v>
      </c>
    </row>
    <row r="436" spans="2:8" s="252" customFormat="1">
      <c r="B436" s="296">
        <f t="shared" si="60"/>
        <v>417</v>
      </c>
      <c r="C436" s="307">
        <f t="shared" si="62"/>
        <v>0</v>
      </c>
      <c r="D436" s="298">
        <f t="shared" si="61"/>
        <v>0</v>
      </c>
      <c r="E436" s="299">
        <f t="shared" si="57"/>
        <v>0</v>
      </c>
      <c r="F436" s="299">
        <f t="shared" si="56"/>
        <v>0</v>
      </c>
      <c r="G436" s="299">
        <f t="shared" si="58"/>
        <v>0</v>
      </c>
      <c r="H436" s="298">
        <f t="shared" si="59"/>
        <v>0</v>
      </c>
    </row>
    <row r="437" spans="2:8" s="252" customFormat="1">
      <c r="B437" s="296">
        <f t="shared" si="60"/>
        <v>418</v>
      </c>
      <c r="C437" s="307">
        <f t="shared" si="62"/>
        <v>0</v>
      </c>
      <c r="D437" s="298">
        <f t="shared" si="61"/>
        <v>0</v>
      </c>
      <c r="E437" s="299">
        <f t="shared" si="57"/>
        <v>0</v>
      </c>
      <c r="F437" s="299">
        <f t="shared" si="56"/>
        <v>0</v>
      </c>
      <c r="G437" s="299">
        <f t="shared" si="58"/>
        <v>0</v>
      </c>
      <c r="H437" s="298">
        <f t="shared" si="59"/>
        <v>0</v>
      </c>
    </row>
    <row r="438" spans="2:8" s="252" customFormat="1">
      <c r="B438" s="296">
        <f t="shared" si="60"/>
        <v>419</v>
      </c>
      <c r="C438" s="307">
        <f t="shared" si="62"/>
        <v>0</v>
      </c>
      <c r="D438" s="298">
        <f t="shared" si="61"/>
        <v>0</v>
      </c>
      <c r="E438" s="299">
        <f t="shared" si="57"/>
        <v>0</v>
      </c>
      <c r="F438" s="299">
        <f t="shared" si="56"/>
        <v>0</v>
      </c>
      <c r="G438" s="299">
        <f t="shared" si="58"/>
        <v>0</v>
      </c>
      <c r="H438" s="298">
        <f t="shared" si="59"/>
        <v>0</v>
      </c>
    </row>
    <row r="439" spans="2:8" s="252" customFormat="1">
      <c r="B439" s="309">
        <f t="shared" si="60"/>
        <v>420</v>
      </c>
      <c r="C439" s="310">
        <f t="shared" si="62"/>
        <v>0</v>
      </c>
      <c r="D439" s="311">
        <f t="shared" si="61"/>
        <v>0</v>
      </c>
      <c r="E439" s="312">
        <f t="shared" si="57"/>
        <v>0</v>
      </c>
      <c r="F439" s="312">
        <f t="shared" si="56"/>
        <v>0</v>
      </c>
      <c r="G439" s="312">
        <f t="shared" si="58"/>
        <v>0</v>
      </c>
      <c r="H439" s="311">
        <f t="shared" si="59"/>
        <v>0</v>
      </c>
    </row>
  </sheetData>
  <sheetProtection algorithmName="SHA-512" hashValue="8ZqdH70dfIgAnsfDhVJaABuRCy+rukMINtd1Voa1UGoXaHVNt9di8iPVP9lAcnV9gHaBAfT5WUPsKm08yEPfwg==" saltValue="zC2SAcnBL3eXq6ot97Zi7A==" spinCount="100000" sheet="1" objects="1" scenarios="1" selectLockedCells="1" selectUnlockedCells="1"/>
  <mergeCells count="8">
    <mergeCell ref="B15:C15"/>
    <mergeCell ref="B17:C17"/>
    <mergeCell ref="B1:G1"/>
    <mergeCell ref="B6:C6"/>
    <mergeCell ref="B8:C9"/>
    <mergeCell ref="B12:C12"/>
    <mergeCell ref="B13:C13"/>
    <mergeCell ref="B14:C14"/>
  </mergeCells>
  <conditionalFormatting sqref="G15:I15">
    <cfRule type="cellIs" dxfId="9" priority="1" operator="lessThan">
      <formula>#REF!</formula>
    </cfRule>
    <cfRule type="cellIs" dxfId="8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MP (อัตราดอกเบี้ยตามมติ)</oddHeader>
    <oddFooter>&amp;Lv202605&amp;Cหมายเหตุ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7C1A85-8BA7-4579-AFDA-B6945C473592}">
          <x14:formula1>
            <xm:f>pam!$L$2:$L$4</xm:f>
          </x14:formula1>
          <xm:sqref>G3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7960-C1D0-439D-93E5-02D7D36C3B34}">
  <sheetPr codeName="Sheet11">
    <tabColor theme="1" tint="0.14999847407452621"/>
    <pageSetUpPr fitToPage="1"/>
  </sheetPr>
  <dimension ref="A1:O439"/>
  <sheetViews>
    <sheetView showGridLines="0" zoomScaleNormal="100" workbookViewId="0">
      <selection activeCell="A8" sqref="A8:XFD17"/>
    </sheetView>
  </sheetViews>
  <sheetFormatPr defaultRowHeight="11.25"/>
  <cols>
    <col min="1" max="1" width="2.28515625" style="271" customWidth="1"/>
    <col min="2" max="2" width="8.5703125" style="252" customWidth="1"/>
    <col min="3" max="3" width="15.28515625" style="252" customWidth="1"/>
    <col min="4" max="7" width="15.28515625" style="271" customWidth="1"/>
    <col min="8" max="8" width="13.140625" style="252" hidden="1" customWidth="1"/>
    <col min="9" max="9" width="12.85546875" style="252" hidden="1" customWidth="1"/>
    <col min="10" max="12" width="14.42578125" style="271" customWidth="1"/>
    <col min="13" max="15" width="0" style="271" hidden="1" customWidth="1"/>
    <col min="16" max="256" width="9.140625" style="271"/>
    <col min="257" max="257" width="2.28515625" style="271" customWidth="1"/>
    <col min="258" max="258" width="5.7109375" style="271" customWidth="1"/>
    <col min="259" max="264" width="13.140625" style="271" customWidth="1"/>
    <col min="265" max="265" width="0" style="271" hidden="1" customWidth="1"/>
    <col min="266" max="268" width="14.42578125" style="271" customWidth="1"/>
    <col min="269" max="271" width="0" style="271" hidden="1" customWidth="1"/>
    <col min="272" max="512" width="9.140625" style="271"/>
    <col min="513" max="513" width="2.28515625" style="271" customWidth="1"/>
    <col min="514" max="514" width="5.7109375" style="271" customWidth="1"/>
    <col min="515" max="520" width="13.140625" style="271" customWidth="1"/>
    <col min="521" max="521" width="0" style="271" hidden="1" customWidth="1"/>
    <col min="522" max="524" width="14.42578125" style="271" customWidth="1"/>
    <col min="525" max="527" width="0" style="271" hidden="1" customWidth="1"/>
    <col min="528" max="768" width="9.140625" style="271"/>
    <col min="769" max="769" width="2.28515625" style="271" customWidth="1"/>
    <col min="770" max="770" width="5.7109375" style="271" customWidth="1"/>
    <col min="771" max="776" width="13.140625" style="271" customWidth="1"/>
    <col min="777" max="777" width="0" style="271" hidden="1" customWidth="1"/>
    <col min="778" max="780" width="14.42578125" style="271" customWidth="1"/>
    <col min="781" max="783" width="0" style="271" hidden="1" customWidth="1"/>
    <col min="784" max="1024" width="9.140625" style="271"/>
    <col min="1025" max="1025" width="2.28515625" style="271" customWidth="1"/>
    <col min="1026" max="1026" width="5.7109375" style="271" customWidth="1"/>
    <col min="1027" max="1032" width="13.140625" style="271" customWidth="1"/>
    <col min="1033" max="1033" width="0" style="271" hidden="1" customWidth="1"/>
    <col min="1034" max="1036" width="14.42578125" style="271" customWidth="1"/>
    <col min="1037" max="1039" width="0" style="271" hidden="1" customWidth="1"/>
    <col min="1040" max="1280" width="9.140625" style="271"/>
    <col min="1281" max="1281" width="2.28515625" style="271" customWidth="1"/>
    <col min="1282" max="1282" width="5.7109375" style="271" customWidth="1"/>
    <col min="1283" max="1288" width="13.140625" style="271" customWidth="1"/>
    <col min="1289" max="1289" width="0" style="271" hidden="1" customWidth="1"/>
    <col min="1290" max="1292" width="14.42578125" style="271" customWidth="1"/>
    <col min="1293" max="1295" width="0" style="271" hidden="1" customWidth="1"/>
    <col min="1296" max="1536" width="9.140625" style="271"/>
    <col min="1537" max="1537" width="2.28515625" style="271" customWidth="1"/>
    <col min="1538" max="1538" width="5.7109375" style="271" customWidth="1"/>
    <col min="1539" max="1544" width="13.140625" style="271" customWidth="1"/>
    <col min="1545" max="1545" width="0" style="271" hidden="1" customWidth="1"/>
    <col min="1546" max="1548" width="14.42578125" style="271" customWidth="1"/>
    <col min="1549" max="1551" width="0" style="271" hidden="1" customWidth="1"/>
    <col min="1552" max="1792" width="9.140625" style="271"/>
    <col min="1793" max="1793" width="2.28515625" style="271" customWidth="1"/>
    <col min="1794" max="1794" width="5.7109375" style="271" customWidth="1"/>
    <col min="1795" max="1800" width="13.140625" style="271" customWidth="1"/>
    <col min="1801" max="1801" width="0" style="271" hidden="1" customWidth="1"/>
    <col min="1802" max="1804" width="14.42578125" style="271" customWidth="1"/>
    <col min="1805" max="1807" width="0" style="271" hidden="1" customWidth="1"/>
    <col min="1808" max="2048" width="9.140625" style="271"/>
    <col min="2049" max="2049" width="2.28515625" style="271" customWidth="1"/>
    <col min="2050" max="2050" width="5.7109375" style="271" customWidth="1"/>
    <col min="2051" max="2056" width="13.140625" style="271" customWidth="1"/>
    <col min="2057" max="2057" width="0" style="271" hidden="1" customWidth="1"/>
    <col min="2058" max="2060" width="14.42578125" style="271" customWidth="1"/>
    <col min="2061" max="2063" width="0" style="271" hidden="1" customWidth="1"/>
    <col min="2064" max="2304" width="9.140625" style="271"/>
    <col min="2305" max="2305" width="2.28515625" style="271" customWidth="1"/>
    <col min="2306" max="2306" width="5.7109375" style="271" customWidth="1"/>
    <col min="2307" max="2312" width="13.140625" style="271" customWidth="1"/>
    <col min="2313" max="2313" width="0" style="271" hidden="1" customWidth="1"/>
    <col min="2314" max="2316" width="14.42578125" style="271" customWidth="1"/>
    <col min="2317" max="2319" width="0" style="271" hidden="1" customWidth="1"/>
    <col min="2320" max="2560" width="9.140625" style="271"/>
    <col min="2561" max="2561" width="2.28515625" style="271" customWidth="1"/>
    <col min="2562" max="2562" width="5.7109375" style="271" customWidth="1"/>
    <col min="2563" max="2568" width="13.140625" style="271" customWidth="1"/>
    <col min="2569" max="2569" width="0" style="271" hidden="1" customWidth="1"/>
    <col min="2570" max="2572" width="14.42578125" style="271" customWidth="1"/>
    <col min="2573" max="2575" width="0" style="271" hidden="1" customWidth="1"/>
    <col min="2576" max="2816" width="9.140625" style="271"/>
    <col min="2817" max="2817" width="2.28515625" style="271" customWidth="1"/>
    <col min="2818" max="2818" width="5.7109375" style="271" customWidth="1"/>
    <col min="2819" max="2824" width="13.140625" style="271" customWidth="1"/>
    <col min="2825" max="2825" width="0" style="271" hidden="1" customWidth="1"/>
    <col min="2826" max="2828" width="14.42578125" style="271" customWidth="1"/>
    <col min="2829" max="2831" width="0" style="271" hidden="1" customWidth="1"/>
    <col min="2832" max="3072" width="9.140625" style="271"/>
    <col min="3073" max="3073" width="2.28515625" style="271" customWidth="1"/>
    <col min="3074" max="3074" width="5.7109375" style="271" customWidth="1"/>
    <col min="3075" max="3080" width="13.140625" style="271" customWidth="1"/>
    <col min="3081" max="3081" width="0" style="271" hidden="1" customWidth="1"/>
    <col min="3082" max="3084" width="14.42578125" style="271" customWidth="1"/>
    <col min="3085" max="3087" width="0" style="271" hidden="1" customWidth="1"/>
    <col min="3088" max="3328" width="9.140625" style="271"/>
    <col min="3329" max="3329" width="2.28515625" style="271" customWidth="1"/>
    <col min="3330" max="3330" width="5.7109375" style="271" customWidth="1"/>
    <col min="3331" max="3336" width="13.140625" style="271" customWidth="1"/>
    <col min="3337" max="3337" width="0" style="271" hidden="1" customWidth="1"/>
    <col min="3338" max="3340" width="14.42578125" style="271" customWidth="1"/>
    <col min="3341" max="3343" width="0" style="271" hidden="1" customWidth="1"/>
    <col min="3344" max="3584" width="9.140625" style="271"/>
    <col min="3585" max="3585" width="2.28515625" style="271" customWidth="1"/>
    <col min="3586" max="3586" width="5.7109375" style="271" customWidth="1"/>
    <col min="3587" max="3592" width="13.140625" style="271" customWidth="1"/>
    <col min="3593" max="3593" width="0" style="271" hidden="1" customWidth="1"/>
    <col min="3594" max="3596" width="14.42578125" style="271" customWidth="1"/>
    <col min="3597" max="3599" width="0" style="271" hidden="1" customWidth="1"/>
    <col min="3600" max="3840" width="9.140625" style="271"/>
    <col min="3841" max="3841" width="2.28515625" style="271" customWidth="1"/>
    <col min="3842" max="3842" width="5.7109375" style="271" customWidth="1"/>
    <col min="3843" max="3848" width="13.140625" style="271" customWidth="1"/>
    <col min="3849" max="3849" width="0" style="271" hidden="1" customWidth="1"/>
    <col min="3850" max="3852" width="14.42578125" style="271" customWidth="1"/>
    <col min="3853" max="3855" width="0" style="271" hidden="1" customWidth="1"/>
    <col min="3856" max="4096" width="9.140625" style="271"/>
    <col min="4097" max="4097" width="2.28515625" style="271" customWidth="1"/>
    <col min="4098" max="4098" width="5.7109375" style="271" customWidth="1"/>
    <col min="4099" max="4104" width="13.140625" style="271" customWidth="1"/>
    <col min="4105" max="4105" width="0" style="271" hidden="1" customWidth="1"/>
    <col min="4106" max="4108" width="14.42578125" style="271" customWidth="1"/>
    <col min="4109" max="4111" width="0" style="271" hidden="1" customWidth="1"/>
    <col min="4112" max="4352" width="9.140625" style="271"/>
    <col min="4353" max="4353" width="2.28515625" style="271" customWidth="1"/>
    <col min="4354" max="4354" width="5.7109375" style="271" customWidth="1"/>
    <col min="4355" max="4360" width="13.140625" style="271" customWidth="1"/>
    <col min="4361" max="4361" width="0" style="271" hidden="1" customWidth="1"/>
    <col min="4362" max="4364" width="14.42578125" style="271" customWidth="1"/>
    <col min="4365" max="4367" width="0" style="271" hidden="1" customWidth="1"/>
    <col min="4368" max="4608" width="9.140625" style="271"/>
    <col min="4609" max="4609" width="2.28515625" style="271" customWidth="1"/>
    <col min="4610" max="4610" width="5.7109375" style="271" customWidth="1"/>
    <col min="4611" max="4616" width="13.140625" style="271" customWidth="1"/>
    <col min="4617" max="4617" width="0" style="271" hidden="1" customWidth="1"/>
    <col min="4618" max="4620" width="14.42578125" style="271" customWidth="1"/>
    <col min="4621" max="4623" width="0" style="271" hidden="1" customWidth="1"/>
    <col min="4624" max="4864" width="9.140625" style="271"/>
    <col min="4865" max="4865" width="2.28515625" style="271" customWidth="1"/>
    <col min="4866" max="4866" width="5.7109375" style="271" customWidth="1"/>
    <col min="4867" max="4872" width="13.140625" style="271" customWidth="1"/>
    <col min="4873" max="4873" width="0" style="271" hidden="1" customWidth="1"/>
    <col min="4874" max="4876" width="14.42578125" style="271" customWidth="1"/>
    <col min="4877" max="4879" width="0" style="271" hidden="1" customWidth="1"/>
    <col min="4880" max="5120" width="9.140625" style="271"/>
    <col min="5121" max="5121" width="2.28515625" style="271" customWidth="1"/>
    <col min="5122" max="5122" width="5.7109375" style="271" customWidth="1"/>
    <col min="5123" max="5128" width="13.140625" style="271" customWidth="1"/>
    <col min="5129" max="5129" width="0" style="271" hidden="1" customWidth="1"/>
    <col min="5130" max="5132" width="14.42578125" style="271" customWidth="1"/>
    <col min="5133" max="5135" width="0" style="271" hidden="1" customWidth="1"/>
    <col min="5136" max="5376" width="9.140625" style="271"/>
    <col min="5377" max="5377" width="2.28515625" style="271" customWidth="1"/>
    <col min="5378" max="5378" width="5.7109375" style="271" customWidth="1"/>
    <col min="5379" max="5384" width="13.140625" style="271" customWidth="1"/>
    <col min="5385" max="5385" width="0" style="271" hidden="1" customWidth="1"/>
    <col min="5386" max="5388" width="14.42578125" style="271" customWidth="1"/>
    <col min="5389" max="5391" width="0" style="271" hidden="1" customWidth="1"/>
    <col min="5392" max="5632" width="9.140625" style="271"/>
    <col min="5633" max="5633" width="2.28515625" style="271" customWidth="1"/>
    <col min="5634" max="5634" width="5.7109375" style="271" customWidth="1"/>
    <col min="5635" max="5640" width="13.140625" style="271" customWidth="1"/>
    <col min="5641" max="5641" width="0" style="271" hidden="1" customWidth="1"/>
    <col min="5642" max="5644" width="14.42578125" style="271" customWidth="1"/>
    <col min="5645" max="5647" width="0" style="271" hidden="1" customWidth="1"/>
    <col min="5648" max="5888" width="9.140625" style="271"/>
    <col min="5889" max="5889" width="2.28515625" style="271" customWidth="1"/>
    <col min="5890" max="5890" width="5.7109375" style="271" customWidth="1"/>
    <col min="5891" max="5896" width="13.140625" style="271" customWidth="1"/>
    <col min="5897" max="5897" width="0" style="271" hidden="1" customWidth="1"/>
    <col min="5898" max="5900" width="14.42578125" style="271" customWidth="1"/>
    <col min="5901" max="5903" width="0" style="271" hidden="1" customWidth="1"/>
    <col min="5904" max="6144" width="9.140625" style="271"/>
    <col min="6145" max="6145" width="2.28515625" style="271" customWidth="1"/>
    <col min="6146" max="6146" width="5.7109375" style="271" customWidth="1"/>
    <col min="6147" max="6152" width="13.140625" style="271" customWidth="1"/>
    <col min="6153" max="6153" width="0" style="271" hidden="1" customWidth="1"/>
    <col min="6154" max="6156" width="14.42578125" style="271" customWidth="1"/>
    <col min="6157" max="6159" width="0" style="271" hidden="1" customWidth="1"/>
    <col min="6160" max="6400" width="9.140625" style="271"/>
    <col min="6401" max="6401" width="2.28515625" style="271" customWidth="1"/>
    <col min="6402" max="6402" width="5.7109375" style="271" customWidth="1"/>
    <col min="6403" max="6408" width="13.140625" style="271" customWidth="1"/>
    <col min="6409" max="6409" width="0" style="271" hidden="1" customWidth="1"/>
    <col min="6410" max="6412" width="14.42578125" style="271" customWidth="1"/>
    <col min="6413" max="6415" width="0" style="271" hidden="1" customWidth="1"/>
    <col min="6416" max="6656" width="9.140625" style="271"/>
    <col min="6657" max="6657" width="2.28515625" style="271" customWidth="1"/>
    <col min="6658" max="6658" width="5.7109375" style="271" customWidth="1"/>
    <col min="6659" max="6664" width="13.140625" style="271" customWidth="1"/>
    <col min="6665" max="6665" width="0" style="271" hidden="1" customWidth="1"/>
    <col min="6666" max="6668" width="14.42578125" style="271" customWidth="1"/>
    <col min="6669" max="6671" width="0" style="271" hidden="1" customWidth="1"/>
    <col min="6672" max="6912" width="9.140625" style="271"/>
    <col min="6913" max="6913" width="2.28515625" style="271" customWidth="1"/>
    <col min="6914" max="6914" width="5.7109375" style="271" customWidth="1"/>
    <col min="6915" max="6920" width="13.140625" style="271" customWidth="1"/>
    <col min="6921" max="6921" width="0" style="271" hidden="1" customWidth="1"/>
    <col min="6922" max="6924" width="14.42578125" style="271" customWidth="1"/>
    <col min="6925" max="6927" width="0" style="271" hidden="1" customWidth="1"/>
    <col min="6928" max="7168" width="9.140625" style="271"/>
    <col min="7169" max="7169" width="2.28515625" style="271" customWidth="1"/>
    <col min="7170" max="7170" width="5.7109375" style="271" customWidth="1"/>
    <col min="7171" max="7176" width="13.140625" style="271" customWidth="1"/>
    <col min="7177" max="7177" width="0" style="271" hidden="1" customWidth="1"/>
    <col min="7178" max="7180" width="14.42578125" style="271" customWidth="1"/>
    <col min="7181" max="7183" width="0" style="271" hidden="1" customWidth="1"/>
    <col min="7184" max="7424" width="9.140625" style="271"/>
    <col min="7425" max="7425" width="2.28515625" style="271" customWidth="1"/>
    <col min="7426" max="7426" width="5.7109375" style="271" customWidth="1"/>
    <col min="7427" max="7432" width="13.140625" style="271" customWidth="1"/>
    <col min="7433" max="7433" width="0" style="271" hidden="1" customWidth="1"/>
    <col min="7434" max="7436" width="14.42578125" style="271" customWidth="1"/>
    <col min="7437" max="7439" width="0" style="271" hidden="1" customWidth="1"/>
    <col min="7440" max="7680" width="9.140625" style="271"/>
    <col min="7681" max="7681" width="2.28515625" style="271" customWidth="1"/>
    <col min="7682" max="7682" width="5.7109375" style="271" customWidth="1"/>
    <col min="7683" max="7688" width="13.140625" style="271" customWidth="1"/>
    <col min="7689" max="7689" width="0" style="271" hidden="1" customWidth="1"/>
    <col min="7690" max="7692" width="14.42578125" style="271" customWidth="1"/>
    <col min="7693" max="7695" width="0" style="271" hidden="1" customWidth="1"/>
    <col min="7696" max="7936" width="9.140625" style="271"/>
    <col min="7937" max="7937" width="2.28515625" style="271" customWidth="1"/>
    <col min="7938" max="7938" width="5.7109375" style="271" customWidth="1"/>
    <col min="7939" max="7944" width="13.140625" style="271" customWidth="1"/>
    <col min="7945" max="7945" width="0" style="271" hidden="1" customWidth="1"/>
    <col min="7946" max="7948" width="14.42578125" style="271" customWidth="1"/>
    <col min="7949" max="7951" width="0" style="271" hidden="1" customWidth="1"/>
    <col min="7952" max="8192" width="9.140625" style="271"/>
    <col min="8193" max="8193" width="2.28515625" style="271" customWidth="1"/>
    <col min="8194" max="8194" width="5.7109375" style="271" customWidth="1"/>
    <col min="8195" max="8200" width="13.140625" style="271" customWidth="1"/>
    <col min="8201" max="8201" width="0" style="271" hidden="1" customWidth="1"/>
    <col min="8202" max="8204" width="14.42578125" style="271" customWidth="1"/>
    <col min="8205" max="8207" width="0" style="271" hidden="1" customWidth="1"/>
    <col min="8208" max="8448" width="9.140625" style="271"/>
    <col min="8449" max="8449" width="2.28515625" style="271" customWidth="1"/>
    <col min="8450" max="8450" width="5.7109375" style="271" customWidth="1"/>
    <col min="8451" max="8456" width="13.140625" style="271" customWidth="1"/>
    <col min="8457" max="8457" width="0" style="271" hidden="1" customWidth="1"/>
    <col min="8458" max="8460" width="14.42578125" style="271" customWidth="1"/>
    <col min="8461" max="8463" width="0" style="271" hidden="1" customWidth="1"/>
    <col min="8464" max="8704" width="9.140625" style="271"/>
    <col min="8705" max="8705" width="2.28515625" style="271" customWidth="1"/>
    <col min="8706" max="8706" width="5.7109375" style="271" customWidth="1"/>
    <col min="8707" max="8712" width="13.140625" style="271" customWidth="1"/>
    <col min="8713" max="8713" width="0" style="271" hidden="1" customWidth="1"/>
    <col min="8714" max="8716" width="14.42578125" style="271" customWidth="1"/>
    <col min="8717" max="8719" width="0" style="271" hidden="1" customWidth="1"/>
    <col min="8720" max="8960" width="9.140625" style="271"/>
    <col min="8961" max="8961" width="2.28515625" style="271" customWidth="1"/>
    <col min="8962" max="8962" width="5.7109375" style="271" customWidth="1"/>
    <col min="8963" max="8968" width="13.140625" style="271" customWidth="1"/>
    <col min="8969" max="8969" width="0" style="271" hidden="1" customWidth="1"/>
    <col min="8970" max="8972" width="14.42578125" style="271" customWidth="1"/>
    <col min="8973" max="8975" width="0" style="271" hidden="1" customWidth="1"/>
    <col min="8976" max="9216" width="9.140625" style="271"/>
    <col min="9217" max="9217" width="2.28515625" style="271" customWidth="1"/>
    <col min="9218" max="9218" width="5.7109375" style="271" customWidth="1"/>
    <col min="9219" max="9224" width="13.140625" style="271" customWidth="1"/>
    <col min="9225" max="9225" width="0" style="271" hidden="1" customWidth="1"/>
    <col min="9226" max="9228" width="14.42578125" style="271" customWidth="1"/>
    <col min="9229" max="9231" width="0" style="271" hidden="1" customWidth="1"/>
    <col min="9232" max="9472" width="9.140625" style="271"/>
    <col min="9473" max="9473" width="2.28515625" style="271" customWidth="1"/>
    <col min="9474" max="9474" width="5.7109375" style="271" customWidth="1"/>
    <col min="9475" max="9480" width="13.140625" style="271" customWidth="1"/>
    <col min="9481" max="9481" width="0" style="271" hidden="1" customWidth="1"/>
    <col min="9482" max="9484" width="14.42578125" style="271" customWidth="1"/>
    <col min="9485" max="9487" width="0" style="271" hidden="1" customWidth="1"/>
    <col min="9488" max="9728" width="9.140625" style="271"/>
    <col min="9729" max="9729" width="2.28515625" style="271" customWidth="1"/>
    <col min="9730" max="9730" width="5.7109375" style="271" customWidth="1"/>
    <col min="9731" max="9736" width="13.140625" style="271" customWidth="1"/>
    <col min="9737" max="9737" width="0" style="271" hidden="1" customWidth="1"/>
    <col min="9738" max="9740" width="14.42578125" style="271" customWidth="1"/>
    <col min="9741" max="9743" width="0" style="271" hidden="1" customWidth="1"/>
    <col min="9744" max="9984" width="9.140625" style="271"/>
    <col min="9985" max="9985" width="2.28515625" style="271" customWidth="1"/>
    <col min="9986" max="9986" width="5.7109375" style="271" customWidth="1"/>
    <col min="9987" max="9992" width="13.140625" style="271" customWidth="1"/>
    <col min="9993" max="9993" width="0" style="271" hidden="1" customWidth="1"/>
    <col min="9994" max="9996" width="14.42578125" style="271" customWidth="1"/>
    <col min="9997" max="9999" width="0" style="271" hidden="1" customWidth="1"/>
    <col min="10000" max="10240" width="9.140625" style="271"/>
    <col min="10241" max="10241" width="2.28515625" style="271" customWidth="1"/>
    <col min="10242" max="10242" width="5.7109375" style="271" customWidth="1"/>
    <col min="10243" max="10248" width="13.140625" style="271" customWidth="1"/>
    <col min="10249" max="10249" width="0" style="271" hidden="1" customWidth="1"/>
    <col min="10250" max="10252" width="14.42578125" style="271" customWidth="1"/>
    <col min="10253" max="10255" width="0" style="271" hidden="1" customWidth="1"/>
    <col min="10256" max="10496" width="9.140625" style="271"/>
    <col min="10497" max="10497" width="2.28515625" style="271" customWidth="1"/>
    <col min="10498" max="10498" width="5.7109375" style="271" customWidth="1"/>
    <col min="10499" max="10504" width="13.140625" style="271" customWidth="1"/>
    <col min="10505" max="10505" width="0" style="271" hidden="1" customWidth="1"/>
    <col min="10506" max="10508" width="14.42578125" style="271" customWidth="1"/>
    <col min="10509" max="10511" width="0" style="271" hidden="1" customWidth="1"/>
    <col min="10512" max="10752" width="9.140625" style="271"/>
    <col min="10753" max="10753" width="2.28515625" style="271" customWidth="1"/>
    <col min="10754" max="10754" width="5.7109375" style="271" customWidth="1"/>
    <col min="10755" max="10760" width="13.140625" style="271" customWidth="1"/>
    <col min="10761" max="10761" width="0" style="271" hidden="1" customWidth="1"/>
    <col min="10762" max="10764" width="14.42578125" style="271" customWidth="1"/>
    <col min="10765" max="10767" width="0" style="271" hidden="1" customWidth="1"/>
    <col min="10768" max="11008" width="9.140625" style="271"/>
    <col min="11009" max="11009" width="2.28515625" style="271" customWidth="1"/>
    <col min="11010" max="11010" width="5.7109375" style="271" customWidth="1"/>
    <col min="11011" max="11016" width="13.140625" style="271" customWidth="1"/>
    <col min="11017" max="11017" width="0" style="271" hidden="1" customWidth="1"/>
    <col min="11018" max="11020" width="14.42578125" style="271" customWidth="1"/>
    <col min="11021" max="11023" width="0" style="271" hidden="1" customWidth="1"/>
    <col min="11024" max="11264" width="9.140625" style="271"/>
    <col min="11265" max="11265" width="2.28515625" style="271" customWidth="1"/>
    <col min="11266" max="11266" width="5.7109375" style="271" customWidth="1"/>
    <col min="11267" max="11272" width="13.140625" style="271" customWidth="1"/>
    <col min="11273" max="11273" width="0" style="271" hidden="1" customWidth="1"/>
    <col min="11274" max="11276" width="14.42578125" style="271" customWidth="1"/>
    <col min="11277" max="11279" width="0" style="271" hidden="1" customWidth="1"/>
    <col min="11280" max="11520" width="9.140625" style="271"/>
    <col min="11521" max="11521" width="2.28515625" style="271" customWidth="1"/>
    <col min="11522" max="11522" width="5.7109375" style="271" customWidth="1"/>
    <col min="11523" max="11528" width="13.140625" style="271" customWidth="1"/>
    <col min="11529" max="11529" width="0" style="271" hidden="1" customWidth="1"/>
    <col min="11530" max="11532" width="14.42578125" style="271" customWidth="1"/>
    <col min="11533" max="11535" width="0" style="271" hidden="1" customWidth="1"/>
    <col min="11536" max="11776" width="9.140625" style="271"/>
    <col min="11777" max="11777" width="2.28515625" style="271" customWidth="1"/>
    <col min="11778" max="11778" width="5.7109375" style="271" customWidth="1"/>
    <col min="11779" max="11784" width="13.140625" style="271" customWidth="1"/>
    <col min="11785" max="11785" width="0" style="271" hidden="1" customWidth="1"/>
    <col min="11786" max="11788" width="14.42578125" style="271" customWidth="1"/>
    <col min="11789" max="11791" width="0" style="271" hidden="1" customWidth="1"/>
    <col min="11792" max="12032" width="9.140625" style="271"/>
    <col min="12033" max="12033" width="2.28515625" style="271" customWidth="1"/>
    <col min="12034" max="12034" width="5.7109375" style="271" customWidth="1"/>
    <col min="12035" max="12040" width="13.140625" style="271" customWidth="1"/>
    <col min="12041" max="12041" width="0" style="271" hidden="1" customWidth="1"/>
    <col min="12042" max="12044" width="14.42578125" style="271" customWidth="1"/>
    <col min="12045" max="12047" width="0" style="271" hidden="1" customWidth="1"/>
    <col min="12048" max="12288" width="9.140625" style="271"/>
    <col min="12289" max="12289" width="2.28515625" style="271" customWidth="1"/>
    <col min="12290" max="12290" width="5.7109375" style="271" customWidth="1"/>
    <col min="12291" max="12296" width="13.140625" style="271" customWidth="1"/>
    <col min="12297" max="12297" width="0" style="271" hidden="1" customWidth="1"/>
    <col min="12298" max="12300" width="14.42578125" style="271" customWidth="1"/>
    <col min="12301" max="12303" width="0" style="271" hidden="1" customWidth="1"/>
    <col min="12304" max="12544" width="9.140625" style="271"/>
    <col min="12545" max="12545" width="2.28515625" style="271" customWidth="1"/>
    <col min="12546" max="12546" width="5.7109375" style="271" customWidth="1"/>
    <col min="12547" max="12552" width="13.140625" style="271" customWidth="1"/>
    <col min="12553" max="12553" width="0" style="271" hidden="1" customWidth="1"/>
    <col min="12554" max="12556" width="14.42578125" style="271" customWidth="1"/>
    <col min="12557" max="12559" width="0" style="271" hidden="1" customWidth="1"/>
    <col min="12560" max="12800" width="9.140625" style="271"/>
    <col min="12801" max="12801" width="2.28515625" style="271" customWidth="1"/>
    <col min="12802" max="12802" width="5.7109375" style="271" customWidth="1"/>
    <col min="12803" max="12808" width="13.140625" style="271" customWidth="1"/>
    <col min="12809" max="12809" width="0" style="271" hidden="1" customWidth="1"/>
    <col min="12810" max="12812" width="14.42578125" style="271" customWidth="1"/>
    <col min="12813" max="12815" width="0" style="271" hidden="1" customWidth="1"/>
    <col min="12816" max="13056" width="9.140625" style="271"/>
    <col min="13057" max="13057" width="2.28515625" style="271" customWidth="1"/>
    <col min="13058" max="13058" width="5.7109375" style="271" customWidth="1"/>
    <col min="13059" max="13064" width="13.140625" style="271" customWidth="1"/>
    <col min="13065" max="13065" width="0" style="271" hidden="1" customWidth="1"/>
    <col min="13066" max="13068" width="14.42578125" style="271" customWidth="1"/>
    <col min="13069" max="13071" width="0" style="271" hidden="1" customWidth="1"/>
    <col min="13072" max="13312" width="9.140625" style="271"/>
    <col min="13313" max="13313" width="2.28515625" style="271" customWidth="1"/>
    <col min="13314" max="13314" width="5.7109375" style="271" customWidth="1"/>
    <col min="13315" max="13320" width="13.140625" style="271" customWidth="1"/>
    <col min="13321" max="13321" width="0" style="271" hidden="1" customWidth="1"/>
    <col min="13322" max="13324" width="14.42578125" style="271" customWidth="1"/>
    <col min="13325" max="13327" width="0" style="271" hidden="1" customWidth="1"/>
    <col min="13328" max="13568" width="9.140625" style="271"/>
    <col min="13569" max="13569" width="2.28515625" style="271" customWidth="1"/>
    <col min="13570" max="13570" width="5.7109375" style="271" customWidth="1"/>
    <col min="13571" max="13576" width="13.140625" style="271" customWidth="1"/>
    <col min="13577" max="13577" width="0" style="271" hidden="1" customWidth="1"/>
    <col min="13578" max="13580" width="14.42578125" style="271" customWidth="1"/>
    <col min="13581" max="13583" width="0" style="271" hidden="1" customWidth="1"/>
    <col min="13584" max="13824" width="9.140625" style="271"/>
    <col min="13825" max="13825" width="2.28515625" style="271" customWidth="1"/>
    <col min="13826" max="13826" width="5.7109375" style="271" customWidth="1"/>
    <col min="13827" max="13832" width="13.140625" style="271" customWidth="1"/>
    <col min="13833" max="13833" width="0" style="271" hidden="1" customWidth="1"/>
    <col min="13834" max="13836" width="14.42578125" style="271" customWidth="1"/>
    <col min="13837" max="13839" width="0" style="271" hidden="1" customWidth="1"/>
    <col min="13840" max="14080" width="9.140625" style="271"/>
    <col min="14081" max="14081" width="2.28515625" style="271" customWidth="1"/>
    <col min="14082" max="14082" width="5.7109375" style="271" customWidth="1"/>
    <col min="14083" max="14088" width="13.140625" style="271" customWidth="1"/>
    <col min="14089" max="14089" width="0" style="271" hidden="1" customWidth="1"/>
    <col min="14090" max="14092" width="14.42578125" style="271" customWidth="1"/>
    <col min="14093" max="14095" width="0" style="271" hidden="1" customWidth="1"/>
    <col min="14096" max="14336" width="9.140625" style="271"/>
    <col min="14337" max="14337" width="2.28515625" style="271" customWidth="1"/>
    <col min="14338" max="14338" width="5.7109375" style="271" customWidth="1"/>
    <col min="14339" max="14344" width="13.140625" style="271" customWidth="1"/>
    <col min="14345" max="14345" width="0" style="271" hidden="1" customWidth="1"/>
    <col min="14346" max="14348" width="14.42578125" style="271" customWidth="1"/>
    <col min="14349" max="14351" width="0" style="271" hidden="1" customWidth="1"/>
    <col min="14352" max="14592" width="9.140625" style="271"/>
    <col min="14593" max="14593" width="2.28515625" style="271" customWidth="1"/>
    <col min="14594" max="14594" width="5.7109375" style="271" customWidth="1"/>
    <col min="14595" max="14600" width="13.140625" style="271" customWidth="1"/>
    <col min="14601" max="14601" width="0" style="271" hidden="1" customWidth="1"/>
    <col min="14602" max="14604" width="14.42578125" style="271" customWidth="1"/>
    <col min="14605" max="14607" width="0" style="271" hidden="1" customWidth="1"/>
    <col min="14608" max="14848" width="9.140625" style="271"/>
    <col min="14849" max="14849" width="2.28515625" style="271" customWidth="1"/>
    <col min="14850" max="14850" width="5.7109375" style="271" customWidth="1"/>
    <col min="14851" max="14856" width="13.140625" style="271" customWidth="1"/>
    <col min="14857" max="14857" width="0" style="271" hidden="1" customWidth="1"/>
    <col min="14858" max="14860" width="14.42578125" style="271" customWidth="1"/>
    <col min="14861" max="14863" width="0" style="271" hidden="1" customWidth="1"/>
    <col min="14864" max="15104" width="9.140625" style="271"/>
    <col min="15105" max="15105" width="2.28515625" style="271" customWidth="1"/>
    <col min="15106" max="15106" width="5.7109375" style="271" customWidth="1"/>
    <col min="15107" max="15112" width="13.140625" style="271" customWidth="1"/>
    <col min="15113" max="15113" width="0" style="271" hidden="1" customWidth="1"/>
    <col min="15114" max="15116" width="14.42578125" style="271" customWidth="1"/>
    <col min="15117" max="15119" width="0" style="271" hidden="1" customWidth="1"/>
    <col min="15120" max="15360" width="9.140625" style="271"/>
    <col min="15361" max="15361" width="2.28515625" style="271" customWidth="1"/>
    <col min="15362" max="15362" width="5.7109375" style="271" customWidth="1"/>
    <col min="15363" max="15368" width="13.140625" style="271" customWidth="1"/>
    <col min="15369" max="15369" width="0" style="271" hidden="1" customWidth="1"/>
    <col min="15370" max="15372" width="14.42578125" style="271" customWidth="1"/>
    <col min="15373" max="15375" width="0" style="271" hidden="1" customWidth="1"/>
    <col min="15376" max="15616" width="9.140625" style="271"/>
    <col min="15617" max="15617" width="2.28515625" style="271" customWidth="1"/>
    <col min="15618" max="15618" width="5.7109375" style="271" customWidth="1"/>
    <col min="15619" max="15624" width="13.140625" style="271" customWidth="1"/>
    <col min="15625" max="15625" width="0" style="271" hidden="1" customWidth="1"/>
    <col min="15626" max="15628" width="14.42578125" style="271" customWidth="1"/>
    <col min="15629" max="15631" width="0" style="271" hidden="1" customWidth="1"/>
    <col min="15632" max="15872" width="9.140625" style="271"/>
    <col min="15873" max="15873" width="2.28515625" style="271" customWidth="1"/>
    <col min="15874" max="15874" width="5.7109375" style="271" customWidth="1"/>
    <col min="15875" max="15880" width="13.140625" style="271" customWidth="1"/>
    <col min="15881" max="15881" width="0" style="271" hidden="1" customWidth="1"/>
    <col min="15882" max="15884" width="14.42578125" style="271" customWidth="1"/>
    <col min="15885" max="15887" width="0" style="271" hidden="1" customWidth="1"/>
    <col min="15888" max="16128" width="9.140625" style="271"/>
    <col min="16129" max="16129" width="2.28515625" style="271" customWidth="1"/>
    <col min="16130" max="16130" width="5.7109375" style="271" customWidth="1"/>
    <col min="16131" max="16136" width="13.140625" style="271" customWidth="1"/>
    <col min="16137" max="16137" width="0" style="271" hidden="1" customWidth="1"/>
    <col min="16138" max="16140" width="14.42578125" style="271" customWidth="1"/>
    <col min="16141" max="16143" width="0" style="271" hidden="1" customWidth="1"/>
    <col min="16144" max="16384" width="9.140625" style="271"/>
  </cols>
  <sheetData>
    <row r="1" spans="2:9" ht="14.25" customHeight="1">
      <c r="B1" s="483" t="s">
        <v>1246</v>
      </c>
      <c r="C1" s="484"/>
      <c r="D1" s="484"/>
      <c r="E1" s="484"/>
      <c r="F1" s="484"/>
      <c r="G1" s="485"/>
      <c r="H1" s="270"/>
      <c r="I1" s="271"/>
    </row>
    <row r="2" spans="2:9" ht="14.25" customHeight="1">
      <c r="B2" s="320" t="s">
        <v>1216</v>
      </c>
      <c r="C2" s="328">
        <f>'1.ลดดอกเบี้ย'!C3</f>
        <v>0</v>
      </c>
      <c r="D2" s="328"/>
      <c r="E2" s="316"/>
      <c r="F2" s="269"/>
      <c r="G2" s="274" t="s">
        <v>191</v>
      </c>
      <c r="H2" s="272"/>
      <c r="I2" s="271"/>
    </row>
    <row r="3" spans="2:9" ht="14.25" customHeight="1">
      <c r="B3" s="320" t="s">
        <v>1238</v>
      </c>
      <c r="C3" s="326">
        <f>'1.ลดดอกเบี้ย'!C4</f>
        <v>0</v>
      </c>
      <c r="D3" s="327"/>
      <c r="F3" s="313" t="s">
        <v>208</v>
      </c>
      <c r="G3" s="330" t="s">
        <v>1220</v>
      </c>
      <c r="H3" s="272"/>
      <c r="I3" s="271"/>
    </row>
    <row r="4" spans="2:9" ht="14.25" customHeight="1">
      <c r="B4" s="319" t="s">
        <v>57</v>
      </c>
      <c r="C4" s="336">
        <f>'1.ลดดอกเบี้ย'!E8</f>
        <v>0</v>
      </c>
      <c r="D4" s="324" t="s">
        <v>1235</v>
      </c>
      <c r="E4" s="313" t="s">
        <v>59</v>
      </c>
      <c r="F4" s="317">
        <f>'2.นำเสนอดอกเบี้ย'!K23</f>
        <v>0</v>
      </c>
      <c r="G4" s="276">
        <f>'1.ลดดอกเบี้ย'!E28</f>
        <v>0</v>
      </c>
      <c r="H4" s="273"/>
      <c r="I4" s="271"/>
    </row>
    <row r="5" spans="2:9" ht="14.25" customHeight="1">
      <c r="B5" s="322" t="s">
        <v>1234</v>
      </c>
      <c r="C5" s="337">
        <f>'1.ลดดอกเบี้ย'!E9</f>
        <v>0</v>
      </c>
      <c r="D5" s="325" t="s">
        <v>1236</v>
      </c>
      <c r="E5" s="313" t="s">
        <v>60</v>
      </c>
      <c r="F5" s="317">
        <f>'2.นำเสนอดอกเบี้ย'!K24</f>
        <v>0</v>
      </c>
      <c r="G5" s="276">
        <f>'1.ลดดอกเบี้ย'!E29</f>
        <v>0</v>
      </c>
      <c r="H5" s="275" t="e">
        <f>SUM(I6:I10)/#REF!</f>
        <v>#REF!</v>
      </c>
      <c r="I5" s="271"/>
    </row>
    <row r="6" spans="2:9" ht="14.25" customHeight="1">
      <c r="B6" s="476"/>
      <c r="C6" s="477"/>
      <c r="E6" s="313" t="s">
        <v>61</v>
      </c>
      <c r="F6" s="317">
        <f>'2.นำเสนอดอกเบี้ย'!K25</f>
        <v>0</v>
      </c>
      <c r="G6" s="276">
        <f>'1.ลดดอกเบี้ย'!E30</f>
        <v>0</v>
      </c>
      <c r="H6" s="277">
        <f>F4*12</f>
        <v>0</v>
      </c>
      <c r="I6" s="271"/>
    </row>
    <row r="7" spans="2:9" ht="14.25" customHeight="1">
      <c r="B7" s="249"/>
      <c r="C7" s="280" t="s">
        <v>1222</v>
      </c>
      <c r="D7" s="329">
        <v>0.01</v>
      </c>
      <c r="E7" s="278" t="s">
        <v>1250</v>
      </c>
      <c r="F7" s="318">
        <f>'2.นำเสนอดอกเบี้ย'!K26</f>
        <v>0</v>
      </c>
      <c r="G7" s="279">
        <f>'1.ลดดอกเบี้ย'!E31</f>
        <v>0</v>
      </c>
      <c r="H7" s="277">
        <f>F5*12</f>
        <v>0</v>
      </c>
      <c r="I7" s="271"/>
    </row>
    <row r="8" spans="2:9" ht="12" hidden="1" customHeight="1">
      <c r="B8" s="476"/>
      <c r="C8" s="477"/>
      <c r="D8" s="314"/>
      <c r="H8" s="277">
        <f>F6*12</f>
        <v>0</v>
      </c>
      <c r="I8" s="271"/>
    </row>
    <row r="9" spans="2:9" ht="12" hidden="1" customHeight="1">
      <c r="B9" s="478"/>
      <c r="C9" s="479"/>
      <c r="D9" s="315"/>
      <c r="H9" s="277">
        <f>F7*12</f>
        <v>0</v>
      </c>
      <c r="I9" s="271"/>
    </row>
    <row r="10" spans="2:9" ht="12" hidden="1" customHeight="1">
      <c r="B10" s="249"/>
      <c r="C10" s="250"/>
      <c r="D10" s="250"/>
      <c r="E10" s="250"/>
      <c r="F10" s="278" t="s">
        <v>1223</v>
      </c>
      <c r="G10" s="251">
        <f>F7</f>
        <v>0</v>
      </c>
      <c r="H10" s="279">
        <f>G7</f>
        <v>0</v>
      </c>
      <c r="I10" s="277" t="e">
        <f>G10*(#REF!-48)</f>
        <v>#REF!</v>
      </c>
    </row>
    <row r="11" spans="2:9" ht="3" hidden="1" customHeight="1">
      <c r="C11" s="253"/>
      <c r="D11" s="248">
        <f>12*3</f>
        <v>36</v>
      </c>
      <c r="E11" s="248">
        <f>12*5</f>
        <v>60</v>
      </c>
      <c r="F11" s="248">
        <f>12*7</f>
        <v>84</v>
      </c>
      <c r="G11" s="248">
        <f>12*10</f>
        <v>120</v>
      </c>
      <c r="H11" s="248">
        <f>12*30</f>
        <v>360</v>
      </c>
      <c r="I11" s="280">
        <f>12*15</f>
        <v>180</v>
      </c>
    </row>
    <row r="12" spans="2:9" ht="12.75" hidden="1" customHeight="1">
      <c r="B12" s="480"/>
      <c r="C12" s="480"/>
      <c r="D12" s="254" t="s">
        <v>1224</v>
      </c>
      <c r="E12" s="255" t="s">
        <v>1225</v>
      </c>
      <c r="F12" s="255" t="s">
        <v>1226</v>
      </c>
      <c r="G12" s="255" t="s">
        <v>1227</v>
      </c>
      <c r="H12" s="255" t="s">
        <v>1228</v>
      </c>
      <c r="I12" s="255" t="s">
        <v>1229</v>
      </c>
    </row>
    <row r="13" spans="2:9" ht="14.25" hidden="1" customHeight="1">
      <c r="B13" s="481" t="s">
        <v>1230</v>
      </c>
      <c r="C13" s="481"/>
      <c r="D13" s="256">
        <f>SUM($G$20:$G$55)</f>
        <v>0</v>
      </c>
      <c r="E13" s="257">
        <f>SUM($G$20:$G$79)</f>
        <v>0</v>
      </c>
      <c r="F13" s="256">
        <f>SUM($G$20:$G$103)</f>
        <v>0</v>
      </c>
      <c r="G13" s="256">
        <f>SUM($G$20:$G$139)</f>
        <v>0</v>
      </c>
      <c r="H13" s="256">
        <f>SUM($G$20:$G$379)</f>
        <v>0</v>
      </c>
      <c r="I13" s="256">
        <f>SUM($G$20:$G$199)</f>
        <v>0</v>
      </c>
    </row>
    <row r="14" spans="2:9" ht="14.25" hidden="1" customHeight="1">
      <c r="B14" s="482" t="s">
        <v>1231</v>
      </c>
      <c r="C14" s="482"/>
      <c r="D14" s="258">
        <f>AVERAGE($D$20:$D$55)</f>
        <v>0</v>
      </c>
      <c r="E14" s="259">
        <f>AVERAGE($D$20:$D$79)</f>
        <v>0</v>
      </c>
      <c r="F14" s="258">
        <f>AVERAGE($D$20:$D$103)</f>
        <v>0</v>
      </c>
      <c r="G14" s="258">
        <f>AVERAGE($D$20:$D$139)</f>
        <v>0</v>
      </c>
      <c r="H14" s="258">
        <f>AVERAGE($D$20:$D$379)</f>
        <v>0</v>
      </c>
      <c r="I14" s="258">
        <f>AVERAGE($D$20:$D$199)</f>
        <v>0</v>
      </c>
    </row>
    <row r="15" spans="2:9" ht="14.25" hidden="1" customHeight="1">
      <c r="B15" s="470" t="s">
        <v>1232</v>
      </c>
      <c r="C15" s="470"/>
      <c r="D15" s="260" t="e">
        <f t="shared" ref="D15:I15" si="0">D13/D14/(D11/12)</f>
        <v>#DIV/0!</v>
      </c>
      <c r="E15" s="261" t="e">
        <f t="shared" si="0"/>
        <v>#DIV/0!</v>
      </c>
      <c r="F15" s="260" t="e">
        <f t="shared" si="0"/>
        <v>#DIV/0!</v>
      </c>
      <c r="G15" s="260" t="e">
        <f t="shared" si="0"/>
        <v>#DIV/0!</v>
      </c>
      <c r="H15" s="260" t="e">
        <f t="shared" si="0"/>
        <v>#DIV/0!</v>
      </c>
      <c r="I15" s="262" t="e">
        <f t="shared" si="0"/>
        <v>#DIV/0!</v>
      </c>
    </row>
    <row r="16" spans="2:9" ht="5.25" hidden="1" customHeight="1">
      <c r="C16" s="263"/>
      <c r="D16" s="281"/>
      <c r="E16" s="282"/>
      <c r="F16" s="281"/>
      <c r="G16" s="283"/>
      <c r="H16" s="271"/>
      <c r="I16" s="271"/>
    </row>
    <row r="17" spans="1:15" ht="14.25" hidden="1" customHeight="1">
      <c r="B17" s="471" t="s">
        <v>1233</v>
      </c>
      <c r="C17" s="472"/>
      <c r="D17" s="264">
        <f>AVERAGE($C$20:$C$55)</f>
        <v>0</v>
      </c>
      <c r="E17" s="265">
        <f>AVERAGE($C$20:$C$79)</f>
        <v>0</v>
      </c>
      <c r="F17" s="264">
        <f>AVERAGE($C$20:$C$103)</f>
        <v>0</v>
      </c>
      <c r="G17" s="264">
        <f>AVERAGE($C$20:$C$139)</f>
        <v>0</v>
      </c>
      <c r="H17" s="264">
        <f>AVERAGE($C$20:$C$379)</f>
        <v>0</v>
      </c>
      <c r="I17" s="266">
        <f>AVERAGE(C20:C199)</f>
        <v>0</v>
      </c>
    </row>
    <row r="18" spans="1:15" ht="4.5" customHeight="1">
      <c r="D18" s="284"/>
      <c r="E18" s="285"/>
    </row>
    <row r="19" spans="1:15" ht="14.25" customHeight="1">
      <c r="A19" s="286"/>
      <c r="B19" s="267" t="s">
        <v>1215</v>
      </c>
      <c r="C19" s="267" t="s">
        <v>208</v>
      </c>
      <c r="D19" s="267" t="s">
        <v>1237</v>
      </c>
      <c r="E19" s="267" t="s">
        <v>1217</v>
      </c>
      <c r="F19" s="267" t="s">
        <v>1218</v>
      </c>
      <c r="G19" s="267" t="s">
        <v>1219</v>
      </c>
      <c r="H19" s="267" t="s">
        <v>1237</v>
      </c>
      <c r="I19" s="268" t="s">
        <v>115</v>
      </c>
      <c r="J19" s="287"/>
      <c r="K19" s="287"/>
      <c r="L19" s="287"/>
      <c r="M19" s="287"/>
      <c r="N19" s="287"/>
      <c r="O19" s="288" t="s">
        <v>97</v>
      </c>
    </row>
    <row r="20" spans="1:15">
      <c r="A20" s="286"/>
      <c r="B20" s="289">
        <v>1</v>
      </c>
      <c r="C20" s="290">
        <f t="shared" ref="C20:C31" si="1">IF(D20&gt;0,$F$4,0)</f>
        <v>0</v>
      </c>
      <c r="D20" s="291">
        <f>C4</f>
        <v>0</v>
      </c>
      <c r="E20" s="292">
        <f>G4</f>
        <v>0</v>
      </c>
      <c r="F20" s="292">
        <f t="shared" ref="F20:F83" si="2">E20-G20</f>
        <v>0</v>
      </c>
      <c r="G20" s="292">
        <f>C20*(D20/365)*30</f>
        <v>0</v>
      </c>
      <c r="H20" s="293">
        <f>IF((D20+G20-E20)&lt;0,0,D20+G20-E20)</f>
        <v>0</v>
      </c>
      <c r="I20" s="294"/>
      <c r="O20" s="295">
        <f t="shared" ref="O20:O83" si="3">IF(H20=0,B20,"n.a.")</f>
        <v>1</v>
      </c>
    </row>
    <row r="21" spans="1:15">
      <c r="A21" s="286"/>
      <c r="B21" s="296">
        <f>B20+1</f>
        <v>2</v>
      </c>
      <c r="C21" s="297">
        <f t="shared" si="1"/>
        <v>0</v>
      </c>
      <c r="D21" s="298">
        <f>H20</f>
        <v>0</v>
      </c>
      <c r="E21" s="299">
        <f t="shared" ref="E21:E31" si="4">IF(H20&lt;=E20,H20+G21,$G$4)</f>
        <v>0</v>
      </c>
      <c r="F21" s="299">
        <f t="shared" si="2"/>
        <v>0</v>
      </c>
      <c r="G21" s="299">
        <f t="shared" ref="G21:G84" si="5">C21*(D21/365)*30</f>
        <v>0</v>
      </c>
      <c r="H21" s="298">
        <f t="shared" ref="H21:H84" si="6">IF((D21+G21-E21)&lt;0,0,D21+G21-E21)</f>
        <v>0</v>
      </c>
      <c r="I21" s="294"/>
      <c r="O21" s="295">
        <f t="shared" si="3"/>
        <v>2</v>
      </c>
    </row>
    <row r="22" spans="1:15">
      <c r="A22" s="286"/>
      <c r="B22" s="296">
        <f t="shared" ref="B22:B85" si="7">B21+1</f>
        <v>3</v>
      </c>
      <c r="C22" s="297">
        <f t="shared" si="1"/>
        <v>0</v>
      </c>
      <c r="D22" s="298">
        <f t="shared" ref="D22:D85" si="8">H21</f>
        <v>0</v>
      </c>
      <c r="E22" s="299">
        <f t="shared" si="4"/>
        <v>0</v>
      </c>
      <c r="F22" s="299">
        <f t="shared" si="2"/>
        <v>0</v>
      </c>
      <c r="G22" s="299">
        <f t="shared" si="5"/>
        <v>0</v>
      </c>
      <c r="H22" s="298">
        <f t="shared" si="6"/>
        <v>0</v>
      </c>
      <c r="I22" s="294"/>
      <c r="O22" s="295">
        <f t="shared" si="3"/>
        <v>3</v>
      </c>
    </row>
    <row r="23" spans="1:15">
      <c r="A23" s="286"/>
      <c r="B23" s="296">
        <f t="shared" si="7"/>
        <v>4</v>
      </c>
      <c r="C23" s="297">
        <f t="shared" si="1"/>
        <v>0</v>
      </c>
      <c r="D23" s="298">
        <f t="shared" si="8"/>
        <v>0</v>
      </c>
      <c r="E23" s="299">
        <f t="shared" si="4"/>
        <v>0</v>
      </c>
      <c r="F23" s="299">
        <f t="shared" si="2"/>
        <v>0</v>
      </c>
      <c r="G23" s="299">
        <f t="shared" si="5"/>
        <v>0</v>
      </c>
      <c r="H23" s="298">
        <f t="shared" si="6"/>
        <v>0</v>
      </c>
      <c r="I23" s="294"/>
      <c r="O23" s="295">
        <f t="shared" si="3"/>
        <v>4</v>
      </c>
    </row>
    <row r="24" spans="1:15">
      <c r="A24" s="286"/>
      <c r="B24" s="296">
        <f t="shared" si="7"/>
        <v>5</v>
      </c>
      <c r="C24" s="297">
        <f t="shared" si="1"/>
        <v>0</v>
      </c>
      <c r="D24" s="298">
        <f t="shared" si="8"/>
        <v>0</v>
      </c>
      <c r="E24" s="299">
        <f t="shared" si="4"/>
        <v>0</v>
      </c>
      <c r="F24" s="299">
        <f t="shared" si="2"/>
        <v>0</v>
      </c>
      <c r="G24" s="299">
        <f t="shared" si="5"/>
        <v>0</v>
      </c>
      <c r="H24" s="298">
        <f t="shared" si="6"/>
        <v>0</v>
      </c>
      <c r="I24" s="294"/>
      <c r="O24" s="295">
        <f t="shared" si="3"/>
        <v>5</v>
      </c>
    </row>
    <row r="25" spans="1:15">
      <c r="A25" s="286"/>
      <c r="B25" s="296">
        <f t="shared" si="7"/>
        <v>6</v>
      </c>
      <c r="C25" s="297">
        <f t="shared" si="1"/>
        <v>0</v>
      </c>
      <c r="D25" s="298">
        <f t="shared" si="8"/>
        <v>0</v>
      </c>
      <c r="E25" s="299">
        <f t="shared" si="4"/>
        <v>0</v>
      </c>
      <c r="F25" s="299">
        <f t="shared" si="2"/>
        <v>0</v>
      </c>
      <c r="G25" s="299">
        <f t="shared" si="5"/>
        <v>0</v>
      </c>
      <c r="H25" s="298">
        <f t="shared" si="6"/>
        <v>0</v>
      </c>
      <c r="I25" s="294"/>
      <c r="O25" s="295">
        <f t="shared" si="3"/>
        <v>6</v>
      </c>
    </row>
    <row r="26" spans="1:15">
      <c r="A26" s="286"/>
      <c r="B26" s="296">
        <f t="shared" si="7"/>
        <v>7</v>
      </c>
      <c r="C26" s="297">
        <f t="shared" si="1"/>
        <v>0</v>
      </c>
      <c r="D26" s="298">
        <f t="shared" si="8"/>
        <v>0</v>
      </c>
      <c r="E26" s="299">
        <f t="shared" si="4"/>
        <v>0</v>
      </c>
      <c r="F26" s="299">
        <f t="shared" si="2"/>
        <v>0</v>
      </c>
      <c r="G26" s="299">
        <f t="shared" si="5"/>
        <v>0</v>
      </c>
      <c r="H26" s="298">
        <f t="shared" si="6"/>
        <v>0</v>
      </c>
      <c r="I26" s="294"/>
      <c r="O26" s="295">
        <f t="shared" si="3"/>
        <v>7</v>
      </c>
    </row>
    <row r="27" spans="1:15">
      <c r="A27" s="286"/>
      <c r="B27" s="296">
        <f t="shared" si="7"/>
        <v>8</v>
      </c>
      <c r="C27" s="297">
        <f t="shared" si="1"/>
        <v>0</v>
      </c>
      <c r="D27" s="298">
        <f t="shared" si="8"/>
        <v>0</v>
      </c>
      <c r="E27" s="299">
        <f t="shared" si="4"/>
        <v>0</v>
      </c>
      <c r="F27" s="299">
        <f t="shared" si="2"/>
        <v>0</v>
      </c>
      <c r="G27" s="299">
        <f t="shared" si="5"/>
        <v>0</v>
      </c>
      <c r="H27" s="298">
        <f t="shared" si="6"/>
        <v>0</v>
      </c>
      <c r="I27" s="294"/>
      <c r="O27" s="295">
        <f t="shared" si="3"/>
        <v>8</v>
      </c>
    </row>
    <row r="28" spans="1:15">
      <c r="A28" s="286"/>
      <c r="B28" s="296">
        <f t="shared" si="7"/>
        <v>9</v>
      </c>
      <c r="C28" s="297">
        <f t="shared" si="1"/>
        <v>0</v>
      </c>
      <c r="D28" s="298">
        <f t="shared" si="8"/>
        <v>0</v>
      </c>
      <c r="E28" s="299">
        <f t="shared" si="4"/>
        <v>0</v>
      </c>
      <c r="F28" s="299">
        <f t="shared" si="2"/>
        <v>0</v>
      </c>
      <c r="G28" s="299">
        <f t="shared" si="5"/>
        <v>0</v>
      </c>
      <c r="H28" s="298">
        <f t="shared" si="6"/>
        <v>0</v>
      </c>
      <c r="I28" s="294"/>
      <c r="O28" s="295">
        <f t="shared" si="3"/>
        <v>9</v>
      </c>
    </row>
    <row r="29" spans="1:15">
      <c r="A29" s="286"/>
      <c r="B29" s="296">
        <f t="shared" si="7"/>
        <v>10</v>
      </c>
      <c r="C29" s="297">
        <f t="shared" si="1"/>
        <v>0</v>
      </c>
      <c r="D29" s="298">
        <f t="shared" si="8"/>
        <v>0</v>
      </c>
      <c r="E29" s="299">
        <f t="shared" si="4"/>
        <v>0</v>
      </c>
      <c r="F29" s="299">
        <f t="shared" si="2"/>
        <v>0</v>
      </c>
      <c r="G29" s="299">
        <f t="shared" si="5"/>
        <v>0</v>
      </c>
      <c r="H29" s="298">
        <f t="shared" si="6"/>
        <v>0</v>
      </c>
      <c r="I29" s="294"/>
      <c r="O29" s="295">
        <f t="shared" si="3"/>
        <v>10</v>
      </c>
    </row>
    <row r="30" spans="1:15">
      <c r="A30" s="286"/>
      <c r="B30" s="296">
        <f t="shared" si="7"/>
        <v>11</v>
      </c>
      <c r="C30" s="297">
        <f t="shared" si="1"/>
        <v>0</v>
      </c>
      <c r="D30" s="298">
        <f t="shared" si="8"/>
        <v>0</v>
      </c>
      <c r="E30" s="299">
        <f t="shared" si="4"/>
        <v>0</v>
      </c>
      <c r="F30" s="299">
        <f t="shared" si="2"/>
        <v>0</v>
      </c>
      <c r="G30" s="299">
        <f t="shared" si="5"/>
        <v>0</v>
      </c>
      <c r="H30" s="298">
        <f t="shared" si="6"/>
        <v>0</v>
      </c>
      <c r="I30" s="294"/>
      <c r="O30" s="295">
        <f t="shared" si="3"/>
        <v>11</v>
      </c>
    </row>
    <row r="31" spans="1:15">
      <c r="A31" s="286"/>
      <c r="B31" s="300">
        <f t="shared" si="7"/>
        <v>12</v>
      </c>
      <c r="C31" s="301">
        <f t="shared" si="1"/>
        <v>0</v>
      </c>
      <c r="D31" s="302">
        <f t="shared" si="8"/>
        <v>0</v>
      </c>
      <c r="E31" s="303">
        <f t="shared" si="4"/>
        <v>0</v>
      </c>
      <c r="F31" s="303">
        <f t="shared" si="2"/>
        <v>0</v>
      </c>
      <c r="G31" s="303">
        <f t="shared" si="5"/>
        <v>0</v>
      </c>
      <c r="H31" s="302">
        <f t="shared" si="6"/>
        <v>0</v>
      </c>
      <c r="I31" s="304" t="e">
        <f>H31/$D$5</f>
        <v>#VALUE!</v>
      </c>
      <c r="J31" s="305"/>
      <c r="K31" s="305"/>
      <c r="L31" s="305"/>
      <c r="M31" s="305"/>
      <c r="N31" s="305"/>
      <c r="O31" s="306">
        <f t="shared" si="3"/>
        <v>12</v>
      </c>
    </row>
    <row r="32" spans="1:15">
      <c r="A32" s="286"/>
      <c r="B32" s="296">
        <f t="shared" si="7"/>
        <v>13</v>
      </c>
      <c r="C32" s="297">
        <f t="shared" ref="C32:C43" si="9">IF(D32&gt;0,$F$5,0)</f>
        <v>0</v>
      </c>
      <c r="D32" s="298">
        <f t="shared" si="8"/>
        <v>0</v>
      </c>
      <c r="E32" s="299">
        <f t="shared" ref="E32:E43" si="10">IF(H31&lt;=E31,H31+G32,$G$5)</f>
        <v>0</v>
      </c>
      <c r="F32" s="299">
        <f t="shared" si="2"/>
        <v>0</v>
      </c>
      <c r="G32" s="299">
        <f t="shared" si="5"/>
        <v>0</v>
      </c>
      <c r="H32" s="298">
        <f t="shared" si="6"/>
        <v>0</v>
      </c>
      <c r="I32" s="294"/>
      <c r="O32" s="295">
        <f t="shared" si="3"/>
        <v>13</v>
      </c>
    </row>
    <row r="33" spans="1:15">
      <c r="A33" s="286"/>
      <c r="B33" s="296">
        <f t="shared" si="7"/>
        <v>14</v>
      </c>
      <c r="C33" s="297">
        <f t="shared" si="9"/>
        <v>0</v>
      </c>
      <c r="D33" s="298">
        <f t="shared" si="8"/>
        <v>0</v>
      </c>
      <c r="E33" s="299">
        <f t="shared" si="10"/>
        <v>0</v>
      </c>
      <c r="F33" s="299">
        <f t="shared" si="2"/>
        <v>0</v>
      </c>
      <c r="G33" s="299">
        <f t="shared" si="5"/>
        <v>0</v>
      </c>
      <c r="H33" s="298">
        <f t="shared" si="6"/>
        <v>0</v>
      </c>
      <c r="I33" s="294"/>
      <c r="O33" s="295">
        <f t="shared" si="3"/>
        <v>14</v>
      </c>
    </row>
    <row r="34" spans="1:15">
      <c r="A34" s="286"/>
      <c r="B34" s="296">
        <f t="shared" si="7"/>
        <v>15</v>
      </c>
      <c r="C34" s="297">
        <f t="shared" si="9"/>
        <v>0</v>
      </c>
      <c r="D34" s="298">
        <f t="shared" si="8"/>
        <v>0</v>
      </c>
      <c r="E34" s="299">
        <f t="shared" si="10"/>
        <v>0</v>
      </c>
      <c r="F34" s="299">
        <f t="shared" si="2"/>
        <v>0</v>
      </c>
      <c r="G34" s="299">
        <f t="shared" si="5"/>
        <v>0</v>
      </c>
      <c r="H34" s="298">
        <f t="shared" si="6"/>
        <v>0</v>
      </c>
      <c r="I34" s="294"/>
      <c r="O34" s="295">
        <f t="shared" si="3"/>
        <v>15</v>
      </c>
    </row>
    <row r="35" spans="1:15">
      <c r="A35" s="286"/>
      <c r="B35" s="296">
        <f t="shared" si="7"/>
        <v>16</v>
      </c>
      <c r="C35" s="297">
        <f t="shared" si="9"/>
        <v>0</v>
      </c>
      <c r="D35" s="298">
        <f t="shared" si="8"/>
        <v>0</v>
      </c>
      <c r="E35" s="299">
        <f t="shared" si="10"/>
        <v>0</v>
      </c>
      <c r="F35" s="299">
        <f t="shared" si="2"/>
        <v>0</v>
      </c>
      <c r="G35" s="299">
        <f t="shared" si="5"/>
        <v>0</v>
      </c>
      <c r="H35" s="298">
        <f t="shared" si="6"/>
        <v>0</v>
      </c>
      <c r="I35" s="294"/>
      <c r="O35" s="295">
        <f t="shared" si="3"/>
        <v>16</v>
      </c>
    </row>
    <row r="36" spans="1:15">
      <c r="A36" s="286"/>
      <c r="B36" s="296">
        <f t="shared" si="7"/>
        <v>17</v>
      </c>
      <c r="C36" s="297">
        <f t="shared" si="9"/>
        <v>0</v>
      </c>
      <c r="D36" s="298">
        <f t="shared" si="8"/>
        <v>0</v>
      </c>
      <c r="E36" s="299">
        <f t="shared" si="10"/>
        <v>0</v>
      </c>
      <c r="F36" s="299">
        <f t="shared" si="2"/>
        <v>0</v>
      </c>
      <c r="G36" s="299">
        <f t="shared" si="5"/>
        <v>0</v>
      </c>
      <c r="H36" s="298">
        <f t="shared" si="6"/>
        <v>0</v>
      </c>
      <c r="I36" s="294"/>
      <c r="O36" s="295">
        <f t="shared" si="3"/>
        <v>17</v>
      </c>
    </row>
    <row r="37" spans="1:15">
      <c r="A37" s="286"/>
      <c r="B37" s="296">
        <f t="shared" si="7"/>
        <v>18</v>
      </c>
      <c r="C37" s="297">
        <f t="shared" si="9"/>
        <v>0</v>
      </c>
      <c r="D37" s="298">
        <f t="shared" si="8"/>
        <v>0</v>
      </c>
      <c r="E37" s="299">
        <f t="shared" si="10"/>
        <v>0</v>
      </c>
      <c r="F37" s="299">
        <f t="shared" si="2"/>
        <v>0</v>
      </c>
      <c r="G37" s="299">
        <f t="shared" si="5"/>
        <v>0</v>
      </c>
      <c r="H37" s="298">
        <f t="shared" si="6"/>
        <v>0</v>
      </c>
      <c r="I37" s="294"/>
      <c r="O37" s="295">
        <f t="shared" si="3"/>
        <v>18</v>
      </c>
    </row>
    <row r="38" spans="1:15">
      <c r="A38" s="286"/>
      <c r="B38" s="296">
        <f t="shared" si="7"/>
        <v>19</v>
      </c>
      <c r="C38" s="297">
        <f t="shared" si="9"/>
        <v>0</v>
      </c>
      <c r="D38" s="298">
        <f t="shared" si="8"/>
        <v>0</v>
      </c>
      <c r="E38" s="299">
        <f t="shared" si="10"/>
        <v>0</v>
      </c>
      <c r="F38" s="299">
        <f t="shared" si="2"/>
        <v>0</v>
      </c>
      <c r="G38" s="299">
        <f t="shared" si="5"/>
        <v>0</v>
      </c>
      <c r="H38" s="298">
        <f t="shared" si="6"/>
        <v>0</v>
      </c>
      <c r="I38" s="294"/>
      <c r="O38" s="295">
        <f t="shared" si="3"/>
        <v>19</v>
      </c>
    </row>
    <row r="39" spans="1:15">
      <c r="A39" s="286"/>
      <c r="B39" s="296">
        <f t="shared" si="7"/>
        <v>20</v>
      </c>
      <c r="C39" s="297">
        <f t="shared" si="9"/>
        <v>0</v>
      </c>
      <c r="D39" s="298">
        <f t="shared" si="8"/>
        <v>0</v>
      </c>
      <c r="E39" s="299">
        <f t="shared" si="10"/>
        <v>0</v>
      </c>
      <c r="F39" s="299">
        <f t="shared" si="2"/>
        <v>0</v>
      </c>
      <c r="G39" s="299">
        <f t="shared" si="5"/>
        <v>0</v>
      </c>
      <c r="H39" s="298">
        <f t="shared" si="6"/>
        <v>0</v>
      </c>
      <c r="I39" s="294"/>
      <c r="O39" s="295">
        <f t="shared" si="3"/>
        <v>20</v>
      </c>
    </row>
    <row r="40" spans="1:15">
      <c r="A40" s="286"/>
      <c r="B40" s="296">
        <f t="shared" si="7"/>
        <v>21</v>
      </c>
      <c r="C40" s="297">
        <f t="shared" si="9"/>
        <v>0</v>
      </c>
      <c r="D40" s="298">
        <f t="shared" si="8"/>
        <v>0</v>
      </c>
      <c r="E40" s="299">
        <f t="shared" si="10"/>
        <v>0</v>
      </c>
      <c r="F40" s="299">
        <f t="shared" si="2"/>
        <v>0</v>
      </c>
      <c r="G40" s="299">
        <f t="shared" si="5"/>
        <v>0</v>
      </c>
      <c r="H40" s="298">
        <f t="shared" si="6"/>
        <v>0</v>
      </c>
      <c r="I40" s="294"/>
      <c r="O40" s="295">
        <f t="shared" si="3"/>
        <v>21</v>
      </c>
    </row>
    <row r="41" spans="1:15">
      <c r="A41" s="286"/>
      <c r="B41" s="296">
        <f t="shared" si="7"/>
        <v>22</v>
      </c>
      <c r="C41" s="297">
        <f t="shared" si="9"/>
        <v>0</v>
      </c>
      <c r="D41" s="298">
        <f t="shared" si="8"/>
        <v>0</v>
      </c>
      <c r="E41" s="299">
        <f t="shared" si="10"/>
        <v>0</v>
      </c>
      <c r="F41" s="299">
        <f t="shared" si="2"/>
        <v>0</v>
      </c>
      <c r="G41" s="299">
        <f t="shared" si="5"/>
        <v>0</v>
      </c>
      <c r="H41" s="298">
        <f t="shared" si="6"/>
        <v>0</v>
      </c>
      <c r="I41" s="294"/>
      <c r="O41" s="295">
        <f t="shared" si="3"/>
        <v>22</v>
      </c>
    </row>
    <row r="42" spans="1:15">
      <c r="A42" s="286"/>
      <c r="B42" s="296">
        <f t="shared" si="7"/>
        <v>23</v>
      </c>
      <c r="C42" s="297">
        <f t="shared" si="9"/>
        <v>0</v>
      </c>
      <c r="D42" s="298">
        <f t="shared" si="8"/>
        <v>0</v>
      </c>
      <c r="E42" s="299">
        <f t="shared" si="10"/>
        <v>0</v>
      </c>
      <c r="F42" s="299">
        <f t="shared" si="2"/>
        <v>0</v>
      </c>
      <c r="G42" s="299">
        <f t="shared" si="5"/>
        <v>0</v>
      </c>
      <c r="H42" s="298">
        <f t="shared" si="6"/>
        <v>0</v>
      </c>
      <c r="I42" s="294"/>
      <c r="O42" s="295">
        <f t="shared" si="3"/>
        <v>23</v>
      </c>
    </row>
    <row r="43" spans="1:15">
      <c r="A43" s="286"/>
      <c r="B43" s="300">
        <f t="shared" si="7"/>
        <v>24</v>
      </c>
      <c r="C43" s="301">
        <f t="shared" si="9"/>
        <v>0</v>
      </c>
      <c r="D43" s="302">
        <f t="shared" si="8"/>
        <v>0</v>
      </c>
      <c r="E43" s="303">
        <f t="shared" si="10"/>
        <v>0</v>
      </c>
      <c r="F43" s="303">
        <f t="shared" si="2"/>
        <v>0</v>
      </c>
      <c r="G43" s="303">
        <f t="shared" si="5"/>
        <v>0</v>
      </c>
      <c r="H43" s="302">
        <f t="shared" si="6"/>
        <v>0</v>
      </c>
      <c r="I43" s="304" t="e">
        <f>H43/$D$5</f>
        <v>#VALUE!</v>
      </c>
      <c r="J43" s="305"/>
      <c r="K43" s="305"/>
      <c r="L43" s="305"/>
      <c r="M43" s="305"/>
      <c r="N43" s="305"/>
      <c r="O43" s="306">
        <f t="shared" si="3"/>
        <v>24</v>
      </c>
    </row>
    <row r="44" spans="1:15">
      <c r="A44" s="286"/>
      <c r="B44" s="296">
        <f t="shared" si="7"/>
        <v>25</v>
      </c>
      <c r="C44" s="297">
        <f t="shared" ref="C44:C55" si="11">IF(D44&gt;0,$F$6,0)</f>
        <v>0</v>
      </c>
      <c r="D44" s="298">
        <f t="shared" si="8"/>
        <v>0</v>
      </c>
      <c r="E44" s="299">
        <f t="shared" ref="E44:E55" si="12">IF(H43&lt;=E43,H43+G44,$G$6)</f>
        <v>0</v>
      </c>
      <c r="F44" s="299">
        <f t="shared" si="2"/>
        <v>0</v>
      </c>
      <c r="G44" s="299">
        <f t="shared" si="5"/>
        <v>0</v>
      </c>
      <c r="H44" s="298">
        <f t="shared" si="6"/>
        <v>0</v>
      </c>
      <c r="I44" s="294"/>
      <c r="O44" s="295">
        <f t="shared" si="3"/>
        <v>25</v>
      </c>
    </row>
    <row r="45" spans="1:15">
      <c r="A45" s="286"/>
      <c r="B45" s="296">
        <f t="shared" si="7"/>
        <v>26</v>
      </c>
      <c r="C45" s="297">
        <f t="shared" si="11"/>
        <v>0</v>
      </c>
      <c r="D45" s="298">
        <f t="shared" si="8"/>
        <v>0</v>
      </c>
      <c r="E45" s="299">
        <f t="shared" si="12"/>
        <v>0</v>
      </c>
      <c r="F45" s="299">
        <f t="shared" si="2"/>
        <v>0</v>
      </c>
      <c r="G45" s="299">
        <f t="shared" si="5"/>
        <v>0</v>
      </c>
      <c r="H45" s="298">
        <f t="shared" si="6"/>
        <v>0</v>
      </c>
      <c r="I45" s="294"/>
      <c r="O45" s="295">
        <f t="shared" si="3"/>
        <v>26</v>
      </c>
    </row>
    <row r="46" spans="1:15">
      <c r="A46" s="286"/>
      <c r="B46" s="296">
        <f t="shared" si="7"/>
        <v>27</v>
      </c>
      <c r="C46" s="297">
        <f t="shared" si="11"/>
        <v>0</v>
      </c>
      <c r="D46" s="298">
        <f t="shared" si="8"/>
        <v>0</v>
      </c>
      <c r="E46" s="299">
        <f t="shared" si="12"/>
        <v>0</v>
      </c>
      <c r="F46" s="299">
        <f t="shared" si="2"/>
        <v>0</v>
      </c>
      <c r="G46" s="299">
        <f t="shared" si="5"/>
        <v>0</v>
      </c>
      <c r="H46" s="298">
        <f t="shared" si="6"/>
        <v>0</v>
      </c>
      <c r="I46" s="294"/>
      <c r="O46" s="295">
        <f t="shared" si="3"/>
        <v>27</v>
      </c>
    </row>
    <row r="47" spans="1:15">
      <c r="A47" s="286"/>
      <c r="B47" s="296">
        <f t="shared" si="7"/>
        <v>28</v>
      </c>
      <c r="C47" s="297">
        <f t="shared" si="11"/>
        <v>0</v>
      </c>
      <c r="D47" s="298">
        <f t="shared" si="8"/>
        <v>0</v>
      </c>
      <c r="E47" s="299">
        <f t="shared" si="12"/>
        <v>0</v>
      </c>
      <c r="F47" s="299">
        <f t="shared" si="2"/>
        <v>0</v>
      </c>
      <c r="G47" s="299">
        <f t="shared" si="5"/>
        <v>0</v>
      </c>
      <c r="H47" s="298">
        <f t="shared" si="6"/>
        <v>0</v>
      </c>
      <c r="I47" s="294"/>
      <c r="O47" s="295">
        <f t="shared" si="3"/>
        <v>28</v>
      </c>
    </row>
    <row r="48" spans="1:15">
      <c r="A48" s="286"/>
      <c r="B48" s="296">
        <f t="shared" si="7"/>
        <v>29</v>
      </c>
      <c r="C48" s="297">
        <f t="shared" si="11"/>
        <v>0</v>
      </c>
      <c r="D48" s="298">
        <f t="shared" si="8"/>
        <v>0</v>
      </c>
      <c r="E48" s="299">
        <f t="shared" si="12"/>
        <v>0</v>
      </c>
      <c r="F48" s="299">
        <f t="shared" si="2"/>
        <v>0</v>
      </c>
      <c r="G48" s="299">
        <f t="shared" si="5"/>
        <v>0</v>
      </c>
      <c r="H48" s="298">
        <f t="shared" si="6"/>
        <v>0</v>
      </c>
      <c r="I48" s="294"/>
      <c r="O48" s="295">
        <f t="shared" si="3"/>
        <v>29</v>
      </c>
    </row>
    <row r="49" spans="1:15">
      <c r="A49" s="286"/>
      <c r="B49" s="296">
        <f t="shared" si="7"/>
        <v>30</v>
      </c>
      <c r="C49" s="297">
        <f t="shared" si="11"/>
        <v>0</v>
      </c>
      <c r="D49" s="298">
        <f t="shared" si="8"/>
        <v>0</v>
      </c>
      <c r="E49" s="299">
        <f t="shared" si="12"/>
        <v>0</v>
      </c>
      <c r="F49" s="299">
        <f t="shared" si="2"/>
        <v>0</v>
      </c>
      <c r="G49" s="299">
        <f t="shared" si="5"/>
        <v>0</v>
      </c>
      <c r="H49" s="298">
        <f t="shared" si="6"/>
        <v>0</v>
      </c>
      <c r="I49" s="294"/>
      <c r="O49" s="295">
        <f t="shared" si="3"/>
        <v>30</v>
      </c>
    </row>
    <row r="50" spans="1:15">
      <c r="A50" s="286"/>
      <c r="B50" s="296">
        <f t="shared" si="7"/>
        <v>31</v>
      </c>
      <c r="C50" s="297">
        <f t="shared" si="11"/>
        <v>0</v>
      </c>
      <c r="D50" s="298">
        <f t="shared" si="8"/>
        <v>0</v>
      </c>
      <c r="E50" s="299">
        <f t="shared" si="12"/>
        <v>0</v>
      </c>
      <c r="F50" s="299">
        <f t="shared" si="2"/>
        <v>0</v>
      </c>
      <c r="G50" s="299">
        <f t="shared" si="5"/>
        <v>0</v>
      </c>
      <c r="H50" s="298">
        <f t="shared" si="6"/>
        <v>0</v>
      </c>
      <c r="I50" s="294"/>
      <c r="O50" s="295">
        <f t="shared" si="3"/>
        <v>31</v>
      </c>
    </row>
    <row r="51" spans="1:15">
      <c r="A51" s="286"/>
      <c r="B51" s="296">
        <f t="shared" si="7"/>
        <v>32</v>
      </c>
      <c r="C51" s="297">
        <f t="shared" si="11"/>
        <v>0</v>
      </c>
      <c r="D51" s="298">
        <f t="shared" si="8"/>
        <v>0</v>
      </c>
      <c r="E51" s="299">
        <f t="shared" si="12"/>
        <v>0</v>
      </c>
      <c r="F51" s="299">
        <f t="shared" si="2"/>
        <v>0</v>
      </c>
      <c r="G51" s="299">
        <f t="shared" si="5"/>
        <v>0</v>
      </c>
      <c r="H51" s="298">
        <f t="shared" si="6"/>
        <v>0</v>
      </c>
      <c r="I51" s="294"/>
      <c r="O51" s="295">
        <f t="shared" si="3"/>
        <v>32</v>
      </c>
    </row>
    <row r="52" spans="1:15">
      <c r="A52" s="286"/>
      <c r="B52" s="296">
        <f t="shared" si="7"/>
        <v>33</v>
      </c>
      <c r="C52" s="297">
        <f t="shared" si="11"/>
        <v>0</v>
      </c>
      <c r="D52" s="298">
        <f t="shared" si="8"/>
        <v>0</v>
      </c>
      <c r="E52" s="299">
        <f t="shared" si="12"/>
        <v>0</v>
      </c>
      <c r="F52" s="299">
        <f t="shared" si="2"/>
        <v>0</v>
      </c>
      <c r="G52" s="299">
        <f t="shared" si="5"/>
        <v>0</v>
      </c>
      <c r="H52" s="298">
        <f t="shared" si="6"/>
        <v>0</v>
      </c>
      <c r="I52" s="294"/>
      <c r="O52" s="295">
        <f t="shared" si="3"/>
        <v>33</v>
      </c>
    </row>
    <row r="53" spans="1:15">
      <c r="A53" s="286"/>
      <c r="B53" s="296">
        <f t="shared" si="7"/>
        <v>34</v>
      </c>
      <c r="C53" s="297">
        <f t="shared" si="11"/>
        <v>0</v>
      </c>
      <c r="D53" s="298">
        <f t="shared" si="8"/>
        <v>0</v>
      </c>
      <c r="E53" s="299">
        <f t="shared" si="12"/>
        <v>0</v>
      </c>
      <c r="F53" s="299">
        <f t="shared" si="2"/>
        <v>0</v>
      </c>
      <c r="G53" s="299">
        <f t="shared" si="5"/>
        <v>0</v>
      </c>
      <c r="H53" s="298">
        <f t="shared" si="6"/>
        <v>0</v>
      </c>
      <c r="I53" s="294"/>
      <c r="O53" s="295">
        <f t="shared" si="3"/>
        <v>34</v>
      </c>
    </row>
    <row r="54" spans="1:15">
      <c r="A54" s="286"/>
      <c r="B54" s="296">
        <f t="shared" si="7"/>
        <v>35</v>
      </c>
      <c r="C54" s="297">
        <f t="shared" si="11"/>
        <v>0</v>
      </c>
      <c r="D54" s="298">
        <f t="shared" si="8"/>
        <v>0</v>
      </c>
      <c r="E54" s="299">
        <f t="shared" si="12"/>
        <v>0</v>
      </c>
      <c r="F54" s="299">
        <f t="shared" si="2"/>
        <v>0</v>
      </c>
      <c r="G54" s="299">
        <f t="shared" si="5"/>
        <v>0</v>
      </c>
      <c r="H54" s="298">
        <f t="shared" si="6"/>
        <v>0</v>
      </c>
      <c r="I54" s="294"/>
      <c r="O54" s="295">
        <f t="shared" si="3"/>
        <v>35</v>
      </c>
    </row>
    <row r="55" spans="1:15">
      <c r="A55" s="286"/>
      <c r="B55" s="300">
        <f t="shared" si="7"/>
        <v>36</v>
      </c>
      <c r="C55" s="301">
        <f t="shared" si="11"/>
        <v>0</v>
      </c>
      <c r="D55" s="302">
        <f t="shared" si="8"/>
        <v>0</v>
      </c>
      <c r="E55" s="303">
        <f t="shared" si="12"/>
        <v>0</v>
      </c>
      <c r="F55" s="303">
        <f t="shared" si="2"/>
        <v>0</v>
      </c>
      <c r="G55" s="303">
        <f t="shared" si="5"/>
        <v>0</v>
      </c>
      <c r="H55" s="302">
        <f t="shared" si="6"/>
        <v>0</v>
      </c>
      <c r="I55" s="304" t="e">
        <f>H55/$D$5</f>
        <v>#VALUE!</v>
      </c>
      <c r="J55" s="305"/>
      <c r="K55" s="305"/>
      <c r="L55" s="305"/>
      <c r="M55" s="305"/>
      <c r="N55" s="305"/>
      <c r="O55" s="306">
        <f t="shared" si="3"/>
        <v>36</v>
      </c>
    </row>
    <row r="56" spans="1:15">
      <c r="A56" s="286"/>
      <c r="B56" s="296">
        <f t="shared" si="7"/>
        <v>37</v>
      </c>
      <c r="C56" s="297">
        <f t="shared" ref="C56:C119" si="13">IF(D56&gt;0,$F$7,0)</f>
        <v>0</v>
      </c>
      <c r="D56" s="298">
        <f t="shared" si="8"/>
        <v>0</v>
      </c>
      <c r="E56" s="299">
        <f t="shared" ref="E56:E67" si="14">IF(H55&lt;=E55,H55+G56,$G$7)</f>
        <v>0</v>
      </c>
      <c r="F56" s="299">
        <f t="shared" si="2"/>
        <v>0</v>
      </c>
      <c r="G56" s="299">
        <f t="shared" si="5"/>
        <v>0</v>
      </c>
      <c r="H56" s="298">
        <f t="shared" si="6"/>
        <v>0</v>
      </c>
      <c r="I56" s="294"/>
      <c r="O56" s="295">
        <f t="shared" si="3"/>
        <v>37</v>
      </c>
    </row>
    <row r="57" spans="1:15">
      <c r="A57" s="286"/>
      <c r="B57" s="296">
        <f t="shared" si="7"/>
        <v>38</v>
      </c>
      <c r="C57" s="297">
        <f t="shared" si="13"/>
        <v>0</v>
      </c>
      <c r="D57" s="298">
        <f t="shared" si="8"/>
        <v>0</v>
      </c>
      <c r="E57" s="299">
        <f t="shared" si="14"/>
        <v>0</v>
      </c>
      <c r="F57" s="299">
        <f t="shared" si="2"/>
        <v>0</v>
      </c>
      <c r="G57" s="299">
        <f t="shared" si="5"/>
        <v>0</v>
      </c>
      <c r="H57" s="298">
        <f t="shared" si="6"/>
        <v>0</v>
      </c>
      <c r="I57" s="294"/>
      <c r="O57" s="295">
        <f t="shared" si="3"/>
        <v>38</v>
      </c>
    </row>
    <row r="58" spans="1:15">
      <c r="A58" s="286"/>
      <c r="B58" s="296">
        <f t="shared" si="7"/>
        <v>39</v>
      </c>
      <c r="C58" s="297">
        <f t="shared" si="13"/>
        <v>0</v>
      </c>
      <c r="D58" s="298">
        <f t="shared" si="8"/>
        <v>0</v>
      </c>
      <c r="E58" s="299">
        <f t="shared" si="14"/>
        <v>0</v>
      </c>
      <c r="F58" s="299">
        <f t="shared" si="2"/>
        <v>0</v>
      </c>
      <c r="G58" s="299">
        <f t="shared" si="5"/>
        <v>0</v>
      </c>
      <c r="H58" s="298">
        <f t="shared" si="6"/>
        <v>0</v>
      </c>
      <c r="I58" s="294"/>
      <c r="O58" s="295">
        <f t="shared" si="3"/>
        <v>39</v>
      </c>
    </row>
    <row r="59" spans="1:15">
      <c r="A59" s="286"/>
      <c r="B59" s="296">
        <f t="shared" si="7"/>
        <v>40</v>
      </c>
      <c r="C59" s="297">
        <f t="shared" si="13"/>
        <v>0</v>
      </c>
      <c r="D59" s="298">
        <f t="shared" si="8"/>
        <v>0</v>
      </c>
      <c r="E59" s="299">
        <f t="shared" si="14"/>
        <v>0</v>
      </c>
      <c r="F59" s="299">
        <f t="shared" si="2"/>
        <v>0</v>
      </c>
      <c r="G59" s="299">
        <f t="shared" si="5"/>
        <v>0</v>
      </c>
      <c r="H59" s="298">
        <f t="shared" si="6"/>
        <v>0</v>
      </c>
      <c r="I59" s="294"/>
      <c r="O59" s="295">
        <f t="shared" si="3"/>
        <v>40</v>
      </c>
    </row>
    <row r="60" spans="1:15">
      <c r="A60" s="286"/>
      <c r="B60" s="296">
        <f t="shared" si="7"/>
        <v>41</v>
      </c>
      <c r="C60" s="297">
        <f t="shared" si="13"/>
        <v>0</v>
      </c>
      <c r="D60" s="298">
        <f t="shared" si="8"/>
        <v>0</v>
      </c>
      <c r="E60" s="299">
        <f t="shared" si="14"/>
        <v>0</v>
      </c>
      <c r="F60" s="299">
        <f t="shared" si="2"/>
        <v>0</v>
      </c>
      <c r="G60" s="299">
        <f t="shared" si="5"/>
        <v>0</v>
      </c>
      <c r="H60" s="298">
        <f t="shared" si="6"/>
        <v>0</v>
      </c>
      <c r="I60" s="294"/>
      <c r="O60" s="295">
        <f t="shared" si="3"/>
        <v>41</v>
      </c>
    </row>
    <row r="61" spans="1:15">
      <c r="A61" s="286"/>
      <c r="B61" s="296">
        <f t="shared" si="7"/>
        <v>42</v>
      </c>
      <c r="C61" s="297">
        <f t="shared" si="13"/>
        <v>0</v>
      </c>
      <c r="D61" s="298">
        <f t="shared" si="8"/>
        <v>0</v>
      </c>
      <c r="E61" s="299">
        <f t="shared" si="14"/>
        <v>0</v>
      </c>
      <c r="F61" s="299">
        <f t="shared" si="2"/>
        <v>0</v>
      </c>
      <c r="G61" s="299">
        <f t="shared" si="5"/>
        <v>0</v>
      </c>
      <c r="H61" s="298">
        <f t="shared" si="6"/>
        <v>0</v>
      </c>
      <c r="I61" s="294"/>
      <c r="O61" s="295">
        <f t="shared" si="3"/>
        <v>42</v>
      </c>
    </row>
    <row r="62" spans="1:15">
      <c r="A62" s="286"/>
      <c r="B62" s="296">
        <f t="shared" si="7"/>
        <v>43</v>
      </c>
      <c r="C62" s="297">
        <f t="shared" si="13"/>
        <v>0</v>
      </c>
      <c r="D62" s="298">
        <f t="shared" si="8"/>
        <v>0</v>
      </c>
      <c r="E62" s="299">
        <f t="shared" si="14"/>
        <v>0</v>
      </c>
      <c r="F62" s="299">
        <f t="shared" si="2"/>
        <v>0</v>
      </c>
      <c r="G62" s="299">
        <f t="shared" si="5"/>
        <v>0</v>
      </c>
      <c r="H62" s="298">
        <f t="shared" si="6"/>
        <v>0</v>
      </c>
      <c r="I62" s="294"/>
      <c r="O62" s="295">
        <f t="shared" si="3"/>
        <v>43</v>
      </c>
    </row>
    <row r="63" spans="1:15">
      <c r="A63" s="286"/>
      <c r="B63" s="296">
        <f t="shared" si="7"/>
        <v>44</v>
      </c>
      <c r="C63" s="297">
        <f t="shared" si="13"/>
        <v>0</v>
      </c>
      <c r="D63" s="298">
        <f t="shared" si="8"/>
        <v>0</v>
      </c>
      <c r="E63" s="299">
        <f t="shared" si="14"/>
        <v>0</v>
      </c>
      <c r="F63" s="299">
        <f t="shared" si="2"/>
        <v>0</v>
      </c>
      <c r="G63" s="299">
        <f t="shared" si="5"/>
        <v>0</v>
      </c>
      <c r="H63" s="298">
        <f t="shared" si="6"/>
        <v>0</v>
      </c>
      <c r="I63" s="294"/>
      <c r="O63" s="295">
        <f t="shared" si="3"/>
        <v>44</v>
      </c>
    </row>
    <row r="64" spans="1:15">
      <c r="A64" s="286"/>
      <c r="B64" s="296">
        <f t="shared" si="7"/>
        <v>45</v>
      </c>
      <c r="C64" s="297">
        <f t="shared" si="13"/>
        <v>0</v>
      </c>
      <c r="D64" s="298">
        <f t="shared" si="8"/>
        <v>0</v>
      </c>
      <c r="E64" s="299">
        <f t="shared" si="14"/>
        <v>0</v>
      </c>
      <c r="F64" s="299">
        <f t="shared" si="2"/>
        <v>0</v>
      </c>
      <c r="G64" s="299">
        <f t="shared" si="5"/>
        <v>0</v>
      </c>
      <c r="H64" s="298">
        <f t="shared" si="6"/>
        <v>0</v>
      </c>
      <c r="I64" s="294"/>
      <c r="O64" s="295">
        <f t="shared" si="3"/>
        <v>45</v>
      </c>
    </row>
    <row r="65" spans="1:15">
      <c r="A65" s="286"/>
      <c r="B65" s="296">
        <f t="shared" si="7"/>
        <v>46</v>
      </c>
      <c r="C65" s="297">
        <f t="shared" si="13"/>
        <v>0</v>
      </c>
      <c r="D65" s="298">
        <f t="shared" si="8"/>
        <v>0</v>
      </c>
      <c r="E65" s="299">
        <f t="shared" si="14"/>
        <v>0</v>
      </c>
      <c r="F65" s="299">
        <f t="shared" si="2"/>
        <v>0</v>
      </c>
      <c r="G65" s="299">
        <f t="shared" si="5"/>
        <v>0</v>
      </c>
      <c r="H65" s="298">
        <f t="shared" si="6"/>
        <v>0</v>
      </c>
      <c r="I65" s="294"/>
      <c r="O65" s="295">
        <f t="shared" si="3"/>
        <v>46</v>
      </c>
    </row>
    <row r="66" spans="1:15">
      <c r="A66" s="286"/>
      <c r="B66" s="296">
        <f t="shared" si="7"/>
        <v>47</v>
      </c>
      <c r="C66" s="297">
        <f t="shared" si="13"/>
        <v>0</v>
      </c>
      <c r="D66" s="298">
        <f t="shared" si="8"/>
        <v>0</v>
      </c>
      <c r="E66" s="299">
        <f t="shared" si="14"/>
        <v>0</v>
      </c>
      <c r="F66" s="299">
        <f t="shared" si="2"/>
        <v>0</v>
      </c>
      <c r="G66" s="299">
        <f t="shared" si="5"/>
        <v>0</v>
      </c>
      <c r="H66" s="298">
        <f t="shared" si="6"/>
        <v>0</v>
      </c>
      <c r="I66" s="294"/>
      <c r="O66" s="295">
        <f t="shared" si="3"/>
        <v>47</v>
      </c>
    </row>
    <row r="67" spans="1:15">
      <c r="A67" s="286"/>
      <c r="B67" s="300">
        <f t="shared" si="7"/>
        <v>48</v>
      </c>
      <c r="C67" s="301">
        <f t="shared" si="13"/>
        <v>0</v>
      </c>
      <c r="D67" s="302">
        <f t="shared" si="8"/>
        <v>0</v>
      </c>
      <c r="E67" s="303">
        <f t="shared" si="14"/>
        <v>0</v>
      </c>
      <c r="F67" s="303">
        <f t="shared" si="2"/>
        <v>0</v>
      </c>
      <c r="G67" s="303">
        <f t="shared" si="5"/>
        <v>0</v>
      </c>
      <c r="H67" s="302">
        <f t="shared" si="6"/>
        <v>0</v>
      </c>
      <c r="I67" s="304" t="e">
        <f>H67/$D$5</f>
        <v>#VALUE!</v>
      </c>
      <c r="J67" s="305"/>
      <c r="K67" s="305"/>
      <c r="L67" s="305"/>
      <c r="M67" s="305"/>
      <c r="N67" s="305"/>
      <c r="O67" s="306">
        <f t="shared" si="3"/>
        <v>48</v>
      </c>
    </row>
    <row r="68" spans="1:15">
      <c r="A68" s="286"/>
      <c r="B68" s="296">
        <f t="shared" si="7"/>
        <v>49</v>
      </c>
      <c r="C68" s="297">
        <f t="shared" si="13"/>
        <v>0</v>
      </c>
      <c r="D68" s="298">
        <f t="shared" si="8"/>
        <v>0</v>
      </c>
      <c r="E68" s="299">
        <f t="shared" ref="E68:E131" si="15">IF(H67&lt;=E67,H67+G68,$H$10)</f>
        <v>0</v>
      </c>
      <c r="F68" s="299">
        <f t="shared" si="2"/>
        <v>0</v>
      </c>
      <c r="G68" s="299">
        <f t="shared" si="5"/>
        <v>0</v>
      </c>
      <c r="H68" s="298">
        <f t="shared" si="6"/>
        <v>0</v>
      </c>
      <c r="I68" s="294"/>
      <c r="O68" s="295">
        <f t="shared" si="3"/>
        <v>49</v>
      </c>
    </row>
    <row r="69" spans="1:15">
      <c r="A69" s="286"/>
      <c r="B69" s="296">
        <f t="shared" si="7"/>
        <v>50</v>
      </c>
      <c r="C69" s="297">
        <f t="shared" si="13"/>
        <v>0</v>
      </c>
      <c r="D69" s="298">
        <f t="shared" si="8"/>
        <v>0</v>
      </c>
      <c r="E69" s="299">
        <f t="shared" si="15"/>
        <v>0</v>
      </c>
      <c r="F69" s="299">
        <f t="shared" si="2"/>
        <v>0</v>
      </c>
      <c r="G69" s="299">
        <f t="shared" si="5"/>
        <v>0</v>
      </c>
      <c r="H69" s="298">
        <f t="shared" si="6"/>
        <v>0</v>
      </c>
      <c r="I69" s="294"/>
      <c r="O69" s="295">
        <f t="shared" si="3"/>
        <v>50</v>
      </c>
    </row>
    <row r="70" spans="1:15">
      <c r="A70" s="286"/>
      <c r="B70" s="296">
        <f t="shared" si="7"/>
        <v>51</v>
      </c>
      <c r="C70" s="297">
        <f t="shared" si="13"/>
        <v>0</v>
      </c>
      <c r="D70" s="298">
        <f t="shared" si="8"/>
        <v>0</v>
      </c>
      <c r="E70" s="299">
        <f t="shared" si="15"/>
        <v>0</v>
      </c>
      <c r="F70" s="299">
        <f t="shared" si="2"/>
        <v>0</v>
      </c>
      <c r="G70" s="299">
        <f t="shared" si="5"/>
        <v>0</v>
      </c>
      <c r="H70" s="298">
        <f t="shared" si="6"/>
        <v>0</v>
      </c>
      <c r="I70" s="294"/>
      <c r="O70" s="295">
        <f t="shared" si="3"/>
        <v>51</v>
      </c>
    </row>
    <row r="71" spans="1:15">
      <c r="A71" s="286"/>
      <c r="B71" s="296">
        <f t="shared" si="7"/>
        <v>52</v>
      </c>
      <c r="C71" s="297">
        <f t="shared" si="13"/>
        <v>0</v>
      </c>
      <c r="D71" s="298">
        <f t="shared" si="8"/>
        <v>0</v>
      </c>
      <c r="E71" s="299">
        <f t="shared" si="15"/>
        <v>0</v>
      </c>
      <c r="F71" s="299">
        <f t="shared" si="2"/>
        <v>0</v>
      </c>
      <c r="G71" s="299">
        <f t="shared" si="5"/>
        <v>0</v>
      </c>
      <c r="H71" s="298">
        <f t="shared" si="6"/>
        <v>0</v>
      </c>
      <c r="I71" s="294"/>
      <c r="O71" s="295">
        <f t="shared" si="3"/>
        <v>52</v>
      </c>
    </row>
    <row r="72" spans="1:15">
      <c r="A72" s="286"/>
      <c r="B72" s="296">
        <f t="shared" si="7"/>
        <v>53</v>
      </c>
      <c r="C72" s="297">
        <f t="shared" si="13"/>
        <v>0</v>
      </c>
      <c r="D72" s="298">
        <f t="shared" si="8"/>
        <v>0</v>
      </c>
      <c r="E72" s="299">
        <f t="shared" si="15"/>
        <v>0</v>
      </c>
      <c r="F72" s="299">
        <f t="shared" si="2"/>
        <v>0</v>
      </c>
      <c r="G72" s="299">
        <f t="shared" si="5"/>
        <v>0</v>
      </c>
      <c r="H72" s="298">
        <f t="shared" si="6"/>
        <v>0</v>
      </c>
      <c r="I72" s="294"/>
      <c r="O72" s="295">
        <f t="shared" si="3"/>
        <v>53</v>
      </c>
    </row>
    <row r="73" spans="1:15">
      <c r="A73" s="286"/>
      <c r="B73" s="296">
        <f t="shared" si="7"/>
        <v>54</v>
      </c>
      <c r="C73" s="297">
        <f t="shared" si="13"/>
        <v>0</v>
      </c>
      <c r="D73" s="298">
        <f t="shared" si="8"/>
        <v>0</v>
      </c>
      <c r="E73" s="299">
        <f t="shared" si="15"/>
        <v>0</v>
      </c>
      <c r="F73" s="299">
        <f t="shared" si="2"/>
        <v>0</v>
      </c>
      <c r="G73" s="299">
        <f t="shared" si="5"/>
        <v>0</v>
      </c>
      <c r="H73" s="298">
        <f t="shared" si="6"/>
        <v>0</v>
      </c>
      <c r="I73" s="294"/>
      <c r="O73" s="295">
        <f t="shared" si="3"/>
        <v>54</v>
      </c>
    </row>
    <row r="74" spans="1:15">
      <c r="A74" s="286"/>
      <c r="B74" s="296">
        <f t="shared" si="7"/>
        <v>55</v>
      </c>
      <c r="C74" s="297">
        <f t="shared" si="13"/>
        <v>0</v>
      </c>
      <c r="D74" s="298">
        <f t="shared" si="8"/>
        <v>0</v>
      </c>
      <c r="E74" s="299">
        <f t="shared" si="15"/>
        <v>0</v>
      </c>
      <c r="F74" s="299">
        <f t="shared" si="2"/>
        <v>0</v>
      </c>
      <c r="G74" s="299">
        <f t="shared" si="5"/>
        <v>0</v>
      </c>
      <c r="H74" s="298">
        <f t="shared" si="6"/>
        <v>0</v>
      </c>
      <c r="I74" s="294"/>
      <c r="O74" s="295">
        <f t="shared" si="3"/>
        <v>55</v>
      </c>
    </row>
    <row r="75" spans="1:15">
      <c r="A75" s="286"/>
      <c r="B75" s="296">
        <f t="shared" si="7"/>
        <v>56</v>
      </c>
      <c r="C75" s="297">
        <f t="shared" si="13"/>
        <v>0</v>
      </c>
      <c r="D75" s="298">
        <f t="shared" si="8"/>
        <v>0</v>
      </c>
      <c r="E75" s="299">
        <f t="shared" si="15"/>
        <v>0</v>
      </c>
      <c r="F75" s="299">
        <f t="shared" si="2"/>
        <v>0</v>
      </c>
      <c r="G75" s="299">
        <f t="shared" si="5"/>
        <v>0</v>
      </c>
      <c r="H75" s="298">
        <f t="shared" si="6"/>
        <v>0</v>
      </c>
      <c r="I75" s="294"/>
      <c r="O75" s="295">
        <f t="shared" si="3"/>
        <v>56</v>
      </c>
    </row>
    <row r="76" spans="1:15">
      <c r="A76" s="286"/>
      <c r="B76" s="296">
        <f t="shared" si="7"/>
        <v>57</v>
      </c>
      <c r="C76" s="297">
        <f t="shared" si="13"/>
        <v>0</v>
      </c>
      <c r="D76" s="298">
        <f t="shared" si="8"/>
        <v>0</v>
      </c>
      <c r="E76" s="299">
        <f t="shared" si="15"/>
        <v>0</v>
      </c>
      <c r="F76" s="299">
        <f t="shared" si="2"/>
        <v>0</v>
      </c>
      <c r="G76" s="299">
        <f t="shared" si="5"/>
        <v>0</v>
      </c>
      <c r="H76" s="298">
        <f t="shared" si="6"/>
        <v>0</v>
      </c>
      <c r="I76" s="294"/>
      <c r="O76" s="295">
        <f t="shared" si="3"/>
        <v>57</v>
      </c>
    </row>
    <row r="77" spans="1:15">
      <c r="A77" s="286"/>
      <c r="B77" s="296">
        <f t="shared" si="7"/>
        <v>58</v>
      </c>
      <c r="C77" s="297">
        <f t="shared" si="13"/>
        <v>0</v>
      </c>
      <c r="D77" s="298">
        <f t="shared" si="8"/>
        <v>0</v>
      </c>
      <c r="E77" s="299">
        <f t="shared" si="15"/>
        <v>0</v>
      </c>
      <c r="F77" s="299">
        <f t="shared" si="2"/>
        <v>0</v>
      </c>
      <c r="G77" s="299">
        <f t="shared" si="5"/>
        <v>0</v>
      </c>
      <c r="H77" s="298">
        <f t="shared" si="6"/>
        <v>0</v>
      </c>
      <c r="I77" s="294"/>
      <c r="O77" s="295">
        <f t="shared" si="3"/>
        <v>58</v>
      </c>
    </row>
    <row r="78" spans="1:15">
      <c r="A78" s="286"/>
      <c r="B78" s="296">
        <f t="shared" si="7"/>
        <v>59</v>
      </c>
      <c r="C78" s="297">
        <f t="shared" si="13"/>
        <v>0</v>
      </c>
      <c r="D78" s="298">
        <f t="shared" si="8"/>
        <v>0</v>
      </c>
      <c r="E78" s="299">
        <f t="shared" si="15"/>
        <v>0</v>
      </c>
      <c r="F78" s="299">
        <f t="shared" si="2"/>
        <v>0</v>
      </c>
      <c r="G78" s="299">
        <f t="shared" si="5"/>
        <v>0</v>
      </c>
      <c r="H78" s="298">
        <f t="shared" si="6"/>
        <v>0</v>
      </c>
      <c r="I78" s="294"/>
      <c r="O78" s="295">
        <f t="shared" si="3"/>
        <v>59</v>
      </c>
    </row>
    <row r="79" spans="1:15">
      <c r="A79" s="286"/>
      <c r="B79" s="300">
        <f t="shared" si="7"/>
        <v>60</v>
      </c>
      <c r="C79" s="301">
        <f t="shared" si="13"/>
        <v>0</v>
      </c>
      <c r="D79" s="302">
        <f t="shared" si="8"/>
        <v>0</v>
      </c>
      <c r="E79" s="303">
        <f t="shared" si="15"/>
        <v>0</v>
      </c>
      <c r="F79" s="303">
        <f t="shared" si="2"/>
        <v>0</v>
      </c>
      <c r="G79" s="303">
        <f t="shared" si="5"/>
        <v>0</v>
      </c>
      <c r="H79" s="302">
        <f t="shared" si="6"/>
        <v>0</v>
      </c>
      <c r="I79" s="304" t="e">
        <f>H79/$D$5</f>
        <v>#VALUE!</v>
      </c>
      <c r="J79" s="305"/>
      <c r="K79" s="305"/>
      <c r="L79" s="305"/>
      <c r="M79" s="305"/>
      <c r="N79" s="305"/>
      <c r="O79" s="306">
        <f t="shared" si="3"/>
        <v>60</v>
      </c>
    </row>
    <row r="80" spans="1:15">
      <c r="A80" s="286"/>
      <c r="B80" s="296">
        <f t="shared" si="7"/>
        <v>61</v>
      </c>
      <c r="C80" s="297">
        <f t="shared" si="13"/>
        <v>0</v>
      </c>
      <c r="D80" s="298">
        <f t="shared" si="8"/>
        <v>0</v>
      </c>
      <c r="E80" s="299">
        <f t="shared" si="15"/>
        <v>0</v>
      </c>
      <c r="F80" s="299">
        <f t="shared" si="2"/>
        <v>0</v>
      </c>
      <c r="G80" s="299">
        <f t="shared" si="5"/>
        <v>0</v>
      </c>
      <c r="H80" s="298">
        <f t="shared" si="6"/>
        <v>0</v>
      </c>
      <c r="I80" s="294"/>
      <c r="O80" s="295">
        <f t="shared" si="3"/>
        <v>61</v>
      </c>
    </row>
    <row r="81" spans="1:15">
      <c r="A81" s="286"/>
      <c r="B81" s="296">
        <f t="shared" si="7"/>
        <v>62</v>
      </c>
      <c r="C81" s="297">
        <f t="shared" si="13"/>
        <v>0</v>
      </c>
      <c r="D81" s="298">
        <f t="shared" si="8"/>
        <v>0</v>
      </c>
      <c r="E81" s="299">
        <f t="shared" si="15"/>
        <v>0</v>
      </c>
      <c r="F81" s="299">
        <f t="shared" si="2"/>
        <v>0</v>
      </c>
      <c r="G81" s="299">
        <f t="shared" si="5"/>
        <v>0</v>
      </c>
      <c r="H81" s="298">
        <f t="shared" si="6"/>
        <v>0</v>
      </c>
      <c r="I81" s="294"/>
      <c r="O81" s="295">
        <f t="shared" si="3"/>
        <v>62</v>
      </c>
    </row>
    <row r="82" spans="1:15">
      <c r="A82" s="286"/>
      <c r="B82" s="296">
        <f t="shared" si="7"/>
        <v>63</v>
      </c>
      <c r="C82" s="297">
        <f t="shared" si="13"/>
        <v>0</v>
      </c>
      <c r="D82" s="298">
        <f t="shared" si="8"/>
        <v>0</v>
      </c>
      <c r="E82" s="299">
        <f t="shared" si="15"/>
        <v>0</v>
      </c>
      <c r="F82" s="299">
        <f t="shared" si="2"/>
        <v>0</v>
      </c>
      <c r="G82" s="299">
        <f t="shared" si="5"/>
        <v>0</v>
      </c>
      <c r="H82" s="298">
        <f t="shared" si="6"/>
        <v>0</v>
      </c>
      <c r="I82" s="294"/>
      <c r="O82" s="295">
        <f t="shared" si="3"/>
        <v>63</v>
      </c>
    </row>
    <row r="83" spans="1:15">
      <c r="A83" s="286"/>
      <c r="B83" s="296">
        <f t="shared" si="7"/>
        <v>64</v>
      </c>
      <c r="C83" s="297">
        <f t="shared" si="13"/>
        <v>0</v>
      </c>
      <c r="D83" s="298">
        <f t="shared" si="8"/>
        <v>0</v>
      </c>
      <c r="E83" s="299">
        <f t="shared" si="15"/>
        <v>0</v>
      </c>
      <c r="F83" s="299">
        <f t="shared" si="2"/>
        <v>0</v>
      </c>
      <c r="G83" s="299">
        <f t="shared" si="5"/>
        <v>0</v>
      </c>
      <c r="H83" s="298">
        <f t="shared" si="6"/>
        <v>0</v>
      </c>
      <c r="I83" s="294"/>
      <c r="O83" s="295">
        <f t="shared" si="3"/>
        <v>64</v>
      </c>
    </row>
    <row r="84" spans="1:15">
      <c r="A84" s="286"/>
      <c r="B84" s="296">
        <f t="shared" si="7"/>
        <v>65</v>
      </c>
      <c r="C84" s="297">
        <f t="shared" si="13"/>
        <v>0</v>
      </c>
      <c r="D84" s="298">
        <f t="shared" si="8"/>
        <v>0</v>
      </c>
      <c r="E84" s="299">
        <f t="shared" si="15"/>
        <v>0</v>
      </c>
      <c r="F84" s="299">
        <f t="shared" ref="F84:F147" si="16">E84-G84</f>
        <v>0</v>
      </c>
      <c r="G84" s="299">
        <f t="shared" si="5"/>
        <v>0</v>
      </c>
      <c r="H84" s="298">
        <f t="shared" si="6"/>
        <v>0</v>
      </c>
      <c r="I84" s="294"/>
      <c r="O84" s="295">
        <f t="shared" ref="O84:O147" si="17">IF(H84=0,B84,"n.a.")</f>
        <v>65</v>
      </c>
    </row>
    <row r="85" spans="1:15">
      <c r="A85" s="286"/>
      <c r="B85" s="296">
        <f t="shared" si="7"/>
        <v>66</v>
      </c>
      <c r="C85" s="297">
        <f t="shared" si="13"/>
        <v>0</v>
      </c>
      <c r="D85" s="298">
        <f t="shared" si="8"/>
        <v>0</v>
      </c>
      <c r="E85" s="299">
        <f t="shared" si="15"/>
        <v>0</v>
      </c>
      <c r="F85" s="299">
        <f t="shared" si="16"/>
        <v>0</v>
      </c>
      <c r="G85" s="299">
        <f t="shared" ref="G85:G148" si="18">C85*(D85/365)*30</f>
        <v>0</v>
      </c>
      <c r="H85" s="298">
        <f t="shared" ref="H85:H148" si="19">IF((D85+G85-E85)&lt;0,0,D85+G85-E85)</f>
        <v>0</v>
      </c>
      <c r="I85" s="294"/>
      <c r="O85" s="295">
        <f t="shared" si="17"/>
        <v>66</v>
      </c>
    </row>
    <row r="86" spans="1:15">
      <c r="A86" s="286"/>
      <c r="B86" s="296">
        <f t="shared" ref="B86:B149" si="20">B85+1</f>
        <v>67</v>
      </c>
      <c r="C86" s="297">
        <f t="shared" si="13"/>
        <v>0</v>
      </c>
      <c r="D86" s="298">
        <f t="shared" ref="D86:D149" si="21">H85</f>
        <v>0</v>
      </c>
      <c r="E86" s="299">
        <f t="shared" si="15"/>
        <v>0</v>
      </c>
      <c r="F86" s="299">
        <f t="shared" si="16"/>
        <v>0</v>
      </c>
      <c r="G86" s="299">
        <f t="shared" si="18"/>
        <v>0</v>
      </c>
      <c r="H86" s="298">
        <f t="shared" si="19"/>
        <v>0</v>
      </c>
      <c r="I86" s="294"/>
      <c r="O86" s="295">
        <f t="shared" si="17"/>
        <v>67</v>
      </c>
    </row>
    <row r="87" spans="1:15">
      <c r="A87" s="286"/>
      <c r="B87" s="296">
        <f t="shared" si="20"/>
        <v>68</v>
      </c>
      <c r="C87" s="297">
        <f t="shared" si="13"/>
        <v>0</v>
      </c>
      <c r="D87" s="298">
        <f t="shared" si="21"/>
        <v>0</v>
      </c>
      <c r="E87" s="299">
        <f t="shared" si="15"/>
        <v>0</v>
      </c>
      <c r="F87" s="299">
        <f t="shared" si="16"/>
        <v>0</v>
      </c>
      <c r="G87" s="299">
        <f t="shared" si="18"/>
        <v>0</v>
      </c>
      <c r="H87" s="298">
        <f t="shared" si="19"/>
        <v>0</v>
      </c>
      <c r="I87" s="294"/>
      <c r="O87" s="295">
        <f t="shared" si="17"/>
        <v>68</v>
      </c>
    </row>
    <row r="88" spans="1:15">
      <c r="A88" s="286"/>
      <c r="B88" s="296">
        <f t="shared" si="20"/>
        <v>69</v>
      </c>
      <c r="C88" s="297">
        <f t="shared" si="13"/>
        <v>0</v>
      </c>
      <c r="D88" s="298">
        <f t="shared" si="21"/>
        <v>0</v>
      </c>
      <c r="E88" s="299">
        <f t="shared" si="15"/>
        <v>0</v>
      </c>
      <c r="F88" s="299">
        <f t="shared" si="16"/>
        <v>0</v>
      </c>
      <c r="G88" s="299">
        <f t="shared" si="18"/>
        <v>0</v>
      </c>
      <c r="H88" s="298">
        <f t="shared" si="19"/>
        <v>0</v>
      </c>
      <c r="I88" s="294"/>
      <c r="O88" s="295">
        <f t="shared" si="17"/>
        <v>69</v>
      </c>
    </row>
    <row r="89" spans="1:15">
      <c r="A89" s="286"/>
      <c r="B89" s="296">
        <f t="shared" si="20"/>
        <v>70</v>
      </c>
      <c r="C89" s="297">
        <f t="shared" si="13"/>
        <v>0</v>
      </c>
      <c r="D89" s="298">
        <f t="shared" si="21"/>
        <v>0</v>
      </c>
      <c r="E89" s="299">
        <f t="shared" si="15"/>
        <v>0</v>
      </c>
      <c r="F89" s="299">
        <f t="shared" si="16"/>
        <v>0</v>
      </c>
      <c r="G89" s="299">
        <f t="shared" si="18"/>
        <v>0</v>
      </c>
      <c r="H89" s="298">
        <f t="shared" si="19"/>
        <v>0</v>
      </c>
      <c r="I89" s="294"/>
      <c r="O89" s="295">
        <f t="shared" si="17"/>
        <v>70</v>
      </c>
    </row>
    <row r="90" spans="1:15">
      <c r="A90" s="286"/>
      <c r="B90" s="296">
        <f t="shared" si="20"/>
        <v>71</v>
      </c>
      <c r="C90" s="297">
        <f t="shared" si="13"/>
        <v>0</v>
      </c>
      <c r="D90" s="298">
        <f t="shared" si="21"/>
        <v>0</v>
      </c>
      <c r="E90" s="299">
        <f t="shared" si="15"/>
        <v>0</v>
      </c>
      <c r="F90" s="299">
        <f t="shared" si="16"/>
        <v>0</v>
      </c>
      <c r="G90" s="299">
        <f t="shared" si="18"/>
        <v>0</v>
      </c>
      <c r="H90" s="298">
        <f t="shared" si="19"/>
        <v>0</v>
      </c>
      <c r="I90" s="294"/>
      <c r="O90" s="295">
        <f t="shared" si="17"/>
        <v>71</v>
      </c>
    </row>
    <row r="91" spans="1:15">
      <c r="A91" s="286"/>
      <c r="B91" s="300">
        <f t="shared" si="20"/>
        <v>72</v>
      </c>
      <c r="C91" s="301">
        <f t="shared" si="13"/>
        <v>0</v>
      </c>
      <c r="D91" s="302">
        <f t="shared" si="21"/>
        <v>0</v>
      </c>
      <c r="E91" s="303">
        <f t="shared" si="15"/>
        <v>0</v>
      </c>
      <c r="F91" s="303">
        <f t="shared" si="16"/>
        <v>0</v>
      </c>
      <c r="G91" s="303">
        <f t="shared" si="18"/>
        <v>0</v>
      </c>
      <c r="H91" s="302">
        <f t="shared" si="19"/>
        <v>0</v>
      </c>
      <c r="I91" s="304" t="e">
        <f>H91/$D$5</f>
        <v>#VALUE!</v>
      </c>
      <c r="J91" s="305"/>
      <c r="K91" s="305"/>
      <c r="L91" s="305"/>
      <c r="M91" s="305"/>
      <c r="N91" s="305"/>
      <c r="O91" s="306">
        <f t="shared" si="17"/>
        <v>72</v>
      </c>
    </row>
    <row r="92" spans="1:15">
      <c r="A92" s="286"/>
      <c r="B92" s="296">
        <f t="shared" si="20"/>
        <v>73</v>
      </c>
      <c r="C92" s="297">
        <f t="shared" si="13"/>
        <v>0</v>
      </c>
      <c r="D92" s="298">
        <f t="shared" si="21"/>
        <v>0</v>
      </c>
      <c r="E92" s="299">
        <f t="shared" si="15"/>
        <v>0</v>
      </c>
      <c r="F92" s="299">
        <f t="shared" si="16"/>
        <v>0</v>
      </c>
      <c r="G92" s="299">
        <f t="shared" si="18"/>
        <v>0</v>
      </c>
      <c r="H92" s="298">
        <f t="shared" si="19"/>
        <v>0</v>
      </c>
      <c r="I92" s="294"/>
      <c r="O92" s="295">
        <f t="shared" si="17"/>
        <v>73</v>
      </c>
    </row>
    <row r="93" spans="1:15">
      <c r="A93" s="286"/>
      <c r="B93" s="296">
        <f t="shared" si="20"/>
        <v>74</v>
      </c>
      <c r="C93" s="297">
        <f t="shared" si="13"/>
        <v>0</v>
      </c>
      <c r="D93" s="298">
        <f t="shared" si="21"/>
        <v>0</v>
      </c>
      <c r="E93" s="299">
        <f t="shared" si="15"/>
        <v>0</v>
      </c>
      <c r="F93" s="299">
        <f t="shared" si="16"/>
        <v>0</v>
      </c>
      <c r="G93" s="299">
        <f t="shared" si="18"/>
        <v>0</v>
      </c>
      <c r="H93" s="298">
        <f t="shared" si="19"/>
        <v>0</v>
      </c>
      <c r="I93" s="294"/>
      <c r="O93" s="295">
        <f t="shared" si="17"/>
        <v>74</v>
      </c>
    </row>
    <row r="94" spans="1:15">
      <c r="A94" s="286"/>
      <c r="B94" s="296">
        <f t="shared" si="20"/>
        <v>75</v>
      </c>
      <c r="C94" s="297">
        <f t="shared" si="13"/>
        <v>0</v>
      </c>
      <c r="D94" s="298">
        <f t="shared" si="21"/>
        <v>0</v>
      </c>
      <c r="E94" s="299">
        <f t="shared" si="15"/>
        <v>0</v>
      </c>
      <c r="F94" s="299">
        <f t="shared" si="16"/>
        <v>0</v>
      </c>
      <c r="G94" s="299">
        <f t="shared" si="18"/>
        <v>0</v>
      </c>
      <c r="H94" s="298">
        <f t="shared" si="19"/>
        <v>0</v>
      </c>
      <c r="I94" s="294"/>
      <c r="O94" s="295">
        <f t="shared" si="17"/>
        <v>75</v>
      </c>
    </row>
    <row r="95" spans="1:15">
      <c r="A95" s="286"/>
      <c r="B95" s="296">
        <f t="shared" si="20"/>
        <v>76</v>
      </c>
      <c r="C95" s="297">
        <f t="shared" si="13"/>
        <v>0</v>
      </c>
      <c r="D95" s="298">
        <f t="shared" si="21"/>
        <v>0</v>
      </c>
      <c r="E95" s="299">
        <f t="shared" si="15"/>
        <v>0</v>
      </c>
      <c r="F95" s="299">
        <f t="shared" si="16"/>
        <v>0</v>
      </c>
      <c r="G95" s="299">
        <f t="shared" si="18"/>
        <v>0</v>
      </c>
      <c r="H95" s="298">
        <f t="shared" si="19"/>
        <v>0</v>
      </c>
      <c r="I95" s="294"/>
      <c r="O95" s="295">
        <f t="shared" si="17"/>
        <v>76</v>
      </c>
    </row>
    <row r="96" spans="1:15">
      <c r="A96" s="286"/>
      <c r="B96" s="296">
        <f t="shared" si="20"/>
        <v>77</v>
      </c>
      <c r="C96" s="297">
        <f t="shared" si="13"/>
        <v>0</v>
      </c>
      <c r="D96" s="298">
        <f t="shared" si="21"/>
        <v>0</v>
      </c>
      <c r="E96" s="299">
        <f t="shared" si="15"/>
        <v>0</v>
      </c>
      <c r="F96" s="299">
        <f t="shared" si="16"/>
        <v>0</v>
      </c>
      <c r="G96" s="299">
        <f t="shared" si="18"/>
        <v>0</v>
      </c>
      <c r="H96" s="298">
        <f t="shared" si="19"/>
        <v>0</v>
      </c>
      <c r="I96" s="294"/>
      <c r="O96" s="295">
        <f t="shared" si="17"/>
        <v>77</v>
      </c>
    </row>
    <row r="97" spans="1:15">
      <c r="A97" s="286"/>
      <c r="B97" s="296">
        <f t="shared" si="20"/>
        <v>78</v>
      </c>
      <c r="C97" s="297">
        <f t="shared" si="13"/>
        <v>0</v>
      </c>
      <c r="D97" s="298">
        <f t="shared" si="21"/>
        <v>0</v>
      </c>
      <c r="E97" s="299">
        <f t="shared" si="15"/>
        <v>0</v>
      </c>
      <c r="F97" s="299">
        <f t="shared" si="16"/>
        <v>0</v>
      </c>
      <c r="G97" s="299">
        <f t="shared" si="18"/>
        <v>0</v>
      </c>
      <c r="H97" s="298">
        <f t="shared" si="19"/>
        <v>0</v>
      </c>
      <c r="I97" s="294"/>
      <c r="O97" s="295">
        <f t="shared" si="17"/>
        <v>78</v>
      </c>
    </row>
    <row r="98" spans="1:15">
      <c r="A98" s="286"/>
      <c r="B98" s="296">
        <f t="shared" si="20"/>
        <v>79</v>
      </c>
      <c r="C98" s="297">
        <f t="shared" si="13"/>
        <v>0</v>
      </c>
      <c r="D98" s="298">
        <f t="shared" si="21"/>
        <v>0</v>
      </c>
      <c r="E98" s="299">
        <f t="shared" si="15"/>
        <v>0</v>
      </c>
      <c r="F98" s="299">
        <f t="shared" si="16"/>
        <v>0</v>
      </c>
      <c r="G98" s="299">
        <f t="shared" si="18"/>
        <v>0</v>
      </c>
      <c r="H98" s="298">
        <f t="shared" si="19"/>
        <v>0</v>
      </c>
      <c r="I98" s="294"/>
      <c r="O98" s="295">
        <f t="shared" si="17"/>
        <v>79</v>
      </c>
    </row>
    <row r="99" spans="1:15">
      <c r="A99" s="286"/>
      <c r="B99" s="296">
        <f t="shared" si="20"/>
        <v>80</v>
      </c>
      <c r="C99" s="297">
        <f t="shared" si="13"/>
        <v>0</v>
      </c>
      <c r="D99" s="298">
        <f t="shared" si="21"/>
        <v>0</v>
      </c>
      <c r="E99" s="299">
        <f t="shared" si="15"/>
        <v>0</v>
      </c>
      <c r="F99" s="299">
        <f t="shared" si="16"/>
        <v>0</v>
      </c>
      <c r="G99" s="299">
        <f t="shared" si="18"/>
        <v>0</v>
      </c>
      <c r="H99" s="298">
        <f t="shared" si="19"/>
        <v>0</v>
      </c>
      <c r="I99" s="294"/>
      <c r="O99" s="295">
        <f t="shared" si="17"/>
        <v>80</v>
      </c>
    </row>
    <row r="100" spans="1:15">
      <c r="A100" s="286"/>
      <c r="B100" s="296">
        <f t="shared" si="20"/>
        <v>81</v>
      </c>
      <c r="C100" s="297">
        <f t="shared" si="13"/>
        <v>0</v>
      </c>
      <c r="D100" s="298">
        <f t="shared" si="21"/>
        <v>0</v>
      </c>
      <c r="E100" s="299">
        <f t="shared" si="15"/>
        <v>0</v>
      </c>
      <c r="F100" s="299">
        <f t="shared" si="16"/>
        <v>0</v>
      </c>
      <c r="G100" s="299">
        <f t="shared" si="18"/>
        <v>0</v>
      </c>
      <c r="H100" s="298">
        <f t="shared" si="19"/>
        <v>0</v>
      </c>
      <c r="I100" s="294"/>
      <c r="O100" s="295">
        <f t="shared" si="17"/>
        <v>81</v>
      </c>
    </row>
    <row r="101" spans="1:15">
      <c r="A101" s="286"/>
      <c r="B101" s="296">
        <f t="shared" si="20"/>
        <v>82</v>
      </c>
      <c r="C101" s="297">
        <f t="shared" si="13"/>
        <v>0</v>
      </c>
      <c r="D101" s="298">
        <f t="shared" si="21"/>
        <v>0</v>
      </c>
      <c r="E101" s="299">
        <f t="shared" si="15"/>
        <v>0</v>
      </c>
      <c r="F101" s="299">
        <f t="shared" si="16"/>
        <v>0</v>
      </c>
      <c r="G101" s="299">
        <f t="shared" si="18"/>
        <v>0</v>
      </c>
      <c r="H101" s="298">
        <f t="shared" si="19"/>
        <v>0</v>
      </c>
      <c r="I101" s="294"/>
      <c r="O101" s="295">
        <f t="shared" si="17"/>
        <v>82</v>
      </c>
    </row>
    <row r="102" spans="1:15">
      <c r="A102" s="286"/>
      <c r="B102" s="296">
        <f t="shared" si="20"/>
        <v>83</v>
      </c>
      <c r="C102" s="297">
        <f t="shared" si="13"/>
        <v>0</v>
      </c>
      <c r="D102" s="298">
        <f t="shared" si="21"/>
        <v>0</v>
      </c>
      <c r="E102" s="299">
        <f t="shared" si="15"/>
        <v>0</v>
      </c>
      <c r="F102" s="299">
        <f t="shared" si="16"/>
        <v>0</v>
      </c>
      <c r="G102" s="299">
        <f t="shared" si="18"/>
        <v>0</v>
      </c>
      <c r="H102" s="298">
        <f t="shared" si="19"/>
        <v>0</v>
      </c>
      <c r="I102" s="294"/>
      <c r="O102" s="295">
        <f t="shared" si="17"/>
        <v>83</v>
      </c>
    </row>
    <row r="103" spans="1:15">
      <c r="A103" s="286"/>
      <c r="B103" s="300">
        <f t="shared" si="20"/>
        <v>84</v>
      </c>
      <c r="C103" s="301">
        <f t="shared" si="13"/>
        <v>0</v>
      </c>
      <c r="D103" s="302">
        <f t="shared" si="21"/>
        <v>0</v>
      </c>
      <c r="E103" s="303">
        <f t="shared" si="15"/>
        <v>0</v>
      </c>
      <c r="F103" s="303">
        <f t="shared" si="16"/>
        <v>0</v>
      </c>
      <c r="G103" s="303">
        <f t="shared" si="18"/>
        <v>0</v>
      </c>
      <c r="H103" s="302">
        <f t="shared" si="19"/>
        <v>0</v>
      </c>
      <c r="I103" s="304" t="e">
        <f>H103/$D$5</f>
        <v>#VALUE!</v>
      </c>
      <c r="J103" s="305"/>
      <c r="K103" s="305"/>
      <c r="L103" s="305"/>
      <c r="M103" s="305"/>
      <c r="N103" s="305"/>
      <c r="O103" s="306">
        <f t="shared" si="17"/>
        <v>84</v>
      </c>
    </row>
    <row r="104" spans="1:15">
      <c r="A104" s="286"/>
      <c r="B104" s="296">
        <f t="shared" si="20"/>
        <v>85</v>
      </c>
      <c r="C104" s="297">
        <f t="shared" si="13"/>
        <v>0</v>
      </c>
      <c r="D104" s="298">
        <f t="shared" si="21"/>
        <v>0</v>
      </c>
      <c r="E104" s="299">
        <f t="shared" si="15"/>
        <v>0</v>
      </c>
      <c r="F104" s="299">
        <f t="shared" si="16"/>
        <v>0</v>
      </c>
      <c r="G104" s="299">
        <f t="shared" si="18"/>
        <v>0</v>
      </c>
      <c r="H104" s="298">
        <f t="shared" si="19"/>
        <v>0</v>
      </c>
      <c r="I104" s="294"/>
      <c r="O104" s="295">
        <f t="shared" si="17"/>
        <v>85</v>
      </c>
    </row>
    <row r="105" spans="1:15">
      <c r="A105" s="286"/>
      <c r="B105" s="296">
        <f t="shared" si="20"/>
        <v>86</v>
      </c>
      <c r="C105" s="297">
        <f t="shared" si="13"/>
        <v>0</v>
      </c>
      <c r="D105" s="298">
        <f t="shared" si="21"/>
        <v>0</v>
      </c>
      <c r="E105" s="299">
        <f t="shared" si="15"/>
        <v>0</v>
      </c>
      <c r="F105" s="299">
        <f t="shared" si="16"/>
        <v>0</v>
      </c>
      <c r="G105" s="299">
        <f t="shared" si="18"/>
        <v>0</v>
      </c>
      <c r="H105" s="298">
        <f t="shared" si="19"/>
        <v>0</v>
      </c>
      <c r="I105" s="294"/>
      <c r="O105" s="295">
        <f t="shared" si="17"/>
        <v>86</v>
      </c>
    </row>
    <row r="106" spans="1:15">
      <c r="A106" s="286"/>
      <c r="B106" s="296">
        <f t="shared" si="20"/>
        <v>87</v>
      </c>
      <c r="C106" s="297">
        <f t="shared" si="13"/>
        <v>0</v>
      </c>
      <c r="D106" s="298">
        <f t="shared" si="21"/>
        <v>0</v>
      </c>
      <c r="E106" s="299">
        <f t="shared" si="15"/>
        <v>0</v>
      </c>
      <c r="F106" s="299">
        <f t="shared" si="16"/>
        <v>0</v>
      </c>
      <c r="G106" s="299">
        <f t="shared" si="18"/>
        <v>0</v>
      </c>
      <c r="H106" s="298">
        <f t="shared" si="19"/>
        <v>0</v>
      </c>
      <c r="I106" s="294"/>
      <c r="O106" s="295">
        <f t="shared" si="17"/>
        <v>87</v>
      </c>
    </row>
    <row r="107" spans="1:15">
      <c r="A107" s="286"/>
      <c r="B107" s="296">
        <f t="shared" si="20"/>
        <v>88</v>
      </c>
      <c r="C107" s="297">
        <f t="shared" si="13"/>
        <v>0</v>
      </c>
      <c r="D107" s="298">
        <f t="shared" si="21"/>
        <v>0</v>
      </c>
      <c r="E107" s="299">
        <f t="shared" si="15"/>
        <v>0</v>
      </c>
      <c r="F107" s="299">
        <f t="shared" si="16"/>
        <v>0</v>
      </c>
      <c r="G107" s="299">
        <f t="shared" si="18"/>
        <v>0</v>
      </c>
      <c r="H107" s="298">
        <f t="shared" si="19"/>
        <v>0</v>
      </c>
      <c r="I107" s="294"/>
      <c r="O107" s="295">
        <f t="shared" si="17"/>
        <v>88</v>
      </c>
    </row>
    <row r="108" spans="1:15">
      <c r="A108" s="286"/>
      <c r="B108" s="296">
        <f t="shared" si="20"/>
        <v>89</v>
      </c>
      <c r="C108" s="297">
        <f t="shared" si="13"/>
        <v>0</v>
      </c>
      <c r="D108" s="298">
        <f t="shared" si="21"/>
        <v>0</v>
      </c>
      <c r="E108" s="299">
        <f t="shared" si="15"/>
        <v>0</v>
      </c>
      <c r="F108" s="299">
        <f t="shared" si="16"/>
        <v>0</v>
      </c>
      <c r="G108" s="299">
        <f t="shared" si="18"/>
        <v>0</v>
      </c>
      <c r="H108" s="298">
        <f t="shared" si="19"/>
        <v>0</v>
      </c>
      <c r="I108" s="294"/>
      <c r="O108" s="295">
        <f t="shared" si="17"/>
        <v>89</v>
      </c>
    </row>
    <row r="109" spans="1:15">
      <c r="A109" s="286"/>
      <c r="B109" s="296">
        <f t="shared" si="20"/>
        <v>90</v>
      </c>
      <c r="C109" s="297">
        <f t="shared" si="13"/>
        <v>0</v>
      </c>
      <c r="D109" s="298">
        <f t="shared" si="21"/>
        <v>0</v>
      </c>
      <c r="E109" s="299">
        <f t="shared" si="15"/>
        <v>0</v>
      </c>
      <c r="F109" s="299">
        <f t="shared" si="16"/>
        <v>0</v>
      </c>
      <c r="G109" s="299">
        <f t="shared" si="18"/>
        <v>0</v>
      </c>
      <c r="H109" s="298">
        <f t="shared" si="19"/>
        <v>0</v>
      </c>
      <c r="I109" s="294"/>
      <c r="O109" s="295">
        <f t="shared" si="17"/>
        <v>90</v>
      </c>
    </row>
    <row r="110" spans="1:15">
      <c r="A110" s="286"/>
      <c r="B110" s="296">
        <f t="shared" si="20"/>
        <v>91</v>
      </c>
      <c r="C110" s="297">
        <f t="shared" si="13"/>
        <v>0</v>
      </c>
      <c r="D110" s="298">
        <f t="shared" si="21"/>
        <v>0</v>
      </c>
      <c r="E110" s="299">
        <f t="shared" si="15"/>
        <v>0</v>
      </c>
      <c r="F110" s="299">
        <f t="shared" si="16"/>
        <v>0</v>
      </c>
      <c r="G110" s="299">
        <f t="shared" si="18"/>
        <v>0</v>
      </c>
      <c r="H110" s="298">
        <f t="shared" si="19"/>
        <v>0</v>
      </c>
      <c r="I110" s="294"/>
      <c r="O110" s="295">
        <f t="shared" si="17"/>
        <v>91</v>
      </c>
    </row>
    <row r="111" spans="1:15">
      <c r="A111" s="286"/>
      <c r="B111" s="296">
        <f t="shared" si="20"/>
        <v>92</v>
      </c>
      <c r="C111" s="297">
        <f t="shared" si="13"/>
        <v>0</v>
      </c>
      <c r="D111" s="298">
        <f t="shared" si="21"/>
        <v>0</v>
      </c>
      <c r="E111" s="299">
        <f t="shared" si="15"/>
        <v>0</v>
      </c>
      <c r="F111" s="299">
        <f t="shared" si="16"/>
        <v>0</v>
      </c>
      <c r="G111" s="299">
        <f t="shared" si="18"/>
        <v>0</v>
      </c>
      <c r="H111" s="298">
        <f t="shared" si="19"/>
        <v>0</v>
      </c>
      <c r="I111" s="294"/>
      <c r="O111" s="295">
        <f t="shared" si="17"/>
        <v>92</v>
      </c>
    </row>
    <row r="112" spans="1:15">
      <c r="A112" s="286"/>
      <c r="B112" s="296">
        <f t="shared" si="20"/>
        <v>93</v>
      </c>
      <c r="C112" s="297">
        <f t="shared" si="13"/>
        <v>0</v>
      </c>
      <c r="D112" s="298">
        <f t="shared" si="21"/>
        <v>0</v>
      </c>
      <c r="E112" s="299">
        <f t="shared" si="15"/>
        <v>0</v>
      </c>
      <c r="F112" s="299">
        <f t="shared" si="16"/>
        <v>0</v>
      </c>
      <c r="G112" s="299">
        <f t="shared" si="18"/>
        <v>0</v>
      </c>
      <c r="H112" s="298">
        <f t="shared" si="19"/>
        <v>0</v>
      </c>
      <c r="I112" s="294"/>
      <c r="O112" s="295">
        <f t="shared" si="17"/>
        <v>93</v>
      </c>
    </row>
    <row r="113" spans="1:15">
      <c r="A113" s="286"/>
      <c r="B113" s="296">
        <f t="shared" si="20"/>
        <v>94</v>
      </c>
      <c r="C113" s="297">
        <f t="shared" si="13"/>
        <v>0</v>
      </c>
      <c r="D113" s="298">
        <f t="shared" si="21"/>
        <v>0</v>
      </c>
      <c r="E113" s="299">
        <f t="shared" si="15"/>
        <v>0</v>
      </c>
      <c r="F113" s="299">
        <f t="shared" si="16"/>
        <v>0</v>
      </c>
      <c r="G113" s="299">
        <f t="shared" si="18"/>
        <v>0</v>
      </c>
      <c r="H113" s="298">
        <f t="shared" si="19"/>
        <v>0</v>
      </c>
      <c r="I113" s="294"/>
      <c r="O113" s="295">
        <f t="shared" si="17"/>
        <v>94</v>
      </c>
    </row>
    <row r="114" spans="1:15">
      <c r="A114" s="286"/>
      <c r="B114" s="296">
        <f t="shared" si="20"/>
        <v>95</v>
      </c>
      <c r="C114" s="297">
        <f t="shared" si="13"/>
        <v>0</v>
      </c>
      <c r="D114" s="298">
        <f t="shared" si="21"/>
        <v>0</v>
      </c>
      <c r="E114" s="299">
        <f t="shared" si="15"/>
        <v>0</v>
      </c>
      <c r="F114" s="299">
        <f t="shared" si="16"/>
        <v>0</v>
      </c>
      <c r="G114" s="299">
        <f t="shared" si="18"/>
        <v>0</v>
      </c>
      <c r="H114" s="298">
        <f t="shared" si="19"/>
        <v>0</v>
      </c>
      <c r="I114" s="294"/>
      <c r="O114" s="295">
        <f t="shared" si="17"/>
        <v>95</v>
      </c>
    </row>
    <row r="115" spans="1:15">
      <c r="A115" s="286"/>
      <c r="B115" s="300">
        <f t="shared" si="20"/>
        <v>96</v>
      </c>
      <c r="C115" s="301">
        <f t="shared" si="13"/>
        <v>0</v>
      </c>
      <c r="D115" s="302">
        <f t="shared" si="21"/>
        <v>0</v>
      </c>
      <c r="E115" s="303">
        <f t="shared" si="15"/>
        <v>0</v>
      </c>
      <c r="F115" s="303">
        <f t="shared" si="16"/>
        <v>0</v>
      </c>
      <c r="G115" s="303">
        <f t="shared" si="18"/>
        <v>0</v>
      </c>
      <c r="H115" s="302">
        <f t="shared" si="19"/>
        <v>0</v>
      </c>
      <c r="I115" s="304" t="e">
        <f>H115/$D$5</f>
        <v>#VALUE!</v>
      </c>
      <c r="J115" s="305"/>
      <c r="K115" s="305"/>
      <c r="L115" s="305"/>
      <c r="M115" s="305"/>
      <c r="N115" s="305"/>
      <c r="O115" s="306">
        <f t="shared" si="17"/>
        <v>96</v>
      </c>
    </row>
    <row r="116" spans="1:15">
      <c r="A116" s="286"/>
      <c r="B116" s="296">
        <f t="shared" si="20"/>
        <v>97</v>
      </c>
      <c r="C116" s="297">
        <f t="shared" si="13"/>
        <v>0</v>
      </c>
      <c r="D116" s="298">
        <f t="shared" si="21"/>
        <v>0</v>
      </c>
      <c r="E116" s="299">
        <f t="shared" si="15"/>
        <v>0</v>
      </c>
      <c r="F116" s="299">
        <f t="shared" si="16"/>
        <v>0</v>
      </c>
      <c r="G116" s="299">
        <f t="shared" si="18"/>
        <v>0</v>
      </c>
      <c r="H116" s="298">
        <f t="shared" si="19"/>
        <v>0</v>
      </c>
      <c r="I116" s="294"/>
      <c r="O116" s="295">
        <f t="shared" si="17"/>
        <v>97</v>
      </c>
    </row>
    <row r="117" spans="1:15">
      <c r="A117" s="286"/>
      <c r="B117" s="296">
        <f t="shared" si="20"/>
        <v>98</v>
      </c>
      <c r="C117" s="297">
        <f t="shared" si="13"/>
        <v>0</v>
      </c>
      <c r="D117" s="298">
        <f t="shared" si="21"/>
        <v>0</v>
      </c>
      <c r="E117" s="299">
        <f t="shared" si="15"/>
        <v>0</v>
      </c>
      <c r="F117" s="299">
        <f t="shared" si="16"/>
        <v>0</v>
      </c>
      <c r="G117" s="299">
        <f t="shared" si="18"/>
        <v>0</v>
      </c>
      <c r="H117" s="298">
        <f t="shared" si="19"/>
        <v>0</v>
      </c>
      <c r="I117" s="294"/>
      <c r="O117" s="295">
        <f t="shared" si="17"/>
        <v>98</v>
      </c>
    </row>
    <row r="118" spans="1:15">
      <c r="A118" s="286"/>
      <c r="B118" s="296">
        <f t="shared" si="20"/>
        <v>99</v>
      </c>
      <c r="C118" s="297">
        <f t="shared" si="13"/>
        <v>0</v>
      </c>
      <c r="D118" s="298">
        <f t="shared" si="21"/>
        <v>0</v>
      </c>
      <c r="E118" s="299">
        <f t="shared" si="15"/>
        <v>0</v>
      </c>
      <c r="F118" s="299">
        <f t="shared" si="16"/>
        <v>0</v>
      </c>
      <c r="G118" s="299">
        <f t="shared" si="18"/>
        <v>0</v>
      </c>
      <c r="H118" s="298">
        <f t="shared" si="19"/>
        <v>0</v>
      </c>
      <c r="I118" s="294"/>
      <c r="O118" s="295">
        <f t="shared" si="17"/>
        <v>99</v>
      </c>
    </row>
    <row r="119" spans="1:15">
      <c r="A119" s="286"/>
      <c r="B119" s="296">
        <f t="shared" si="20"/>
        <v>100</v>
      </c>
      <c r="C119" s="297">
        <f t="shared" si="13"/>
        <v>0</v>
      </c>
      <c r="D119" s="298">
        <f t="shared" si="21"/>
        <v>0</v>
      </c>
      <c r="E119" s="299">
        <f t="shared" si="15"/>
        <v>0</v>
      </c>
      <c r="F119" s="299">
        <f t="shared" si="16"/>
        <v>0</v>
      </c>
      <c r="G119" s="299">
        <f t="shared" si="18"/>
        <v>0</v>
      </c>
      <c r="H119" s="298">
        <f t="shared" si="19"/>
        <v>0</v>
      </c>
      <c r="I119" s="294"/>
      <c r="O119" s="295">
        <f t="shared" si="17"/>
        <v>100</v>
      </c>
    </row>
    <row r="120" spans="1:15">
      <c r="A120" s="286"/>
      <c r="B120" s="296">
        <f t="shared" si="20"/>
        <v>101</v>
      </c>
      <c r="C120" s="297">
        <f t="shared" ref="C120:C183" si="22">IF(D120&gt;0,$F$7,0)</f>
        <v>0</v>
      </c>
      <c r="D120" s="298">
        <f t="shared" si="21"/>
        <v>0</v>
      </c>
      <c r="E120" s="299">
        <f t="shared" si="15"/>
        <v>0</v>
      </c>
      <c r="F120" s="299">
        <f t="shared" si="16"/>
        <v>0</v>
      </c>
      <c r="G120" s="299">
        <f t="shared" si="18"/>
        <v>0</v>
      </c>
      <c r="H120" s="298">
        <f t="shared" si="19"/>
        <v>0</v>
      </c>
      <c r="I120" s="294"/>
      <c r="O120" s="295">
        <f t="shared" si="17"/>
        <v>101</v>
      </c>
    </row>
    <row r="121" spans="1:15">
      <c r="A121" s="286"/>
      <c r="B121" s="296">
        <f t="shared" si="20"/>
        <v>102</v>
      </c>
      <c r="C121" s="297">
        <f t="shared" si="22"/>
        <v>0</v>
      </c>
      <c r="D121" s="298">
        <f t="shared" si="21"/>
        <v>0</v>
      </c>
      <c r="E121" s="299">
        <f t="shared" si="15"/>
        <v>0</v>
      </c>
      <c r="F121" s="299">
        <f t="shared" si="16"/>
        <v>0</v>
      </c>
      <c r="G121" s="299">
        <f t="shared" si="18"/>
        <v>0</v>
      </c>
      <c r="H121" s="298">
        <f t="shared" si="19"/>
        <v>0</v>
      </c>
      <c r="I121" s="294"/>
      <c r="O121" s="295">
        <f t="shared" si="17"/>
        <v>102</v>
      </c>
    </row>
    <row r="122" spans="1:15">
      <c r="A122" s="286"/>
      <c r="B122" s="296">
        <f t="shared" si="20"/>
        <v>103</v>
      </c>
      <c r="C122" s="297">
        <f t="shared" si="22"/>
        <v>0</v>
      </c>
      <c r="D122" s="298">
        <f t="shared" si="21"/>
        <v>0</v>
      </c>
      <c r="E122" s="299">
        <f t="shared" si="15"/>
        <v>0</v>
      </c>
      <c r="F122" s="299">
        <f t="shared" si="16"/>
        <v>0</v>
      </c>
      <c r="G122" s="299">
        <f t="shared" si="18"/>
        <v>0</v>
      </c>
      <c r="H122" s="298">
        <f t="shared" si="19"/>
        <v>0</v>
      </c>
      <c r="I122" s="294"/>
      <c r="O122" s="295">
        <f t="shared" si="17"/>
        <v>103</v>
      </c>
    </row>
    <row r="123" spans="1:15">
      <c r="A123" s="286"/>
      <c r="B123" s="296">
        <f t="shared" si="20"/>
        <v>104</v>
      </c>
      <c r="C123" s="297">
        <f t="shared" si="22"/>
        <v>0</v>
      </c>
      <c r="D123" s="298">
        <f t="shared" si="21"/>
        <v>0</v>
      </c>
      <c r="E123" s="299">
        <f t="shared" si="15"/>
        <v>0</v>
      </c>
      <c r="F123" s="299">
        <f t="shared" si="16"/>
        <v>0</v>
      </c>
      <c r="G123" s="299">
        <f t="shared" si="18"/>
        <v>0</v>
      </c>
      <c r="H123" s="298">
        <f t="shared" si="19"/>
        <v>0</v>
      </c>
      <c r="I123" s="294"/>
      <c r="O123" s="295">
        <f t="shared" si="17"/>
        <v>104</v>
      </c>
    </row>
    <row r="124" spans="1:15">
      <c r="A124" s="286"/>
      <c r="B124" s="296">
        <f t="shared" si="20"/>
        <v>105</v>
      </c>
      <c r="C124" s="297">
        <f t="shared" si="22"/>
        <v>0</v>
      </c>
      <c r="D124" s="298">
        <f t="shared" si="21"/>
        <v>0</v>
      </c>
      <c r="E124" s="299">
        <f t="shared" si="15"/>
        <v>0</v>
      </c>
      <c r="F124" s="299">
        <f t="shared" si="16"/>
        <v>0</v>
      </c>
      <c r="G124" s="299">
        <f t="shared" si="18"/>
        <v>0</v>
      </c>
      <c r="H124" s="298">
        <f t="shared" si="19"/>
        <v>0</v>
      </c>
      <c r="I124" s="294"/>
      <c r="O124" s="295">
        <f t="shared" si="17"/>
        <v>105</v>
      </c>
    </row>
    <row r="125" spans="1:15">
      <c r="A125" s="286"/>
      <c r="B125" s="296">
        <f t="shared" si="20"/>
        <v>106</v>
      </c>
      <c r="C125" s="297">
        <f t="shared" si="22"/>
        <v>0</v>
      </c>
      <c r="D125" s="298">
        <f t="shared" si="21"/>
        <v>0</v>
      </c>
      <c r="E125" s="299">
        <f t="shared" si="15"/>
        <v>0</v>
      </c>
      <c r="F125" s="299">
        <f t="shared" si="16"/>
        <v>0</v>
      </c>
      <c r="G125" s="299">
        <f t="shared" si="18"/>
        <v>0</v>
      </c>
      <c r="H125" s="298">
        <f t="shared" si="19"/>
        <v>0</v>
      </c>
      <c r="I125" s="294"/>
      <c r="O125" s="295">
        <f t="shared" si="17"/>
        <v>106</v>
      </c>
    </row>
    <row r="126" spans="1:15">
      <c r="A126" s="286"/>
      <c r="B126" s="296">
        <f t="shared" si="20"/>
        <v>107</v>
      </c>
      <c r="C126" s="297">
        <f t="shared" si="22"/>
        <v>0</v>
      </c>
      <c r="D126" s="298">
        <f t="shared" si="21"/>
        <v>0</v>
      </c>
      <c r="E126" s="299">
        <f t="shared" si="15"/>
        <v>0</v>
      </c>
      <c r="F126" s="299">
        <f t="shared" si="16"/>
        <v>0</v>
      </c>
      <c r="G126" s="299">
        <f t="shared" si="18"/>
        <v>0</v>
      </c>
      <c r="H126" s="298">
        <f t="shared" si="19"/>
        <v>0</v>
      </c>
      <c r="I126" s="294"/>
      <c r="O126" s="295">
        <f t="shared" si="17"/>
        <v>107</v>
      </c>
    </row>
    <row r="127" spans="1:15">
      <c r="A127" s="286"/>
      <c r="B127" s="300">
        <f t="shared" si="20"/>
        <v>108</v>
      </c>
      <c r="C127" s="301">
        <f t="shared" si="22"/>
        <v>0</v>
      </c>
      <c r="D127" s="302">
        <f t="shared" si="21"/>
        <v>0</v>
      </c>
      <c r="E127" s="303">
        <f t="shared" si="15"/>
        <v>0</v>
      </c>
      <c r="F127" s="303">
        <f t="shared" si="16"/>
        <v>0</v>
      </c>
      <c r="G127" s="303">
        <f t="shared" si="18"/>
        <v>0</v>
      </c>
      <c r="H127" s="302">
        <f t="shared" si="19"/>
        <v>0</v>
      </c>
      <c r="I127" s="304" t="e">
        <f>H127/$D$5</f>
        <v>#VALUE!</v>
      </c>
      <c r="J127" s="305"/>
      <c r="K127" s="305"/>
      <c r="L127" s="305"/>
      <c r="M127" s="305"/>
      <c r="N127" s="305"/>
      <c r="O127" s="306">
        <f t="shared" si="17"/>
        <v>108</v>
      </c>
    </row>
    <row r="128" spans="1:15">
      <c r="A128" s="286"/>
      <c r="B128" s="296">
        <f t="shared" si="20"/>
        <v>109</v>
      </c>
      <c r="C128" s="297">
        <f t="shared" si="22"/>
        <v>0</v>
      </c>
      <c r="D128" s="298">
        <f t="shared" si="21"/>
        <v>0</v>
      </c>
      <c r="E128" s="299">
        <f t="shared" si="15"/>
        <v>0</v>
      </c>
      <c r="F128" s="299">
        <f t="shared" si="16"/>
        <v>0</v>
      </c>
      <c r="G128" s="299">
        <f t="shared" si="18"/>
        <v>0</v>
      </c>
      <c r="H128" s="298">
        <f t="shared" si="19"/>
        <v>0</v>
      </c>
      <c r="I128" s="294"/>
      <c r="O128" s="295">
        <f t="shared" si="17"/>
        <v>109</v>
      </c>
    </row>
    <row r="129" spans="1:15">
      <c r="A129" s="286"/>
      <c r="B129" s="296">
        <f t="shared" si="20"/>
        <v>110</v>
      </c>
      <c r="C129" s="297">
        <f t="shared" si="22"/>
        <v>0</v>
      </c>
      <c r="D129" s="298">
        <f t="shared" si="21"/>
        <v>0</v>
      </c>
      <c r="E129" s="299">
        <f t="shared" si="15"/>
        <v>0</v>
      </c>
      <c r="F129" s="299">
        <f t="shared" si="16"/>
        <v>0</v>
      </c>
      <c r="G129" s="299">
        <f t="shared" si="18"/>
        <v>0</v>
      </c>
      <c r="H129" s="298">
        <f t="shared" si="19"/>
        <v>0</v>
      </c>
      <c r="I129" s="294"/>
      <c r="O129" s="295">
        <f t="shared" si="17"/>
        <v>110</v>
      </c>
    </row>
    <row r="130" spans="1:15">
      <c r="A130" s="286"/>
      <c r="B130" s="296">
        <f t="shared" si="20"/>
        <v>111</v>
      </c>
      <c r="C130" s="297">
        <f t="shared" si="22"/>
        <v>0</v>
      </c>
      <c r="D130" s="298">
        <f t="shared" si="21"/>
        <v>0</v>
      </c>
      <c r="E130" s="299">
        <f t="shared" si="15"/>
        <v>0</v>
      </c>
      <c r="F130" s="299">
        <f t="shared" si="16"/>
        <v>0</v>
      </c>
      <c r="G130" s="299">
        <f t="shared" si="18"/>
        <v>0</v>
      </c>
      <c r="H130" s="298">
        <f t="shared" si="19"/>
        <v>0</v>
      </c>
      <c r="I130" s="294"/>
      <c r="O130" s="295">
        <f t="shared" si="17"/>
        <v>111</v>
      </c>
    </row>
    <row r="131" spans="1:15">
      <c r="A131" s="286"/>
      <c r="B131" s="296">
        <f t="shared" si="20"/>
        <v>112</v>
      </c>
      <c r="C131" s="297">
        <f t="shared" si="22"/>
        <v>0</v>
      </c>
      <c r="D131" s="298">
        <f t="shared" si="21"/>
        <v>0</v>
      </c>
      <c r="E131" s="299">
        <f t="shared" si="15"/>
        <v>0</v>
      </c>
      <c r="F131" s="299">
        <f t="shared" si="16"/>
        <v>0</v>
      </c>
      <c r="G131" s="299">
        <f t="shared" si="18"/>
        <v>0</v>
      </c>
      <c r="H131" s="298">
        <f t="shared" si="19"/>
        <v>0</v>
      </c>
      <c r="I131" s="294"/>
      <c r="O131" s="295">
        <f t="shared" si="17"/>
        <v>112</v>
      </c>
    </row>
    <row r="132" spans="1:15">
      <c r="A132" s="286"/>
      <c r="B132" s="296">
        <f t="shared" si="20"/>
        <v>113</v>
      </c>
      <c r="C132" s="297">
        <f t="shared" si="22"/>
        <v>0</v>
      </c>
      <c r="D132" s="298">
        <f t="shared" si="21"/>
        <v>0</v>
      </c>
      <c r="E132" s="299">
        <f t="shared" ref="E132:E195" si="23">IF(H131&lt;=E131,H131+G132,$H$10)</f>
        <v>0</v>
      </c>
      <c r="F132" s="299">
        <f t="shared" si="16"/>
        <v>0</v>
      </c>
      <c r="G132" s="299">
        <f t="shared" si="18"/>
        <v>0</v>
      </c>
      <c r="H132" s="298">
        <f t="shared" si="19"/>
        <v>0</v>
      </c>
      <c r="I132" s="294"/>
      <c r="O132" s="295">
        <f t="shared" si="17"/>
        <v>113</v>
      </c>
    </row>
    <row r="133" spans="1:15">
      <c r="A133" s="286"/>
      <c r="B133" s="296">
        <f t="shared" si="20"/>
        <v>114</v>
      </c>
      <c r="C133" s="297">
        <f t="shared" si="22"/>
        <v>0</v>
      </c>
      <c r="D133" s="298">
        <f t="shared" si="21"/>
        <v>0</v>
      </c>
      <c r="E133" s="299">
        <f t="shared" si="23"/>
        <v>0</v>
      </c>
      <c r="F133" s="299">
        <f t="shared" si="16"/>
        <v>0</v>
      </c>
      <c r="G133" s="299">
        <f t="shared" si="18"/>
        <v>0</v>
      </c>
      <c r="H133" s="298">
        <f t="shared" si="19"/>
        <v>0</v>
      </c>
      <c r="I133" s="294"/>
      <c r="O133" s="295">
        <f t="shared" si="17"/>
        <v>114</v>
      </c>
    </row>
    <row r="134" spans="1:15">
      <c r="A134" s="286"/>
      <c r="B134" s="296">
        <f t="shared" si="20"/>
        <v>115</v>
      </c>
      <c r="C134" s="297">
        <f t="shared" si="22"/>
        <v>0</v>
      </c>
      <c r="D134" s="298">
        <f t="shared" si="21"/>
        <v>0</v>
      </c>
      <c r="E134" s="299">
        <f t="shared" si="23"/>
        <v>0</v>
      </c>
      <c r="F134" s="299">
        <f t="shared" si="16"/>
        <v>0</v>
      </c>
      <c r="G134" s="299">
        <f t="shared" si="18"/>
        <v>0</v>
      </c>
      <c r="H134" s="298">
        <f t="shared" si="19"/>
        <v>0</v>
      </c>
      <c r="I134" s="294"/>
      <c r="O134" s="295">
        <f t="shared" si="17"/>
        <v>115</v>
      </c>
    </row>
    <row r="135" spans="1:15">
      <c r="A135" s="286"/>
      <c r="B135" s="296">
        <f t="shared" si="20"/>
        <v>116</v>
      </c>
      <c r="C135" s="297">
        <f t="shared" si="22"/>
        <v>0</v>
      </c>
      <c r="D135" s="298">
        <f t="shared" si="21"/>
        <v>0</v>
      </c>
      <c r="E135" s="299">
        <f t="shared" si="23"/>
        <v>0</v>
      </c>
      <c r="F135" s="299">
        <f t="shared" si="16"/>
        <v>0</v>
      </c>
      <c r="G135" s="299">
        <f t="shared" si="18"/>
        <v>0</v>
      </c>
      <c r="H135" s="298">
        <f t="shared" si="19"/>
        <v>0</v>
      </c>
      <c r="I135" s="294"/>
      <c r="O135" s="295">
        <f t="shared" si="17"/>
        <v>116</v>
      </c>
    </row>
    <row r="136" spans="1:15">
      <c r="A136" s="286"/>
      <c r="B136" s="296">
        <f t="shared" si="20"/>
        <v>117</v>
      </c>
      <c r="C136" s="297">
        <f t="shared" si="22"/>
        <v>0</v>
      </c>
      <c r="D136" s="298">
        <f t="shared" si="21"/>
        <v>0</v>
      </c>
      <c r="E136" s="299">
        <f t="shared" si="23"/>
        <v>0</v>
      </c>
      <c r="F136" s="299">
        <f t="shared" si="16"/>
        <v>0</v>
      </c>
      <c r="G136" s="299">
        <f t="shared" si="18"/>
        <v>0</v>
      </c>
      <c r="H136" s="298">
        <f t="shared" si="19"/>
        <v>0</v>
      </c>
      <c r="I136" s="294"/>
      <c r="O136" s="295">
        <f t="shared" si="17"/>
        <v>117</v>
      </c>
    </row>
    <row r="137" spans="1:15">
      <c r="A137" s="286"/>
      <c r="B137" s="296">
        <f t="shared" si="20"/>
        <v>118</v>
      </c>
      <c r="C137" s="297">
        <f t="shared" si="22"/>
        <v>0</v>
      </c>
      <c r="D137" s="298">
        <f t="shared" si="21"/>
        <v>0</v>
      </c>
      <c r="E137" s="299">
        <f t="shared" si="23"/>
        <v>0</v>
      </c>
      <c r="F137" s="299">
        <f t="shared" si="16"/>
        <v>0</v>
      </c>
      <c r="G137" s="299">
        <f t="shared" si="18"/>
        <v>0</v>
      </c>
      <c r="H137" s="298">
        <f t="shared" si="19"/>
        <v>0</v>
      </c>
      <c r="I137" s="294"/>
      <c r="O137" s="295">
        <f t="shared" si="17"/>
        <v>118</v>
      </c>
    </row>
    <row r="138" spans="1:15">
      <c r="A138" s="286"/>
      <c r="B138" s="296">
        <f t="shared" si="20"/>
        <v>119</v>
      </c>
      <c r="C138" s="297">
        <f t="shared" si="22"/>
        <v>0</v>
      </c>
      <c r="D138" s="298">
        <f t="shared" si="21"/>
        <v>0</v>
      </c>
      <c r="E138" s="299">
        <f t="shared" si="23"/>
        <v>0</v>
      </c>
      <c r="F138" s="299">
        <f t="shared" si="16"/>
        <v>0</v>
      </c>
      <c r="G138" s="299">
        <f t="shared" si="18"/>
        <v>0</v>
      </c>
      <c r="H138" s="298">
        <f t="shared" si="19"/>
        <v>0</v>
      </c>
      <c r="I138" s="294"/>
      <c r="O138" s="295">
        <f t="shared" si="17"/>
        <v>119</v>
      </c>
    </row>
    <row r="139" spans="1:15">
      <c r="A139" s="286"/>
      <c r="B139" s="300">
        <f t="shared" si="20"/>
        <v>120</v>
      </c>
      <c r="C139" s="301">
        <f t="shared" si="22"/>
        <v>0</v>
      </c>
      <c r="D139" s="302">
        <f t="shared" si="21"/>
        <v>0</v>
      </c>
      <c r="E139" s="303">
        <f t="shared" si="23"/>
        <v>0</v>
      </c>
      <c r="F139" s="303">
        <f t="shared" si="16"/>
        <v>0</v>
      </c>
      <c r="G139" s="303">
        <f t="shared" si="18"/>
        <v>0</v>
      </c>
      <c r="H139" s="302">
        <f t="shared" si="19"/>
        <v>0</v>
      </c>
      <c r="I139" s="304" t="e">
        <f>H139/$D$5</f>
        <v>#VALUE!</v>
      </c>
      <c r="J139" s="305"/>
      <c r="K139" s="305"/>
      <c r="L139" s="305"/>
      <c r="M139" s="305"/>
      <c r="N139" s="305"/>
      <c r="O139" s="306">
        <f t="shared" si="17"/>
        <v>120</v>
      </c>
    </row>
    <row r="140" spans="1:15">
      <c r="A140" s="286"/>
      <c r="B140" s="296">
        <f t="shared" si="20"/>
        <v>121</v>
      </c>
      <c r="C140" s="297">
        <f t="shared" si="22"/>
        <v>0</v>
      </c>
      <c r="D140" s="298">
        <f t="shared" si="21"/>
        <v>0</v>
      </c>
      <c r="E140" s="299">
        <f t="shared" si="23"/>
        <v>0</v>
      </c>
      <c r="F140" s="299">
        <f t="shared" si="16"/>
        <v>0</v>
      </c>
      <c r="G140" s="299">
        <f t="shared" si="18"/>
        <v>0</v>
      </c>
      <c r="H140" s="298">
        <f t="shared" si="19"/>
        <v>0</v>
      </c>
      <c r="I140" s="294"/>
      <c r="O140" s="295">
        <f t="shared" si="17"/>
        <v>121</v>
      </c>
    </row>
    <row r="141" spans="1:15">
      <c r="A141" s="286"/>
      <c r="B141" s="296">
        <f t="shared" si="20"/>
        <v>122</v>
      </c>
      <c r="C141" s="297">
        <f t="shared" si="22"/>
        <v>0</v>
      </c>
      <c r="D141" s="298">
        <f t="shared" si="21"/>
        <v>0</v>
      </c>
      <c r="E141" s="299">
        <f t="shared" si="23"/>
        <v>0</v>
      </c>
      <c r="F141" s="299">
        <f t="shared" si="16"/>
        <v>0</v>
      </c>
      <c r="G141" s="299">
        <f t="shared" si="18"/>
        <v>0</v>
      </c>
      <c r="H141" s="298">
        <f t="shared" si="19"/>
        <v>0</v>
      </c>
      <c r="I141" s="294"/>
      <c r="O141" s="295">
        <f t="shared" si="17"/>
        <v>122</v>
      </c>
    </row>
    <row r="142" spans="1:15">
      <c r="A142" s="286"/>
      <c r="B142" s="296">
        <f t="shared" si="20"/>
        <v>123</v>
      </c>
      <c r="C142" s="297">
        <f t="shared" si="22"/>
        <v>0</v>
      </c>
      <c r="D142" s="298">
        <f t="shared" si="21"/>
        <v>0</v>
      </c>
      <c r="E142" s="299">
        <f t="shared" si="23"/>
        <v>0</v>
      </c>
      <c r="F142" s="299">
        <f t="shared" si="16"/>
        <v>0</v>
      </c>
      <c r="G142" s="299">
        <f t="shared" si="18"/>
        <v>0</v>
      </c>
      <c r="H142" s="298">
        <f t="shared" si="19"/>
        <v>0</v>
      </c>
      <c r="I142" s="294"/>
      <c r="O142" s="295">
        <f t="shared" si="17"/>
        <v>123</v>
      </c>
    </row>
    <row r="143" spans="1:15">
      <c r="A143" s="286"/>
      <c r="B143" s="296">
        <f t="shared" si="20"/>
        <v>124</v>
      </c>
      <c r="C143" s="297">
        <f t="shared" si="22"/>
        <v>0</v>
      </c>
      <c r="D143" s="298">
        <f t="shared" si="21"/>
        <v>0</v>
      </c>
      <c r="E143" s="299">
        <f t="shared" si="23"/>
        <v>0</v>
      </c>
      <c r="F143" s="299">
        <f t="shared" si="16"/>
        <v>0</v>
      </c>
      <c r="G143" s="299">
        <f t="shared" si="18"/>
        <v>0</v>
      </c>
      <c r="H143" s="298">
        <f t="shared" si="19"/>
        <v>0</v>
      </c>
      <c r="I143" s="294"/>
      <c r="O143" s="295">
        <f t="shared" si="17"/>
        <v>124</v>
      </c>
    </row>
    <row r="144" spans="1:15">
      <c r="A144" s="286"/>
      <c r="B144" s="296">
        <f t="shared" si="20"/>
        <v>125</v>
      </c>
      <c r="C144" s="297">
        <f t="shared" si="22"/>
        <v>0</v>
      </c>
      <c r="D144" s="298">
        <f t="shared" si="21"/>
        <v>0</v>
      </c>
      <c r="E144" s="299">
        <f t="shared" si="23"/>
        <v>0</v>
      </c>
      <c r="F144" s="299">
        <f t="shared" si="16"/>
        <v>0</v>
      </c>
      <c r="G144" s="299">
        <f t="shared" si="18"/>
        <v>0</v>
      </c>
      <c r="H144" s="298">
        <f t="shared" si="19"/>
        <v>0</v>
      </c>
      <c r="I144" s="294"/>
      <c r="O144" s="295">
        <f t="shared" si="17"/>
        <v>125</v>
      </c>
    </row>
    <row r="145" spans="1:15">
      <c r="A145" s="286"/>
      <c r="B145" s="296">
        <f t="shared" si="20"/>
        <v>126</v>
      </c>
      <c r="C145" s="297">
        <f t="shared" si="22"/>
        <v>0</v>
      </c>
      <c r="D145" s="298">
        <f t="shared" si="21"/>
        <v>0</v>
      </c>
      <c r="E145" s="299">
        <f t="shared" si="23"/>
        <v>0</v>
      </c>
      <c r="F145" s="299">
        <f t="shared" si="16"/>
        <v>0</v>
      </c>
      <c r="G145" s="299">
        <f t="shared" si="18"/>
        <v>0</v>
      </c>
      <c r="H145" s="298">
        <f t="shared" si="19"/>
        <v>0</v>
      </c>
      <c r="I145" s="294"/>
      <c r="O145" s="295">
        <f t="shared" si="17"/>
        <v>126</v>
      </c>
    </row>
    <row r="146" spans="1:15">
      <c r="A146" s="286"/>
      <c r="B146" s="296">
        <f t="shared" si="20"/>
        <v>127</v>
      </c>
      <c r="C146" s="297">
        <f t="shared" si="22"/>
        <v>0</v>
      </c>
      <c r="D146" s="298">
        <f t="shared" si="21"/>
        <v>0</v>
      </c>
      <c r="E146" s="299">
        <f t="shared" si="23"/>
        <v>0</v>
      </c>
      <c r="F146" s="299">
        <f t="shared" si="16"/>
        <v>0</v>
      </c>
      <c r="G146" s="299">
        <f t="shared" si="18"/>
        <v>0</v>
      </c>
      <c r="H146" s="298">
        <f t="shared" si="19"/>
        <v>0</v>
      </c>
      <c r="I146" s="294"/>
      <c r="O146" s="295">
        <f t="shared" si="17"/>
        <v>127</v>
      </c>
    </row>
    <row r="147" spans="1:15">
      <c r="A147" s="286"/>
      <c r="B147" s="296">
        <f t="shared" si="20"/>
        <v>128</v>
      </c>
      <c r="C147" s="297">
        <f t="shared" si="22"/>
        <v>0</v>
      </c>
      <c r="D147" s="298">
        <f t="shared" si="21"/>
        <v>0</v>
      </c>
      <c r="E147" s="299">
        <f t="shared" si="23"/>
        <v>0</v>
      </c>
      <c r="F147" s="299">
        <f t="shared" si="16"/>
        <v>0</v>
      </c>
      <c r="G147" s="299">
        <f t="shared" si="18"/>
        <v>0</v>
      </c>
      <c r="H147" s="298">
        <f t="shared" si="19"/>
        <v>0</v>
      </c>
      <c r="I147" s="294"/>
      <c r="O147" s="295">
        <f t="shared" si="17"/>
        <v>128</v>
      </c>
    </row>
    <row r="148" spans="1:15">
      <c r="A148" s="286"/>
      <c r="B148" s="296">
        <f t="shared" si="20"/>
        <v>129</v>
      </c>
      <c r="C148" s="297">
        <f t="shared" si="22"/>
        <v>0</v>
      </c>
      <c r="D148" s="298">
        <f t="shared" si="21"/>
        <v>0</v>
      </c>
      <c r="E148" s="299">
        <f t="shared" si="23"/>
        <v>0</v>
      </c>
      <c r="F148" s="299">
        <f t="shared" ref="F148:F211" si="24">E148-G148</f>
        <v>0</v>
      </c>
      <c r="G148" s="299">
        <f t="shared" si="18"/>
        <v>0</v>
      </c>
      <c r="H148" s="298">
        <f t="shared" si="19"/>
        <v>0</v>
      </c>
      <c r="I148" s="294"/>
      <c r="O148" s="295">
        <f t="shared" ref="O148:O211" si="25">IF(H148=0,B148,"n.a.")</f>
        <v>129</v>
      </c>
    </row>
    <row r="149" spans="1:15">
      <c r="A149" s="286"/>
      <c r="B149" s="296">
        <f t="shared" si="20"/>
        <v>130</v>
      </c>
      <c r="C149" s="297">
        <f t="shared" si="22"/>
        <v>0</v>
      </c>
      <c r="D149" s="298">
        <f t="shared" si="21"/>
        <v>0</v>
      </c>
      <c r="E149" s="299">
        <f t="shared" si="23"/>
        <v>0</v>
      </c>
      <c r="F149" s="299">
        <f t="shared" si="24"/>
        <v>0</v>
      </c>
      <c r="G149" s="299">
        <f t="shared" ref="G149:G212" si="26">C149*(D149/365)*30</f>
        <v>0</v>
      </c>
      <c r="H149" s="298">
        <f t="shared" ref="H149:H212" si="27">IF((D149+G149-E149)&lt;0,0,D149+G149-E149)</f>
        <v>0</v>
      </c>
      <c r="I149" s="294"/>
      <c r="O149" s="295">
        <f t="shared" si="25"/>
        <v>130</v>
      </c>
    </row>
    <row r="150" spans="1:15">
      <c r="A150" s="286"/>
      <c r="B150" s="296">
        <f t="shared" ref="B150:B213" si="28">B149+1</f>
        <v>131</v>
      </c>
      <c r="C150" s="297">
        <f t="shared" si="22"/>
        <v>0</v>
      </c>
      <c r="D150" s="298">
        <f t="shared" ref="D150:D213" si="29">H149</f>
        <v>0</v>
      </c>
      <c r="E150" s="299">
        <f t="shared" si="23"/>
        <v>0</v>
      </c>
      <c r="F150" s="299">
        <f t="shared" si="24"/>
        <v>0</v>
      </c>
      <c r="G150" s="299">
        <f t="shared" si="26"/>
        <v>0</v>
      </c>
      <c r="H150" s="298">
        <f t="shared" si="27"/>
        <v>0</v>
      </c>
      <c r="I150" s="294"/>
      <c r="O150" s="295">
        <f t="shared" si="25"/>
        <v>131</v>
      </c>
    </row>
    <row r="151" spans="1:15">
      <c r="A151" s="286"/>
      <c r="B151" s="300">
        <f t="shared" si="28"/>
        <v>132</v>
      </c>
      <c r="C151" s="301">
        <f t="shared" si="22"/>
        <v>0</v>
      </c>
      <c r="D151" s="302">
        <f t="shared" si="29"/>
        <v>0</v>
      </c>
      <c r="E151" s="303">
        <f t="shared" si="23"/>
        <v>0</v>
      </c>
      <c r="F151" s="303">
        <f t="shared" si="24"/>
        <v>0</v>
      </c>
      <c r="G151" s="303">
        <f t="shared" si="26"/>
        <v>0</v>
      </c>
      <c r="H151" s="302">
        <f t="shared" si="27"/>
        <v>0</v>
      </c>
      <c r="I151" s="304" t="e">
        <f>H151/$D$5</f>
        <v>#VALUE!</v>
      </c>
      <c r="J151" s="305"/>
      <c r="K151" s="305"/>
      <c r="L151" s="305"/>
      <c r="M151" s="305"/>
      <c r="N151" s="305"/>
      <c r="O151" s="306">
        <f t="shared" si="25"/>
        <v>132</v>
      </c>
    </row>
    <row r="152" spans="1:15">
      <c r="A152" s="286"/>
      <c r="B152" s="296">
        <f t="shared" si="28"/>
        <v>133</v>
      </c>
      <c r="C152" s="297">
        <f t="shared" si="22"/>
        <v>0</v>
      </c>
      <c r="D152" s="298">
        <f t="shared" si="29"/>
        <v>0</v>
      </c>
      <c r="E152" s="299">
        <f t="shared" si="23"/>
        <v>0</v>
      </c>
      <c r="F152" s="299">
        <f t="shared" si="24"/>
        <v>0</v>
      </c>
      <c r="G152" s="299">
        <f t="shared" si="26"/>
        <v>0</v>
      </c>
      <c r="H152" s="298">
        <f t="shared" si="27"/>
        <v>0</v>
      </c>
      <c r="I152" s="294"/>
      <c r="O152" s="295">
        <f t="shared" si="25"/>
        <v>133</v>
      </c>
    </row>
    <row r="153" spans="1:15">
      <c r="A153" s="286"/>
      <c r="B153" s="296">
        <f t="shared" si="28"/>
        <v>134</v>
      </c>
      <c r="C153" s="297">
        <f t="shared" si="22"/>
        <v>0</v>
      </c>
      <c r="D153" s="298">
        <f t="shared" si="29"/>
        <v>0</v>
      </c>
      <c r="E153" s="299">
        <f t="shared" si="23"/>
        <v>0</v>
      </c>
      <c r="F153" s="299">
        <f t="shared" si="24"/>
        <v>0</v>
      </c>
      <c r="G153" s="299">
        <f t="shared" si="26"/>
        <v>0</v>
      </c>
      <c r="H153" s="298">
        <f t="shared" si="27"/>
        <v>0</v>
      </c>
      <c r="I153" s="294"/>
      <c r="O153" s="295">
        <f t="shared" si="25"/>
        <v>134</v>
      </c>
    </row>
    <row r="154" spans="1:15">
      <c r="A154" s="286"/>
      <c r="B154" s="296">
        <f t="shared" si="28"/>
        <v>135</v>
      </c>
      <c r="C154" s="297">
        <f t="shared" si="22"/>
        <v>0</v>
      </c>
      <c r="D154" s="298">
        <f t="shared" si="29"/>
        <v>0</v>
      </c>
      <c r="E154" s="299">
        <f t="shared" si="23"/>
        <v>0</v>
      </c>
      <c r="F154" s="299">
        <f t="shared" si="24"/>
        <v>0</v>
      </c>
      <c r="G154" s="299">
        <f t="shared" si="26"/>
        <v>0</v>
      </c>
      <c r="H154" s="298">
        <f t="shared" si="27"/>
        <v>0</v>
      </c>
      <c r="I154" s="294"/>
      <c r="O154" s="295">
        <f t="shared" si="25"/>
        <v>135</v>
      </c>
    </row>
    <row r="155" spans="1:15">
      <c r="A155" s="286"/>
      <c r="B155" s="296">
        <f t="shared" si="28"/>
        <v>136</v>
      </c>
      <c r="C155" s="297">
        <f t="shared" si="22"/>
        <v>0</v>
      </c>
      <c r="D155" s="298">
        <f t="shared" si="29"/>
        <v>0</v>
      </c>
      <c r="E155" s="299">
        <f t="shared" si="23"/>
        <v>0</v>
      </c>
      <c r="F155" s="299">
        <f t="shared" si="24"/>
        <v>0</v>
      </c>
      <c r="G155" s="299">
        <f t="shared" si="26"/>
        <v>0</v>
      </c>
      <c r="H155" s="298">
        <f t="shared" si="27"/>
        <v>0</v>
      </c>
      <c r="I155" s="294"/>
      <c r="O155" s="295">
        <f t="shared" si="25"/>
        <v>136</v>
      </c>
    </row>
    <row r="156" spans="1:15">
      <c r="A156" s="286"/>
      <c r="B156" s="296">
        <f t="shared" si="28"/>
        <v>137</v>
      </c>
      <c r="C156" s="297">
        <f t="shared" si="22"/>
        <v>0</v>
      </c>
      <c r="D156" s="298">
        <f t="shared" si="29"/>
        <v>0</v>
      </c>
      <c r="E156" s="299">
        <f t="shared" si="23"/>
        <v>0</v>
      </c>
      <c r="F156" s="299">
        <f t="shared" si="24"/>
        <v>0</v>
      </c>
      <c r="G156" s="299">
        <f t="shared" si="26"/>
        <v>0</v>
      </c>
      <c r="H156" s="298">
        <f t="shared" si="27"/>
        <v>0</v>
      </c>
      <c r="I156" s="294"/>
      <c r="O156" s="295">
        <f t="shared" si="25"/>
        <v>137</v>
      </c>
    </row>
    <row r="157" spans="1:15">
      <c r="A157" s="286"/>
      <c r="B157" s="296">
        <f t="shared" si="28"/>
        <v>138</v>
      </c>
      <c r="C157" s="297">
        <f t="shared" si="22"/>
        <v>0</v>
      </c>
      <c r="D157" s="298">
        <f t="shared" si="29"/>
        <v>0</v>
      </c>
      <c r="E157" s="299">
        <f t="shared" si="23"/>
        <v>0</v>
      </c>
      <c r="F157" s="299">
        <f t="shared" si="24"/>
        <v>0</v>
      </c>
      <c r="G157" s="299">
        <f t="shared" si="26"/>
        <v>0</v>
      </c>
      <c r="H157" s="298">
        <f t="shared" si="27"/>
        <v>0</v>
      </c>
      <c r="I157" s="294"/>
      <c r="O157" s="295">
        <f t="shared" si="25"/>
        <v>138</v>
      </c>
    </row>
    <row r="158" spans="1:15">
      <c r="A158" s="286"/>
      <c r="B158" s="296">
        <f t="shared" si="28"/>
        <v>139</v>
      </c>
      <c r="C158" s="297">
        <f t="shared" si="22"/>
        <v>0</v>
      </c>
      <c r="D158" s="298">
        <f t="shared" si="29"/>
        <v>0</v>
      </c>
      <c r="E158" s="299">
        <f t="shared" si="23"/>
        <v>0</v>
      </c>
      <c r="F158" s="299">
        <f t="shared" si="24"/>
        <v>0</v>
      </c>
      <c r="G158" s="299">
        <f t="shared" si="26"/>
        <v>0</v>
      </c>
      <c r="H158" s="298">
        <f t="shared" si="27"/>
        <v>0</v>
      </c>
      <c r="I158" s="294"/>
      <c r="O158" s="295">
        <f t="shared" si="25"/>
        <v>139</v>
      </c>
    </row>
    <row r="159" spans="1:15">
      <c r="A159" s="286"/>
      <c r="B159" s="296">
        <f t="shared" si="28"/>
        <v>140</v>
      </c>
      <c r="C159" s="297">
        <f t="shared" si="22"/>
        <v>0</v>
      </c>
      <c r="D159" s="298">
        <f t="shared" si="29"/>
        <v>0</v>
      </c>
      <c r="E159" s="299">
        <f t="shared" si="23"/>
        <v>0</v>
      </c>
      <c r="F159" s="299">
        <f t="shared" si="24"/>
        <v>0</v>
      </c>
      <c r="G159" s="299">
        <f t="shared" si="26"/>
        <v>0</v>
      </c>
      <c r="H159" s="298">
        <f t="shared" si="27"/>
        <v>0</v>
      </c>
      <c r="I159" s="294"/>
      <c r="O159" s="295">
        <f t="shared" si="25"/>
        <v>140</v>
      </c>
    </row>
    <row r="160" spans="1:15">
      <c r="A160" s="286"/>
      <c r="B160" s="296">
        <f t="shared" si="28"/>
        <v>141</v>
      </c>
      <c r="C160" s="297">
        <f t="shared" si="22"/>
        <v>0</v>
      </c>
      <c r="D160" s="298">
        <f t="shared" si="29"/>
        <v>0</v>
      </c>
      <c r="E160" s="299">
        <f t="shared" si="23"/>
        <v>0</v>
      </c>
      <c r="F160" s="299">
        <f t="shared" si="24"/>
        <v>0</v>
      </c>
      <c r="G160" s="299">
        <f t="shared" si="26"/>
        <v>0</v>
      </c>
      <c r="H160" s="298">
        <f t="shared" si="27"/>
        <v>0</v>
      </c>
      <c r="I160" s="294"/>
      <c r="O160" s="295">
        <f t="shared" si="25"/>
        <v>141</v>
      </c>
    </row>
    <row r="161" spans="1:15">
      <c r="A161" s="286"/>
      <c r="B161" s="296">
        <f t="shared" si="28"/>
        <v>142</v>
      </c>
      <c r="C161" s="297">
        <f t="shared" si="22"/>
        <v>0</v>
      </c>
      <c r="D161" s="298">
        <f t="shared" si="29"/>
        <v>0</v>
      </c>
      <c r="E161" s="299">
        <f t="shared" si="23"/>
        <v>0</v>
      </c>
      <c r="F161" s="299">
        <f t="shared" si="24"/>
        <v>0</v>
      </c>
      <c r="G161" s="299">
        <f t="shared" si="26"/>
        <v>0</v>
      </c>
      <c r="H161" s="298">
        <f t="shared" si="27"/>
        <v>0</v>
      </c>
      <c r="I161" s="294"/>
      <c r="O161" s="295">
        <f t="shared" si="25"/>
        <v>142</v>
      </c>
    </row>
    <row r="162" spans="1:15">
      <c r="A162" s="286"/>
      <c r="B162" s="296">
        <f t="shared" si="28"/>
        <v>143</v>
      </c>
      <c r="C162" s="297">
        <f t="shared" si="22"/>
        <v>0</v>
      </c>
      <c r="D162" s="298">
        <f t="shared" si="29"/>
        <v>0</v>
      </c>
      <c r="E162" s="299">
        <f t="shared" si="23"/>
        <v>0</v>
      </c>
      <c r="F162" s="299">
        <f t="shared" si="24"/>
        <v>0</v>
      </c>
      <c r="G162" s="299">
        <f t="shared" si="26"/>
        <v>0</v>
      </c>
      <c r="H162" s="298">
        <f t="shared" si="27"/>
        <v>0</v>
      </c>
      <c r="I162" s="294"/>
      <c r="O162" s="295">
        <f t="shared" si="25"/>
        <v>143</v>
      </c>
    </row>
    <row r="163" spans="1:15">
      <c r="A163" s="286"/>
      <c r="B163" s="300">
        <f t="shared" si="28"/>
        <v>144</v>
      </c>
      <c r="C163" s="301">
        <f t="shared" si="22"/>
        <v>0</v>
      </c>
      <c r="D163" s="302">
        <f t="shared" si="29"/>
        <v>0</v>
      </c>
      <c r="E163" s="303">
        <f t="shared" si="23"/>
        <v>0</v>
      </c>
      <c r="F163" s="303">
        <f t="shared" si="24"/>
        <v>0</v>
      </c>
      <c r="G163" s="303">
        <f t="shared" si="26"/>
        <v>0</v>
      </c>
      <c r="H163" s="302">
        <f t="shared" si="27"/>
        <v>0</v>
      </c>
      <c r="I163" s="304" t="e">
        <f>H163/$D$5</f>
        <v>#VALUE!</v>
      </c>
      <c r="J163" s="305"/>
      <c r="K163" s="305"/>
      <c r="L163" s="305"/>
      <c r="M163" s="305"/>
      <c r="N163" s="305"/>
      <c r="O163" s="306">
        <f t="shared" si="25"/>
        <v>144</v>
      </c>
    </row>
    <row r="164" spans="1:15">
      <c r="A164" s="286"/>
      <c r="B164" s="296">
        <f t="shared" si="28"/>
        <v>145</v>
      </c>
      <c r="C164" s="297">
        <f t="shared" si="22"/>
        <v>0</v>
      </c>
      <c r="D164" s="298">
        <f t="shared" si="29"/>
        <v>0</v>
      </c>
      <c r="E164" s="299">
        <f t="shared" si="23"/>
        <v>0</v>
      </c>
      <c r="F164" s="299">
        <f t="shared" si="24"/>
        <v>0</v>
      </c>
      <c r="G164" s="299">
        <f t="shared" si="26"/>
        <v>0</v>
      </c>
      <c r="H164" s="298">
        <f t="shared" si="27"/>
        <v>0</v>
      </c>
      <c r="I164" s="294"/>
      <c r="O164" s="295">
        <f t="shared" si="25"/>
        <v>145</v>
      </c>
    </row>
    <row r="165" spans="1:15">
      <c r="A165" s="286"/>
      <c r="B165" s="296">
        <f t="shared" si="28"/>
        <v>146</v>
      </c>
      <c r="C165" s="297">
        <f t="shared" si="22"/>
        <v>0</v>
      </c>
      <c r="D165" s="298">
        <f t="shared" si="29"/>
        <v>0</v>
      </c>
      <c r="E165" s="299">
        <f t="shared" si="23"/>
        <v>0</v>
      </c>
      <c r="F165" s="299">
        <f t="shared" si="24"/>
        <v>0</v>
      </c>
      <c r="G165" s="299">
        <f t="shared" si="26"/>
        <v>0</v>
      </c>
      <c r="H165" s="298">
        <f t="shared" si="27"/>
        <v>0</v>
      </c>
      <c r="I165" s="294"/>
      <c r="O165" s="295">
        <f t="shared" si="25"/>
        <v>146</v>
      </c>
    </row>
    <row r="166" spans="1:15">
      <c r="A166" s="286"/>
      <c r="B166" s="296">
        <f t="shared" si="28"/>
        <v>147</v>
      </c>
      <c r="C166" s="297">
        <f t="shared" si="22"/>
        <v>0</v>
      </c>
      <c r="D166" s="298">
        <f t="shared" si="29"/>
        <v>0</v>
      </c>
      <c r="E166" s="299">
        <f t="shared" si="23"/>
        <v>0</v>
      </c>
      <c r="F166" s="299">
        <f t="shared" si="24"/>
        <v>0</v>
      </c>
      <c r="G166" s="299">
        <f t="shared" si="26"/>
        <v>0</v>
      </c>
      <c r="H166" s="298">
        <f t="shared" si="27"/>
        <v>0</v>
      </c>
      <c r="I166" s="294"/>
      <c r="O166" s="295">
        <f t="shared" si="25"/>
        <v>147</v>
      </c>
    </row>
    <row r="167" spans="1:15">
      <c r="A167" s="286"/>
      <c r="B167" s="296">
        <f t="shared" si="28"/>
        <v>148</v>
      </c>
      <c r="C167" s="297">
        <f t="shared" si="22"/>
        <v>0</v>
      </c>
      <c r="D167" s="298">
        <f t="shared" si="29"/>
        <v>0</v>
      </c>
      <c r="E167" s="299">
        <f t="shared" si="23"/>
        <v>0</v>
      </c>
      <c r="F167" s="299">
        <f t="shared" si="24"/>
        <v>0</v>
      </c>
      <c r="G167" s="299">
        <f t="shared" si="26"/>
        <v>0</v>
      </c>
      <c r="H167" s="298">
        <f t="shared" si="27"/>
        <v>0</v>
      </c>
      <c r="I167" s="294"/>
      <c r="O167" s="295">
        <f t="shared" si="25"/>
        <v>148</v>
      </c>
    </row>
    <row r="168" spans="1:15">
      <c r="A168" s="286"/>
      <c r="B168" s="296">
        <f t="shared" si="28"/>
        <v>149</v>
      </c>
      <c r="C168" s="297">
        <f t="shared" si="22"/>
        <v>0</v>
      </c>
      <c r="D168" s="298">
        <f t="shared" si="29"/>
        <v>0</v>
      </c>
      <c r="E168" s="299">
        <f t="shared" si="23"/>
        <v>0</v>
      </c>
      <c r="F168" s="299">
        <f t="shared" si="24"/>
        <v>0</v>
      </c>
      <c r="G168" s="299">
        <f t="shared" si="26"/>
        <v>0</v>
      </c>
      <c r="H168" s="298">
        <f t="shared" si="27"/>
        <v>0</v>
      </c>
      <c r="I168" s="294"/>
      <c r="O168" s="295">
        <f t="shared" si="25"/>
        <v>149</v>
      </c>
    </row>
    <row r="169" spans="1:15">
      <c r="A169" s="286"/>
      <c r="B169" s="296">
        <f t="shared" si="28"/>
        <v>150</v>
      </c>
      <c r="C169" s="297">
        <f t="shared" si="22"/>
        <v>0</v>
      </c>
      <c r="D169" s="298">
        <f t="shared" si="29"/>
        <v>0</v>
      </c>
      <c r="E169" s="299">
        <f t="shared" si="23"/>
        <v>0</v>
      </c>
      <c r="F169" s="299">
        <f t="shared" si="24"/>
        <v>0</v>
      </c>
      <c r="G169" s="299">
        <f t="shared" si="26"/>
        <v>0</v>
      </c>
      <c r="H169" s="298">
        <f t="shared" si="27"/>
        <v>0</v>
      </c>
      <c r="I169" s="294"/>
      <c r="O169" s="295">
        <f t="shared" si="25"/>
        <v>150</v>
      </c>
    </row>
    <row r="170" spans="1:15">
      <c r="A170" s="286"/>
      <c r="B170" s="296">
        <f t="shared" si="28"/>
        <v>151</v>
      </c>
      <c r="C170" s="297">
        <f t="shared" si="22"/>
        <v>0</v>
      </c>
      <c r="D170" s="298">
        <f t="shared" si="29"/>
        <v>0</v>
      </c>
      <c r="E170" s="299">
        <f t="shared" si="23"/>
        <v>0</v>
      </c>
      <c r="F170" s="299">
        <f t="shared" si="24"/>
        <v>0</v>
      </c>
      <c r="G170" s="299">
        <f t="shared" si="26"/>
        <v>0</v>
      </c>
      <c r="H170" s="298">
        <f t="shared" si="27"/>
        <v>0</v>
      </c>
      <c r="I170" s="294"/>
      <c r="O170" s="295">
        <f t="shared" si="25"/>
        <v>151</v>
      </c>
    </row>
    <row r="171" spans="1:15">
      <c r="A171" s="286"/>
      <c r="B171" s="296">
        <f t="shared" si="28"/>
        <v>152</v>
      </c>
      <c r="C171" s="297">
        <f t="shared" si="22"/>
        <v>0</v>
      </c>
      <c r="D171" s="298">
        <f t="shared" si="29"/>
        <v>0</v>
      </c>
      <c r="E171" s="299">
        <f t="shared" si="23"/>
        <v>0</v>
      </c>
      <c r="F171" s="299">
        <f t="shared" si="24"/>
        <v>0</v>
      </c>
      <c r="G171" s="299">
        <f t="shared" si="26"/>
        <v>0</v>
      </c>
      <c r="H171" s="298">
        <f t="shared" si="27"/>
        <v>0</v>
      </c>
      <c r="I171" s="294"/>
      <c r="O171" s="295">
        <f t="shared" si="25"/>
        <v>152</v>
      </c>
    </row>
    <row r="172" spans="1:15">
      <c r="A172" s="286"/>
      <c r="B172" s="296">
        <f t="shared" si="28"/>
        <v>153</v>
      </c>
      <c r="C172" s="297">
        <f t="shared" si="22"/>
        <v>0</v>
      </c>
      <c r="D172" s="298">
        <f t="shared" si="29"/>
        <v>0</v>
      </c>
      <c r="E172" s="299">
        <f t="shared" si="23"/>
        <v>0</v>
      </c>
      <c r="F172" s="299">
        <f t="shared" si="24"/>
        <v>0</v>
      </c>
      <c r="G172" s="299">
        <f t="shared" si="26"/>
        <v>0</v>
      </c>
      <c r="H172" s="298">
        <f t="shared" si="27"/>
        <v>0</v>
      </c>
      <c r="I172" s="294"/>
      <c r="O172" s="295">
        <f t="shared" si="25"/>
        <v>153</v>
      </c>
    </row>
    <row r="173" spans="1:15">
      <c r="A173" s="286"/>
      <c r="B173" s="296">
        <f t="shared" si="28"/>
        <v>154</v>
      </c>
      <c r="C173" s="297">
        <f t="shared" si="22"/>
        <v>0</v>
      </c>
      <c r="D173" s="298">
        <f t="shared" si="29"/>
        <v>0</v>
      </c>
      <c r="E173" s="299">
        <f t="shared" si="23"/>
        <v>0</v>
      </c>
      <c r="F173" s="299">
        <f t="shared" si="24"/>
        <v>0</v>
      </c>
      <c r="G173" s="299">
        <f t="shared" si="26"/>
        <v>0</v>
      </c>
      <c r="H173" s="298">
        <f t="shared" si="27"/>
        <v>0</v>
      </c>
      <c r="I173" s="294"/>
      <c r="O173" s="295">
        <f t="shared" si="25"/>
        <v>154</v>
      </c>
    </row>
    <row r="174" spans="1:15">
      <c r="A174" s="286"/>
      <c r="B174" s="296">
        <f t="shared" si="28"/>
        <v>155</v>
      </c>
      <c r="C174" s="297">
        <f t="shared" si="22"/>
        <v>0</v>
      </c>
      <c r="D174" s="298">
        <f t="shared" si="29"/>
        <v>0</v>
      </c>
      <c r="E174" s="299">
        <f t="shared" si="23"/>
        <v>0</v>
      </c>
      <c r="F174" s="299">
        <f t="shared" si="24"/>
        <v>0</v>
      </c>
      <c r="G174" s="299">
        <f t="shared" si="26"/>
        <v>0</v>
      </c>
      <c r="H174" s="298">
        <f t="shared" si="27"/>
        <v>0</v>
      </c>
      <c r="I174" s="294"/>
      <c r="O174" s="295">
        <f t="shared" si="25"/>
        <v>155</v>
      </c>
    </row>
    <row r="175" spans="1:15">
      <c r="A175" s="286"/>
      <c r="B175" s="300">
        <f t="shared" si="28"/>
        <v>156</v>
      </c>
      <c r="C175" s="301">
        <f t="shared" si="22"/>
        <v>0</v>
      </c>
      <c r="D175" s="302">
        <f t="shared" si="29"/>
        <v>0</v>
      </c>
      <c r="E175" s="303">
        <f t="shared" si="23"/>
        <v>0</v>
      </c>
      <c r="F175" s="303">
        <f t="shared" si="24"/>
        <v>0</v>
      </c>
      <c r="G175" s="303">
        <f t="shared" si="26"/>
        <v>0</v>
      </c>
      <c r="H175" s="302">
        <f t="shared" si="27"/>
        <v>0</v>
      </c>
      <c r="I175" s="304" t="e">
        <f>H175/$D$5</f>
        <v>#VALUE!</v>
      </c>
      <c r="J175" s="305"/>
      <c r="K175" s="305"/>
      <c r="L175" s="305"/>
      <c r="M175" s="305"/>
      <c r="N175" s="305"/>
      <c r="O175" s="306">
        <f t="shared" si="25"/>
        <v>156</v>
      </c>
    </row>
    <row r="176" spans="1:15">
      <c r="A176" s="286"/>
      <c r="B176" s="296">
        <f t="shared" si="28"/>
        <v>157</v>
      </c>
      <c r="C176" s="297">
        <f t="shared" si="22"/>
        <v>0</v>
      </c>
      <c r="D176" s="298">
        <f t="shared" si="29"/>
        <v>0</v>
      </c>
      <c r="E176" s="299">
        <f t="shared" si="23"/>
        <v>0</v>
      </c>
      <c r="F176" s="299">
        <f t="shared" si="24"/>
        <v>0</v>
      </c>
      <c r="G176" s="299">
        <f t="shared" si="26"/>
        <v>0</v>
      </c>
      <c r="H176" s="298">
        <f t="shared" si="27"/>
        <v>0</v>
      </c>
      <c r="I176" s="294"/>
      <c r="O176" s="295">
        <f t="shared" si="25"/>
        <v>157</v>
      </c>
    </row>
    <row r="177" spans="1:15">
      <c r="A177" s="286"/>
      <c r="B177" s="296">
        <f t="shared" si="28"/>
        <v>158</v>
      </c>
      <c r="C177" s="297">
        <f t="shared" si="22"/>
        <v>0</v>
      </c>
      <c r="D177" s="298">
        <f t="shared" si="29"/>
        <v>0</v>
      </c>
      <c r="E177" s="299">
        <f t="shared" si="23"/>
        <v>0</v>
      </c>
      <c r="F177" s="299">
        <f t="shared" si="24"/>
        <v>0</v>
      </c>
      <c r="G177" s="299">
        <f t="shared" si="26"/>
        <v>0</v>
      </c>
      <c r="H177" s="298">
        <f t="shared" si="27"/>
        <v>0</v>
      </c>
      <c r="I177" s="294"/>
      <c r="O177" s="295">
        <f t="shared" si="25"/>
        <v>158</v>
      </c>
    </row>
    <row r="178" spans="1:15">
      <c r="A178" s="286"/>
      <c r="B178" s="296">
        <f t="shared" si="28"/>
        <v>159</v>
      </c>
      <c r="C178" s="297">
        <f t="shared" si="22"/>
        <v>0</v>
      </c>
      <c r="D178" s="298">
        <f t="shared" si="29"/>
        <v>0</v>
      </c>
      <c r="E178" s="299">
        <f t="shared" si="23"/>
        <v>0</v>
      </c>
      <c r="F178" s="299">
        <f t="shared" si="24"/>
        <v>0</v>
      </c>
      <c r="G178" s="299">
        <f t="shared" si="26"/>
        <v>0</v>
      </c>
      <c r="H178" s="298">
        <f t="shared" si="27"/>
        <v>0</v>
      </c>
      <c r="I178" s="294"/>
      <c r="O178" s="295">
        <f t="shared" si="25"/>
        <v>159</v>
      </c>
    </row>
    <row r="179" spans="1:15">
      <c r="A179" s="286"/>
      <c r="B179" s="296">
        <f t="shared" si="28"/>
        <v>160</v>
      </c>
      <c r="C179" s="297">
        <f t="shared" si="22"/>
        <v>0</v>
      </c>
      <c r="D179" s="298">
        <f t="shared" si="29"/>
        <v>0</v>
      </c>
      <c r="E179" s="299">
        <f t="shared" si="23"/>
        <v>0</v>
      </c>
      <c r="F179" s="299">
        <f t="shared" si="24"/>
        <v>0</v>
      </c>
      <c r="G179" s="299">
        <f t="shared" si="26"/>
        <v>0</v>
      </c>
      <c r="H179" s="298">
        <f t="shared" si="27"/>
        <v>0</v>
      </c>
      <c r="I179" s="294"/>
      <c r="O179" s="295">
        <f t="shared" si="25"/>
        <v>160</v>
      </c>
    </row>
    <row r="180" spans="1:15">
      <c r="A180" s="286"/>
      <c r="B180" s="296">
        <f t="shared" si="28"/>
        <v>161</v>
      </c>
      <c r="C180" s="297">
        <f t="shared" si="22"/>
        <v>0</v>
      </c>
      <c r="D180" s="298">
        <f t="shared" si="29"/>
        <v>0</v>
      </c>
      <c r="E180" s="299">
        <f t="shared" si="23"/>
        <v>0</v>
      </c>
      <c r="F180" s="299">
        <f t="shared" si="24"/>
        <v>0</v>
      </c>
      <c r="G180" s="299">
        <f t="shared" si="26"/>
        <v>0</v>
      </c>
      <c r="H180" s="298">
        <f t="shared" si="27"/>
        <v>0</v>
      </c>
      <c r="I180" s="294"/>
      <c r="O180" s="295">
        <f t="shared" si="25"/>
        <v>161</v>
      </c>
    </row>
    <row r="181" spans="1:15">
      <c r="A181" s="286"/>
      <c r="B181" s="296">
        <f t="shared" si="28"/>
        <v>162</v>
      </c>
      <c r="C181" s="297">
        <f t="shared" si="22"/>
        <v>0</v>
      </c>
      <c r="D181" s="298">
        <f t="shared" si="29"/>
        <v>0</v>
      </c>
      <c r="E181" s="299">
        <f t="shared" si="23"/>
        <v>0</v>
      </c>
      <c r="F181" s="299">
        <f t="shared" si="24"/>
        <v>0</v>
      </c>
      <c r="G181" s="299">
        <f t="shared" si="26"/>
        <v>0</v>
      </c>
      <c r="H181" s="298">
        <f t="shared" si="27"/>
        <v>0</v>
      </c>
      <c r="I181" s="294"/>
      <c r="O181" s="295">
        <f t="shared" si="25"/>
        <v>162</v>
      </c>
    </row>
    <row r="182" spans="1:15">
      <c r="A182" s="286"/>
      <c r="B182" s="296">
        <f t="shared" si="28"/>
        <v>163</v>
      </c>
      <c r="C182" s="297">
        <f t="shared" si="22"/>
        <v>0</v>
      </c>
      <c r="D182" s="298">
        <f t="shared" si="29"/>
        <v>0</v>
      </c>
      <c r="E182" s="299">
        <f t="shared" si="23"/>
        <v>0</v>
      </c>
      <c r="F182" s="299">
        <f t="shared" si="24"/>
        <v>0</v>
      </c>
      <c r="G182" s="299">
        <f t="shared" si="26"/>
        <v>0</v>
      </c>
      <c r="H182" s="298">
        <f t="shared" si="27"/>
        <v>0</v>
      </c>
      <c r="I182" s="294"/>
      <c r="O182" s="295">
        <f t="shared" si="25"/>
        <v>163</v>
      </c>
    </row>
    <row r="183" spans="1:15">
      <c r="A183" s="286"/>
      <c r="B183" s="296">
        <f t="shared" si="28"/>
        <v>164</v>
      </c>
      <c r="C183" s="297">
        <f t="shared" si="22"/>
        <v>0</v>
      </c>
      <c r="D183" s="298">
        <f t="shared" si="29"/>
        <v>0</v>
      </c>
      <c r="E183" s="299">
        <f t="shared" si="23"/>
        <v>0</v>
      </c>
      <c r="F183" s="299">
        <f t="shared" si="24"/>
        <v>0</v>
      </c>
      <c r="G183" s="299">
        <f t="shared" si="26"/>
        <v>0</v>
      </c>
      <c r="H183" s="298">
        <f t="shared" si="27"/>
        <v>0</v>
      </c>
      <c r="I183" s="294"/>
      <c r="O183" s="295">
        <f t="shared" si="25"/>
        <v>164</v>
      </c>
    </row>
    <row r="184" spans="1:15">
      <c r="A184" s="286"/>
      <c r="B184" s="296">
        <f t="shared" si="28"/>
        <v>165</v>
      </c>
      <c r="C184" s="297">
        <f t="shared" ref="C184:C247" si="30">IF(D184&gt;0,$F$7,0)</f>
        <v>0</v>
      </c>
      <c r="D184" s="298">
        <f t="shared" si="29"/>
        <v>0</v>
      </c>
      <c r="E184" s="299">
        <f t="shared" si="23"/>
        <v>0</v>
      </c>
      <c r="F184" s="299">
        <f t="shared" si="24"/>
        <v>0</v>
      </c>
      <c r="G184" s="299">
        <f t="shared" si="26"/>
        <v>0</v>
      </c>
      <c r="H184" s="298">
        <f t="shared" si="27"/>
        <v>0</v>
      </c>
      <c r="I184" s="294"/>
      <c r="O184" s="295">
        <f t="shared" si="25"/>
        <v>165</v>
      </c>
    </row>
    <row r="185" spans="1:15">
      <c r="A185" s="286"/>
      <c r="B185" s="296">
        <f t="shared" si="28"/>
        <v>166</v>
      </c>
      <c r="C185" s="297">
        <f t="shared" si="30"/>
        <v>0</v>
      </c>
      <c r="D185" s="298">
        <f t="shared" si="29"/>
        <v>0</v>
      </c>
      <c r="E185" s="299">
        <f t="shared" si="23"/>
        <v>0</v>
      </c>
      <c r="F185" s="299">
        <f t="shared" si="24"/>
        <v>0</v>
      </c>
      <c r="G185" s="299">
        <f t="shared" si="26"/>
        <v>0</v>
      </c>
      <c r="H185" s="298">
        <f t="shared" si="27"/>
        <v>0</v>
      </c>
      <c r="I185" s="294"/>
      <c r="O185" s="295">
        <f t="shared" si="25"/>
        <v>166</v>
      </c>
    </row>
    <row r="186" spans="1:15">
      <c r="A186" s="286"/>
      <c r="B186" s="296">
        <f t="shared" si="28"/>
        <v>167</v>
      </c>
      <c r="C186" s="297">
        <f t="shared" si="30"/>
        <v>0</v>
      </c>
      <c r="D186" s="298">
        <f t="shared" si="29"/>
        <v>0</v>
      </c>
      <c r="E186" s="299">
        <f t="shared" si="23"/>
        <v>0</v>
      </c>
      <c r="F186" s="299">
        <f t="shared" si="24"/>
        <v>0</v>
      </c>
      <c r="G186" s="299">
        <f t="shared" si="26"/>
        <v>0</v>
      </c>
      <c r="H186" s="298">
        <f t="shared" si="27"/>
        <v>0</v>
      </c>
      <c r="I186" s="294"/>
      <c r="O186" s="295">
        <f t="shared" si="25"/>
        <v>167</v>
      </c>
    </row>
    <row r="187" spans="1:15">
      <c r="A187" s="286"/>
      <c r="B187" s="300">
        <f t="shared" si="28"/>
        <v>168</v>
      </c>
      <c r="C187" s="301">
        <f t="shared" si="30"/>
        <v>0</v>
      </c>
      <c r="D187" s="302">
        <f t="shared" si="29"/>
        <v>0</v>
      </c>
      <c r="E187" s="303">
        <f t="shared" si="23"/>
        <v>0</v>
      </c>
      <c r="F187" s="303">
        <f t="shared" si="24"/>
        <v>0</v>
      </c>
      <c r="G187" s="303">
        <f t="shared" si="26"/>
        <v>0</v>
      </c>
      <c r="H187" s="302">
        <f t="shared" si="27"/>
        <v>0</v>
      </c>
      <c r="I187" s="304" t="e">
        <f>H187/$D$5</f>
        <v>#VALUE!</v>
      </c>
      <c r="J187" s="305"/>
      <c r="K187" s="305"/>
      <c r="L187" s="305"/>
      <c r="M187" s="305"/>
      <c r="N187" s="305"/>
      <c r="O187" s="306">
        <f t="shared" si="25"/>
        <v>168</v>
      </c>
    </row>
    <row r="188" spans="1:15">
      <c r="A188" s="286"/>
      <c r="B188" s="296">
        <f t="shared" si="28"/>
        <v>169</v>
      </c>
      <c r="C188" s="297">
        <f t="shared" si="30"/>
        <v>0</v>
      </c>
      <c r="D188" s="298">
        <f t="shared" si="29"/>
        <v>0</v>
      </c>
      <c r="E188" s="299">
        <f t="shared" si="23"/>
        <v>0</v>
      </c>
      <c r="F188" s="299">
        <f t="shared" si="24"/>
        <v>0</v>
      </c>
      <c r="G188" s="299">
        <f t="shared" si="26"/>
        <v>0</v>
      </c>
      <c r="H188" s="298">
        <f t="shared" si="27"/>
        <v>0</v>
      </c>
      <c r="I188" s="294"/>
      <c r="O188" s="295">
        <f t="shared" si="25"/>
        <v>169</v>
      </c>
    </row>
    <row r="189" spans="1:15">
      <c r="A189" s="286"/>
      <c r="B189" s="296">
        <f t="shared" si="28"/>
        <v>170</v>
      </c>
      <c r="C189" s="297">
        <f t="shared" si="30"/>
        <v>0</v>
      </c>
      <c r="D189" s="298">
        <f t="shared" si="29"/>
        <v>0</v>
      </c>
      <c r="E189" s="299">
        <f t="shared" si="23"/>
        <v>0</v>
      </c>
      <c r="F189" s="299">
        <f t="shared" si="24"/>
        <v>0</v>
      </c>
      <c r="G189" s="299">
        <f t="shared" si="26"/>
        <v>0</v>
      </c>
      <c r="H189" s="298">
        <f t="shared" si="27"/>
        <v>0</v>
      </c>
      <c r="I189" s="294"/>
      <c r="O189" s="295">
        <f t="shared" si="25"/>
        <v>170</v>
      </c>
    </row>
    <row r="190" spans="1:15">
      <c r="A190" s="286"/>
      <c r="B190" s="296">
        <f t="shared" si="28"/>
        <v>171</v>
      </c>
      <c r="C190" s="297">
        <f t="shared" si="30"/>
        <v>0</v>
      </c>
      <c r="D190" s="298">
        <f t="shared" si="29"/>
        <v>0</v>
      </c>
      <c r="E190" s="299">
        <f t="shared" si="23"/>
        <v>0</v>
      </c>
      <c r="F190" s="299">
        <f t="shared" si="24"/>
        <v>0</v>
      </c>
      <c r="G190" s="299">
        <f t="shared" si="26"/>
        <v>0</v>
      </c>
      <c r="H190" s="298">
        <f t="shared" si="27"/>
        <v>0</v>
      </c>
      <c r="I190" s="294"/>
      <c r="O190" s="295">
        <f t="shared" si="25"/>
        <v>171</v>
      </c>
    </row>
    <row r="191" spans="1:15">
      <c r="A191" s="286"/>
      <c r="B191" s="296">
        <f t="shared" si="28"/>
        <v>172</v>
      </c>
      <c r="C191" s="297">
        <f t="shared" si="30"/>
        <v>0</v>
      </c>
      <c r="D191" s="298">
        <f t="shared" si="29"/>
        <v>0</v>
      </c>
      <c r="E191" s="299">
        <f t="shared" si="23"/>
        <v>0</v>
      </c>
      <c r="F191" s="299">
        <f t="shared" si="24"/>
        <v>0</v>
      </c>
      <c r="G191" s="299">
        <f t="shared" si="26"/>
        <v>0</v>
      </c>
      <c r="H191" s="298">
        <f t="shared" si="27"/>
        <v>0</v>
      </c>
      <c r="I191" s="294"/>
      <c r="O191" s="295">
        <f t="shared" si="25"/>
        <v>172</v>
      </c>
    </row>
    <row r="192" spans="1:15">
      <c r="A192" s="286"/>
      <c r="B192" s="296">
        <f t="shared" si="28"/>
        <v>173</v>
      </c>
      <c r="C192" s="297">
        <f t="shared" si="30"/>
        <v>0</v>
      </c>
      <c r="D192" s="298">
        <f t="shared" si="29"/>
        <v>0</v>
      </c>
      <c r="E192" s="299">
        <f t="shared" si="23"/>
        <v>0</v>
      </c>
      <c r="F192" s="299">
        <f t="shared" si="24"/>
        <v>0</v>
      </c>
      <c r="G192" s="299">
        <f t="shared" si="26"/>
        <v>0</v>
      </c>
      <c r="H192" s="298">
        <f t="shared" si="27"/>
        <v>0</v>
      </c>
      <c r="I192" s="294"/>
      <c r="O192" s="295">
        <f t="shared" si="25"/>
        <v>173</v>
      </c>
    </row>
    <row r="193" spans="1:15">
      <c r="A193" s="286"/>
      <c r="B193" s="296">
        <f t="shared" si="28"/>
        <v>174</v>
      </c>
      <c r="C193" s="297">
        <f t="shared" si="30"/>
        <v>0</v>
      </c>
      <c r="D193" s="298">
        <f t="shared" si="29"/>
        <v>0</v>
      </c>
      <c r="E193" s="299">
        <f t="shared" si="23"/>
        <v>0</v>
      </c>
      <c r="F193" s="299">
        <f t="shared" si="24"/>
        <v>0</v>
      </c>
      <c r="G193" s="299">
        <f t="shared" si="26"/>
        <v>0</v>
      </c>
      <c r="H193" s="298">
        <f t="shared" si="27"/>
        <v>0</v>
      </c>
      <c r="I193" s="294"/>
      <c r="O193" s="295">
        <f t="shared" si="25"/>
        <v>174</v>
      </c>
    </row>
    <row r="194" spans="1:15">
      <c r="A194" s="286"/>
      <c r="B194" s="296">
        <f t="shared" si="28"/>
        <v>175</v>
      </c>
      <c r="C194" s="297">
        <f t="shared" si="30"/>
        <v>0</v>
      </c>
      <c r="D194" s="298">
        <f t="shared" si="29"/>
        <v>0</v>
      </c>
      <c r="E194" s="299">
        <f t="shared" si="23"/>
        <v>0</v>
      </c>
      <c r="F194" s="299">
        <f t="shared" si="24"/>
        <v>0</v>
      </c>
      <c r="G194" s="299">
        <f t="shared" si="26"/>
        <v>0</v>
      </c>
      <c r="H194" s="298">
        <f t="shared" si="27"/>
        <v>0</v>
      </c>
      <c r="I194" s="294"/>
      <c r="O194" s="295">
        <f t="shared" si="25"/>
        <v>175</v>
      </c>
    </row>
    <row r="195" spans="1:15">
      <c r="A195" s="286"/>
      <c r="B195" s="296">
        <f t="shared" si="28"/>
        <v>176</v>
      </c>
      <c r="C195" s="297">
        <f t="shared" si="30"/>
        <v>0</v>
      </c>
      <c r="D195" s="298">
        <f t="shared" si="29"/>
        <v>0</v>
      </c>
      <c r="E195" s="299">
        <f t="shared" si="23"/>
        <v>0</v>
      </c>
      <c r="F195" s="299">
        <f t="shared" si="24"/>
        <v>0</v>
      </c>
      <c r="G195" s="299">
        <f t="shared" si="26"/>
        <v>0</v>
      </c>
      <c r="H195" s="298">
        <f t="shared" si="27"/>
        <v>0</v>
      </c>
      <c r="I195" s="294"/>
      <c r="O195" s="295">
        <f t="shared" si="25"/>
        <v>176</v>
      </c>
    </row>
    <row r="196" spans="1:15">
      <c r="A196" s="286"/>
      <c r="B196" s="296">
        <f t="shared" si="28"/>
        <v>177</v>
      </c>
      <c r="C196" s="297">
        <f t="shared" si="30"/>
        <v>0</v>
      </c>
      <c r="D196" s="298">
        <f t="shared" si="29"/>
        <v>0</v>
      </c>
      <c r="E196" s="299">
        <f t="shared" ref="E196:E259" si="31">IF(H195&lt;=E195,H195+G196,$H$10)</f>
        <v>0</v>
      </c>
      <c r="F196" s="299">
        <f t="shared" si="24"/>
        <v>0</v>
      </c>
      <c r="G196" s="299">
        <f t="shared" si="26"/>
        <v>0</v>
      </c>
      <c r="H196" s="298">
        <f t="shared" si="27"/>
        <v>0</v>
      </c>
      <c r="I196" s="294"/>
      <c r="O196" s="295">
        <f t="shared" si="25"/>
        <v>177</v>
      </c>
    </row>
    <row r="197" spans="1:15">
      <c r="A197" s="286"/>
      <c r="B197" s="296">
        <f t="shared" si="28"/>
        <v>178</v>
      </c>
      <c r="C197" s="297">
        <f t="shared" si="30"/>
        <v>0</v>
      </c>
      <c r="D197" s="298">
        <f t="shared" si="29"/>
        <v>0</v>
      </c>
      <c r="E197" s="299">
        <f t="shared" si="31"/>
        <v>0</v>
      </c>
      <c r="F197" s="299">
        <f t="shared" si="24"/>
        <v>0</v>
      </c>
      <c r="G197" s="299">
        <f t="shared" si="26"/>
        <v>0</v>
      </c>
      <c r="H197" s="298">
        <f t="shared" si="27"/>
        <v>0</v>
      </c>
      <c r="I197" s="294"/>
      <c r="O197" s="295">
        <f t="shared" si="25"/>
        <v>178</v>
      </c>
    </row>
    <row r="198" spans="1:15">
      <c r="A198" s="286"/>
      <c r="B198" s="296">
        <f t="shared" si="28"/>
        <v>179</v>
      </c>
      <c r="C198" s="297">
        <f t="shared" si="30"/>
        <v>0</v>
      </c>
      <c r="D198" s="298">
        <f t="shared" si="29"/>
        <v>0</v>
      </c>
      <c r="E198" s="299">
        <f t="shared" si="31"/>
        <v>0</v>
      </c>
      <c r="F198" s="299">
        <f t="shared" si="24"/>
        <v>0</v>
      </c>
      <c r="G198" s="299">
        <f t="shared" si="26"/>
        <v>0</v>
      </c>
      <c r="H198" s="298">
        <f t="shared" si="27"/>
        <v>0</v>
      </c>
      <c r="I198" s="294"/>
      <c r="O198" s="295">
        <f t="shared" si="25"/>
        <v>179</v>
      </c>
    </row>
    <row r="199" spans="1:15">
      <c r="A199" s="286"/>
      <c r="B199" s="300">
        <f t="shared" si="28"/>
        <v>180</v>
      </c>
      <c r="C199" s="301">
        <f t="shared" si="30"/>
        <v>0</v>
      </c>
      <c r="D199" s="302">
        <f t="shared" si="29"/>
        <v>0</v>
      </c>
      <c r="E199" s="303">
        <f t="shared" si="31"/>
        <v>0</v>
      </c>
      <c r="F199" s="303">
        <f t="shared" si="24"/>
        <v>0</v>
      </c>
      <c r="G199" s="303">
        <f t="shared" si="26"/>
        <v>0</v>
      </c>
      <c r="H199" s="302">
        <f t="shared" si="27"/>
        <v>0</v>
      </c>
      <c r="I199" s="304" t="e">
        <f>H199/$D$5</f>
        <v>#VALUE!</v>
      </c>
      <c r="J199" s="305"/>
      <c r="K199" s="305"/>
      <c r="L199" s="305"/>
      <c r="M199" s="305"/>
      <c r="N199" s="305"/>
      <c r="O199" s="306">
        <f t="shared" si="25"/>
        <v>180</v>
      </c>
    </row>
    <row r="200" spans="1:15">
      <c r="A200" s="286"/>
      <c r="B200" s="296">
        <f t="shared" si="28"/>
        <v>181</v>
      </c>
      <c r="C200" s="297">
        <f t="shared" si="30"/>
        <v>0</v>
      </c>
      <c r="D200" s="298">
        <f t="shared" si="29"/>
        <v>0</v>
      </c>
      <c r="E200" s="299">
        <f t="shared" si="31"/>
        <v>0</v>
      </c>
      <c r="F200" s="299">
        <f t="shared" si="24"/>
        <v>0</v>
      </c>
      <c r="G200" s="299">
        <f t="shared" si="26"/>
        <v>0</v>
      </c>
      <c r="H200" s="298">
        <f t="shared" si="27"/>
        <v>0</v>
      </c>
      <c r="I200" s="294"/>
      <c r="O200" s="295">
        <f t="shared" si="25"/>
        <v>181</v>
      </c>
    </row>
    <row r="201" spans="1:15">
      <c r="A201" s="286"/>
      <c r="B201" s="296">
        <f t="shared" si="28"/>
        <v>182</v>
      </c>
      <c r="C201" s="297">
        <f t="shared" si="30"/>
        <v>0</v>
      </c>
      <c r="D201" s="298">
        <f t="shared" si="29"/>
        <v>0</v>
      </c>
      <c r="E201" s="299">
        <f t="shared" si="31"/>
        <v>0</v>
      </c>
      <c r="F201" s="299">
        <f t="shared" si="24"/>
        <v>0</v>
      </c>
      <c r="G201" s="299">
        <f t="shared" si="26"/>
        <v>0</v>
      </c>
      <c r="H201" s="298">
        <f t="shared" si="27"/>
        <v>0</v>
      </c>
      <c r="I201" s="294"/>
      <c r="O201" s="295">
        <f t="shared" si="25"/>
        <v>182</v>
      </c>
    </row>
    <row r="202" spans="1:15">
      <c r="A202" s="286"/>
      <c r="B202" s="296">
        <f t="shared" si="28"/>
        <v>183</v>
      </c>
      <c r="C202" s="297">
        <f t="shared" si="30"/>
        <v>0</v>
      </c>
      <c r="D202" s="298">
        <f t="shared" si="29"/>
        <v>0</v>
      </c>
      <c r="E202" s="299">
        <f t="shared" si="31"/>
        <v>0</v>
      </c>
      <c r="F202" s="299">
        <f t="shared" si="24"/>
        <v>0</v>
      </c>
      <c r="G202" s="299">
        <f t="shared" si="26"/>
        <v>0</v>
      </c>
      <c r="H202" s="298">
        <f t="shared" si="27"/>
        <v>0</v>
      </c>
      <c r="I202" s="294"/>
      <c r="O202" s="295">
        <f t="shared" si="25"/>
        <v>183</v>
      </c>
    </row>
    <row r="203" spans="1:15">
      <c r="A203" s="286"/>
      <c r="B203" s="296">
        <f t="shared" si="28"/>
        <v>184</v>
      </c>
      <c r="C203" s="297">
        <f t="shared" si="30"/>
        <v>0</v>
      </c>
      <c r="D203" s="298">
        <f t="shared" si="29"/>
        <v>0</v>
      </c>
      <c r="E203" s="299">
        <f t="shared" si="31"/>
        <v>0</v>
      </c>
      <c r="F203" s="299">
        <f t="shared" si="24"/>
        <v>0</v>
      </c>
      <c r="G203" s="299">
        <f t="shared" si="26"/>
        <v>0</v>
      </c>
      <c r="H203" s="298">
        <f t="shared" si="27"/>
        <v>0</v>
      </c>
      <c r="I203" s="294"/>
      <c r="O203" s="295">
        <f t="shared" si="25"/>
        <v>184</v>
      </c>
    </row>
    <row r="204" spans="1:15">
      <c r="A204" s="286"/>
      <c r="B204" s="296">
        <f t="shared" si="28"/>
        <v>185</v>
      </c>
      <c r="C204" s="297">
        <f t="shared" si="30"/>
        <v>0</v>
      </c>
      <c r="D204" s="298">
        <f t="shared" si="29"/>
        <v>0</v>
      </c>
      <c r="E204" s="299">
        <f t="shared" si="31"/>
        <v>0</v>
      </c>
      <c r="F204" s="299">
        <f t="shared" si="24"/>
        <v>0</v>
      </c>
      <c r="G204" s="299">
        <f t="shared" si="26"/>
        <v>0</v>
      </c>
      <c r="H204" s="298">
        <f t="shared" si="27"/>
        <v>0</v>
      </c>
      <c r="I204" s="294"/>
      <c r="O204" s="295">
        <f t="shared" si="25"/>
        <v>185</v>
      </c>
    </row>
    <row r="205" spans="1:15">
      <c r="A205" s="286"/>
      <c r="B205" s="296">
        <f t="shared" si="28"/>
        <v>186</v>
      </c>
      <c r="C205" s="297">
        <f t="shared" si="30"/>
        <v>0</v>
      </c>
      <c r="D205" s="298">
        <f t="shared" si="29"/>
        <v>0</v>
      </c>
      <c r="E205" s="299">
        <f t="shared" si="31"/>
        <v>0</v>
      </c>
      <c r="F205" s="299">
        <f t="shared" si="24"/>
        <v>0</v>
      </c>
      <c r="G205" s="299">
        <f t="shared" si="26"/>
        <v>0</v>
      </c>
      <c r="H205" s="298">
        <f t="shared" si="27"/>
        <v>0</v>
      </c>
      <c r="I205" s="294"/>
      <c r="O205" s="295">
        <f t="shared" si="25"/>
        <v>186</v>
      </c>
    </row>
    <row r="206" spans="1:15">
      <c r="A206" s="286"/>
      <c r="B206" s="296">
        <f t="shared" si="28"/>
        <v>187</v>
      </c>
      <c r="C206" s="297">
        <f t="shared" si="30"/>
        <v>0</v>
      </c>
      <c r="D206" s="298">
        <f t="shared" si="29"/>
        <v>0</v>
      </c>
      <c r="E206" s="299">
        <f t="shared" si="31"/>
        <v>0</v>
      </c>
      <c r="F206" s="299">
        <f t="shared" si="24"/>
        <v>0</v>
      </c>
      <c r="G206" s="299">
        <f t="shared" si="26"/>
        <v>0</v>
      </c>
      <c r="H206" s="298">
        <f t="shared" si="27"/>
        <v>0</v>
      </c>
      <c r="I206" s="294"/>
      <c r="O206" s="295">
        <f t="shared" si="25"/>
        <v>187</v>
      </c>
    </row>
    <row r="207" spans="1:15">
      <c r="A207" s="286"/>
      <c r="B207" s="296">
        <f t="shared" si="28"/>
        <v>188</v>
      </c>
      <c r="C207" s="297">
        <f t="shared" si="30"/>
        <v>0</v>
      </c>
      <c r="D207" s="298">
        <f t="shared" si="29"/>
        <v>0</v>
      </c>
      <c r="E207" s="299">
        <f t="shared" si="31"/>
        <v>0</v>
      </c>
      <c r="F207" s="299">
        <f t="shared" si="24"/>
        <v>0</v>
      </c>
      <c r="G207" s="299">
        <f t="shared" si="26"/>
        <v>0</v>
      </c>
      <c r="H207" s="298">
        <f t="shared" si="27"/>
        <v>0</v>
      </c>
      <c r="I207" s="294"/>
      <c r="O207" s="295">
        <f t="shared" si="25"/>
        <v>188</v>
      </c>
    </row>
    <row r="208" spans="1:15">
      <c r="A208" s="286"/>
      <c r="B208" s="296">
        <f t="shared" si="28"/>
        <v>189</v>
      </c>
      <c r="C208" s="297">
        <f t="shared" si="30"/>
        <v>0</v>
      </c>
      <c r="D208" s="298">
        <f t="shared" si="29"/>
        <v>0</v>
      </c>
      <c r="E208" s="299">
        <f t="shared" si="31"/>
        <v>0</v>
      </c>
      <c r="F208" s="299">
        <f t="shared" si="24"/>
        <v>0</v>
      </c>
      <c r="G208" s="299">
        <f t="shared" si="26"/>
        <v>0</v>
      </c>
      <c r="H208" s="298">
        <f t="shared" si="27"/>
        <v>0</v>
      </c>
      <c r="I208" s="294"/>
      <c r="O208" s="295">
        <f t="shared" si="25"/>
        <v>189</v>
      </c>
    </row>
    <row r="209" spans="1:15">
      <c r="A209" s="286"/>
      <c r="B209" s="296">
        <f t="shared" si="28"/>
        <v>190</v>
      </c>
      <c r="C209" s="297">
        <f t="shared" si="30"/>
        <v>0</v>
      </c>
      <c r="D209" s="298">
        <f t="shared" si="29"/>
        <v>0</v>
      </c>
      <c r="E209" s="299">
        <f t="shared" si="31"/>
        <v>0</v>
      </c>
      <c r="F209" s="299">
        <f t="shared" si="24"/>
        <v>0</v>
      </c>
      <c r="G209" s="299">
        <f t="shared" si="26"/>
        <v>0</v>
      </c>
      <c r="H209" s="298">
        <f t="shared" si="27"/>
        <v>0</v>
      </c>
      <c r="I209" s="294"/>
      <c r="O209" s="295">
        <f t="shared" si="25"/>
        <v>190</v>
      </c>
    </row>
    <row r="210" spans="1:15">
      <c r="A210" s="286"/>
      <c r="B210" s="296">
        <f t="shared" si="28"/>
        <v>191</v>
      </c>
      <c r="C210" s="297">
        <f t="shared" si="30"/>
        <v>0</v>
      </c>
      <c r="D210" s="298">
        <f t="shared" si="29"/>
        <v>0</v>
      </c>
      <c r="E210" s="299">
        <f t="shared" si="31"/>
        <v>0</v>
      </c>
      <c r="F210" s="299">
        <f t="shared" si="24"/>
        <v>0</v>
      </c>
      <c r="G210" s="299">
        <f t="shared" si="26"/>
        <v>0</v>
      </c>
      <c r="H210" s="298">
        <f t="shared" si="27"/>
        <v>0</v>
      </c>
      <c r="I210" s="294"/>
      <c r="O210" s="295">
        <f t="shared" si="25"/>
        <v>191</v>
      </c>
    </row>
    <row r="211" spans="1:15">
      <c r="A211" s="286"/>
      <c r="B211" s="300">
        <f t="shared" si="28"/>
        <v>192</v>
      </c>
      <c r="C211" s="301">
        <f t="shared" si="30"/>
        <v>0</v>
      </c>
      <c r="D211" s="302">
        <f t="shared" si="29"/>
        <v>0</v>
      </c>
      <c r="E211" s="303">
        <f t="shared" si="31"/>
        <v>0</v>
      </c>
      <c r="F211" s="303">
        <f t="shared" si="24"/>
        <v>0</v>
      </c>
      <c r="G211" s="303">
        <f t="shared" si="26"/>
        <v>0</v>
      </c>
      <c r="H211" s="302">
        <f t="shared" si="27"/>
        <v>0</v>
      </c>
      <c r="I211" s="304" t="e">
        <f>H211/$D$5</f>
        <v>#VALUE!</v>
      </c>
      <c r="J211" s="305"/>
      <c r="K211" s="305"/>
      <c r="L211" s="305"/>
      <c r="M211" s="305"/>
      <c r="N211" s="305"/>
      <c r="O211" s="306">
        <f t="shared" si="25"/>
        <v>192</v>
      </c>
    </row>
    <row r="212" spans="1:15">
      <c r="A212" s="286"/>
      <c r="B212" s="296">
        <f t="shared" si="28"/>
        <v>193</v>
      </c>
      <c r="C212" s="297">
        <f t="shared" si="30"/>
        <v>0</v>
      </c>
      <c r="D212" s="298">
        <f t="shared" si="29"/>
        <v>0</v>
      </c>
      <c r="E212" s="299">
        <f t="shared" si="31"/>
        <v>0</v>
      </c>
      <c r="F212" s="299">
        <f t="shared" ref="F212:F271" si="32">E212-G212</f>
        <v>0</v>
      </c>
      <c r="G212" s="299">
        <f t="shared" si="26"/>
        <v>0</v>
      </c>
      <c r="H212" s="298">
        <f t="shared" si="27"/>
        <v>0</v>
      </c>
      <c r="I212" s="294"/>
      <c r="O212" s="295">
        <f t="shared" ref="O212:O275" si="33">IF(H212=0,B212,"n.a.")</f>
        <v>193</v>
      </c>
    </row>
    <row r="213" spans="1:15">
      <c r="A213" s="286"/>
      <c r="B213" s="296">
        <f t="shared" si="28"/>
        <v>194</v>
      </c>
      <c r="C213" s="297">
        <f t="shared" si="30"/>
        <v>0</v>
      </c>
      <c r="D213" s="298">
        <f t="shared" si="29"/>
        <v>0</v>
      </c>
      <c r="E213" s="299">
        <f t="shared" si="31"/>
        <v>0</v>
      </c>
      <c r="F213" s="299">
        <f t="shared" si="32"/>
        <v>0</v>
      </c>
      <c r="G213" s="299">
        <f t="shared" ref="G213:G276" si="34">C213*(D213/365)*30</f>
        <v>0</v>
      </c>
      <c r="H213" s="298">
        <f t="shared" ref="H213:H276" si="35">IF((D213+G213-E213)&lt;0,0,D213+G213-E213)</f>
        <v>0</v>
      </c>
      <c r="I213" s="294"/>
      <c r="O213" s="295">
        <f t="shared" si="33"/>
        <v>194</v>
      </c>
    </row>
    <row r="214" spans="1:15">
      <c r="A214" s="286"/>
      <c r="B214" s="296">
        <f t="shared" ref="B214:B277" si="36">B213+1</f>
        <v>195</v>
      </c>
      <c r="C214" s="297">
        <f t="shared" si="30"/>
        <v>0</v>
      </c>
      <c r="D214" s="298">
        <f t="shared" ref="D214:D277" si="37">H213</f>
        <v>0</v>
      </c>
      <c r="E214" s="299">
        <f t="shared" si="31"/>
        <v>0</v>
      </c>
      <c r="F214" s="299">
        <f t="shared" si="32"/>
        <v>0</v>
      </c>
      <c r="G214" s="299">
        <f t="shared" si="34"/>
        <v>0</v>
      </c>
      <c r="H214" s="298">
        <f t="shared" si="35"/>
        <v>0</v>
      </c>
      <c r="I214" s="294"/>
      <c r="O214" s="295">
        <f t="shared" si="33"/>
        <v>195</v>
      </c>
    </row>
    <row r="215" spans="1:15">
      <c r="A215" s="286"/>
      <c r="B215" s="296">
        <f t="shared" si="36"/>
        <v>196</v>
      </c>
      <c r="C215" s="297">
        <f t="shared" si="30"/>
        <v>0</v>
      </c>
      <c r="D215" s="298">
        <f t="shared" si="37"/>
        <v>0</v>
      </c>
      <c r="E215" s="299">
        <f t="shared" si="31"/>
        <v>0</v>
      </c>
      <c r="F215" s="299">
        <f t="shared" si="32"/>
        <v>0</v>
      </c>
      <c r="G215" s="299">
        <f t="shared" si="34"/>
        <v>0</v>
      </c>
      <c r="H215" s="298">
        <f t="shared" si="35"/>
        <v>0</v>
      </c>
      <c r="I215" s="294"/>
      <c r="O215" s="295">
        <f t="shared" si="33"/>
        <v>196</v>
      </c>
    </row>
    <row r="216" spans="1:15">
      <c r="A216" s="286"/>
      <c r="B216" s="296">
        <f t="shared" si="36"/>
        <v>197</v>
      </c>
      <c r="C216" s="297">
        <f t="shared" si="30"/>
        <v>0</v>
      </c>
      <c r="D216" s="298">
        <f t="shared" si="37"/>
        <v>0</v>
      </c>
      <c r="E216" s="299">
        <f t="shared" si="31"/>
        <v>0</v>
      </c>
      <c r="F216" s="299">
        <f t="shared" si="32"/>
        <v>0</v>
      </c>
      <c r="G216" s="299">
        <f t="shared" si="34"/>
        <v>0</v>
      </c>
      <c r="H216" s="298">
        <f t="shared" si="35"/>
        <v>0</v>
      </c>
      <c r="I216" s="294"/>
      <c r="O216" s="295">
        <f t="shared" si="33"/>
        <v>197</v>
      </c>
    </row>
    <row r="217" spans="1:15">
      <c r="A217" s="286"/>
      <c r="B217" s="296">
        <f t="shared" si="36"/>
        <v>198</v>
      </c>
      <c r="C217" s="297">
        <f t="shared" si="30"/>
        <v>0</v>
      </c>
      <c r="D217" s="298">
        <f t="shared" si="37"/>
        <v>0</v>
      </c>
      <c r="E217" s="299">
        <f t="shared" si="31"/>
        <v>0</v>
      </c>
      <c r="F217" s="299">
        <f t="shared" si="32"/>
        <v>0</v>
      </c>
      <c r="G217" s="299">
        <f t="shared" si="34"/>
        <v>0</v>
      </c>
      <c r="H217" s="298">
        <f t="shared" si="35"/>
        <v>0</v>
      </c>
      <c r="I217" s="294"/>
      <c r="O217" s="295">
        <f t="shared" si="33"/>
        <v>198</v>
      </c>
    </row>
    <row r="218" spans="1:15">
      <c r="A218" s="286"/>
      <c r="B218" s="296">
        <f t="shared" si="36"/>
        <v>199</v>
      </c>
      <c r="C218" s="297">
        <f t="shared" si="30"/>
        <v>0</v>
      </c>
      <c r="D218" s="298">
        <f t="shared" si="37"/>
        <v>0</v>
      </c>
      <c r="E218" s="299">
        <f t="shared" si="31"/>
        <v>0</v>
      </c>
      <c r="F218" s="299">
        <f t="shared" si="32"/>
        <v>0</v>
      </c>
      <c r="G218" s="299">
        <f t="shared" si="34"/>
        <v>0</v>
      </c>
      <c r="H218" s="298">
        <f t="shared" si="35"/>
        <v>0</v>
      </c>
      <c r="I218" s="294"/>
      <c r="O218" s="295">
        <f t="shared" si="33"/>
        <v>199</v>
      </c>
    </row>
    <row r="219" spans="1:15">
      <c r="A219" s="286"/>
      <c r="B219" s="296">
        <f t="shared" si="36"/>
        <v>200</v>
      </c>
      <c r="C219" s="297">
        <f t="shared" si="30"/>
        <v>0</v>
      </c>
      <c r="D219" s="298">
        <f t="shared" si="37"/>
        <v>0</v>
      </c>
      <c r="E219" s="299">
        <f t="shared" si="31"/>
        <v>0</v>
      </c>
      <c r="F219" s="299">
        <f t="shared" si="32"/>
        <v>0</v>
      </c>
      <c r="G219" s="299">
        <f t="shared" si="34"/>
        <v>0</v>
      </c>
      <c r="H219" s="298">
        <f t="shared" si="35"/>
        <v>0</v>
      </c>
      <c r="I219" s="294"/>
      <c r="O219" s="295">
        <f t="shared" si="33"/>
        <v>200</v>
      </c>
    </row>
    <row r="220" spans="1:15">
      <c r="A220" s="286"/>
      <c r="B220" s="296">
        <f t="shared" si="36"/>
        <v>201</v>
      </c>
      <c r="C220" s="297">
        <f t="shared" si="30"/>
        <v>0</v>
      </c>
      <c r="D220" s="298">
        <f t="shared" si="37"/>
        <v>0</v>
      </c>
      <c r="E220" s="299">
        <f t="shared" si="31"/>
        <v>0</v>
      </c>
      <c r="F220" s="299">
        <f t="shared" si="32"/>
        <v>0</v>
      </c>
      <c r="G220" s="299">
        <f t="shared" si="34"/>
        <v>0</v>
      </c>
      <c r="H220" s="298">
        <f t="shared" si="35"/>
        <v>0</v>
      </c>
      <c r="I220" s="294"/>
      <c r="O220" s="295">
        <f t="shared" si="33"/>
        <v>201</v>
      </c>
    </row>
    <row r="221" spans="1:15">
      <c r="A221" s="286"/>
      <c r="B221" s="296">
        <f t="shared" si="36"/>
        <v>202</v>
      </c>
      <c r="C221" s="297">
        <f t="shared" si="30"/>
        <v>0</v>
      </c>
      <c r="D221" s="298">
        <f t="shared" si="37"/>
        <v>0</v>
      </c>
      <c r="E221" s="299">
        <f t="shared" si="31"/>
        <v>0</v>
      </c>
      <c r="F221" s="299">
        <f t="shared" si="32"/>
        <v>0</v>
      </c>
      <c r="G221" s="299">
        <f t="shared" si="34"/>
        <v>0</v>
      </c>
      <c r="H221" s="298">
        <f t="shared" si="35"/>
        <v>0</v>
      </c>
      <c r="I221" s="294"/>
      <c r="O221" s="295">
        <f t="shared" si="33"/>
        <v>202</v>
      </c>
    </row>
    <row r="222" spans="1:15">
      <c r="A222" s="286"/>
      <c r="B222" s="296">
        <f t="shared" si="36"/>
        <v>203</v>
      </c>
      <c r="C222" s="297">
        <f t="shared" si="30"/>
        <v>0</v>
      </c>
      <c r="D222" s="298">
        <f t="shared" si="37"/>
        <v>0</v>
      </c>
      <c r="E222" s="299">
        <f t="shared" si="31"/>
        <v>0</v>
      </c>
      <c r="F222" s="299">
        <f t="shared" si="32"/>
        <v>0</v>
      </c>
      <c r="G222" s="299">
        <f t="shared" si="34"/>
        <v>0</v>
      </c>
      <c r="H222" s="298">
        <f t="shared" si="35"/>
        <v>0</v>
      </c>
      <c r="I222" s="294"/>
      <c r="O222" s="295">
        <f t="shared" si="33"/>
        <v>203</v>
      </c>
    </row>
    <row r="223" spans="1:15">
      <c r="A223" s="286"/>
      <c r="B223" s="300">
        <f t="shared" si="36"/>
        <v>204</v>
      </c>
      <c r="C223" s="301">
        <f t="shared" si="30"/>
        <v>0</v>
      </c>
      <c r="D223" s="302">
        <f t="shared" si="37"/>
        <v>0</v>
      </c>
      <c r="E223" s="303">
        <f t="shared" si="31"/>
        <v>0</v>
      </c>
      <c r="F223" s="303">
        <f t="shared" si="32"/>
        <v>0</v>
      </c>
      <c r="G223" s="303">
        <f t="shared" si="34"/>
        <v>0</v>
      </c>
      <c r="H223" s="302">
        <f t="shared" si="35"/>
        <v>0</v>
      </c>
      <c r="I223" s="304" t="e">
        <f>H223/$D$5</f>
        <v>#VALUE!</v>
      </c>
      <c r="J223" s="305"/>
      <c r="K223" s="305"/>
      <c r="L223" s="305"/>
      <c r="M223" s="305"/>
      <c r="N223" s="305"/>
      <c r="O223" s="306">
        <f t="shared" si="33"/>
        <v>204</v>
      </c>
    </row>
    <row r="224" spans="1:15">
      <c r="A224" s="286"/>
      <c r="B224" s="296">
        <f t="shared" si="36"/>
        <v>205</v>
      </c>
      <c r="C224" s="297">
        <f t="shared" si="30"/>
        <v>0</v>
      </c>
      <c r="D224" s="298">
        <f t="shared" si="37"/>
        <v>0</v>
      </c>
      <c r="E224" s="299">
        <f t="shared" si="31"/>
        <v>0</v>
      </c>
      <c r="F224" s="299">
        <f t="shared" si="32"/>
        <v>0</v>
      </c>
      <c r="G224" s="299">
        <f t="shared" si="34"/>
        <v>0</v>
      </c>
      <c r="H224" s="298">
        <f t="shared" si="35"/>
        <v>0</v>
      </c>
      <c r="I224" s="294"/>
      <c r="O224" s="295">
        <f t="shared" si="33"/>
        <v>205</v>
      </c>
    </row>
    <row r="225" spans="1:15">
      <c r="A225" s="286"/>
      <c r="B225" s="296">
        <f t="shared" si="36"/>
        <v>206</v>
      </c>
      <c r="C225" s="297">
        <f t="shared" si="30"/>
        <v>0</v>
      </c>
      <c r="D225" s="298">
        <f t="shared" si="37"/>
        <v>0</v>
      </c>
      <c r="E225" s="299">
        <f t="shared" si="31"/>
        <v>0</v>
      </c>
      <c r="F225" s="299">
        <f t="shared" si="32"/>
        <v>0</v>
      </c>
      <c r="G225" s="299">
        <f t="shared" si="34"/>
        <v>0</v>
      </c>
      <c r="H225" s="298">
        <f t="shared" si="35"/>
        <v>0</v>
      </c>
      <c r="I225" s="294"/>
      <c r="O225" s="295">
        <f t="shared" si="33"/>
        <v>206</v>
      </c>
    </row>
    <row r="226" spans="1:15">
      <c r="A226" s="286"/>
      <c r="B226" s="296">
        <f t="shared" si="36"/>
        <v>207</v>
      </c>
      <c r="C226" s="297">
        <f t="shared" si="30"/>
        <v>0</v>
      </c>
      <c r="D226" s="298">
        <f t="shared" si="37"/>
        <v>0</v>
      </c>
      <c r="E226" s="299">
        <f t="shared" si="31"/>
        <v>0</v>
      </c>
      <c r="F226" s="299">
        <f t="shared" si="32"/>
        <v>0</v>
      </c>
      <c r="G226" s="299">
        <f t="shared" si="34"/>
        <v>0</v>
      </c>
      <c r="H226" s="298">
        <f t="shared" si="35"/>
        <v>0</v>
      </c>
      <c r="I226" s="294"/>
      <c r="O226" s="295">
        <f t="shared" si="33"/>
        <v>207</v>
      </c>
    </row>
    <row r="227" spans="1:15">
      <c r="A227" s="286"/>
      <c r="B227" s="296">
        <f t="shared" si="36"/>
        <v>208</v>
      </c>
      <c r="C227" s="297">
        <f t="shared" si="30"/>
        <v>0</v>
      </c>
      <c r="D227" s="298">
        <f t="shared" si="37"/>
        <v>0</v>
      </c>
      <c r="E227" s="299">
        <f t="shared" si="31"/>
        <v>0</v>
      </c>
      <c r="F227" s="299">
        <f t="shared" si="32"/>
        <v>0</v>
      </c>
      <c r="G227" s="299">
        <f t="shared" si="34"/>
        <v>0</v>
      </c>
      <c r="H227" s="298">
        <f t="shared" si="35"/>
        <v>0</v>
      </c>
      <c r="I227" s="294"/>
      <c r="O227" s="295">
        <f t="shared" si="33"/>
        <v>208</v>
      </c>
    </row>
    <row r="228" spans="1:15">
      <c r="A228" s="286"/>
      <c r="B228" s="296">
        <f t="shared" si="36"/>
        <v>209</v>
      </c>
      <c r="C228" s="297">
        <f t="shared" si="30"/>
        <v>0</v>
      </c>
      <c r="D228" s="298">
        <f t="shared" si="37"/>
        <v>0</v>
      </c>
      <c r="E228" s="299">
        <f t="shared" si="31"/>
        <v>0</v>
      </c>
      <c r="F228" s="299">
        <f t="shared" si="32"/>
        <v>0</v>
      </c>
      <c r="G228" s="299">
        <f t="shared" si="34"/>
        <v>0</v>
      </c>
      <c r="H228" s="298">
        <f t="shared" si="35"/>
        <v>0</v>
      </c>
      <c r="I228" s="294"/>
      <c r="O228" s="295">
        <f t="shared" si="33"/>
        <v>209</v>
      </c>
    </row>
    <row r="229" spans="1:15">
      <c r="A229" s="286"/>
      <c r="B229" s="296">
        <f t="shared" si="36"/>
        <v>210</v>
      </c>
      <c r="C229" s="297">
        <f t="shared" si="30"/>
        <v>0</v>
      </c>
      <c r="D229" s="298">
        <f t="shared" si="37"/>
        <v>0</v>
      </c>
      <c r="E229" s="299">
        <f t="shared" si="31"/>
        <v>0</v>
      </c>
      <c r="F229" s="299">
        <f t="shared" si="32"/>
        <v>0</v>
      </c>
      <c r="G229" s="299">
        <f t="shared" si="34"/>
        <v>0</v>
      </c>
      <c r="H229" s="298">
        <f t="shared" si="35"/>
        <v>0</v>
      </c>
      <c r="I229" s="294"/>
      <c r="O229" s="295">
        <f t="shared" si="33"/>
        <v>210</v>
      </c>
    </row>
    <row r="230" spans="1:15">
      <c r="A230" s="286"/>
      <c r="B230" s="296">
        <f t="shared" si="36"/>
        <v>211</v>
      </c>
      <c r="C230" s="297">
        <f t="shared" si="30"/>
        <v>0</v>
      </c>
      <c r="D230" s="298">
        <f t="shared" si="37"/>
        <v>0</v>
      </c>
      <c r="E230" s="299">
        <f t="shared" si="31"/>
        <v>0</v>
      </c>
      <c r="F230" s="299">
        <f t="shared" si="32"/>
        <v>0</v>
      </c>
      <c r="G230" s="299">
        <f t="shared" si="34"/>
        <v>0</v>
      </c>
      <c r="H230" s="298">
        <f t="shared" si="35"/>
        <v>0</v>
      </c>
      <c r="I230" s="294"/>
      <c r="O230" s="295">
        <f t="shared" si="33"/>
        <v>211</v>
      </c>
    </row>
    <row r="231" spans="1:15">
      <c r="A231" s="286"/>
      <c r="B231" s="296">
        <f t="shared" si="36"/>
        <v>212</v>
      </c>
      <c r="C231" s="297">
        <f t="shared" si="30"/>
        <v>0</v>
      </c>
      <c r="D231" s="298">
        <f t="shared" si="37"/>
        <v>0</v>
      </c>
      <c r="E231" s="299">
        <f t="shared" si="31"/>
        <v>0</v>
      </c>
      <c r="F231" s="299">
        <f t="shared" si="32"/>
        <v>0</v>
      </c>
      <c r="G231" s="299">
        <f t="shared" si="34"/>
        <v>0</v>
      </c>
      <c r="H231" s="298">
        <f t="shared" si="35"/>
        <v>0</v>
      </c>
      <c r="I231" s="294"/>
      <c r="O231" s="295">
        <f t="shared" si="33"/>
        <v>212</v>
      </c>
    </row>
    <row r="232" spans="1:15">
      <c r="A232" s="286"/>
      <c r="B232" s="296">
        <f t="shared" si="36"/>
        <v>213</v>
      </c>
      <c r="C232" s="297">
        <f t="shared" si="30"/>
        <v>0</v>
      </c>
      <c r="D232" s="298">
        <f t="shared" si="37"/>
        <v>0</v>
      </c>
      <c r="E232" s="299">
        <f t="shared" si="31"/>
        <v>0</v>
      </c>
      <c r="F232" s="299">
        <f t="shared" si="32"/>
        <v>0</v>
      </c>
      <c r="G232" s="299">
        <f t="shared" si="34"/>
        <v>0</v>
      </c>
      <c r="H232" s="298">
        <f t="shared" si="35"/>
        <v>0</v>
      </c>
      <c r="I232" s="294"/>
      <c r="O232" s="295">
        <f t="shared" si="33"/>
        <v>213</v>
      </c>
    </row>
    <row r="233" spans="1:15">
      <c r="A233" s="286"/>
      <c r="B233" s="296">
        <f t="shared" si="36"/>
        <v>214</v>
      </c>
      <c r="C233" s="297">
        <f t="shared" si="30"/>
        <v>0</v>
      </c>
      <c r="D233" s="298">
        <f t="shared" si="37"/>
        <v>0</v>
      </c>
      <c r="E233" s="299">
        <f t="shared" si="31"/>
        <v>0</v>
      </c>
      <c r="F233" s="299">
        <f t="shared" si="32"/>
        <v>0</v>
      </c>
      <c r="G233" s="299">
        <f t="shared" si="34"/>
        <v>0</v>
      </c>
      <c r="H233" s="298">
        <f t="shared" si="35"/>
        <v>0</v>
      </c>
      <c r="I233" s="294"/>
      <c r="O233" s="295">
        <f t="shared" si="33"/>
        <v>214</v>
      </c>
    </row>
    <row r="234" spans="1:15">
      <c r="A234" s="286"/>
      <c r="B234" s="296">
        <f t="shared" si="36"/>
        <v>215</v>
      </c>
      <c r="C234" s="297">
        <f t="shared" si="30"/>
        <v>0</v>
      </c>
      <c r="D234" s="298">
        <f t="shared" si="37"/>
        <v>0</v>
      </c>
      <c r="E234" s="299">
        <f t="shared" si="31"/>
        <v>0</v>
      </c>
      <c r="F234" s="299">
        <f t="shared" si="32"/>
        <v>0</v>
      </c>
      <c r="G234" s="299">
        <f t="shared" si="34"/>
        <v>0</v>
      </c>
      <c r="H234" s="298">
        <f t="shared" si="35"/>
        <v>0</v>
      </c>
      <c r="I234" s="294"/>
      <c r="O234" s="295">
        <f t="shared" si="33"/>
        <v>215</v>
      </c>
    </row>
    <row r="235" spans="1:15">
      <c r="A235" s="286"/>
      <c r="B235" s="300">
        <f t="shared" si="36"/>
        <v>216</v>
      </c>
      <c r="C235" s="301">
        <f t="shared" si="30"/>
        <v>0</v>
      </c>
      <c r="D235" s="302">
        <f t="shared" si="37"/>
        <v>0</v>
      </c>
      <c r="E235" s="303">
        <f t="shared" si="31"/>
        <v>0</v>
      </c>
      <c r="F235" s="303">
        <f t="shared" si="32"/>
        <v>0</v>
      </c>
      <c r="G235" s="303">
        <f t="shared" si="34"/>
        <v>0</v>
      </c>
      <c r="H235" s="302">
        <f t="shared" si="35"/>
        <v>0</v>
      </c>
      <c r="I235" s="304" t="e">
        <f>H235/$D$5</f>
        <v>#VALUE!</v>
      </c>
      <c r="J235" s="305"/>
      <c r="K235" s="305"/>
      <c r="L235" s="305"/>
      <c r="M235" s="305"/>
      <c r="N235" s="305"/>
      <c r="O235" s="306">
        <f t="shared" si="33"/>
        <v>216</v>
      </c>
    </row>
    <row r="236" spans="1:15">
      <c r="A236" s="286"/>
      <c r="B236" s="296">
        <f t="shared" si="36"/>
        <v>217</v>
      </c>
      <c r="C236" s="297">
        <f t="shared" si="30"/>
        <v>0</v>
      </c>
      <c r="D236" s="298">
        <f t="shared" si="37"/>
        <v>0</v>
      </c>
      <c r="E236" s="299">
        <f t="shared" si="31"/>
        <v>0</v>
      </c>
      <c r="F236" s="299">
        <f t="shared" si="32"/>
        <v>0</v>
      </c>
      <c r="G236" s="299">
        <f t="shared" si="34"/>
        <v>0</v>
      </c>
      <c r="H236" s="298">
        <f t="shared" si="35"/>
        <v>0</v>
      </c>
      <c r="I236" s="294"/>
      <c r="O236" s="295">
        <f t="shared" si="33"/>
        <v>217</v>
      </c>
    </row>
    <row r="237" spans="1:15">
      <c r="A237" s="286"/>
      <c r="B237" s="296">
        <f t="shared" si="36"/>
        <v>218</v>
      </c>
      <c r="C237" s="297">
        <f t="shared" si="30"/>
        <v>0</v>
      </c>
      <c r="D237" s="298">
        <f t="shared" si="37"/>
        <v>0</v>
      </c>
      <c r="E237" s="299">
        <f t="shared" si="31"/>
        <v>0</v>
      </c>
      <c r="F237" s="299">
        <f t="shared" si="32"/>
        <v>0</v>
      </c>
      <c r="G237" s="299">
        <f t="shared" si="34"/>
        <v>0</v>
      </c>
      <c r="H237" s="298">
        <f t="shared" si="35"/>
        <v>0</v>
      </c>
      <c r="I237" s="294"/>
      <c r="O237" s="295">
        <f t="shared" si="33"/>
        <v>218</v>
      </c>
    </row>
    <row r="238" spans="1:15">
      <c r="A238" s="286"/>
      <c r="B238" s="296">
        <f t="shared" si="36"/>
        <v>219</v>
      </c>
      <c r="C238" s="297">
        <f t="shared" si="30"/>
        <v>0</v>
      </c>
      <c r="D238" s="298">
        <f t="shared" si="37"/>
        <v>0</v>
      </c>
      <c r="E238" s="299">
        <f t="shared" si="31"/>
        <v>0</v>
      </c>
      <c r="F238" s="299">
        <f t="shared" si="32"/>
        <v>0</v>
      </c>
      <c r="G238" s="299">
        <f t="shared" si="34"/>
        <v>0</v>
      </c>
      <c r="H238" s="298">
        <f t="shared" si="35"/>
        <v>0</v>
      </c>
      <c r="I238" s="294"/>
      <c r="O238" s="295">
        <f t="shared" si="33"/>
        <v>219</v>
      </c>
    </row>
    <row r="239" spans="1:15">
      <c r="A239" s="286"/>
      <c r="B239" s="296">
        <f t="shared" si="36"/>
        <v>220</v>
      </c>
      <c r="C239" s="297">
        <f t="shared" si="30"/>
        <v>0</v>
      </c>
      <c r="D239" s="298">
        <f t="shared" si="37"/>
        <v>0</v>
      </c>
      <c r="E239" s="299">
        <f t="shared" si="31"/>
        <v>0</v>
      </c>
      <c r="F239" s="299">
        <f t="shared" si="32"/>
        <v>0</v>
      </c>
      <c r="G239" s="299">
        <f t="shared" si="34"/>
        <v>0</v>
      </c>
      <c r="H239" s="298">
        <f t="shared" si="35"/>
        <v>0</v>
      </c>
      <c r="I239" s="294"/>
      <c r="O239" s="295">
        <f t="shared" si="33"/>
        <v>220</v>
      </c>
    </row>
    <row r="240" spans="1:15">
      <c r="A240" s="286"/>
      <c r="B240" s="296">
        <f t="shared" si="36"/>
        <v>221</v>
      </c>
      <c r="C240" s="297">
        <f t="shared" si="30"/>
        <v>0</v>
      </c>
      <c r="D240" s="298">
        <f t="shared" si="37"/>
        <v>0</v>
      </c>
      <c r="E240" s="299">
        <f t="shared" si="31"/>
        <v>0</v>
      </c>
      <c r="F240" s="299">
        <f t="shared" si="32"/>
        <v>0</v>
      </c>
      <c r="G240" s="299">
        <f t="shared" si="34"/>
        <v>0</v>
      </c>
      <c r="H240" s="298">
        <f t="shared" si="35"/>
        <v>0</v>
      </c>
      <c r="I240" s="294"/>
      <c r="O240" s="295">
        <f t="shared" si="33"/>
        <v>221</v>
      </c>
    </row>
    <row r="241" spans="1:15">
      <c r="A241" s="286"/>
      <c r="B241" s="296">
        <f t="shared" si="36"/>
        <v>222</v>
      </c>
      <c r="C241" s="297">
        <f t="shared" si="30"/>
        <v>0</v>
      </c>
      <c r="D241" s="298">
        <f t="shared" si="37"/>
        <v>0</v>
      </c>
      <c r="E241" s="299">
        <f t="shared" si="31"/>
        <v>0</v>
      </c>
      <c r="F241" s="299">
        <f t="shared" si="32"/>
        <v>0</v>
      </c>
      <c r="G241" s="299">
        <f t="shared" si="34"/>
        <v>0</v>
      </c>
      <c r="H241" s="298">
        <f t="shared" si="35"/>
        <v>0</v>
      </c>
      <c r="I241" s="294"/>
      <c r="O241" s="295">
        <f t="shared" si="33"/>
        <v>222</v>
      </c>
    </row>
    <row r="242" spans="1:15">
      <c r="A242" s="286"/>
      <c r="B242" s="296">
        <f t="shared" si="36"/>
        <v>223</v>
      </c>
      <c r="C242" s="297">
        <f t="shared" si="30"/>
        <v>0</v>
      </c>
      <c r="D242" s="298">
        <f t="shared" si="37"/>
        <v>0</v>
      </c>
      <c r="E242" s="299">
        <f t="shared" si="31"/>
        <v>0</v>
      </c>
      <c r="F242" s="299">
        <f t="shared" si="32"/>
        <v>0</v>
      </c>
      <c r="G242" s="299">
        <f t="shared" si="34"/>
        <v>0</v>
      </c>
      <c r="H242" s="298">
        <f t="shared" si="35"/>
        <v>0</v>
      </c>
      <c r="I242" s="294"/>
      <c r="O242" s="295">
        <f t="shared" si="33"/>
        <v>223</v>
      </c>
    </row>
    <row r="243" spans="1:15">
      <c r="A243" s="286"/>
      <c r="B243" s="296">
        <f t="shared" si="36"/>
        <v>224</v>
      </c>
      <c r="C243" s="297">
        <f t="shared" si="30"/>
        <v>0</v>
      </c>
      <c r="D243" s="298">
        <f t="shared" si="37"/>
        <v>0</v>
      </c>
      <c r="E243" s="299">
        <f t="shared" si="31"/>
        <v>0</v>
      </c>
      <c r="F243" s="299">
        <f t="shared" si="32"/>
        <v>0</v>
      </c>
      <c r="G243" s="299">
        <f t="shared" si="34"/>
        <v>0</v>
      </c>
      <c r="H243" s="298">
        <f t="shared" si="35"/>
        <v>0</v>
      </c>
      <c r="I243" s="294"/>
      <c r="O243" s="295">
        <f t="shared" si="33"/>
        <v>224</v>
      </c>
    </row>
    <row r="244" spans="1:15">
      <c r="A244" s="286"/>
      <c r="B244" s="296">
        <f t="shared" si="36"/>
        <v>225</v>
      </c>
      <c r="C244" s="297">
        <f t="shared" si="30"/>
        <v>0</v>
      </c>
      <c r="D244" s="298">
        <f t="shared" si="37"/>
        <v>0</v>
      </c>
      <c r="E244" s="299">
        <f t="shared" si="31"/>
        <v>0</v>
      </c>
      <c r="F244" s="299">
        <f t="shared" si="32"/>
        <v>0</v>
      </c>
      <c r="G244" s="299">
        <f t="shared" si="34"/>
        <v>0</v>
      </c>
      <c r="H244" s="298">
        <f t="shared" si="35"/>
        <v>0</v>
      </c>
      <c r="I244" s="294"/>
      <c r="O244" s="295">
        <f t="shared" si="33"/>
        <v>225</v>
      </c>
    </row>
    <row r="245" spans="1:15">
      <c r="A245" s="286"/>
      <c r="B245" s="296">
        <f t="shared" si="36"/>
        <v>226</v>
      </c>
      <c r="C245" s="297">
        <f t="shared" si="30"/>
        <v>0</v>
      </c>
      <c r="D245" s="298">
        <f t="shared" si="37"/>
        <v>0</v>
      </c>
      <c r="E245" s="299">
        <f t="shared" si="31"/>
        <v>0</v>
      </c>
      <c r="F245" s="299">
        <f t="shared" si="32"/>
        <v>0</v>
      </c>
      <c r="G245" s="299">
        <f t="shared" si="34"/>
        <v>0</v>
      </c>
      <c r="H245" s="298">
        <f t="shared" si="35"/>
        <v>0</v>
      </c>
      <c r="I245" s="294"/>
      <c r="O245" s="295">
        <f t="shared" si="33"/>
        <v>226</v>
      </c>
    </row>
    <row r="246" spans="1:15">
      <c r="A246" s="286"/>
      <c r="B246" s="296">
        <f t="shared" si="36"/>
        <v>227</v>
      </c>
      <c r="C246" s="297">
        <f t="shared" si="30"/>
        <v>0</v>
      </c>
      <c r="D246" s="298">
        <f t="shared" si="37"/>
        <v>0</v>
      </c>
      <c r="E246" s="299">
        <f t="shared" si="31"/>
        <v>0</v>
      </c>
      <c r="F246" s="299">
        <f t="shared" si="32"/>
        <v>0</v>
      </c>
      <c r="G246" s="299">
        <f t="shared" si="34"/>
        <v>0</v>
      </c>
      <c r="H246" s="298">
        <f t="shared" si="35"/>
        <v>0</v>
      </c>
      <c r="I246" s="294"/>
      <c r="O246" s="295">
        <f t="shared" si="33"/>
        <v>227</v>
      </c>
    </row>
    <row r="247" spans="1:15">
      <c r="A247" s="286"/>
      <c r="B247" s="300">
        <f t="shared" si="36"/>
        <v>228</v>
      </c>
      <c r="C247" s="301">
        <f t="shared" si="30"/>
        <v>0</v>
      </c>
      <c r="D247" s="302">
        <f t="shared" si="37"/>
        <v>0</v>
      </c>
      <c r="E247" s="303">
        <f t="shared" si="31"/>
        <v>0</v>
      </c>
      <c r="F247" s="303">
        <f t="shared" si="32"/>
        <v>0</v>
      </c>
      <c r="G247" s="303">
        <f t="shared" si="34"/>
        <v>0</v>
      </c>
      <c r="H247" s="302">
        <f t="shared" si="35"/>
        <v>0</v>
      </c>
      <c r="I247" s="304" t="e">
        <f>H247/$D$5</f>
        <v>#VALUE!</v>
      </c>
      <c r="J247" s="305"/>
      <c r="K247" s="305"/>
      <c r="L247" s="305"/>
      <c r="M247" s="305"/>
      <c r="N247" s="305"/>
      <c r="O247" s="306">
        <f t="shared" si="33"/>
        <v>228</v>
      </c>
    </row>
    <row r="248" spans="1:15">
      <c r="A248" s="286"/>
      <c r="B248" s="296">
        <f t="shared" si="36"/>
        <v>229</v>
      </c>
      <c r="C248" s="297">
        <f t="shared" ref="C248:C311" si="38">IF(D248&gt;0,$F$7,0)</f>
        <v>0</v>
      </c>
      <c r="D248" s="298">
        <f t="shared" si="37"/>
        <v>0</v>
      </c>
      <c r="E248" s="299">
        <f t="shared" si="31"/>
        <v>0</v>
      </c>
      <c r="F248" s="299">
        <f t="shared" si="32"/>
        <v>0</v>
      </c>
      <c r="G248" s="299">
        <f t="shared" si="34"/>
        <v>0</v>
      </c>
      <c r="H248" s="298">
        <f t="shared" si="35"/>
        <v>0</v>
      </c>
      <c r="I248" s="294"/>
      <c r="O248" s="295">
        <f t="shared" si="33"/>
        <v>229</v>
      </c>
    </row>
    <row r="249" spans="1:15">
      <c r="A249" s="286"/>
      <c r="B249" s="296">
        <f t="shared" si="36"/>
        <v>230</v>
      </c>
      <c r="C249" s="297">
        <f t="shared" si="38"/>
        <v>0</v>
      </c>
      <c r="D249" s="298">
        <f t="shared" si="37"/>
        <v>0</v>
      </c>
      <c r="E249" s="299">
        <f t="shared" si="31"/>
        <v>0</v>
      </c>
      <c r="F249" s="299">
        <f t="shared" si="32"/>
        <v>0</v>
      </c>
      <c r="G249" s="299">
        <f t="shared" si="34"/>
        <v>0</v>
      </c>
      <c r="H249" s="298">
        <f t="shared" si="35"/>
        <v>0</v>
      </c>
      <c r="I249" s="294"/>
      <c r="O249" s="295">
        <f t="shared" si="33"/>
        <v>230</v>
      </c>
    </row>
    <row r="250" spans="1:15">
      <c r="A250" s="286"/>
      <c r="B250" s="296">
        <f t="shared" si="36"/>
        <v>231</v>
      </c>
      <c r="C250" s="297">
        <f t="shared" si="38"/>
        <v>0</v>
      </c>
      <c r="D250" s="298">
        <f t="shared" si="37"/>
        <v>0</v>
      </c>
      <c r="E250" s="299">
        <f t="shared" si="31"/>
        <v>0</v>
      </c>
      <c r="F250" s="299">
        <f t="shared" si="32"/>
        <v>0</v>
      </c>
      <c r="G250" s="299">
        <f t="shared" si="34"/>
        <v>0</v>
      </c>
      <c r="H250" s="298">
        <f t="shared" si="35"/>
        <v>0</v>
      </c>
      <c r="I250" s="294"/>
      <c r="O250" s="295">
        <f t="shared" si="33"/>
        <v>231</v>
      </c>
    </row>
    <row r="251" spans="1:15">
      <c r="A251" s="286"/>
      <c r="B251" s="296">
        <f t="shared" si="36"/>
        <v>232</v>
      </c>
      <c r="C251" s="297">
        <f t="shared" si="38"/>
        <v>0</v>
      </c>
      <c r="D251" s="298">
        <f t="shared" si="37"/>
        <v>0</v>
      </c>
      <c r="E251" s="299">
        <f t="shared" si="31"/>
        <v>0</v>
      </c>
      <c r="F251" s="299">
        <f t="shared" si="32"/>
        <v>0</v>
      </c>
      <c r="G251" s="299">
        <f t="shared" si="34"/>
        <v>0</v>
      </c>
      <c r="H251" s="298">
        <f t="shared" si="35"/>
        <v>0</v>
      </c>
      <c r="I251" s="294"/>
      <c r="O251" s="295">
        <f t="shared" si="33"/>
        <v>232</v>
      </c>
    </row>
    <row r="252" spans="1:15">
      <c r="A252" s="286"/>
      <c r="B252" s="296">
        <f t="shared" si="36"/>
        <v>233</v>
      </c>
      <c r="C252" s="297">
        <f t="shared" si="38"/>
        <v>0</v>
      </c>
      <c r="D252" s="298">
        <f t="shared" si="37"/>
        <v>0</v>
      </c>
      <c r="E252" s="299">
        <f t="shared" si="31"/>
        <v>0</v>
      </c>
      <c r="F252" s="299">
        <f t="shared" si="32"/>
        <v>0</v>
      </c>
      <c r="G252" s="299">
        <f t="shared" si="34"/>
        <v>0</v>
      </c>
      <c r="H252" s="298">
        <f t="shared" si="35"/>
        <v>0</v>
      </c>
      <c r="I252" s="294"/>
      <c r="O252" s="295">
        <f t="shared" si="33"/>
        <v>233</v>
      </c>
    </row>
    <row r="253" spans="1:15">
      <c r="A253" s="286"/>
      <c r="B253" s="296">
        <f t="shared" si="36"/>
        <v>234</v>
      </c>
      <c r="C253" s="297">
        <f t="shared" si="38"/>
        <v>0</v>
      </c>
      <c r="D253" s="298">
        <f t="shared" si="37"/>
        <v>0</v>
      </c>
      <c r="E253" s="299">
        <f t="shared" si="31"/>
        <v>0</v>
      </c>
      <c r="F253" s="299">
        <f t="shared" si="32"/>
        <v>0</v>
      </c>
      <c r="G253" s="299">
        <f t="shared" si="34"/>
        <v>0</v>
      </c>
      <c r="H253" s="298">
        <f t="shared" si="35"/>
        <v>0</v>
      </c>
      <c r="I253" s="294"/>
      <c r="O253" s="295">
        <f t="shared" si="33"/>
        <v>234</v>
      </c>
    </row>
    <row r="254" spans="1:15">
      <c r="A254" s="286"/>
      <c r="B254" s="296">
        <f t="shared" si="36"/>
        <v>235</v>
      </c>
      <c r="C254" s="297">
        <f t="shared" si="38"/>
        <v>0</v>
      </c>
      <c r="D254" s="298">
        <f t="shared" si="37"/>
        <v>0</v>
      </c>
      <c r="E254" s="299">
        <f t="shared" si="31"/>
        <v>0</v>
      </c>
      <c r="F254" s="299">
        <f t="shared" si="32"/>
        <v>0</v>
      </c>
      <c r="G254" s="299">
        <f t="shared" si="34"/>
        <v>0</v>
      </c>
      <c r="H254" s="298">
        <f t="shared" si="35"/>
        <v>0</v>
      </c>
      <c r="I254" s="294"/>
      <c r="O254" s="295">
        <f t="shared" si="33"/>
        <v>235</v>
      </c>
    </row>
    <row r="255" spans="1:15">
      <c r="A255" s="286"/>
      <c r="B255" s="296">
        <f t="shared" si="36"/>
        <v>236</v>
      </c>
      <c r="C255" s="297">
        <f t="shared" si="38"/>
        <v>0</v>
      </c>
      <c r="D255" s="298">
        <f t="shared" si="37"/>
        <v>0</v>
      </c>
      <c r="E255" s="299">
        <f t="shared" si="31"/>
        <v>0</v>
      </c>
      <c r="F255" s="299">
        <f t="shared" si="32"/>
        <v>0</v>
      </c>
      <c r="G255" s="299">
        <f t="shared" si="34"/>
        <v>0</v>
      </c>
      <c r="H255" s="298">
        <f t="shared" si="35"/>
        <v>0</v>
      </c>
      <c r="I255" s="294"/>
      <c r="O255" s="295">
        <f t="shared" si="33"/>
        <v>236</v>
      </c>
    </row>
    <row r="256" spans="1:15">
      <c r="A256" s="286"/>
      <c r="B256" s="296">
        <f t="shared" si="36"/>
        <v>237</v>
      </c>
      <c r="C256" s="297">
        <f t="shared" si="38"/>
        <v>0</v>
      </c>
      <c r="D256" s="298">
        <f t="shared" si="37"/>
        <v>0</v>
      </c>
      <c r="E256" s="299">
        <f t="shared" si="31"/>
        <v>0</v>
      </c>
      <c r="F256" s="299">
        <f t="shared" si="32"/>
        <v>0</v>
      </c>
      <c r="G256" s="299">
        <f t="shared" si="34"/>
        <v>0</v>
      </c>
      <c r="H256" s="298">
        <f t="shared" si="35"/>
        <v>0</v>
      </c>
      <c r="I256" s="294"/>
      <c r="O256" s="295">
        <f t="shared" si="33"/>
        <v>237</v>
      </c>
    </row>
    <row r="257" spans="1:15">
      <c r="A257" s="286"/>
      <c r="B257" s="296">
        <f t="shared" si="36"/>
        <v>238</v>
      </c>
      <c r="C257" s="297">
        <f t="shared" si="38"/>
        <v>0</v>
      </c>
      <c r="D257" s="298">
        <f t="shared" si="37"/>
        <v>0</v>
      </c>
      <c r="E257" s="299">
        <f t="shared" si="31"/>
        <v>0</v>
      </c>
      <c r="F257" s="299">
        <f t="shared" si="32"/>
        <v>0</v>
      </c>
      <c r="G257" s="299">
        <f t="shared" si="34"/>
        <v>0</v>
      </c>
      <c r="H257" s="298">
        <f t="shared" si="35"/>
        <v>0</v>
      </c>
      <c r="I257" s="294"/>
      <c r="O257" s="295">
        <f t="shared" si="33"/>
        <v>238</v>
      </c>
    </row>
    <row r="258" spans="1:15">
      <c r="A258" s="286"/>
      <c r="B258" s="296">
        <f t="shared" si="36"/>
        <v>239</v>
      </c>
      <c r="C258" s="297">
        <f t="shared" si="38"/>
        <v>0</v>
      </c>
      <c r="D258" s="298">
        <f t="shared" si="37"/>
        <v>0</v>
      </c>
      <c r="E258" s="299">
        <f t="shared" si="31"/>
        <v>0</v>
      </c>
      <c r="F258" s="299">
        <f t="shared" si="32"/>
        <v>0</v>
      </c>
      <c r="G258" s="299">
        <f t="shared" si="34"/>
        <v>0</v>
      </c>
      <c r="H258" s="298">
        <f t="shared" si="35"/>
        <v>0</v>
      </c>
      <c r="I258" s="294"/>
      <c r="O258" s="295">
        <f t="shared" si="33"/>
        <v>239</v>
      </c>
    </row>
    <row r="259" spans="1:15">
      <c r="A259" s="286"/>
      <c r="B259" s="300">
        <f t="shared" si="36"/>
        <v>240</v>
      </c>
      <c r="C259" s="301">
        <f t="shared" si="38"/>
        <v>0</v>
      </c>
      <c r="D259" s="302">
        <f t="shared" si="37"/>
        <v>0</v>
      </c>
      <c r="E259" s="303">
        <f t="shared" si="31"/>
        <v>0</v>
      </c>
      <c r="F259" s="303">
        <f t="shared" si="32"/>
        <v>0</v>
      </c>
      <c r="G259" s="303">
        <f t="shared" si="34"/>
        <v>0</v>
      </c>
      <c r="H259" s="302">
        <f t="shared" si="35"/>
        <v>0</v>
      </c>
      <c r="I259" s="304" t="e">
        <f>H259/$D$5</f>
        <v>#VALUE!</v>
      </c>
      <c r="J259" s="305"/>
      <c r="K259" s="305"/>
      <c r="L259" s="305"/>
      <c r="M259" s="305"/>
      <c r="N259" s="305"/>
      <c r="O259" s="306">
        <f t="shared" si="33"/>
        <v>240</v>
      </c>
    </row>
    <row r="260" spans="1:15">
      <c r="A260" s="286"/>
      <c r="B260" s="296">
        <f t="shared" si="36"/>
        <v>241</v>
      </c>
      <c r="C260" s="297">
        <f t="shared" si="38"/>
        <v>0</v>
      </c>
      <c r="D260" s="298">
        <f t="shared" si="37"/>
        <v>0</v>
      </c>
      <c r="E260" s="299">
        <f t="shared" ref="E260:E271" si="39">IF(H259&lt;=E259,H259+G260,$H$10)</f>
        <v>0</v>
      </c>
      <c r="F260" s="299">
        <f t="shared" si="32"/>
        <v>0</v>
      </c>
      <c r="G260" s="299">
        <f t="shared" si="34"/>
        <v>0</v>
      </c>
      <c r="H260" s="298">
        <f t="shared" si="35"/>
        <v>0</v>
      </c>
      <c r="I260" s="294"/>
      <c r="O260" s="295">
        <f t="shared" si="33"/>
        <v>241</v>
      </c>
    </row>
    <row r="261" spans="1:15">
      <c r="A261" s="286"/>
      <c r="B261" s="296">
        <f t="shared" si="36"/>
        <v>242</v>
      </c>
      <c r="C261" s="297">
        <f t="shared" si="38"/>
        <v>0</v>
      </c>
      <c r="D261" s="298">
        <f t="shared" si="37"/>
        <v>0</v>
      </c>
      <c r="E261" s="299">
        <f t="shared" si="39"/>
        <v>0</v>
      </c>
      <c r="F261" s="299">
        <f t="shared" si="32"/>
        <v>0</v>
      </c>
      <c r="G261" s="299">
        <f t="shared" si="34"/>
        <v>0</v>
      </c>
      <c r="H261" s="298">
        <f t="shared" si="35"/>
        <v>0</v>
      </c>
      <c r="I261" s="294"/>
      <c r="O261" s="295">
        <f t="shared" si="33"/>
        <v>242</v>
      </c>
    </row>
    <row r="262" spans="1:15">
      <c r="A262" s="286"/>
      <c r="B262" s="296">
        <f t="shared" si="36"/>
        <v>243</v>
      </c>
      <c r="C262" s="297">
        <f t="shared" si="38"/>
        <v>0</v>
      </c>
      <c r="D262" s="298">
        <f t="shared" si="37"/>
        <v>0</v>
      </c>
      <c r="E262" s="299">
        <f t="shared" si="39"/>
        <v>0</v>
      </c>
      <c r="F262" s="299">
        <f t="shared" si="32"/>
        <v>0</v>
      </c>
      <c r="G262" s="299">
        <f t="shared" si="34"/>
        <v>0</v>
      </c>
      <c r="H262" s="298">
        <f t="shared" si="35"/>
        <v>0</v>
      </c>
      <c r="I262" s="294"/>
      <c r="O262" s="295">
        <f t="shared" si="33"/>
        <v>243</v>
      </c>
    </row>
    <row r="263" spans="1:15">
      <c r="A263" s="286"/>
      <c r="B263" s="296">
        <f t="shared" si="36"/>
        <v>244</v>
      </c>
      <c r="C263" s="297">
        <f t="shared" si="38"/>
        <v>0</v>
      </c>
      <c r="D263" s="298">
        <f t="shared" si="37"/>
        <v>0</v>
      </c>
      <c r="E263" s="299">
        <f t="shared" si="39"/>
        <v>0</v>
      </c>
      <c r="F263" s="299">
        <f t="shared" si="32"/>
        <v>0</v>
      </c>
      <c r="G263" s="299">
        <f t="shared" si="34"/>
        <v>0</v>
      </c>
      <c r="H263" s="298">
        <f t="shared" si="35"/>
        <v>0</v>
      </c>
      <c r="I263" s="294"/>
      <c r="O263" s="295">
        <f t="shared" si="33"/>
        <v>244</v>
      </c>
    </row>
    <row r="264" spans="1:15">
      <c r="A264" s="286"/>
      <c r="B264" s="296">
        <f t="shared" si="36"/>
        <v>245</v>
      </c>
      <c r="C264" s="297">
        <f t="shared" si="38"/>
        <v>0</v>
      </c>
      <c r="D264" s="298">
        <f t="shared" si="37"/>
        <v>0</v>
      </c>
      <c r="E264" s="299">
        <f t="shared" si="39"/>
        <v>0</v>
      </c>
      <c r="F264" s="299">
        <f t="shared" si="32"/>
        <v>0</v>
      </c>
      <c r="G264" s="299">
        <f t="shared" si="34"/>
        <v>0</v>
      </c>
      <c r="H264" s="298">
        <f t="shared" si="35"/>
        <v>0</v>
      </c>
      <c r="I264" s="294"/>
      <c r="O264" s="295">
        <f t="shared" si="33"/>
        <v>245</v>
      </c>
    </row>
    <row r="265" spans="1:15">
      <c r="A265" s="286"/>
      <c r="B265" s="296">
        <f t="shared" si="36"/>
        <v>246</v>
      </c>
      <c r="C265" s="297">
        <f t="shared" si="38"/>
        <v>0</v>
      </c>
      <c r="D265" s="298">
        <f t="shared" si="37"/>
        <v>0</v>
      </c>
      <c r="E265" s="299">
        <f t="shared" si="39"/>
        <v>0</v>
      </c>
      <c r="F265" s="299">
        <f t="shared" si="32"/>
        <v>0</v>
      </c>
      <c r="G265" s="299">
        <f t="shared" si="34"/>
        <v>0</v>
      </c>
      <c r="H265" s="298">
        <f t="shared" si="35"/>
        <v>0</v>
      </c>
      <c r="I265" s="294"/>
      <c r="O265" s="295">
        <f t="shared" si="33"/>
        <v>246</v>
      </c>
    </row>
    <row r="266" spans="1:15">
      <c r="A266" s="286"/>
      <c r="B266" s="296">
        <f t="shared" si="36"/>
        <v>247</v>
      </c>
      <c r="C266" s="297">
        <f t="shared" si="38"/>
        <v>0</v>
      </c>
      <c r="D266" s="298">
        <f t="shared" si="37"/>
        <v>0</v>
      </c>
      <c r="E266" s="299">
        <f t="shared" si="39"/>
        <v>0</v>
      </c>
      <c r="F266" s="299">
        <f t="shared" si="32"/>
        <v>0</v>
      </c>
      <c r="G266" s="299">
        <f t="shared" si="34"/>
        <v>0</v>
      </c>
      <c r="H266" s="298">
        <f t="shared" si="35"/>
        <v>0</v>
      </c>
      <c r="I266" s="294"/>
      <c r="O266" s="295">
        <f t="shared" si="33"/>
        <v>247</v>
      </c>
    </row>
    <row r="267" spans="1:15">
      <c r="A267" s="286"/>
      <c r="B267" s="296">
        <f t="shared" si="36"/>
        <v>248</v>
      </c>
      <c r="C267" s="297">
        <f t="shared" si="38"/>
        <v>0</v>
      </c>
      <c r="D267" s="298">
        <f t="shared" si="37"/>
        <v>0</v>
      </c>
      <c r="E267" s="299">
        <f t="shared" si="39"/>
        <v>0</v>
      </c>
      <c r="F267" s="299">
        <f t="shared" si="32"/>
        <v>0</v>
      </c>
      <c r="G267" s="299">
        <f t="shared" si="34"/>
        <v>0</v>
      </c>
      <c r="H267" s="298">
        <f t="shared" si="35"/>
        <v>0</v>
      </c>
      <c r="I267" s="294"/>
      <c r="O267" s="295">
        <f t="shared" si="33"/>
        <v>248</v>
      </c>
    </row>
    <row r="268" spans="1:15">
      <c r="A268" s="286"/>
      <c r="B268" s="296">
        <f t="shared" si="36"/>
        <v>249</v>
      </c>
      <c r="C268" s="297">
        <f t="shared" si="38"/>
        <v>0</v>
      </c>
      <c r="D268" s="298">
        <f t="shared" si="37"/>
        <v>0</v>
      </c>
      <c r="E268" s="299">
        <f t="shared" si="39"/>
        <v>0</v>
      </c>
      <c r="F268" s="299">
        <f t="shared" si="32"/>
        <v>0</v>
      </c>
      <c r="G268" s="299">
        <f t="shared" si="34"/>
        <v>0</v>
      </c>
      <c r="H268" s="298">
        <f t="shared" si="35"/>
        <v>0</v>
      </c>
      <c r="I268" s="294"/>
      <c r="O268" s="295">
        <f t="shared" si="33"/>
        <v>249</v>
      </c>
    </row>
    <row r="269" spans="1:15">
      <c r="A269" s="286"/>
      <c r="B269" s="296">
        <f t="shared" si="36"/>
        <v>250</v>
      </c>
      <c r="C269" s="297">
        <f t="shared" si="38"/>
        <v>0</v>
      </c>
      <c r="D269" s="298">
        <f t="shared" si="37"/>
        <v>0</v>
      </c>
      <c r="E269" s="299">
        <f t="shared" si="39"/>
        <v>0</v>
      </c>
      <c r="F269" s="299">
        <f t="shared" si="32"/>
        <v>0</v>
      </c>
      <c r="G269" s="299">
        <f t="shared" si="34"/>
        <v>0</v>
      </c>
      <c r="H269" s="298">
        <f t="shared" si="35"/>
        <v>0</v>
      </c>
      <c r="I269" s="294"/>
      <c r="O269" s="295">
        <f t="shared" si="33"/>
        <v>250</v>
      </c>
    </row>
    <row r="270" spans="1:15">
      <c r="A270" s="286"/>
      <c r="B270" s="296">
        <f t="shared" si="36"/>
        <v>251</v>
      </c>
      <c r="C270" s="297">
        <f t="shared" si="38"/>
        <v>0</v>
      </c>
      <c r="D270" s="298">
        <f t="shared" si="37"/>
        <v>0</v>
      </c>
      <c r="E270" s="299">
        <f t="shared" si="39"/>
        <v>0</v>
      </c>
      <c r="F270" s="299">
        <f t="shared" si="32"/>
        <v>0</v>
      </c>
      <c r="G270" s="299">
        <f t="shared" si="34"/>
        <v>0</v>
      </c>
      <c r="H270" s="298">
        <f t="shared" si="35"/>
        <v>0</v>
      </c>
      <c r="I270" s="294"/>
      <c r="O270" s="295">
        <f t="shared" si="33"/>
        <v>251</v>
      </c>
    </row>
    <row r="271" spans="1:15">
      <c r="A271" s="286"/>
      <c r="B271" s="300">
        <f t="shared" si="36"/>
        <v>252</v>
      </c>
      <c r="C271" s="301">
        <f t="shared" si="38"/>
        <v>0</v>
      </c>
      <c r="D271" s="302">
        <f t="shared" si="37"/>
        <v>0</v>
      </c>
      <c r="E271" s="303">
        <f t="shared" si="39"/>
        <v>0</v>
      </c>
      <c r="F271" s="303">
        <f t="shared" si="32"/>
        <v>0</v>
      </c>
      <c r="G271" s="303">
        <f t="shared" si="34"/>
        <v>0</v>
      </c>
      <c r="H271" s="302">
        <f t="shared" si="35"/>
        <v>0</v>
      </c>
      <c r="I271" s="304" t="e">
        <f>H271/$D$5</f>
        <v>#VALUE!</v>
      </c>
      <c r="J271" s="305"/>
      <c r="K271" s="305"/>
      <c r="L271" s="305"/>
      <c r="M271" s="305"/>
      <c r="N271" s="305"/>
      <c r="O271" s="306">
        <f t="shared" si="33"/>
        <v>252</v>
      </c>
    </row>
    <row r="272" spans="1:15">
      <c r="A272" s="286"/>
      <c r="B272" s="296">
        <f t="shared" si="36"/>
        <v>253</v>
      </c>
      <c r="C272" s="297">
        <f t="shared" si="38"/>
        <v>0</v>
      </c>
      <c r="D272" s="298">
        <f t="shared" si="37"/>
        <v>0</v>
      </c>
      <c r="E272" s="299">
        <f>IF(H271&lt;=E271,H271+G272,$H$10)</f>
        <v>0</v>
      </c>
      <c r="F272" s="299">
        <f>E272-G272</f>
        <v>0</v>
      </c>
      <c r="G272" s="299">
        <f t="shared" si="34"/>
        <v>0</v>
      </c>
      <c r="H272" s="298">
        <f t="shared" si="35"/>
        <v>0</v>
      </c>
      <c r="I272" s="294"/>
      <c r="O272" s="295">
        <f t="shared" si="33"/>
        <v>253</v>
      </c>
    </row>
    <row r="273" spans="1:15">
      <c r="A273" s="286"/>
      <c r="B273" s="296">
        <f t="shared" si="36"/>
        <v>254</v>
      </c>
      <c r="C273" s="297">
        <f t="shared" si="38"/>
        <v>0</v>
      </c>
      <c r="D273" s="298">
        <f t="shared" si="37"/>
        <v>0</v>
      </c>
      <c r="E273" s="299">
        <f>IF(H272&lt;=E272,H272+G273,$H$10)</f>
        <v>0</v>
      </c>
      <c r="F273" s="299">
        <f t="shared" ref="F273:F336" si="40">E273-G273</f>
        <v>0</v>
      </c>
      <c r="G273" s="299">
        <f t="shared" si="34"/>
        <v>0</v>
      </c>
      <c r="H273" s="298">
        <f t="shared" si="35"/>
        <v>0</v>
      </c>
      <c r="I273" s="294"/>
      <c r="O273" s="295">
        <f t="shared" si="33"/>
        <v>254</v>
      </c>
    </row>
    <row r="274" spans="1:15">
      <c r="A274" s="286"/>
      <c r="B274" s="296">
        <f t="shared" si="36"/>
        <v>255</v>
      </c>
      <c r="C274" s="297">
        <f t="shared" si="38"/>
        <v>0</v>
      </c>
      <c r="D274" s="298">
        <f t="shared" si="37"/>
        <v>0</v>
      </c>
      <c r="E274" s="299">
        <f>IF(H273&lt;=E273,H273+G274,$H$10)</f>
        <v>0</v>
      </c>
      <c r="F274" s="299">
        <f t="shared" si="40"/>
        <v>0</v>
      </c>
      <c r="G274" s="299">
        <f t="shared" si="34"/>
        <v>0</v>
      </c>
      <c r="H274" s="298">
        <f t="shared" si="35"/>
        <v>0</v>
      </c>
      <c r="I274" s="294"/>
      <c r="O274" s="295">
        <f t="shared" si="33"/>
        <v>255</v>
      </c>
    </row>
    <row r="275" spans="1:15">
      <c r="A275" s="286"/>
      <c r="B275" s="296">
        <f t="shared" si="36"/>
        <v>256</v>
      </c>
      <c r="C275" s="297">
        <f t="shared" si="38"/>
        <v>0</v>
      </c>
      <c r="D275" s="298">
        <f t="shared" si="37"/>
        <v>0</v>
      </c>
      <c r="E275" s="299">
        <f t="shared" ref="E275:E338" si="41">IF(H274&lt;=E274,H274+G275,$H$10)</f>
        <v>0</v>
      </c>
      <c r="F275" s="299">
        <f t="shared" si="40"/>
        <v>0</v>
      </c>
      <c r="G275" s="299">
        <f t="shared" si="34"/>
        <v>0</v>
      </c>
      <c r="H275" s="298">
        <f t="shared" si="35"/>
        <v>0</v>
      </c>
      <c r="I275" s="294"/>
      <c r="O275" s="295">
        <f t="shared" si="33"/>
        <v>256</v>
      </c>
    </row>
    <row r="276" spans="1:15">
      <c r="A276" s="286"/>
      <c r="B276" s="296">
        <f t="shared" si="36"/>
        <v>257</v>
      </c>
      <c r="C276" s="297">
        <f t="shared" si="38"/>
        <v>0</v>
      </c>
      <c r="D276" s="298">
        <f t="shared" si="37"/>
        <v>0</v>
      </c>
      <c r="E276" s="299">
        <f t="shared" si="41"/>
        <v>0</v>
      </c>
      <c r="F276" s="299">
        <f t="shared" si="40"/>
        <v>0</v>
      </c>
      <c r="G276" s="299">
        <f t="shared" si="34"/>
        <v>0</v>
      </c>
      <c r="H276" s="298">
        <f t="shared" si="35"/>
        <v>0</v>
      </c>
      <c r="I276" s="294"/>
      <c r="O276" s="295">
        <f t="shared" ref="O276:O339" si="42">IF(H276=0,B276,"n.a.")</f>
        <v>257</v>
      </c>
    </row>
    <row r="277" spans="1:15">
      <c r="A277" s="286"/>
      <c r="B277" s="296">
        <f t="shared" si="36"/>
        <v>258</v>
      </c>
      <c r="C277" s="297">
        <f t="shared" si="38"/>
        <v>0</v>
      </c>
      <c r="D277" s="298">
        <f t="shared" si="37"/>
        <v>0</v>
      </c>
      <c r="E277" s="299">
        <f t="shared" si="41"/>
        <v>0</v>
      </c>
      <c r="F277" s="299">
        <f t="shared" si="40"/>
        <v>0</v>
      </c>
      <c r="G277" s="299">
        <f t="shared" ref="G277:G340" si="43">C277*(D277/365)*30</f>
        <v>0</v>
      </c>
      <c r="H277" s="298">
        <f t="shared" ref="H277:H340" si="44">IF((D277+G277-E277)&lt;0,0,D277+G277-E277)</f>
        <v>0</v>
      </c>
      <c r="I277" s="294"/>
      <c r="O277" s="295">
        <f t="shared" si="42"/>
        <v>258</v>
      </c>
    </row>
    <row r="278" spans="1:15">
      <c r="A278" s="286"/>
      <c r="B278" s="296">
        <f t="shared" ref="B278:B341" si="45">B277+1</f>
        <v>259</v>
      </c>
      <c r="C278" s="297">
        <f t="shared" si="38"/>
        <v>0</v>
      </c>
      <c r="D278" s="298">
        <f t="shared" ref="D278:D341" si="46">H277</f>
        <v>0</v>
      </c>
      <c r="E278" s="299">
        <f t="shared" si="41"/>
        <v>0</v>
      </c>
      <c r="F278" s="299">
        <f t="shared" si="40"/>
        <v>0</v>
      </c>
      <c r="G278" s="299">
        <f t="shared" si="43"/>
        <v>0</v>
      </c>
      <c r="H278" s="298">
        <f t="shared" si="44"/>
        <v>0</v>
      </c>
      <c r="I278" s="294"/>
      <c r="O278" s="295">
        <f t="shared" si="42"/>
        <v>259</v>
      </c>
    </row>
    <row r="279" spans="1:15">
      <c r="A279" s="286"/>
      <c r="B279" s="296">
        <f t="shared" si="45"/>
        <v>260</v>
      </c>
      <c r="C279" s="297">
        <f t="shared" si="38"/>
        <v>0</v>
      </c>
      <c r="D279" s="298">
        <f t="shared" si="46"/>
        <v>0</v>
      </c>
      <c r="E279" s="299">
        <f t="shared" si="41"/>
        <v>0</v>
      </c>
      <c r="F279" s="299">
        <f t="shared" si="40"/>
        <v>0</v>
      </c>
      <c r="G279" s="299">
        <f t="shared" si="43"/>
        <v>0</v>
      </c>
      <c r="H279" s="298">
        <f t="shared" si="44"/>
        <v>0</v>
      </c>
      <c r="I279" s="294"/>
      <c r="O279" s="295">
        <f t="shared" si="42"/>
        <v>260</v>
      </c>
    </row>
    <row r="280" spans="1:15">
      <c r="A280" s="286"/>
      <c r="B280" s="296">
        <f t="shared" si="45"/>
        <v>261</v>
      </c>
      <c r="C280" s="297">
        <f t="shared" si="38"/>
        <v>0</v>
      </c>
      <c r="D280" s="298">
        <f t="shared" si="46"/>
        <v>0</v>
      </c>
      <c r="E280" s="299">
        <f t="shared" si="41"/>
        <v>0</v>
      </c>
      <c r="F280" s="299">
        <f t="shared" si="40"/>
        <v>0</v>
      </c>
      <c r="G280" s="299">
        <f t="shared" si="43"/>
        <v>0</v>
      </c>
      <c r="H280" s="298">
        <f t="shared" si="44"/>
        <v>0</v>
      </c>
      <c r="I280" s="294"/>
      <c r="O280" s="295">
        <f t="shared" si="42"/>
        <v>261</v>
      </c>
    </row>
    <row r="281" spans="1:15">
      <c r="A281" s="286"/>
      <c r="B281" s="296">
        <f t="shared" si="45"/>
        <v>262</v>
      </c>
      <c r="C281" s="297">
        <f t="shared" si="38"/>
        <v>0</v>
      </c>
      <c r="D281" s="298">
        <f t="shared" si="46"/>
        <v>0</v>
      </c>
      <c r="E281" s="299">
        <f t="shared" si="41"/>
        <v>0</v>
      </c>
      <c r="F281" s="299">
        <f t="shared" si="40"/>
        <v>0</v>
      </c>
      <c r="G281" s="299">
        <f t="shared" si="43"/>
        <v>0</v>
      </c>
      <c r="H281" s="298">
        <f t="shared" si="44"/>
        <v>0</v>
      </c>
      <c r="I281" s="294"/>
      <c r="O281" s="295">
        <f t="shared" si="42"/>
        <v>262</v>
      </c>
    </row>
    <row r="282" spans="1:15">
      <c r="A282" s="286"/>
      <c r="B282" s="296">
        <f t="shared" si="45"/>
        <v>263</v>
      </c>
      <c r="C282" s="297">
        <f t="shared" si="38"/>
        <v>0</v>
      </c>
      <c r="D282" s="298">
        <f t="shared" si="46"/>
        <v>0</v>
      </c>
      <c r="E282" s="299">
        <f t="shared" si="41"/>
        <v>0</v>
      </c>
      <c r="F282" s="299">
        <f t="shared" si="40"/>
        <v>0</v>
      </c>
      <c r="G282" s="299">
        <f t="shared" si="43"/>
        <v>0</v>
      </c>
      <c r="H282" s="298">
        <f t="shared" si="44"/>
        <v>0</v>
      </c>
      <c r="I282" s="294"/>
      <c r="O282" s="295">
        <f t="shared" si="42"/>
        <v>263</v>
      </c>
    </row>
    <row r="283" spans="1:15">
      <c r="A283" s="286"/>
      <c r="B283" s="300">
        <f t="shared" si="45"/>
        <v>264</v>
      </c>
      <c r="C283" s="301">
        <f t="shared" si="38"/>
        <v>0</v>
      </c>
      <c r="D283" s="302">
        <f t="shared" si="46"/>
        <v>0</v>
      </c>
      <c r="E283" s="303">
        <f t="shared" si="41"/>
        <v>0</v>
      </c>
      <c r="F283" s="303">
        <f t="shared" si="40"/>
        <v>0</v>
      </c>
      <c r="G283" s="303">
        <f t="shared" si="43"/>
        <v>0</v>
      </c>
      <c r="H283" s="302">
        <f t="shared" si="44"/>
        <v>0</v>
      </c>
      <c r="I283" s="304" t="e">
        <f>H283/$D$5</f>
        <v>#VALUE!</v>
      </c>
      <c r="J283" s="305"/>
      <c r="K283" s="305"/>
      <c r="L283" s="305"/>
      <c r="M283" s="305"/>
      <c r="N283" s="305"/>
      <c r="O283" s="306">
        <f t="shared" si="42"/>
        <v>264</v>
      </c>
    </row>
    <row r="284" spans="1:15">
      <c r="A284" s="286"/>
      <c r="B284" s="296">
        <f t="shared" si="45"/>
        <v>265</v>
      </c>
      <c r="C284" s="297">
        <f t="shared" si="38"/>
        <v>0</v>
      </c>
      <c r="D284" s="298">
        <f t="shared" si="46"/>
        <v>0</v>
      </c>
      <c r="E284" s="299">
        <f t="shared" si="41"/>
        <v>0</v>
      </c>
      <c r="F284" s="299">
        <f t="shared" si="40"/>
        <v>0</v>
      </c>
      <c r="G284" s="299">
        <f t="shared" si="43"/>
        <v>0</v>
      </c>
      <c r="H284" s="298">
        <f t="shared" si="44"/>
        <v>0</v>
      </c>
      <c r="I284" s="294"/>
      <c r="O284" s="295">
        <f t="shared" si="42"/>
        <v>265</v>
      </c>
    </row>
    <row r="285" spans="1:15">
      <c r="A285" s="286"/>
      <c r="B285" s="296">
        <f t="shared" si="45"/>
        <v>266</v>
      </c>
      <c r="C285" s="297">
        <f t="shared" si="38"/>
        <v>0</v>
      </c>
      <c r="D285" s="298">
        <f t="shared" si="46"/>
        <v>0</v>
      </c>
      <c r="E285" s="299">
        <f t="shared" si="41"/>
        <v>0</v>
      </c>
      <c r="F285" s="299">
        <f t="shared" si="40"/>
        <v>0</v>
      </c>
      <c r="G285" s="299">
        <f t="shared" si="43"/>
        <v>0</v>
      </c>
      <c r="H285" s="298">
        <f t="shared" si="44"/>
        <v>0</v>
      </c>
      <c r="I285" s="294"/>
      <c r="O285" s="295">
        <f t="shared" si="42"/>
        <v>266</v>
      </c>
    </row>
    <row r="286" spans="1:15">
      <c r="A286" s="286"/>
      <c r="B286" s="296">
        <f t="shared" si="45"/>
        <v>267</v>
      </c>
      <c r="C286" s="297">
        <f t="shared" si="38"/>
        <v>0</v>
      </c>
      <c r="D286" s="298">
        <f t="shared" si="46"/>
        <v>0</v>
      </c>
      <c r="E286" s="299">
        <f t="shared" si="41"/>
        <v>0</v>
      </c>
      <c r="F286" s="299">
        <f t="shared" si="40"/>
        <v>0</v>
      </c>
      <c r="G286" s="299">
        <f t="shared" si="43"/>
        <v>0</v>
      </c>
      <c r="H286" s="298">
        <f t="shared" si="44"/>
        <v>0</v>
      </c>
      <c r="I286" s="294"/>
      <c r="O286" s="295">
        <f t="shared" si="42"/>
        <v>267</v>
      </c>
    </row>
    <row r="287" spans="1:15">
      <c r="A287" s="286"/>
      <c r="B287" s="296">
        <f t="shared" si="45"/>
        <v>268</v>
      </c>
      <c r="C287" s="297">
        <f t="shared" si="38"/>
        <v>0</v>
      </c>
      <c r="D287" s="298">
        <f t="shared" si="46"/>
        <v>0</v>
      </c>
      <c r="E287" s="299">
        <f t="shared" si="41"/>
        <v>0</v>
      </c>
      <c r="F287" s="299">
        <f t="shared" si="40"/>
        <v>0</v>
      </c>
      <c r="G287" s="299">
        <f t="shared" si="43"/>
        <v>0</v>
      </c>
      <c r="H287" s="298">
        <f t="shared" si="44"/>
        <v>0</v>
      </c>
      <c r="I287" s="294"/>
      <c r="O287" s="295">
        <f t="shared" si="42"/>
        <v>268</v>
      </c>
    </row>
    <row r="288" spans="1:15">
      <c r="A288" s="286"/>
      <c r="B288" s="296">
        <f t="shared" si="45"/>
        <v>269</v>
      </c>
      <c r="C288" s="297">
        <f t="shared" si="38"/>
        <v>0</v>
      </c>
      <c r="D288" s="298">
        <f t="shared" si="46"/>
        <v>0</v>
      </c>
      <c r="E288" s="299">
        <f t="shared" si="41"/>
        <v>0</v>
      </c>
      <c r="F288" s="299">
        <f t="shared" si="40"/>
        <v>0</v>
      </c>
      <c r="G288" s="299">
        <f t="shared" si="43"/>
        <v>0</v>
      </c>
      <c r="H288" s="298">
        <f t="shared" si="44"/>
        <v>0</v>
      </c>
      <c r="I288" s="294"/>
      <c r="O288" s="295">
        <f t="shared" si="42"/>
        <v>269</v>
      </c>
    </row>
    <row r="289" spans="1:15">
      <c r="A289" s="286"/>
      <c r="B289" s="296">
        <f t="shared" si="45"/>
        <v>270</v>
      </c>
      <c r="C289" s="297">
        <f t="shared" si="38"/>
        <v>0</v>
      </c>
      <c r="D289" s="298">
        <f t="shared" si="46"/>
        <v>0</v>
      </c>
      <c r="E289" s="299">
        <f t="shared" si="41"/>
        <v>0</v>
      </c>
      <c r="F289" s="299">
        <f t="shared" si="40"/>
        <v>0</v>
      </c>
      <c r="G289" s="299">
        <f t="shared" si="43"/>
        <v>0</v>
      </c>
      <c r="H289" s="298">
        <f t="shared" si="44"/>
        <v>0</v>
      </c>
      <c r="I289" s="294"/>
      <c r="O289" s="295">
        <f t="shared" si="42"/>
        <v>270</v>
      </c>
    </row>
    <row r="290" spans="1:15">
      <c r="A290" s="286"/>
      <c r="B290" s="296">
        <f t="shared" si="45"/>
        <v>271</v>
      </c>
      <c r="C290" s="297">
        <f t="shared" si="38"/>
        <v>0</v>
      </c>
      <c r="D290" s="298">
        <f t="shared" si="46"/>
        <v>0</v>
      </c>
      <c r="E290" s="299">
        <f t="shared" si="41"/>
        <v>0</v>
      </c>
      <c r="F290" s="299">
        <f t="shared" si="40"/>
        <v>0</v>
      </c>
      <c r="G290" s="299">
        <f t="shared" si="43"/>
        <v>0</v>
      </c>
      <c r="H290" s="298">
        <f t="shared" si="44"/>
        <v>0</v>
      </c>
      <c r="I290" s="294"/>
      <c r="O290" s="295">
        <f t="shared" si="42"/>
        <v>271</v>
      </c>
    </row>
    <row r="291" spans="1:15">
      <c r="A291" s="286"/>
      <c r="B291" s="296">
        <f t="shared" si="45"/>
        <v>272</v>
      </c>
      <c r="C291" s="297">
        <f t="shared" si="38"/>
        <v>0</v>
      </c>
      <c r="D291" s="298">
        <f t="shared" si="46"/>
        <v>0</v>
      </c>
      <c r="E291" s="299">
        <f t="shared" si="41"/>
        <v>0</v>
      </c>
      <c r="F291" s="299">
        <f t="shared" si="40"/>
        <v>0</v>
      </c>
      <c r="G291" s="299">
        <f t="shared" si="43"/>
        <v>0</v>
      </c>
      <c r="H291" s="298">
        <f t="shared" si="44"/>
        <v>0</v>
      </c>
      <c r="I291" s="294"/>
      <c r="O291" s="295">
        <f t="shared" si="42"/>
        <v>272</v>
      </c>
    </row>
    <row r="292" spans="1:15">
      <c r="A292" s="286"/>
      <c r="B292" s="296">
        <f t="shared" si="45"/>
        <v>273</v>
      </c>
      <c r="C292" s="297">
        <f t="shared" si="38"/>
        <v>0</v>
      </c>
      <c r="D292" s="298">
        <f t="shared" si="46"/>
        <v>0</v>
      </c>
      <c r="E292" s="299">
        <f t="shared" si="41"/>
        <v>0</v>
      </c>
      <c r="F292" s="299">
        <f t="shared" si="40"/>
        <v>0</v>
      </c>
      <c r="G292" s="299">
        <f t="shared" si="43"/>
        <v>0</v>
      </c>
      <c r="H292" s="298">
        <f t="shared" si="44"/>
        <v>0</v>
      </c>
      <c r="I292" s="294"/>
      <c r="O292" s="295">
        <f t="shared" si="42"/>
        <v>273</v>
      </c>
    </row>
    <row r="293" spans="1:15">
      <c r="A293" s="286"/>
      <c r="B293" s="296">
        <f t="shared" si="45"/>
        <v>274</v>
      </c>
      <c r="C293" s="297">
        <f t="shared" si="38"/>
        <v>0</v>
      </c>
      <c r="D293" s="298">
        <f t="shared" si="46"/>
        <v>0</v>
      </c>
      <c r="E293" s="299">
        <f t="shared" si="41"/>
        <v>0</v>
      </c>
      <c r="F293" s="299">
        <f t="shared" si="40"/>
        <v>0</v>
      </c>
      <c r="G293" s="299">
        <f t="shared" si="43"/>
        <v>0</v>
      </c>
      <c r="H293" s="298">
        <f t="shared" si="44"/>
        <v>0</v>
      </c>
      <c r="I293" s="294"/>
      <c r="O293" s="295">
        <f t="shared" si="42"/>
        <v>274</v>
      </c>
    </row>
    <row r="294" spans="1:15">
      <c r="A294" s="286"/>
      <c r="B294" s="296">
        <f t="shared" si="45"/>
        <v>275</v>
      </c>
      <c r="C294" s="297">
        <f t="shared" si="38"/>
        <v>0</v>
      </c>
      <c r="D294" s="298">
        <f t="shared" si="46"/>
        <v>0</v>
      </c>
      <c r="E294" s="299">
        <f t="shared" si="41"/>
        <v>0</v>
      </c>
      <c r="F294" s="299">
        <f t="shared" si="40"/>
        <v>0</v>
      </c>
      <c r="G294" s="299">
        <f t="shared" si="43"/>
        <v>0</v>
      </c>
      <c r="H294" s="298">
        <f t="shared" si="44"/>
        <v>0</v>
      </c>
      <c r="I294" s="294"/>
      <c r="O294" s="295">
        <f t="shared" si="42"/>
        <v>275</v>
      </c>
    </row>
    <row r="295" spans="1:15">
      <c r="A295" s="286"/>
      <c r="B295" s="300">
        <f t="shared" si="45"/>
        <v>276</v>
      </c>
      <c r="C295" s="301">
        <f t="shared" si="38"/>
        <v>0</v>
      </c>
      <c r="D295" s="302">
        <f t="shared" si="46"/>
        <v>0</v>
      </c>
      <c r="E295" s="303">
        <f t="shared" si="41"/>
        <v>0</v>
      </c>
      <c r="F295" s="303">
        <f t="shared" si="40"/>
        <v>0</v>
      </c>
      <c r="G295" s="303">
        <f t="shared" si="43"/>
        <v>0</v>
      </c>
      <c r="H295" s="302">
        <f t="shared" si="44"/>
        <v>0</v>
      </c>
      <c r="I295" s="304" t="e">
        <f>H295/$D$5</f>
        <v>#VALUE!</v>
      </c>
      <c r="J295" s="305"/>
      <c r="K295" s="305"/>
      <c r="L295" s="305"/>
      <c r="M295" s="305"/>
      <c r="N295" s="305"/>
      <c r="O295" s="306">
        <f t="shared" si="42"/>
        <v>276</v>
      </c>
    </row>
    <row r="296" spans="1:15">
      <c r="A296" s="286"/>
      <c r="B296" s="296">
        <f t="shared" si="45"/>
        <v>277</v>
      </c>
      <c r="C296" s="297">
        <f t="shared" si="38"/>
        <v>0</v>
      </c>
      <c r="D296" s="298">
        <f t="shared" si="46"/>
        <v>0</v>
      </c>
      <c r="E296" s="299">
        <f t="shared" si="41"/>
        <v>0</v>
      </c>
      <c r="F296" s="299">
        <f t="shared" si="40"/>
        <v>0</v>
      </c>
      <c r="G296" s="299">
        <f t="shared" si="43"/>
        <v>0</v>
      </c>
      <c r="H296" s="298">
        <f t="shared" si="44"/>
        <v>0</v>
      </c>
      <c r="I296" s="294"/>
      <c r="O296" s="295">
        <f t="shared" si="42"/>
        <v>277</v>
      </c>
    </row>
    <row r="297" spans="1:15">
      <c r="A297" s="286"/>
      <c r="B297" s="296">
        <f t="shared" si="45"/>
        <v>278</v>
      </c>
      <c r="C297" s="297">
        <f t="shared" si="38"/>
        <v>0</v>
      </c>
      <c r="D297" s="298">
        <f t="shared" si="46"/>
        <v>0</v>
      </c>
      <c r="E297" s="299">
        <f t="shared" si="41"/>
        <v>0</v>
      </c>
      <c r="F297" s="299">
        <f t="shared" si="40"/>
        <v>0</v>
      </c>
      <c r="G297" s="299">
        <f t="shared" si="43"/>
        <v>0</v>
      </c>
      <c r="H297" s="298">
        <f t="shared" si="44"/>
        <v>0</v>
      </c>
      <c r="I297" s="294"/>
      <c r="O297" s="295">
        <f t="shared" si="42"/>
        <v>278</v>
      </c>
    </row>
    <row r="298" spans="1:15">
      <c r="A298" s="286"/>
      <c r="B298" s="296">
        <f t="shared" si="45"/>
        <v>279</v>
      </c>
      <c r="C298" s="297">
        <f t="shared" si="38"/>
        <v>0</v>
      </c>
      <c r="D298" s="298">
        <f t="shared" si="46"/>
        <v>0</v>
      </c>
      <c r="E298" s="299">
        <f t="shared" si="41"/>
        <v>0</v>
      </c>
      <c r="F298" s="299">
        <f t="shared" si="40"/>
        <v>0</v>
      </c>
      <c r="G298" s="299">
        <f t="shared" si="43"/>
        <v>0</v>
      </c>
      <c r="H298" s="298">
        <f t="shared" si="44"/>
        <v>0</v>
      </c>
      <c r="I298" s="294"/>
      <c r="O298" s="295">
        <f t="shared" si="42"/>
        <v>279</v>
      </c>
    </row>
    <row r="299" spans="1:15">
      <c r="A299" s="286"/>
      <c r="B299" s="296">
        <f t="shared" si="45"/>
        <v>280</v>
      </c>
      <c r="C299" s="297">
        <f t="shared" si="38"/>
        <v>0</v>
      </c>
      <c r="D299" s="298">
        <f t="shared" si="46"/>
        <v>0</v>
      </c>
      <c r="E299" s="299">
        <f t="shared" si="41"/>
        <v>0</v>
      </c>
      <c r="F299" s="299">
        <f t="shared" si="40"/>
        <v>0</v>
      </c>
      <c r="G299" s="299">
        <f t="shared" si="43"/>
        <v>0</v>
      </c>
      <c r="H299" s="298">
        <f t="shared" si="44"/>
        <v>0</v>
      </c>
      <c r="I299" s="294"/>
      <c r="O299" s="295">
        <f t="shared" si="42"/>
        <v>280</v>
      </c>
    </row>
    <row r="300" spans="1:15">
      <c r="A300" s="286"/>
      <c r="B300" s="296">
        <f t="shared" si="45"/>
        <v>281</v>
      </c>
      <c r="C300" s="297">
        <f t="shared" si="38"/>
        <v>0</v>
      </c>
      <c r="D300" s="298">
        <f t="shared" si="46"/>
        <v>0</v>
      </c>
      <c r="E300" s="299">
        <f t="shared" si="41"/>
        <v>0</v>
      </c>
      <c r="F300" s="299">
        <f t="shared" si="40"/>
        <v>0</v>
      </c>
      <c r="G300" s="299">
        <f t="shared" si="43"/>
        <v>0</v>
      </c>
      <c r="H300" s="298">
        <f t="shared" si="44"/>
        <v>0</v>
      </c>
      <c r="I300" s="294"/>
      <c r="O300" s="295">
        <f t="shared" si="42"/>
        <v>281</v>
      </c>
    </row>
    <row r="301" spans="1:15">
      <c r="A301" s="286"/>
      <c r="B301" s="296">
        <f t="shared" si="45"/>
        <v>282</v>
      </c>
      <c r="C301" s="297">
        <f t="shared" si="38"/>
        <v>0</v>
      </c>
      <c r="D301" s="298">
        <f t="shared" si="46"/>
        <v>0</v>
      </c>
      <c r="E301" s="299">
        <f t="shared" si="41"/>
        <v>0</v>
      </c>
      <c r="F301" s="299">
        <f t="shared" si="40"/>
        <v>0</v>
      </c>
      <c r="G301" s="299">
        <f t="shared" si="43"/>
        <v>0</v>
      </c>
      <c r="H301" s="298">
        <f t="shared" si="44"/>
        <v>0</v>
      </c>
      <c r="I301" s="294"/>
      <c r="O301" s="295">
        <f t="shared" si="42"/>
        <v>282</v>
      </c>
    </row>
    <row r="302" spans="1:15">
      <c r="A302" s="286"/>
      <c r="B302" s="296">
        <f t="shared" si="45"/>
        <v>283</v>
      </c>
      <c r="C302" s="297">
        <f t="shared" si="38"/>
        <v>0</v>
      </c>
      <c r="D302" s="298">
        <f t="shared" si="46"/>
        <v>0</v>
      </c>
      <c r="E302" s="299">
        <f t="shared" si="41"/>
        <v>0</v>
      </c>
      <c r="F302" s="299">
        <f t="shared" si="40"/>
        <v>0</v>
      </c>
      <c r="G302" s="299">
        <f t="shared" si="43"/>
        <v>0</v>
      </c>
      <c r="H302" s="298">
        <f t="shared" si="44"/>
        <v>0</v>
      </c>
      <c r="I302" s="294"/>
      <c r="O302" s="295">
        <f t="shared" si="42"/>
        <v>283</v>
      </c>
    </row>
    <row r="303" spans="1:15">
      <c r="A303" s="286"/>
      <c r="B303" s="296">
        <f t="shared" si="45"/>
        <v>284</v>
      </c>
      <c r="C303" s="297">
        <f t="shared" si="38"/>
        <v>0</v>
      </c>
      <c r="D303" s="298">
        <f t="shared" si="46"/>
        <v>0</v>
      </c>
      <c r="E303" s="299">
        <f t="shared" si="41"/>
        <v>0</v>
      </c>
      <c r="F303" s="299">
        <f t="shared" si="40"/>
        <v>0</v>
      </c>
      <c r="G303" s="299">
        <f t="shared" si="43"/>
        <v>0</v>
      </c>
      <c r="H303" s="298">
        <f t="shared" si="44"/>
        <v>0</v>
      </c>
      <c r="I303" s="294"/>
      <c r="O303" s="295">
        <f t="shared" si="42"/>
        <v>284</v>
      </c>
    </row>
    <row r="304" spans="1:15">
      <c r="A304" s="286"/>
      <c r="B304" s="296">
        <f t="shared" si="45"/>
        <v>285</v>
      </c>
      <c r="C304" s="297">
        <f t="shared" si="38"/>
        <v>0</v>
      </c>
      <c r="D304" s="298">
        <f t="shared" si="46"/>
        <v>0</v>
      </c>
      <c r="E304" s="299">
        <f t="shared" si="41"/>
        <v>0</v>
      </c>
      <c r="F304" s="299">
        <f t="shared" si="40"/>
        <v>0</v>
      </c>
      <c r="G304" s="299">
        <f t="shared" si="43"/>
        <v>0</v>
      </c>
      <c r="H304" s="298">
        <f t="shared" si="44"/>
        <v>0</v>
      </c>
      <c r="I304" s="294"/>
      <c r="O304" s="295">
        <f t="shared" si="42"/>
        <v>285</v>
      </c>
    </row>
    <row r="305" spans="1:15">
      <c r="A305" s="286"/>
      <c r="B305" s="296">
        <f t="shared" si="45"/>
        <v>286</v>
      </c>
      <c r="C305" s="297">
        <f t="shared" si="38"/>
        <v>0</v>
      </c>
      <c r="D305" s="298">
        <f t="shared" si="46"/>
        <v>0</v>
      </c>
      <c r="E305" s="299">
        <f t="shared" si="41"/>
        <v>0</v>
      </c>
      <c r="F305" s="299">
        <f t="shared" si="40"/>
        <v>0</v>
      </c>
      <c r="G305" s="299">
        <f t="shared" si="43"/>
        <v>0</v>
      </c>
      <c r="H305" s="298">
        <f t="shared" si="44"/>
        <v>0</v>
      </c>
      <c r="I305" s="294"/>
      <c r="O305" s="295">
        <f t="shared" si="42"/>
        <v>286</v>
      </c>
    </row>
    <row r="306" spans="1:15">
      <c r="A306" s="286"/>
      <c r="B306" s="296">
        <f t="shared" si="45"/>
        <v>287</v>
      </c>
      <c r="C306" s="297">
        <f t="shared" si="38"/>
        <v>0</v>
      </c>
      <c r="D306" s="298">
        <f t="shared" si="46"/>
        <v>0</v>
      </c>
      <c r="E306" s="299">
        <f t="shared" si="41"/>
        <v>0</v>
      </c>
      <c r="F306" s="299">
        <f t="shared" si="40"/>
        <v>0</v>
      </c>
      <c r="G306" s="299">
        <f t="shared" si="43"/>
        <v>0</v>
      </c>
      <c r="H306" s="298">
        <f t="shared" si="44"/>
        <v>0</v>
      </c>
      <c r="I306" s="294"/>
      <c r="O306" s="295">
        <f t="shared" si="42"/>
        <v>287</v>
      </c>
    </row>
    <row r="307" spans="1:15">
      <c r="A307" s="286"/>
      <c r="B307" s="300">
        <f t="shared" si="45"/>
        <v>288</v>
      </c>
      <c r="C307" s="301">
        <f t="shared" si="38"/>
        <v>0</v>
      </c>
      <c r="D307" s="302">
        <f t="shared" si="46"/>
        <v>0</v>
      </c>
      <c r="E307" s="303">
        <f t="shared" si="41"/>
        <v>0</v>
      </c>
      <c r="F307" s="303">
        <f t="shared" si="40"/>
        <v>0</v>
      </c>
      <c r="G307" s="303">
        <f t="shared" si="43"/>
        <v>0</v>
      </c>
      <c r="H307" s="302">
        <f t="shared" si="44"/>
        <v>0</v>
      </c>
      <c r="I307" s="304" t="e">
        <f>H307/$D$5</f>
        <v>#VALUE!</v>
      </c>
      <c r="J307" s="305"/>
      <c r="K307" s="305"/>
      <c r="L307" s="305"/>
      <c r="M307" s="305"/>
      <c r="N307" s="305"/>
      <c r="O307" s="306">
        <f t="shared" si="42"/>
        <v>288</v>
      </c>
    </row>
    <row r="308" spans="1:15">
      <c r="A308" s="286"/>
      <c r="B308" s="296">
        <f t="shared" si="45"/>
        <v>289</v>
      </c>
      <c r="C308" s="297">
        <f t="shared" si="38"/>
        <v>0</v>
      </c>
      <c r="D308" s="298">
        <f t="shared" si="46"/>
        <v>0</v>
      </c>
      <c r="E308" s="299">
        <f t="shared" si="41"/>
        <v>0</v>
      </c>
      <c r="F308" s="299">
        <f t="shared" si="40"/>
        <v>0</v>
      </c>
      <c r="G308" s="299">
        <f t="shared" si="43"/>
        <v>0</v>
      </c>
      <c r="H308" s="298">
        <f t="shared" si="44"/>
        <v>0</v>
      </c>
      <c r="I308" s="294"/>
      <c r="O308" s="295">
        <f t="shared" si="42"/>
        <v>289</v>
      </c>
    </row>
    <row r="309" spans="1:15">
      <c r="A309" s="286"/>
      <c r="B309" s="296">
        <f t="shared" si="45"/>
        <v>290</v>
      </c>
      <c r="C309" s="297">
        <f t="shared" si="38"/>
        <v>0</v>
      </c>
      <c r="D309" s="298">
        <f t="shared" si="46"/>
        <v>0</v>
      </c>
      <c r="E309" s="299">
        <f t="shared" si="41"/>
        <v>0</v>
      </c>
      <c r="F309" s="299">
        <f t="shared" si="40"/>
        <v>0</v>
      </c>
      <c r="G309" s="299">
        <f t="shared" si="43"/>
        <v>0</v>
      </c>
      <c r="H309" s="298">
        <f t="shared" si="44"/>
        <v>0</v>
      </c>
      <c r="I309" s="294"/>
      <c r="O309" s="295">
        <f t="shared" si="42"/>
        <v>290</v>
      </c>
    </row>
    <row r="310" spans="1:15">
      <c r="A310" s="286"/>
      <c r="B310" s="296">
        <f t="shared" si="45"/>
        <v>291</v>
      </c>
      <c r="C310" s="297">
        <f t="shared" si="38"/>
        <v>0</v>
      </c>
      <c r="D310" s="298">
        <f t="shared" si="46"/>
        <v>0</v>
      </c>
      <c r="E310" s="299">
        <f t="shared" si="41"/>
        <v>0</v>
      </c>
      <c r="F310" s="299">
        <f t="shared" si="40"/>
        <v>0</v>
      </c>
      <c r="G310" s="299">
        <f t="shared" si="43"/>
        <v>0</v>
      </c>
      <c r="H310" s="298">
        <f t="shared" si="44"/>
        <v>0</v>
      </c>
      <c r="I310" s="294"/>
      <c r="O310" s="295">
        <f t="shared" si="42"/>
        <v>291</v>
      </c>
    </row>
    <row r="311" spans="1:15">
      <c r="A311" s="286"/>
      <c r="B311" s="296">
        <f t="shared" si="45"/>
        <v>292</v>
      </c>
      <c r="C311" s="297">
        <f t="shared" si="38"/>
        <v>0</v>
      </c>
      <c r="D311" s="298">
        <f t="shared" si="46"/>
        <v>0</v>
      </c>
      <c r="E311" s="299">
        <f t="shared" si="41"/>
        <v>0</v>
      </c>
      <c r="F311" s="299">
        <f t="shared" si="40"/>
        <v>0</v>
      </c>
      <c r="G311" s="299">
        <f t="shared" si="43"/>
        <v>0</v>
      </c>
      <c r="H311" s="298">
        <f t="shared" si="44"/>
        <v>0</v>
      </c>
      <c r="I311" s="294"/>
      <c r="O311" s="295">
        <f t="shared" si="42"/>
        <v>292</v>
      </c>
    </row>
    <row r="312" spans="1:15">
      <c r="A312" s="286"/>
      <c r="B312" s="296">
        <f t="shared" si="45"/>
        <v>293</v>
      </c>
      <c r="C312" s="297">
        <f t="shared" ref="C312:C375" si="47">IF(D312&gt;0,$F$7,0)</f>
        <v>0</v>
      </c>
      <c r="D312" s="298">
        <f t="shared" si="46"/>
        <v>0</v>
      </c>
      <c r="E312" s="299">
        <f t="shared" si="41"/>
        <v>0</v>
      </c>
      <c r="F312" s="299">
        <f t="shared" si="40"/>
        <v>0</v>
      </c>
      <c r="G312" s="299">
        <f t="shared" si="43"/>
        <v>0</v>
      </c>
      <c r="H312" s="298">
        <f t="shared" si="44"/>
        <v>0</v>
      </c>
      <c r="I312" s="294"/>
      <c r="O312" s="295">
        <f t="shared" si="42"/>
        <v>293</v>
      </c>
    </row>
    <row r="313" spans="1:15">
      <c r="A313" s="286"/>
      <c r="B313" s="296">
        <f t="shared" si="45"/>
        <v>294</v>
      </c>
      <c r="C313" s="297">
        <f t="shared" si="47"/>
        <v>0</v>
      </c>
      <c r="D313" s="298">
        <f t="shared" si="46"/>
        <v>0</v>
      </c>
      <c r="E313" s="299">
        <f t="shared" si="41"/>
        <v>0</v>
      </c>
      <c r="F313" s="299">
        <f t="shared" si="40"/>
        <v>0</v>
      </c>
      <c r="G313" s="299">
        <f t="shared" si="43"/>
        <v>0</v>
      </c>
      <c r="H313" s="298">
        <f t="shared" si="44"/>
        <v>0</v>
      </c>
      <c r="I313" s="294"/>
      <c r="O313" s="295">
        <f t="shared" si="42"/>
        <v>294</v>
      </c>
    </row>
    <row r="314" spans="1:15">
      <c r="A314" s="286"/>
      <c r="B314" s="296">
        <f t="shared" si="45"/>
        <v>295</v>
      </c>
      <c r="C314" s="297">
        <f t="shared" si="47"/>
        <v>0</v>
      </c>
      <c r="D314" s="298">
        <f t="shared" si="46"/>
        <v>0</v>
      </c>
      <c r="E314" s="299">
        <f t="shared" si="41"/>
        <v>0</v>
      </c>
      <c r="F314" s="299">
        <f t="shared" si="40"/>
        <v>0</v>
      </c>
      <c r="G314" s="299">
        <f t="shared" si="43"/>
        <v>0</v>
      </c>
      <c r="H314" s="298">
        <f t="shared" si="44"/>
        <v>0</v>
      </c>
      <c r="I314" s="294"/>
      <c r="O314" s="295">
        <f t="shared" si="42"/>
        <v>295</v>
      </c>
    </row>
    <row r="315" spans="1:15">
      <c r="A315" s="286"/>
      <c r="B315" s="296">
        <f t="shared" si="45"/>
        <v>296</v>
      </c>
      <c r="C315" s="297">
        <f t="shared" si="47"/>
        <v>0</v>
      </c>
      <c r="D315" s="298">
        <f t="shared" si="46"/>
        <v>0</v>
      </c>
      <c r="E315" s="299">
        <f t="shared" si="41"/>
        <v>0</v>
      </c>
      <c r="F315" s="299">
        <f t="shared" si="40"/>
        <v>0</v>
      </c>
      <c r="G315" s="299">
        <f t="shared" si="43"/>
        <v>0</v>
      </c>
      <c r="H315" s="298">
        <f t="shared" si="44"/>
        <v>0</v>
      </c>
      <c r="I315" s="294"/>
      <c r="O315" s="295">
        <f t="shared" si="42"/>
        <v>296</v>
      </c>
    </row>
    <row r="316" spans="1:15">
      <c r="A316" s="286"/>
      <c r="B316" s="296">
        <f t="shared" si="45"/>
        <v>297</v>
      </c>
      <c r="C316" s="297">
        <f t="shared" si="47"/>
        <v>0</v>
      </c>
      <c r="D316" s="298">
        <f t="shared" si="46"/>
        <v>0</v>
      </c>
      <c r="E316" s="299">
        <f t="shared" si="41"/>
        <v>0</v>
      </c>
      <c r="F316" s="299">
        <f t="shared" si="40"/>
        <v>0</v>
      </c>
      <c r="G316" s="299">
        <f t="shared" si="43"/>
        <v>0</v>
      </c>
      <c r="H316" s="298">
        <f t="shared" si="44"/>
        <v>0</v>
      </c>
      <c r="I316" s="294"/>
      <c r="O316" s="295">
        <f t="shared" si="42"/>
        <v>297</v>
      </c>
    </row>
    <row r="317" spans="1:15">
      <c r="A317" s="286"/>
      <c r="B317" s="296">
        <f t="shared" si="45"/>
        <v>298</v>
      </c>
      <c r="C317" s="297">
        <f t="shared" si="47"/>
        <v>0</v>
      </c>
      <c r="D317" s="298">
        <f t="shared" si="46"/>
        <v>0</v>
      </c>
      <c r="E317" s="299">
        <f t="shared" si="41"/>
        <v>0</v>
      </c>
      <c r="F317" s="299">
        <f t="shared" si="40"/>
        <v>0</v>
      </c>
      <c r="G317" s="299">
        <f t="shared" si="43"/>
        <v>0</v>
      </c>
      <c r="H317" s="298">
        <f t="shared" si="44"/>
        <v>0</v>
      </c>
      <c r="I317" s="294"/>
      <c r="O317" s="295">
        <f t="shared" si="42"/>
        <v>298</v>
      </c>
    </row>
    <row r="318" spans="1:15">
      <c r="A318" s="286"/>
      <c r="B318" s="296">
        <f t="shared" si="45"/>
        <v>299</v>
      </c>
      <c r="C318" s="297">
        <f t="shared" si="47"/>
        <v>0</v>
      </c>
      <c r="D318" s="298">
        <f t="shared" si="46"/>
        <v>0</v>
      </c>
      <c r="E318" s="299">
        <f t="shared" si="41"/>
        <v>0</v>
      </c>
      <c r="F318" s="299">
        <f t="shared" si="40"/>
        <v>0</v>
      </c>
      <c r="G318" s="299">
        <f t="shared" si="43"/>
        <v>0</v>
      </c>
      <c r="H318" s="298">
        <f t="shared" si="44"/>
        <v>0</v>
      </c>
      <c r="I318" s="294"/>
      <c r="O318" s="295">
        <f t="shared" si="42"/>
        <v>299</v>
      </c>
    </row>
    <row r="319" spans="1:15">
      <c r="A319" s="286"/>
      <c r="B319" s="300">
        <f t="shared" si="45"/>
        <v>300</v>
      </c>
      <c r="C319" s="301">
        <f t="shared" si="47"/>
        <v>0</v>
      </c>
      <c r="D319" s="302">
        <f t="shared" si="46"/>
        <v>0</v>
      </c>
      <c r="E319" s="303">
        <f t="shared" si="41"/>
        <v>0</v>
      </c>
      <c r="F319" s="303">
        <f t="shared" si="40"/>
        <v>0</v>
      </c>
      <c r="G319" s="303">
        <f t="shared" si="43"/>
        <v>0</v>
      </c>
      <c r="H319" s="302">
        <f t="shared" si="44"/>
        <v>0</v>
      </c>
      <c r="I319" s="304" t="e">
        <f>H319/$D$5</f>
        <v>#VALUE!</v>
      </c>
      <c r="J319" s="305"/>
      <c r="K319" s="305"/>
      <c r="L319" s="305"/>
      <c r="M319" s="305"/>
      <c r="N319" s="305"/>
      <c r="O319" s="306">
        <f t="shared" si="42"/>
        <v>300</v>
      </c>
    </row>
    <row r="320" spans="1:15">
      <c r="A320" s="286"/>
      <c r="B320" s="296">
        <f t="shared" si="45"/>
        <v>301</v>
      </c>
      <c r="C320" s="297">
        <f t="shared" si="47"/>
        <v>0</v>
      </c>
      <c r="D320" s="298">
        <f t="shared" si="46"/>
        <v>0</v>
      </c>
      <c r="E320" s="299">
        <f t="shared" si="41"/>
        <v>0</v>
      </c>
      <c r="F320" s="299">
        <f t="shared" si="40"/>
        <v>0</v>
      </c>
      <c r="G320" s="299">
        <f t="shared" si="43"/>
        <v>0</v>
      </c>
      <c r="H320" s="298">
        <f t="shared" si="44"/>
        <v>0</v>
      </c>
      <c r="I320" s="294"/>
      <c r="O320" s="295">
        <f t="shared" si="42"/>
        <v>301</v>
      </c>
    </row>
    <row r="321" spans="1:15">
      <c r="A321" s="286"/>
      <c r="B321" s="296">
        <f t="shared" si="45"/>
        <v>302</v>
      </c>
      <c r="C321" s="297">
        <f t="shared" si="47"/>
        <v>0</v>
      </c>
      <c r="D321" s="298">
        <f t="shared" si="46"/>
        <v>0</v>
      </c>
      <c r="E321" s="299">
        <f t="shared" si="41"/>
        <v>0</v>
      </c>
      <c r="F321" s="299">
        <f t="shared" si="40"/>
        <v>0</v>
      </c>
      <c r="G321" s="299">
        <f t="shared" si="43"/>
        <v>0</v>
      </c>
      <c r="H321" s="298">
        <f t="shared" si="44"/>
        <v>0</v>
      </c>
      <c r="I321" s="294"/>
      <c r="O321" s="295">
        <f t="shared" si="42"/>
        <v>302</v>
      </c>
    </row>
    <row r="322" spans="1:15">
      <c r="A322" s="286"/>
      <c r="B322" s="296">
        <f t="shared" si="45"/>
        <v>303</v>
      </c>
      <c r="C322" s="297">
        <f t="shared" si="47"/>
        <v>0</v>
      </c>
      <c r="D322" s="298">
        <f t="shared" si="46"/>
        <v>0</v>
      </c>
      <c r="E322" s="299">
        <f t="shared" si="41"/>
        <v>0</v>
      </c>
      <c r="F322" s="299">
        <f t="shared" si="40"/>
        <v>0</v>
      </c>
      <c r="G322" s="299">
        <f t="shared" si="43"/>
        <v>0</v>
      </c>
      <c r="H322" s="298">
        <f t="shared" si="44"/>
        <v>0</v>
      </c>
      <c r="I322" s="294"/>
      <c r="O322" s="295">
        <f t="shared" si="42"/>
        <v>303</v>
      </c>
    </row>
    <row r="323" spans="1:15">
      <c r="A323" s="286"/>
      <c r="B323" s="296">
        <f t="shared" si="45"/>
        <v>304</v>
      </c>
      <c r="C323" s="297">
        <f t="shared" si="47"/>
        <v>0</v>
      </c>
      <c r="D323" s="298">
        <f t="shared" si="46"/>
        <v>0</v>
      </c>
      <c r="E323" s="299">
        <f t="shared" si="41"/>
        <v>0</v>
      </c>
      <c r="F323" s="299">
        <f t="shared" si="40"/>
        <v>0</v>
      </c>
      <c r="G323" s="299">
        <f t="shared" si="43"/>
        <v>0</v>
      </c>
      <c r="H323" s="298">
        <f t="shared" si="44"/>
        <v>0</v>
      </c>
      <c r="I323" s="294"/>
      <c r="O323" s="295">
        <f t="shared" si="42"/>
        <v>304</v>
      </c>
    </row>
    <row r="324" spans="1:15">
      <c r="A324" s="286"/>
      <c r="B324" s="296">
        <f t="shared" si="45"/>
        <v>305</v>
      </c>
      <c r="C324" s="297">
        <f t="shared" si="47"/>
        <v>0</v>
      </c>
      <c r="D324" s="298">
        <f t="shared" si="46"/>
        <v>0</v>
      </c>
      <c r="E324" s="299">
        <f t="shared" si="41"/>
        <v>0</v>
      </c>
      <c r="F324" s="299">
        <f t="shared" si="40"/>
        <v>0</v>
      </c>
      <c r="G324" s="299">
        <f t="shared" si="43"/>
        <v>0</v>
      </c>
      <c r="H324" s="298">
        <f t="shared" si="44"/>
        <v>0</v>
      </c>
      <c r="I324" s="294"/>
      <c r="O324" s="295">
        <f t="shared" si="42"/>
        <v>305</v>
      </c>
    </row>
    <row r="325" spans="1:15">
      <c r="A325" s="286"/>
      <c r="B325" s="296">
        <f t="shared" si="45"/>
        <v>306</v>
      </c>
      <c r="C325" s="297">
        <f t="shared" si="47"/>
        <v>0</v>
      </c>
      <c r="D325" s="298">
        <f t="shared" si="46"/>
        <v>0</v>
      </c>
      <c r="E325" s="299">
        <f t="shared" si="41"/>
        <v>0</v>
      </c>
      <c r="F325" s="299">
        <f t="shared" si="40"/>
        <v>0</v>
      </c>
      <c r="G325" s="299">
        <f t="shared" si="43"/>
        <v>0</v>
      </c>
      <c r="H325" s="298">
        <f t="shared" si="44"/>
        <v>0</v>
      </c>
      <c r="I325" s="294"/>
      <c r="O325" s="295">
        <f t="shared" si="42"/>
        <v>306</v>
      </c>
    </row>
    <row r="326" spans="1:15">
      <c r="A326" s="286"/>
      <c r="B326" s="296">
        <f t="shared" si="45"/>
        <v>307</v>
      </c>
      <c r="C326" s="297">
        <f t="shared" si="47"/>
        <v>0</v>
      </c>
      <c r="D326" s="298">
        <f t="shared" si="46"/>
        <v>0</v>
      </c>
      <c r="E326" s="299">
        <f t="shared" si="41"/>
        <v>0</v>
      </c>
      <c r="F326" s="299">
        <f t="shared" si="40"/>
        <v>0</v>
      </c>
      <c r="G326" s="299">
        <f t="shared" si="43"/>
        <v>0</v>
      </c>
      <c r="H326" s="298">
        <f t="shared" si="44"/>
        <v>0</v>
      </c>
      <c r="I326" s="294"/>
      <c r="O326" s="295">
        <f t="shared" si="42"/>
        <v>307</v>
      </c>
    </row>
    <row r="327" spans="1:15">
      <c r="A327" s="286"/>
      <c r="B327" s="296">
        <f t="shared" si="45"/>
        <v>308</v>
      </c>
      <c r="C327" s="297">
        <f t="shared" si="47"/>
        <v>0</v>
      </c>
      <c r="D327" s="298">
        <f t="shared" si="46"/>
        <v>0</v>
      </c>
      <c r="E327" s="299">
        <f t="shared" si="41"/>
        <v>0</v>
      </c>
      <c r="F327" s="299">
        <f t="shared" si="40"/>
        <v>0</v>
      </c>
      <c r="G327" s="299">
        <f t="shared" si="43"/>
        <v>0</v>
      </c>
      <c r="H327" s="298">
        <f t="shared" si="44"/>
        <v>0</v>
      </c>
      <c r="I327" s="294"/>
      <c r="O327" s="295">
        <f t="shared" si="42"/>
        <v>308</v>
      </c>
    </row>
    <row r="328" spans="1:15">
      <c r="A328" s="286"/>
      <c r="B328" s="296">
        <f t="shared" si="45"/>
        <v>309</v>
      </c>
      <c r="C328" s="297">
        <f t="shared" si="47"/>
        <v>0</v>
      </c>
      <c r="D328" s="298">
        <f t="shared" si="46"/>
        <v>0</v>
      </c>
      <c r="E328" s="299">
        <f t="shared" si="41"/>
        <v>0</v>
      </c>
      <c r="F328" s="299">
        <f t="shared" si="40"/>
        <v>0</v>
      </c>
      <c r="G328" s="299">
        <f t="shared" si="43"/>
        <v>0</v>
      </c>
      <c r="H328" s="298">
        <f t="shared" si="44"/>
        <v>0</v>
      </c>
      <c r="I328" s="294"/>
      <c r="O328" s="295">
        <f t="shared" si="42"/>
        <v>309</v>
      </c>
    </row>
    <row r="329" spans="1:15">
      <c r="A329" s="286"/>
      <c r="B329" s="296">
        <f t="shared" si="45"/>
        <v>310</v>
      </c>
      <c r="C329" s="297">
        <f t="shared" si="47"/>
        <v>0</v>
      </c>
      <c r="D329" s="298">
        <f t="shared" si="46"/>
        <v>0</v>
      </c>
      <c r="E329" s="299">
        <f t="shared" si="41"/>
        <v>0</v>
      </c>
      <c r="F329" s="299">
        <f t="shared" si="40"/>
        <v>0</v>
      </c>
      <c r="G329" s="299">
        <f t="shared" si="43"/>
        <v>0</v>
      </c>
      <c r="H329" s="298">
        <f t="shared" si="44"/>
        <v>0</v>
      </c>
      <c r="I329" s="294"/>
      <c r="O329" s="295">
        <f t="shared" si="42"/>
        <v>310</v>
      </c>
    </row>
    <row r="330" spans="1:15">
      <c r="A330" s="286"/>
      <c r="B330" s="296">
        <f t="shared" si="45"/>
        <v>311</v>
      </c>
      <c r="C330" s="297">
        <f t="shared" si="47"/>
        <v>0</v>
      </c>
      <c r="D330" s="298">
        <f t="shared" si="46"/>
        <v>0</v>
      </c>
      <c r="E330" s="299">
        <f t="shared" si="41"/>
        <v>0</v>
      </c>
      <c r="F330" s="299">
        <f t="shared" si="40"/>
        <v>0</v>
      </c>
      <c r="G330" s="299">
        <f t="shared" si="43"/>
        <v>0</v>
      </c>
      <c r="H330" s="298">
        <f t="shared" si="44"/>
        <v>0</v>
      </c>
      <c r="I330" s="294"/>
      <c r="O330" s="295">
        <f t="shared" si="42"/>
        <v>311</v>
      </c>
    </row>
    <row r="331" spans="1:15">
      <c r="A331" s="286"/>
      <c r="B331" s="300">
        <f t="shared" si="45"/>
        <v>312</v>
      </c>
      <c r="C331" s="301">
        <f t="shared" si="47"/>
        <v>0</v>
      </c>
      <c r="D331" s="302">
        <f t="shared" si="46"/>
        <v>0</v>
      </c>
      <c r="E331" s="303">
        <f t="shared" si="41"/>
        <v>0</v>
      </c>
      <c r="F331" s="303">
        <f t="shared" si="40"/>
        <v>0</v>
      </c>
      <c r="G331" s="303">
        <f t="shared" si="43"/>
        <v>0</v>
      </c>
      <c r="H331" s="302">
        <f t="shared" si="44"/>
        <v>0</v>
      </c>
      <c r="I331" s="304" t="e">
        <f>H331/$D$5</f>
        <v>#VALUE!</v>
      </c>
      <c r="J331" s="305"/>
      <c r="K331" s="305"/>
      <c r="L331" s="305"/>
      <c r="M331" s="305"/>
      <c r="N331" s="305"/>
      <c r="O331" s="306">
        <f t="shared" si="42"/>
        <v>312</v>
      </c>
    </row>
    <row r="332" spans="1:15">
      <c r="A332" s="286"/>
      <c r="B332" s="296">
        <f t="shared" si="45"/>
        <v>313</v>
      </c>
      <c r="C332" s="297">
        <f t="shared" si="47"/>
        <v>0</v>
      </c>
      <c r="D332" s="298">
        <f t="shared" si="46"/>
        <v>0</v>
      </c>
      <c r="E332" s="299">
        <f t="shared" si="41"/>
        <v>0</v>
      </c>
      <c r="F332" s="299">
        <f t="shared" si="40"/>
        <v>0</v>
      </c>
      <c r="G332" s="299">
        <f t="shared" si="43"/>
        <v>0</v>
      </c>
      <c r="H332" s="298">
        <f t="shared" si="44"/>
        <v>0</v>
      </c>
      <c r="I332" s="294"/>
      <c r="O332" s="295">
        <f t="shared" si="42"/>
        <v>313</v>
      </c>
    </row>
    <row r="333" spans="1:15">
      <c r="A333" s="286"/>
      <c r="B333" s="296">
        <f t="shared" si="45"/>
        <v>314</v>
      </c>
      <c r="C333" s="297">
        <f t="shared" si="47"/>
        <v>0</v>
      </c>
      <c r="D333" s="298">
        <f t="shared" si="46"/>
        <v>0</v>
      </c>
      <c r="E333" s="299">
        <f t="shared" si="41"/>
        <v>0</v>
      </c>
      <c r="F333" s="299">
        <f t="shared" si="40"/>
        <v>0</v>
      </c>
      <c r="G333" s="299">
        <f t="shared" si="43"/>
        <v>0</v>
      </c>
      <c r="H333" s="298">
        <f t="shared" si="44"/>
        <v>0</v>
      </c>
      <c r="I333" s="294"/>
      <c r="O333" s="295">
        <f t="shared" si="42"/>
        <v>314</v>
      </c>
    </row>
    <row r="334" spans="1:15">
      <c r="A334" s="286"/>
      <c r="B334" s="296">
        <f t="shared" si="45"/>
        <v>315</v>
      </c>
      <c r="C334" s="297">
        <f t="shared" si="47"/>
        <v>0</v>
      </c>
      <c r="D334" s="298">
        <f t="shared" si="46"/>
        <v>0</v>
      </c>
      <c r="E334" s="299">
        <f t="shared" si="41"/>
        <v>0</v>
      </c>
      <c r="F334" s="299">
        <f t="shared" si="40"/>
        <v>0</v>
      </c>
      <c r="G334" s="299">
        <f t="shared" si="43"/>
        <v>0</v>
      </c>
      <c r="H334" s="298">
        <f t="shared" si="44"/>
        <v>0</v>
      </c>
      <c r="I334" s="294"/>
      <c r="O334" s="295">
        <f t="shared" si="42"/>
        <v>315</v>
      </c>
    </row>
    <row r="335" spans="1:15">
      <c r="A335" s="286"/>
      <c r="B335" s="296">
        <f t="shared" si="45"/>
        <v>316</v>
      </c>
      <c r="C335" s="297">
        <f t="shared" si="47"/>
        <v>0</v>
      </c>
      <c r="D335" s="298">
        <f t="shared" si="46"/>
        <v>0</v>
      </c>
      <c r="E335" s="299">
        <f t="shared" si="41"/>
        <v>0</v>
      </c>
      <c r="F335" s="299">
        <f t="shared" si="40"/>
        <v>0</v>
      </c>
      <c r="G335" s="299">
        <f t="shared" si="43"/>
        <v>0</v>
      </c>
      <c r="H335" s="298">
        <f t="shared" si="44"/>
        <v>0</v>
      </c>
      <c r="I335" s="294"/>
      <c r="O335" s="295">
        <f t="shared" si="42"/>
        <v>316</v>
      </c>
    </row>
    <row r="336" spans="1:15">
      <c r="A336" s="286"/>
      <c r="B336" s="296">
        <f t="shared" si="45"/>
        <v>317</v>
      </c>
      <c r="C336" s="297">
        <f t="shared" si="47"/>
        <v>0</v>
      </c>
      <c r="D336" s="298">
        <f t="shared" si="46"/>
        <v>0</v>
      </c>
      <c r="E336" s="299">
        <f t="shared" si="41"/>
        <v>0</v>
      </c>
      <c r="F336" s="299">
        <f t="shared" si="40"/>
        <v>0</v>
      </c>
      <c r="G336" s="299">
        <f t="shared" si="43"/>
        <v>0</v>
      </c>
      <c r="H336" s="298">
        <f t="shared" si="44"/>
        <v>0</v>
      </c>
      <c r="I336" s="294"/>
      <c r="O336" s="295">
        <f t="shared" si="42"/>
        <v>317</v>
      </c>
    </row>
    <row r="337" spans="1:15">
      <c r="A337" s="286"/>
      <c r="B337" s="296">
        <f t="shared" si="45"/>
        <v>318</v>
      </c>
      <c r="C337" s="297">
        <f t="shared" si="47"/>
        <v>0</v>
      </c>
      <c r="D337" s="298">
        <f t="shared" si="46"/>
        <v>0</v>
      </c>
      <c r="E337" s="299">
        <f t="shared" si="41"/>
        <v>0</v>
      </c>
      <c r="F337" s="299">
        <f t="shared" ref="F337:F400" si="48">E337-G337</f>
        <v>0</v>
      </c>
      <c r="G337" s="299">
        <f t="shared" si="43"/>
        <v>0</v>
      </c>
      <c r="H337" s="298">
        <f t="shared" si="44"/>
        <v>0</v>
      </c>
      <c r="I337" s="294"/>
      <c r="O337" s="295">
        <f t="shared" si="42"/>
        <v>318</v>
      </c>
    </row>
    <row r="338" spans="1:15">
      <c r="A338" s="286"/>
      <c r="B338" s="296">
        <f t="shared" si="45"/>
        <v>319</v>
      </c>
      <c r="C338" s="297">
        <f t="shared" si="47"/>
        <v>0</v>
      </c>
      <c r="D338" s="298">
        <f t="shared" si="46"/>
        <v>0</v>
      </c>
      <c r="E338" s="299">
        <f t="shared" si="41"/>
        <v>0</v>
      </c>
      <c r="F338" s="299">
        <f t="shared" si="48"/>
        <v>0</v>
      </c>
      <c r="G338" s="299">
        <f t="shared" si="43"/>
        <v>0</v>
      </c>
      <c r="H338" s="298">
        <f t="shared" si="44"/>
        <v>0</v>
      </c>
      <c r="I338" s="294"/>
      <c r="O338" s="295">
        <f t="shared" si="42"/>
        <v>319</v>
      </c>
    </row>
    <row r="339" spans="1:15">
      <c r="A339" s="286"/>
      <c r="B339" s="296">
        <f t="shared" si="45"/>
        <v>320</v>
      </c>
      <c r="C339" s="297">
        <f t="shared" si="47"/>
        <v>0</v>
      </c>
      <c r="D339" s="298">
        <f t="shared" si="46"/>
        <v>0</v>
      </c>
      <c r="E339" s="299">
        <f t="shared" ref="E339:E402" si="49">IF(H338&lt;=E338,H338+G339,$H$10)</f>
        <v>0</v>
      </c>
      <c r="F339" s="299">
        <f t="shared" si="48"/>
        <v>0</v>
      </c>
      <c r="G339" s="299">
        <f t="shared" si="43"/>
        <v>0</v>
      </c>
      <c r="H339" s="298">
        <f t="shared" si="44"/>
        <v>0</v>
      </c>
      <c r="I339" s="294"/>
      <c r="O339" s="295">
        <f t="shared" si="42"/>
        <v>320</v>
      </c>
    </row>
    <row r="340" spans="1:15">
      <c r="A340" s="286"/>
      <c r="B340" s="296">
        <f t="shared" si="45"/>
        <v>321</v>
      </c>
      <c r="C340" s="297">
        <f t="shared" si="47"/>
        <v>0</v>
      </c>
      <c r="D340" s="298">
        <f t="shared" si="46"/>
        <v>0</v>
      </c>
      <c r="E340" s="299">
        <f t="shared" si="49"/>
        <v>0</v>
      </c>
      <c r="F340" s="299">
        <f t="shared" si="48"/>
        <v>0</v>
      </c>
      <c r="G340" s="299">
        <f t="shared" si="43"/>
        <v>0</v>
      </c>
      <c r="H340" s="298">
        <f t="shared" si="44"/>
        <v>0</v>
      </c>
      <c r="I340" s="294"/>
      <c r="O340" s="295">
        <f t="shared" ref="O340:O379" si="50">IF(H340=0,B340,"n.a.")</f>
        <v>321</v>
      </c>
    </row>
    <row r="341" spans="1:15">
      <c r="A341" s="286"/>
      <c r="B341" s="296">
        <f t="shared" si="45"/>
        <v>322</v>
      </c>
      <c r="C341" s="297">
        <f t="shared" si="47"/>
        <v>0</v>
      </c>
      <c r="D341" s="298">
        <f t="shared" si="46"/>
        <v>0</v>
      </c>
      <c r="E341" s="299">
        <f t="shared" si="49"/>
        <v>0</v>
      </c>
      <c r="F341" s="299">
        <f t="shared" si="48"/>
        <v>0</v>
      </c>
      <c r="G341" s="299">
        <f t="shared" ref="G341:G404" si="51">C341*(D341/365)*30</f>
        <v>0</v>
      </c>
      <c r="H341" s="298">
        <f t="shared" ref="H341:H404" si="52">IF((D341+G341-E341)&lt;0,0,D341+G341-E341)</f>
        <v>0</v>
      </c>
      <c r="I341" s="294"/>
      <c r="O341" s="295">
        <f t="shared" si="50"/>
        <v>322</v>
      </c>
    </row>
    <row r="342" spans="1:15">
      <c r="A342" s="286"/>
      <c r="B342" s="296">
        <f t="shared" ref="B342:B405" si="53">B341+1</f>
        <v>323</v>
      </c>
      <c r="C342" s="297">
        <f t="shared" si="47"/>
        <v>0</v>
      </c>
      <c r="D342" s="298">
        <f t="shared" ref="D342:D405" si="54">H341</f>
        <v>0</v>
      </c>
      <c r="E342" s="299">
        <f t="shared" si="49"/>
        <v>0</v>
      </c>
      <c r="F342" s="299">
        <f t="shared" si="48"/>
        <v>0</v>
      </c>
      <c r="G342" s="299">
        <f t="shared" si="51"/>
        <v>0</v>
      </c>
      <c r="H342" s="298">
        <f t="shared" si="52"/>
        <v>0</v>
      </c>
      <c r="I342" s="294"/>
      <c r="O342" s="295">
        <f t="shared" si="50"/>
        <v>323</v>
      </c>
    </row>
    <row r="343" spans="1:15">
      <c r="A343" s="286"/>
      <c r="B343" s="300">
        <f t="shared" si="53"/>
        <v>324</v>
      </c>
      <c r="C343" s="301">
        <f t="shared" si="47"/>
        <v>0</v>
      </c>
      <c r="D343" s="302">
        <f t="shared" si="54"/>
        <v>0</v>
      </c>
      <c r="E343" s="303">
        <f t="shared" si="49"/>
        <v>0</v>
      </c>
      <c r="F343" s="303">
        <f t="shared" si="48"/>
        <v>0</v>
      </c>
      <c r="G343" s="303">
        <f t="shared" si="51"/>
        <v>0</v>
      </c>
      <c r="H343" s="302">
        <f t="shared" si="52"/>
        <v>0</v>
      </c>
      <c r="I343" s="304" t="e">
        <f>H343/$D$5</f>
        <v>#VALUE!</v>
      </c>
      <c r="J343" s="305"/>
      <c r="K343" s="305"/>
      <c r="L343" s="305"/>
      <c r="M343" s="305"/>
      <c r="N343" s="305"/>
      <c r="O343" s="306">
        <f t="shared" si="50"/>
        <v>324</v>
      </c>
    </row>
    <row r="344" spans="1:15">
      <c r="A344" s="286"/>
      <c r="B344" s="296">
        <f t="shared" si="53"/>
        <v>325</v>
      </c>
      <c r="C344" s="297">
        <f t="shared" si="47"/>
        <v>0</v>
      </c>
      <c r="D344" s="298">
        <f t="shared" si="54"/>
        <v>0</v>
      </c>
      <c r="E344" s="299">
        <f t="shared" si="49"/>
        <v>0</v>
      </c>
      <c r="F344" s="299">
        <f t="shared" si="48"/>
        <v>0</v>
      </c>
      <c r="G344" s="299">
        <f t="shared" si="51"/>
        <v>0</v>
      </c>
      <c r="H344" s="298">
        <f t="shared" si="52"/>
        <v>0</v>
      </c>
      <c r="I344" s="294"/>
      <c r="O344" s="295">
        <f t="shared" si="50"/>
        <v>325</v>
      </c>
    </row>
    <row r="345" spans="1:15">
      <c r="A345" s="286"/>
      <c r="B345" s="296">
        <f t="shared" si="53"/>
        <v>326</v>
      </c>
      <c r="C345" s="297">
        <f t="shared" si="47"/>
        <v>0</v>
      </c>
      <c r="D345" s="298">
        <f t="shared" si="54"/>
        <v>0</v>
      </c>
      <c r="E345" s="299">
        <f t="shared" si="49"/>
        <v>0</v>
      </c>
      <c r="F345" s="299">
        <f t="shared" si="48"/>
        <v>0</v>
      </c>
      <c r="G345" s="299">
        <f t="shared" si="51"/>
        <v>0</v>
      </c>
      <c r="H345" s="298">
        <f t="shared" si="52"/>
        <v>0</v>
      </c>
      <c r="I345" s="294"/>
      <c r="O345" s="295">
        <f t="shared" si="50"/>
        <v>326</v>
      </c>
    </row>
    <row r="346" spans="1:15">
      <c r="A346" s="286"/>
      <c r="B346" s="296">
        <f t="shared" si="53"/>
        <v>327</v>
      </c>
      <c r="C346" s="297">
        <f t="shared" si="47"/>
        <v>0</v>
      </c>
      <c r="D346" s="298">
        <f t="shared" si="54"/>
        <v>0</v>
      </c>
      <c r="E346" s="299">
        <f t="shared" si="49"/>
        <v>0</v>
      </c>
      <c r="F346" s="299">
        <f t="shared" si="48"/>
        <v>0</v>
      </c>
      <c r="G346" s="299">
        <f t="shared" si="51"/>
        <v>0</v>
      </c>
      <c r="H346" s="298">
        <f t="shared" si="52"/>
        <v>0</v>
      </c>
      <c r="I346" s="294"/>
      <c r="O346" s="295">
        <f t="shared" si="50"/>
        <v>327</v>
      </c>
    </row>
    <row r="347" spans="1:15">
      <c r="A347" s="286"/>
      <c r="B347" s="296">
        <f t="shared" si="53"/>
        <v>328</v>
      </c>
      <c r="C347" s="297">
        <f t="shared" si="47"/>
        <v>0</v>
      </c>
      <c r="D347" s="298">
        <f t="shared" si="54"/>
        <v>0</v>
      </c>
      <c r="E347" s="299">
        <f t="shared" si="49"/>
        <v>0</v>
      </c>
      <c r="F347" s="299">
        <f t="shared" si="48"/>
        <v>0</v>
      </c>
      <c r="G347" s="299">
        <f t="shared" si="51"/>
        <v>0</v>
      </c>
      <c r="H347" s="298">
        <f t="shared" si="52"/>
        <v>0</v>
      </c>
      <c r="I347" s="294"/>
      <c r="O347" s="295">
        <f t="shared" si="50"/>
        <v>328</v>
      </c>
    </row>
    <row r="348" spans="1:15">
      <c r="A348" s="286"/>
      <c r="B348" s="296">
        <f t="shared" si="53"/>
        <v>329</v>
      </c>
      <c r="C348" s="297">
        <f t="shared" si="47"/>
        <v>0</v>
      </c>
      <c r="D348" s="298">
        <f t="shared" si="54"/>
        <v>0</v>
      </c>
      <c r="E348" s="299">
        <f t="shared" si="49"/>
        <v>0</v>
      </c>
      <c r="F348" s="299">
        <f t="shared" si="48"/>
        <v>0</v>
      </c>
      <c r="G348" s="299">
        <f t="shared" si="51"/>
        <v>0</v>
      </c>
      <c r="H348" s="298">
        <f t="shared" si="52"/>
        <v>0</v>
      </c>
      <c r="I348" s="294"/>
      <c r="O348" s="295">
        <f t="shared" si="50"/>
        <v>329</v>
      </c>
    </row>
    <row r="349" spans="1:15">
      <c r="A349" s="286"/>
      <c r="B349" s="296">
        <f t="shared" si="53"/>
        <v>330</v>
      </c>
      <c r="C349" s="297">
        <f t="shared" si="47"/>
        <v>0</v>
      </c>
      <c r="D349" s="298">
        <f t="shared" si="54"/>
        <v>0</v>
      </c>
      <c r="E349" s="299">
        <f t="shared" si="49"/>
        <v>0</v>
      </c>
      <c r="F349" s="299">
        <f t="shared" si="48"/>
        <v>0</v>
      </c>
      <c r="G349" s="299">
        <f t="shared" si="51"/>
        <v>0</v>
      </c>
      <c r="H349" s="298">
        <f t="shared" si="52"/>
        <v>0</v>
      </c>
      <c r="I349" s="294"/>
      <c r="O349" s="295">
        <f t="shared" si="50"/>
        <v>330</v>
      </c>
    </row>
    <row r="350" spans="1:15">
      <c r="A350" s="286"/>
      <c r="B350" s="296">
        <f t="shared" si="53"/>
        <v>331</v>
      </c>
      <c r="C350" s="307">
        <f t="shared" si="47"/>
        <v>0</v>
      </c>
      <c r="D350" s="298">
        <f t="shared" si="54"/>
        <v>0</v>
      </c>
      <c r="E350" s="299">
        <f t="shared" si="49"/>
        <v>0</v>
      </c>
      <c r="F350" s="299">
        <f t="shared" si="48"/>
        <v>0</v>
      </c>
      <c r="G350" s="299">
        <f t="shared" si="51"/>
        <v>0</v>
      </c>
      <c r="H350" s="298">
        <f t="shared" si="52"/>
        <v>0</v>
      </c>
      <c r="I350" s="294"/>
      <c r="O350" s="295">
        <f t="shared" si="50"/>
        <v>331</v>
      </c>
    </row>
    <row r="351" spans="1:15">
      <c r="A351" s="286"/>
      <c r="B351" s="296">
        <f t="shared" si="53"/>
        <v>332</v>
      </c>
      <c r="C351" s="307">
        <f t="shared" si="47"/>
        <v>0</v>
      </c>
      <c r="D351" s="298">
        <f t="shared" si="54"/>
        <v>0</v>
      </c>
      <c r="E351" s="299">
        <f t="shared" si="49"/>
        <v>0</v>
      </c>
      <c r="F351" s="299">
        <f t="shared" si="48"/>
        <v>0</v>
      </c>
      <c r="G351" s="299">
        <f t="shared" si="51"/>
        <v>0</v>
      </c>
      <c r="H351" s="298">
        <f t="shared" si="52"/>
        <v>0</v>
      </c>
      <c r="I351" s="294"/>
      <c r="O351" s="295">
        <f t="shared" si="50"/>
        <v>332</v>
      </c>
    </row>
    <row r="352" spans="1:15">
      <c r="A352" s="286"/>
      <c r="B352" s="296">
        <f t="shared" si="53"/>
        <v>333</v>
      </c>
      <c r="C352" s="307">
        <f t="shared" si="47"/>
        <v>0</v>
      </c>
      <c r="D352" s="298">
        <f t="shared" si="54"/>
        <v>0</v>
      </c>
      <c r="E352" s="299">
        <f t="shared" si="49"/>
        <v>0</v>
      </c>
      <c r="F352" s="299">
        <f t="shared" si="48"/>
        <v>0</v>
      </c>
      <c r="G352" s="299">
        <f t="shared" si="51"/>
        <v>0</v>
      </c>
      <c r="H352" s="298">
        <f t="shared" si="52"/>
        <v>0</v>
      </c>
      <c r="I352" s="294"/>
      <c r="O352" s="295">
        <f t="shared" si="50"/>
        <v>333</v>
      </c>
    </row>
    <row r="353" spans="1:15">
      <c r="A353" s="286"/>
      <c r="B353" s="296">
        <f t="shared" si="53"/>
        <v>334</v>
      </c>
      <c r="C353" s="307">
        <f t="shared" si="47"/>
        <v>0</v>
      </c>
      <c r="D353" s="298">
        <f t="shared" si="54"/>
        <v>0</v>
      </c>
      <c r="E353" s="299">
        <f t="shared" si="49"/>
        <v>0</v>
      </c>
      <c r="F353" s="299">
        <f t="shared" si="48"/>
        <v>0</v>
      </c>
      <c r="G353" s="299">
        <f t="shared" si="51"/>
        <v>0</v>
      </c>
      <c r="H353" s="298">
        <f t="shared" si="52"/>
        <v>0</v>
      </c>
      <c r="I353" s="294"/>
      <c r="O353" s="295">
        <f t="shared" si="50"/>
        <v>334</v>
      </c>
    </row>
    <row r="354" spans="1:15">
      <c r="A354" s="286"/>
      <c r="B354" s="296">
        <f t="shared" si="53"/>
        <v>335</v>
      </c>
      <c r="C354" s="307">
        <f t="shared" si="47"/>
        <v>0</v>
      </c>
      <c r="D354" s="298">
        <f t="shared" si="54"/>
        <v>0</v>
      </c>
      <c r="E354" s="299">
        <f t="shared" si="49"/>
        <v>0</v>
      </c>
      <c r="F354" s="299">
        <f t="shared" si="48"/>
        <v>0</v>
      </c>
      <c r="G354" s="299">
        <f t="shared" si="51"/>
        <v>0</v>
      </c>
      <c r="H354" s="298">
        <f t="shared" si="52"/>
        <v>0</v>
      </c>
      <c r="I354" s="294"/>
      <c r="O354" s="295">
        <f t="shared" si="50"/>
        <v>335</v>
      </c>
    </row>
    <row r="355" spans="1:15">
      <c r="A355" s="286"/>
      <c r="B355" s="300">
        <f t="shared" si="53"/>
        <v>336</v>
      </c>
      <c r="C355" s="308">
        <f t="shared" si="47"/>
        <v>0</v>
      </c>
      <c r="D355" s="302">
        <f t="shared" si="54"/>
        <v>0</v>
      </c>
      <c r="E355" s="303">
        <f t="shared" si="49"/>
        <v>0</v>
      </c>
      <c r="F355" s="303">
        <f t="shared" si="48"/>
        <v>0</v>
      </c>
      <c r="G355" s="303">
        <f t="shared" si="51"/>
        <v>0</v>
      </c>
      <c r="H355" s="302">
        <f t="shared" si="52"/>
        <v>0</v>
      </c>
      <c r="I355" s="304" t="e">
        <f>H355/$D$5</f>
        <v>#VALUE!</v>
      </c>
      <c r="J355" s="305"/>
      <c r="K355" s="305"/>
      <c r="L355" s="305"/>
      <c r="M355" s="305"/>
      <c r="N355" s="305"/>
      <c r="O355" s="306">
        <f t="shared" si="50"/>
        <v>336</v>
      </c>
    </row>
    <row r="356" spans="1:15">
      <c r="A356" s="286"/>
      <c r="B356" s="296">
        <f t="shared" si="53"/>
        <v>337</v>
      </c>
      <c r="C356" s="307">
        <f t="shared" si="47"/>
        <v>0</v>
      </c>
      <c r="D356" s="298">
        <f t="shared" si="54"/>
        <v>0</v>
      </c>
      <c r="E356" s="299">
        <f t="shared" si="49"/>
        <v>0</v>
      </c>
      <c r="F356" s="299">
        <f t="shared" si="48"/>
        <v>0</v>
      </c>
      <c r="G356" s="299">
        <f t="shared" si="51"/>
        <v>0</v>
      </c>
      <c r="H356" s="298">
        <f t="shared" si="52"/>
        <v>0</v>
      </c>
      <c r="I356" s="294"/>
      <c r="O356" s="295">
        <f t="shared" si="50"/>
        <v>337</v>
      </c>
    </row>
    <row r="357" spans="1:15">
      <c r="A357" s="286"/>
      <c r="B357" s="296">
        <f t="shared" si="53"/>
        <v>338</v>
      </c>
      <c r="C357" s="307">
        <f t="shared" si="47"/>
        <v>0</v>
      </c>
      <c r="D357" s="298">
        <f t="shared" si="54"/>
        <v>0</v>
      </c>
      <c r="E357" s="299">
        <f t="shared" si="49"/>
        <v>0</v>
      </c>
      <c r="F357" s="299">
        <f t="shared" si="48"/>
        <v>0</v>
      </c>
      <c r="G357" s="299">
        <f t="shared" si="51"/>
        <v>0</v>
      </c>
      <c r="H357" s="298">
        <f t="shared" si="52"/>
        <v>0</v>
      </c>
      <c r="I357" s="294"/>
      <c r="O357" s="295">
        <f t="shared" si="50"/>
        <v>338</v>
      </c>
    </row>
    <row r="358" spans="1:15">
      <c r="A358" s="286"/>
      <c r="B358" s="296">
        <f t="shared" si="53"/>
        <v>339</v>
      </c>
      <c r="C358" s="307">
        <f t="shared" si="47"/>
        <v>0</v>
      </c>
      <c r="D358" s="298">
        <f t="shared" si="54"/>
        <v>0</v>
      </c>
      <c r="E358" s="299">
        <f t="shared" si="49"/>
        <v>0</v>
      </c>
      <c r="F358" s="299">
        <f t="shared" si="48"/>
        <v>0</v>
      </c>
      <c r="G358" s="299">
        <f t="shared" si="51"/>
        <v>0</v>
      </c>
      <c r="H358" s="298">
        <f t="shared" si="52"/>
        <v>0</v>
      </c>
      <c r="I358" s="294"/>
      <c r="O358" s="295">
        <f t="shared" si="50"/>
        <v>339</v>
      </c>
    </row>
    <row r="359" spans="1:15">
      <c r="A359" s="286"/>
      <c r="B359" s="296">
        <f t="shared" si="53"/>
        <v>340</v>
      </c>
      <c r="C359" s="307">
        <f t="shared" si="47"/>
        <v>0</v>
      </c>
      <c r="D359" s="298">
        <f t="shared" si="54"/>
        <v>0</v>
      </c>
      <c r="E359" s="299">
        <f t="shared" si="49"/>
        <v>0</v>
      </c>
      <c r="F359" s="299">
        <f t="shared" si="48"/>
        <v>0</v>
      </c>
      <c r="G359" s="299">
        <f t="shared" si="51"/>
        <v>0</v>
      </c>
      <c r="H359" s="298">
        <f t="shared" si="52"/>
        <v>0</v>
      </c>
      <c r="I359" s="294"/>
      <c r="O359" s="295">
        <f t="shared" si="50"/>
        <v>340</v>
      </c>
    </row>
    <row r="360" spans="1:15">
      <c r="A360" s="286"/>
      <c r="B360" s="296">
        <f t="shared" si="53"/>
        <v>341</v>
      </c>
      <c r="C360" s="307">
        <f t="shared" si="47"/>
        <v>0</v>
      </c>
      <c r="D360" s="298">
        <f t="shared" si="54"/>
        <v>0</v>
      </c>
      <c r="E360" s="299">
        <f t="shared" si="49"/>
        <v>0</v>
      </c>
      <c r="F360" s="299">
        <f t="shared" si="48"/>
        <v>0</v>
      </c>
      <c r="G360" s="299">
        <f t="shared" si="51"/>
        <v>0</v>
      </c>
      <c r="H360" s="298">
        <f t="shared" si="52"/>
        <v>0</v>
      </c>
      <c r="I360" s="294"/>
      <c r="O360" s="295">
        <f t="shared" si="50"/>
        <v>341</v>
      </c>
    </row>
    <row r="361" spans="1:15">
      <c r="A361" s="286"/>
      <c r="B361" s="296">
        <f t="shared" si="53"/>
        <v>342</v>
      </c>
      <c r="C361" s="307">
        <f t="shared" si="47"/>
        <v>0</v>
      </c>
      <c r="D361" s="298">
        <f t="shared" si="54"/>
        <v>0</v>
      </c>
      <c r="E361" s="299">
        <f t="shared" si="49"/>
        <v>0</v>
      </c>
      <c r="F361" s="299">
        <f t="shared" si="48"/>
        <v>0</v>
      </c>
      <c r="G361" s="299">
        <f t="shared" si="51"/>
        <v>0</v>
      </c>
      <c r="H361" s="298">
        <f t="shared" si="52"/>
        <v>0</v>
      </c>
      <c r="I361" s="294"/>
      <c r="O361" s="295">
        <f t="shared" si="50"/>
        <v>342</v>
      </c>
    </row>
    <row r="362" spans="1:15">
      <c r="A362" s="286"/>
      <c r="B362" s="296">
        <f t="shared" si="53"/>
        <v>343</v>
      </c>
      <c r="C362" s="307">
        <f t="shared" si="47"/>
        <v>0</v>
      </c>
      <c r="D362" s="298">
        <f t="shared" si="54"/>
        <v>0</v>
      </c>
      <c r="E362" s="299">
        <f t="shared" si="49"/>
        <v>0</v>
      </c>
      <c r="F362" s="299">
        <f t="shared" si="48"/>
        <v>0</v>
      </c>
      <c r="G362" s="299">
        <f t="shared" si="51"/>
        <v>0</v>
      </c>
      <c r="H362" s="298">
        <f t="shared" si="52"/>
        <v>0</v>
      </c>
      <c r="I362" s="294"/>
      <c r="O362" s="295">
        <f t="shared" si="50"/>
        <v>343</v>
      </c>
    </row>
    <row r="363" spans="1:15">
      <c r="A363" s="286"/>
      <c r="B363" s="296">
        <f t="shared" si="53"/>
        <v>344</v>
      </c>
      <c r="C363" s="307">
        <f t="shared" si="47"/>
        <v>0</v>
      </c>
      <c r="D363" s="298">
        <f t="shared" si="54"/>
        <v>0</v>
      </c>
      <c r="E363" s="299">
        <f t="shared" si="49"/>
        <v>0</v>
      </c>
      <c r="F363" s="299">
        <f t="shared" si="48"/>
        <v>0</v>
      </c>
      <c r="G363" s="299">
        <f t="shared" si="51"/>
        <v>0</v>
      </c>
      <c r="H363" s="298">
        <f t="shared" si="52"/>
        <v>0</v>
      </c>
      <c r="I363" s="294"/>
      <c r="O363" s="295">
        <f t="shared" si="50"/>
        <v>344</v>
      </c>
    </row>
    <row r="364" spans="1:15">
      <c r="A364" s="286"/>
      <c r="B364" s="296">
        <f t="shared" si="53"/>
        <v>345</v>
      </c>
      <c r="C364" s="307">
        <f t="shared" si="47"/>
        <v>0</v>
      </c>
      <c r="D364" s="298">
        <f t="shared" si="54"/>
        <v>0</v>
      </c>
      <c r="E364" s="299">
        <f t="shared" si="49"/>
        <v>0</v>
      </c>
      <c r="F364" s="299">
        <f t="shared" si="48"/>
        <v>0</v>
      </c>
      <c r="G364" s="299">
        <f t="shared" si="51"/>
        <v>0</v>
      </c>
      <c r="H364" s="298">
        <f t="shared" si="52"/>
        <v>0</v>
      </c>
      <c r="I364" s="294"/>
      <c r="O364" s="295">
        <f t="shared" si="50"/>
        <v>345</v>
      </c>
    </row>
    <row r="365" spans="1:15">
      <c r="A365" s="286"/>
      <c r="B365" s="296">
        <f t="shared" si="53"/>
        <v>346</v>
      </c>
      <c r="C365" s="307">
        <f t="shared" si="47"/>
        <v>0</v>
      </c>
      <c r="D365" s="298">
        <f t="shared" si="54"/>
        <v>0</v>
      </c>
      <c r="E365" s="299">
        <f t="shared" si="49"/>
        <v>0</v>
      </c>
      <c r="F365" s="299">
        <f t="shared" si="48"/>
        <v>0</v>
      </c>
      <c r="G365" s="299">
        <f t="shared" si="51"/>
        <v>0</v>
      </c>
      <c r="H365" s="298">
        <f t="shared" si="52"/>
        <v>0</v>
      </c>
      <c r="I365" s="294"/>
      <c r="O365" s="295">
        <f t="shared" si="50"/>
        <v>346</v>
      </c>
    </row>
    <row r="366" spans="1:15">
      <c r="A366" s="286"/>
      <c r="B366" s="296">
        <f t="shared" si="53"/>
        <v>347</v>
      </c>
      <c r="C366" s="307">
        <f t="shared" si="47"/>
        <v>0</v>
      </c>
      <c r="D366" s="298">
        <f t="shared" si="54"/>
        <v>0</v>
      </c>
      <c r="E366" s="299">
        <f t="shared" si="49"/>
        <v>0</v>
      </c>
      <c r="F366" s="299">
        <f t="shared" si="48"/>
        <v>0</v>
      </c>
      <c r="G366" s="299">
        <f t="shared" si="51"/>
        <v>0</v>
      </c>
      <c r="H366" s="298">
        <f t="shared" si="52"/>
        <v>0</v>
      </c>
      <c r="I366" s="294"/>
      <c r="O366" s="295">
        <f t="shared" si="50"/>
        <v>347</v>
      </c>
    </row>
    <row r="367" spans="1:15">
      <c r="A367" s="286"/>
      <c r="B367" s="300">
        <f t="shared" si="53"/>
        <v>348</v>
      </c>
      <c r="C367" s="308">
        <f t="shared" si="47"/>
        <v>0</v>
      </c>
      <c r="D367" s="302">
        <f t="shared" si="54"/>
        <v>0</v>
      </c>
      <c r="E367" s="303">
        <f t="shared" si="49"/>
        <v>0</v>
      </c>
      <c r="F367" s="303">
        <f t="shared" si="48"/>
        <v>0</v>
      </c>
      <c r="G367" s="303">
        <f t="shared" si="51"/>
        <v>0</v>
      </c>
      <c r="H367" s="302">
        <f t="shared" si="52"/>
        <v>0</v>
      </c>
      <c r="I367" s="304" t="e">
        <f>H367/$D$5</f>
        <v>#VALUE!</v>
      </c>
      <c r="J367" s="305"/>
      <c r="K367" s="305"/>
      <c r="L367" s="305"/>
      <c r="M367" s="305"/>
      <c r="N367" s="305"/>
      <c r="O367" s="306">
        <f t="shared" si="50"/>
        <v>348</v>
      </c>
    </row>
    <row r="368" spans="1:15">
      <c r="A368" s="286"/>
      <c r="B368" s="296">
        <f t="shared" si="53"/>
        <v>349</v>
      </c>
      <c r="C368" s="307">
        <f t="shared" si="47"/>
        <v>0</v>
      </c>
      <c r="D368" s="298">
        <f t="shared" si="54"/>
        <v>0</v>
      </c>
      <c r="E368" s="299">
        <f t="shared" si="49"/>
        <v>0</v>
      </c>
      <c r="F368" s="299">
        <f t="shared" si="48"/>
        <v>0</v>
      </c>
      <c r="G368" s="299">
        <f t="shared" si="51"/>
        <v>0</v>
      </c>
      <c r="H368" s="298">
        <f t="shared" si="52"/>
        <v>0</v>
      </c>
      <c r="I368" s="294"/>
      <c r="O368" s="295">
        <f t="shared" si="50"/>
        <v>349</v>
      </c>
    </row>
    <row r="369" spans="1:15">
      <c r="A369" s="286"/>
      <c r="B369" s="296">
        <f t="shared" si="53"/>
        <v>350</v>
      </c>
      <c r="C369" s="307">
        <f t="shared" si="47"/>
        <v>0</v>
      </c>
      <c r="D369" s="298">
        <f t="shared" si="54"/>
        <v>0</v>
      </c>
      <c r="E369" s="299">
        <f t="shared" si="49"/>
        <v>0</v>
      </c>
      <c r="F369" s="299">
        <f t="shared" si="48"/>
        <v>0</v>
      </c>
      <c r="G369" s="299">
        <f t="shared" si="51"/>
        <v>0</v>
      </c>
      <c r="H369" s="298">
        <f t="shared" si="52"/>
        <v>0</v>
      </c>
      <c r="I369" s="294"/>
      <c r="O369" s="295">
        <f t="shared" si="50"/>
        <v>350</v>
      </c>
    </row>
    <row r="370" spans="1:15">
      <c r="A370" s="286"/>
      <c r="B370" s="296">
        <f t="shared" si="53"/>
        <v>351</v>
      </c>
      <c r="C370" s="307">
        <f t="shared" si="47"/>
        <v>0</v>
      </c>
      <c r="D370" s="298">
        <f t="shared" si="54"/>
        <v>0</v>
      </c>
      <c r="E370" s="299">
        <f t="shared" si="49"/>
        <v>0</v>
      </c>
      <c r="F370" s="299">
        <f t="shared" si="48"/>
        <v>0</v>
      </c>
      <c r="G370" s="299">
        <f t="shared" si="51"/>
        <v>0</v>
      </c>
      <c r="H370" s="298">
        <f t="shared" si="52"/>
        <v>0</v>
      </c>
      <c r="I370" s="294"/>
      <c r="O370" s="295">
        <f t="shared" si="50"/>
        <v>351</v>
      </c>
    </row>
    <row r="371" spans="1:15">
      <c r="A371" s="286"/>
      <c r="B371" s="296">
        <f t="shared" si="53"/>
        <v>352</v>
      </c>
      <c r="C371" s="307">
        <f t="shared" si="47"/>
        <v>0</v>
      </c>
      <c r="D371" s="298">
        <f t="shared" si="54"/>
        <v>0</v>
      </c>
      <c r="E371" s="299">
        <f t="shared" si="49"/>
        <v>0</v>
      </c>
      <c r="F371" s="299">
        <f t="shared" si="48"/>
        <v>0</v>
      </c>
      <c r="G371" s="299">
        <f t="shared" si="51"/>
        <v>0</v>
      </c>
      <c r="H371" s="298">
        <f t="shared" si="52"/>
        <v>0</v>
      </c>
      <c r="I371" s="294"/>
      <c r="O371" s="295">
        <f t="shared" si="50"/>
        <v>352</v>
      </c>
    </row>
    <row r="372" spans="1:15">
      <c r="A372" s="286"/>
      <c r="B372" s="296">
        <f t="shared" si="53"/>
        <v>353</v>
      </c>
      <c r="C372" s="307">
        <f t="shared" si="47"/>
        <v>0</v>
      </c>
      <c r="D372" s="298">
        <f t="shared" si="54"/>
        <v>0</v>
      </c>
      <c r="E372" s="299">
        <f t="shared" si="49"/>
        <v>0</v>
      </c>
      <c r="F372" s="299">
        <f t="shared" si="48"/>
        <v>0</v>
      </c>
      <c r="G372" s="299">
        <f t="shared" si="51"/>
        <v>0</v>
      </c>
      <c r="H372" s="298">
        <f t="shared" si="52"/>
        <v>0</v>
      </c>
      <c r="I372" s="294"/>
      <c r="O372" s="295">
        <f t="shared" si="50"/>
        <v>353</v>
      </c>
    </row>
    <row r="373" spans="1:15">
      <c r="A373" s="286"/>
      <c r="B373" s="296">
        <f t="shared" si="53"/>
        <v>354</v>
      </c>
      <c r="C373" s="307">
        <f t="shared" si="47"/>
        <v>0</v>
      </c>
      <c r="D373" s="298">
        <f t="shared" si="54"/>
        <v>0</v>
      </c>
      <c r="E373" s="299">
        <f t="shared" si="49"/>
        <v>0</v>
      </c>
      <c r="F373" s="299">
        <f t="shared" si="48"/>
        <v>0</v>
      </c>
      <c r="G373" s="299">
        <f t="shared" si="51"/>
        <v>0</v>
      </c>
      <c r="H373" s="298">
        <f t="shared" si="52"/>
        <v>0</v>
      </c>
      <c r="I373" s="294"/>
      <c r="O373" s="295">
        <f t="shared" si="50"/>
        <v>354</v>
      </c>
    </row>
    <row r="374" spans="1:15">
      <c r="A374" s="286"/>
      <c r="B374" s="296">
        <f t="shared" si="53"/>
        <v>355</v>
      </c>
      <c r="C374" s="307">
        <f t="shared" si="47"/>
        <v>0</v>
      </c>
      <c r="D374" s="298">
        <f t="shared" si="54"/>
        <v>0</v>
      </c>
      <c r="E374" s="299">
        <f t="shared" si="49"/>
        <v>0</v>
      </c>
      <c r="F374" s="299">
        <f t="shared" si="48"/>
        <v>0</v>
      </c>
      <c r="G374" s="299">
        <f t="shared" si="51"/>
        <v>0</v>
      </c>
      <c r="H374" s="298">
        <f t="shared" si="52"/>
        <v>0</v>
      </c>
      <c r="I374" s="294"/>
      <c r="O374" s="295">
        <f t="shared" si="50"/>
        <v>355</v>
      </c>
    </row>
    <row r="375" spans="1:15">
      <c r="A375" s="286"/>
      <c r="B375" s="296">
        <f t="shared" si="53"/>
        <v>356</v>
      </c>
      <c r="C375" s="307">
        <f t="shared" si="47"/>
        <v>0</v>
      </c>
      <c r="D375" s="298">
        <f t="shared" si="54"/>
        <v>0</v>
      </c>
      <c r="E375" s="299">
        <f t="shared" si="49"/>
        <v>0</v>
      </c>
      <c r="F375" s="299">
        <f t="shared" si="48"/>
        <v>0</v>
      </c>
      <c r="G375" s="299">
        <f t="shared" si="51"/>
        <v>0</v>
      </c>
      <c r="H375" s="298">
        <f t="shared" si="52"/>
        <v>0</v>
      </c>
      <c r="I375" s="294"/>
      <c r="O375" s="295">
        <f t="shared" si="50"/>
        <v>356</v>
      </c>
    </row>
    <row r="376" spans="1:15">
      <c r="A376" s="286"/>
      <c r="B376" s="296">
        <f t="shared" si="53"/>
        <v>357</v>
      </c>
      <c r="C376" s="307">
        <f t="shared" ref="C376:C431" si="55">IF(D376&gt;0,$F$7,0)</f>
        <v>0</v>
      </c>
      <c r="D376" s="298">
        <f t="shared" si="54"/>
        <v>0</v>
      </c>
      <c r="E376" s="299">
        <f t="shared" si="49"/>
        <v>0</v>
      </c>
      <c r="F376" s="299">
        <f t="shared" si="48"/>
        <v>0</v>
      </c>
      <c r="G376" s="299">
        <f t="shared" si="51"/>
        <v>0</v>
      </c>
      <c r="H376" s="298">
        <f t="shared" si="52"/>
        <v>0</v>
      </c>
      <c r="I376" s="294"/>
      <c r="O376" s="295">
        <f t="shared" si="50"/>
        <v>357</v>
      </c>
    </row>
    <row r="377" spans="1:15">
      <c r="A377" s="286"/>
      <c r="B377" s="296">
        <f t="shared" si="53"/>
        <v>358</v>
      </c>
      <c r="C377" s="307">
        <f t="shared" si="55"/>
        <v>0</v>
      </c>
      <c r="D377" s="298">
        <f t="shared" si="54"/>
        <v>0</v>
      </c>
      <c r="E377" s="299">
        <f t="shared" si="49"/>
        <v>0</v>
      </c>
      <c r="F377" s="299">
        <f t="shared" si="48"/>
        <v>0</v>
      </c>
      <c r="G377" s="299">
        <f t="shared" si="51"/>
        <v>0</v>
      </c>
      <c r="H377" s="298">
        <f t="shared" si="52"/>
        <v>0</v>
      </c>
      <c r="I377" s="294"/>
      <c r="O377" s="295">
        <f t="shared" si="50"/>
        <v>358</v>
      </c>
    </row>
    <row r="378" spans="1:15">
      <c r="A378" s="286"/>
      <c r="B378" s="296">
        <f t="shared" si="53"/>
        <v>359</v>
      </c>
      <c r="C378" s="307">
        <f t="shared" si="55"/>
        <v>0</v>
      </c>
      <c r="D378" s="298">
        <f t="shared" si="54"/>
        <v>0</v>
      </c>
      <c r="E378" s="299">
        <f t="shared" si="49"/>
        <v>0</v>
      </c>
      <c r="F378" s="299">
        <f t="shared" si="48"/>
        <v>0</v>
      </c>
      <c r="G378" s="299">
        <f t="shared" si="51"/>
        <v>0</v>
      </c>
      <c r="H378" s="298">
        <f t="shared" si="52"/>
        <v>0</v>
      </c>
      <c r="I378" s="294"/>
      <c r="O378" s="295">
        <f t="shared" si="50"/>
        <v>359</v>
      </c>
    </row>
    <row r="379" spans="1:15">
      <c r="A379" s="286"/>
      <c r="B379" s="309">
        <f t="shared" si="53"/>
        <v>360</v>
      </c>
      <c r="C379" s="310">
        <f t="shared" si="55"/>
        <v>0</v>
      </c>
      <c r="D379" s="311">
        <f t="shared" si="54"/>
        <v>0</v>
      </c>
      <c r="E379" s="312">
        <f t="shared" si="49"/>
        <v>0</v>
      </c>
      <c r="F379" s="312">
        <f t="shared" si="48"/>
        <v>0</v>
      </c>
      <c r="G379" s="312">
        <f t="shared" si="51"/>
        <v>0</v>
      </c>
      <c r="H379" s="311">
        <f t="shared" si="52"/>
        <v>0</v>
      </c>
      <c r="I379" s="304" t="e">
        <f>H379/$D$5</f>
        <v>#VALUE!</v>
      </c>
      <c r="J379" s="305"/>
      <c r="K379" s="305"/>
      <c r="L379" s="305"/>
      <c r="M379" s="305"/>
      <c r="N379" s="305"/>
      <c r="O379" s="306">
        <f t="shared" si="50"/>
        <v>360</v>
      </c>
    </row>
    <row r="380" spans="1:15">
      <c r="B380" s="296">
        <f t="shared" si="53"/>
        <v>361</v>
      </c>
      <c r="C380" s="307">
        <f t="shared" si="55"/>
        <v>0</v>
      </c>
      <c r="D380" s="298">
        <f t="shared" si="54"/>
        <v>0</v>
      </c>
      <c r="E380" s="299">
        <f t="shared" si="49"/>
        <v>0</v>
      </c>
      <c r="F380" s="299">
        <f t="shared" si="48"/>
        <v>0</v>
      </c>
      <c r="G380" s="299">
        <f t="shared" si="51"/>
        <v>0</v>
      </c>
      <c r="H380" s="298">
        <f t="shared" si="52"/>
        <v>0</v>
      </c>
    </row>
    <row r="381" spans="1:15">
      <c r="B381" s="296">
        <f t="shared" si="53"/>
        <v>362</v>
      </c>
      <c r="C381" s="307">
        <f t="shared" si="55"/>
        <v>0</v>
      </c>
      <c r="D381" s="298">
        <f t="shared" si="54"/>
        <v>0</v>
      </c>
      <c r="E381" s="299">
        <f t="shared" si="49"/>
        <v>0</v>
      </c>
      <c r="F381" s="299">
        <f t="shared" si="48"/>
        <v>0</v>
      </c>
      <c r="G381" s="299">
        <f t="shared" si="51"/>
        <v>0</v>
      </c>
      <c r="H381" s="298">
        <f t="shared" si="52"/>
        <v>0</v>
      </c>
    </row>
    <row r="382" spans="1:15">
      <c r="B382" s="296">
        <f t="shared" si="53"/>
        <v>363</v>
      </c>
      <c r="C382" s="307">
        <f t="shared" si="55"/>
        <v>0</v>
      </c>
      <c r="D382" s="298">
        <f t="shared" si="54"/>
        <v>0</v>
      </c>
      <c r="E382" s="299">
        <f t="shared" si="49"/>
        <v>0</v>
      </c>
      <c r="F382" s="299">
        <f t="shared" si="48"/>
        <v>0</v>
      </c>
      <c r="G382" s="299">
        <f t="shared" si="51"/>
        <v>0</v>
      </c>
      <c r="H382" s="298">
        <f t="shared" si="52"/>
        <v>0</v>
      </c>
    </row>
    <row r="383" spans="1:15">
      <c r="B383" s="296">
        <f t="shared" si="53"/>
        <v>364</v>
      </c>
      <c r="C383" s="307">
        <f t="shared" si="55"/>
        <v>0</v>
      </c>
      <c r="D383" s="298">
        <f t="shared" si="54"/>
        <v>0</v>
      </c>
      <c r="E383" s="299">
        <f t="shared" si="49"/>
        <v>0</v>
      </c>
      <c r="F383" s="299">
        <f t="shared" si="48"/>
        <v>0</v>
      </c>
      <c r="G383" s="299">
        <f t="shared" si="51"/>
        <v>0</v>
      </c>
      <c r="H383" s="298">
        <f t="shared" si="52"/>
        <v>0</v>
      </c>
    </row>
    <row r="384" spans="1:15">
      <c r="B384" s="296">
        <f t="shared" si="53"/>
        <v>365</v>
      </c>
      <c r="C384" s="307">
        <f t="shared" si="55"/>
        <v>0</v>
      </c>
      <c r="D384" s="298">
        <f t="shared" si="54"/>
        <v>0</v>
      </c>
      <c r="E384" s="299">
        <f t="shared" si="49"/>
        <v>0</v>
      </c>
      <c r="F384" s="299">
        <f t="shared" si="48"/>
        <v>0</v>
      </c>
      <c r="G384" s="299">
        <f t="shared" si="51"/>
        <v>0</v>
      </c>
      <c r="H384" s="298">
        <f t="shared" si="52"/>
        <v>0</v>
      </c>
    </row>
    <row r="385" spans="2:8" s="252" customFormat="1">
      <c r="B385" s="296">
        <f t="shared" si="53"/>
        <v>366</v>
      </c>
      <c r="C385" s="307">
        <f t="shared" si="55"/>
        <v>0</v>
      </c>
      <c r="D385" s="298">
        <f t="shared" si="54"/>
        <v>0</v>
      </c>
      <c r="E385" s="299">
        <f t="shared" si="49"/>
        <v>0</v>
      </c>
      <c r="F385" s="299">
        <f t="shared" si="48"/>
        <v>0</v>
      </c>
      <c r="G385" s="299">
        <f t="shared" si="51"/>
        <v>0</v>
      </c>
      <c r="H385" s="298">
        <f t="shared" si="52"/>
        <v>0</v>
      </c>
    </row>
    <row r="386" spans="2:8" s="252" customFormat="1">
      <c r="B386" s="296">
        <f t="shared" si="53"/>
        <v>367</v>
      </c>
      <c r="C386" s="307">
        <f t="shared" si="55"/>
        <v>0</v>
      </c>
      <c r="D386" s="298">
        <f t="shared" si="54"/>
        <v>0</v>
      </c>
      <c r="E386" s="299">
        <f t="shared" si="49"/>
        <v>0</v>
      </c>
      <c r="F386" s="299">
        <f t="shared" si="48"/>
        <v>0</v>
      </c>
      <c r="G386" s="299">
        <f t="shared" si="51"/>
        <v>0</v>
      </c>
      <c r="H386" s="298">
        <f t="shared" si="52"/>
        <v>0</v>
      </c>
    </row>
    <row r="387" spans="2:8" s="252" customFormat="1">
      <c r="B387" s="296">
        <f t="shared" si="53"/>
        <v>368</v>
      </c>
      <c r="C387" s="307">
        <f t="shared" si="55"/>
        <v>0</v>
      </c>
      <c r="D387" s="298">
        <f t="shared" si="54"/>
        <v>0</v>
      </c>
      <c r="E387" s="299">
        <f t="shared" si="49"/>
        <v>0</v>
      </c>
      <c r="F387" s="299">
        <f t="shared" si="48"/>
        <v>0</v>
      </c>
      <c r="G387" s="299">
        <f t="shared" si="51"/>
        <v>0</v>
      </c>
      <c r="H387" s="298">
        <f t="shared" si="52"/>
        <v>0</v>
      </c>
    </row>
    <row r="388" spans="2:8" s="252" customFormat="1">
      <c r="B388" s="296">
        <f t="shared" si="53"/>
        <v>369</v>
      </c>
      <c r="C388" s="307">
        <f t="shared" si="55"/>
        <v>0</v>
      </c>
      <c r="D388" s="298">
        <f t="shared" si="54"/>
        <v>0</v>
      </c>
      <c r="E388" s="299">
        <f t="shared" si="49"/>
        <v>0</v>
      </c>
      <c r="F388" s="299">
        <f t="shared" si="48"/>
        <v>0</v>
      </c>
      <c r="G388" s="299">
        <f t="shared" si="51"/>
        <v>0</v>
      </c>
      <c r="H388" s="298">
        <f t="shared" si="52"/>
        <v>0</v>
      </c>
    </row>
    <row r="389" spans="2:8" s="252" customFormat="1">
      <c r="B389" s="296">
        <f t="shared" si="53"/>
        <v>370</v>
      </c>
      <c r="C389" s="307">
        <f t="shared" si="55"/>
        <v>0</v>
      </c>
      <c r="D389" s="298">
        <f t="shared" si="54"/>
        <v>0</v>
      </c>
      <c r="E389" s="299">
        <f t="shared" si="49"/>
        <v>0</v>
      </c>
      <c r="F389" s="299">
        <f t="shared" si="48"/>
        <v>0</v>
      </c>
      <c r="G389" s="299">
        <f t="shared" si="51"/>
        <v>0</v>
      </c>
      <c r="H389" s="298">
        <f t="shared" si="52"/>
        <v>0</v>
      </c>
    </row>
    <row r="390" spans="2:8" s="252" customFormat="1">
      <c r="B390" s="296">
        <f t="shared" si="53"/>
        <v>371</v>
      </c>
      <c r="C390" s="307">
        <f t="shared" si="55"/>
        <v>0</v>
      </c>
      <c r="D390" s="298">
        <f t="shared" si="54"/>
        <v>0</v>
      </c>
      <c r="E390" s="299">
        <f t="shared" si="49"/>
        <v>0</v>
      </c>
      <c r="F390" s="299">
        <f t="shared" si="48"/>
        <v>0</v>
      </c>
      <c r="G390" s="299">
        <f t="shared" si="51"/>
        <v>0</v>
      </c>
      <c r="H390" s="298">
        <f t="shared" si="52"/>
        <v>0</v>
      </c>
    </row>
    <row r="391" spans="2:8" s="252" customFormat="1">
      <c r="B391" s="309">
        <f t="shared" si="53"/>
        <v>372</v>
      </c>
      <c r="C391" s="310">
        <f t="shared" si="55"/>
        <v>0</v>
      </c>
      <c r="D391" s="311">
        <f t="shared" si="54"/>
        <v>0</v>
      </c>
      <c r="E391" s="312">
        <f t="shared" si="49"/>
        <v>0</v>
      </c>
      <c r="F391" s="312">
        <f t="shared" si="48"/>
        <v>0</v>
      </c>
      <c r="G391" s="312">
        <f t="shared" si="51"/>
        <v>0</v>
      </c>
      <c r="H391" s="311">
        <f t="shared" si="52"/>
        <v>0</v>
      </c>
    </row>
    <row r="392" spans="2:8" s="252" customFormat="1">
      <c r="B392" s="296">
        <f t="shared" si="53"/>
        <v>373</v>
      </c>
      <c r="C392" s="307">
        <f t="shared" si="55"/>
        <v>0</v>
      </c>
      <c r="D392" s="298">
        <f t="shared" si="54"/>
        <v>0</v>
      </c>
      <c r="E392" s="299">
        <f t="shared" si="49"/>
        <v>0</v>
      </c>
      <c r="F392" s="299">
        <f t="shared" si="48"/>
        <v>0</v>
      </c>
      <c r="G392" s="299">
        <f t="shared" si="51"/>
        <v>0</v>
      </c>
      <c r="H392" s="298">
        <f t="shared" si="52"/>
        <v>0</v>
      </c>
    </row>
    <row r="393" spans="2:8" s="252" customFormat="1">
      <c r="B393" s="296">
        <f t="shared" si="53"/>
        <v>374</v>
      </c>
      <c r="C393" s="307">
        <f t="shared" si="55"/>
        <v>0</v>
      </c>
      <c r="D393" s="298">
        <f t="shared" si="54"/>
        <v>0</v>
      </c>
      <c r="E393" s="299">
        <f t="shared" si="49"/>
        <v>0</v>
      </c>
      <c r="F393" s="299">
        <f t="shared" si="48"/>
        <v>0</v>
      </c>
      <c r="G393" s="299">
        <f t="shared" si="51"/>
        <v>0</v>
      </c>
      <c r="H393" s="298">
        <f t="shared" si="52"/>
        <v>0</v>
      </c>
    </row>
    <row r="394" spans="2:8" s="252" customFormat="1">
      <c r="B394" s="296">
        <f t="shared" si="53"/>
        <v>375</v>
      </c>
      <c r="C394" s="307">
        <f t="shared" si="55"/>
        <v>0</v>
      </c>
      <c r="D394" s="298">
        <f t="shared" si="54"/>
        <v>0</v>
      </c>
      <c r="E394" s="299">
        <f t="shared" si="49"/>
        <v>0</v>
      </c>
      <c r="F394" s="299">
        <f t="shared" si="48"/>
        <v>0</v>
      </c>
      <c r="G394" s="299">
        <f t="shared" si="51"/>
        <v>0</v>
      </c>
      <c r="H394" s="298">
        <f t="shared" si="52"/>
        <v>0</v>
      </c>
    </row>
    <row r="395" spans="2:8" s="252" customFormat="1">
      <c r="B395" s="296">
        <f t="shared" si="53"/>
        <v>376</v>
      </c>
      <c r="C395" s="307">
        <f t="shared" si="55"/>
        <v>0</v>
      </c>
      <c r="D395" s="298">
        <f t="shared" si="54"/>
        <v>0</v>
      </c>
      <c r="E395" s="299">
        <f t="shared" si="49"/>
        <v>0</v>
      </c>
      <c r="F395" s="299">
        <f t="shared" si="48"/>
        <v>0</v>
      </c>
      <c r="G395" s="299">
        <f t="shared" si="51"/>
        <v>0</v>
      </c>
      <c r="H395" s="298">
        <f t="shared" si="52"/>
        <v>0</v>
      </c>
    </row>
    <row r="396" spans="2:8" s="252" customFormat="1">
      <c r="B396" s="296">
        <f t="shared" si="53"/>
        <v>377</v>
      </c>
      <c r="C396" s="307">
        <f t="shared" si="55"/>
        <v>0</v>
      </c>
      <c r="D396" s="298">
        <f t="shared" si="54"/>
        <v>0</v>
      </c>
      <c r="E396" s="299">
        <f t="shared" si="49"/>
        <v>0</v>
      </c>
      <c r="F396" s="299">
        <f t="shared" si="48"/>
        <v>0</v>
      </c>
      <c r="G396" s="299">
        <f t="shared" si="51"/>
        <v>0</v>
      </c>
      <c r="H396" s="298">
        <f t="shared" si="52"/>
        <v>0</v>
      </c>
    </row>
    <row r="397" spans="2:8" s="252" customFormat="1">
      <c r="B397" s="296">
        <f t="shared" si="53"/>
        <v>378</v>
      </c>
      <c r="C397" s="307">
        <f t="shared" si="55"/>
        <v>0</v>
      </c>
      <c r="D397" s="298">
        <f t="shared" si="54"/>
        <v>0</v>
      </c>
      <c r="E397" s="299">
        <f t="shared" si="49"/>
        <v>0</v>
      </c>
      <c r="F397" s="299">
        <f t="shared" si="48"/>
        <v>0</v>
      </c>
      <c r="G397" s="299">
        <f t="shared" si="51"/>
        <v>0</v>
      </c>
      <c r="H397" s="298">
        <f t="shared" si="52"/>
        <v>0</v>
      </c>
    </row>
    <row r="398" spans="2:8" s="252" customFormat="1">
      <c r="B398" s="296">
        <f t="shared" si="53"/>
        <v>379</v>
      </c>
      <c r="C398" s="307">
        <f t="shared" si="55"/>
        <v>0</v>
      </c>
      <c r="D398" s="298">
        <f t="shared" si="54"/>
        <v>0</v>
      </c>
      <c r="E398" s="299">
        <f t="shared" si="49"/>
        <v>0</v>
      </c>
      <c r="F398" s="299">
        <f t="shared" si="48"/>
        <v>0</v>
      </c>
      <c r="G398" s="299">
        <f t="shared" si="51"/>
        <v>0</v>
      </c>
      <c r="H398" s="298">
        <f t="shared" si="52"/>
        <v>0</v>
      </c>
    </row>
    <row r="399" spans="2:8" s="252" customFormat="1">
      <c r="B399" s="296">
        <f t="shared" si="53"/>
        <v>380</v>
      </c>
      <c r="C399" s="307">
        <f t="shared" si="55"/>
        <v>0</v>
      </c>
      <c r="D399" s="298">
        <f t="shared" si="54"/>
        <v>0</v>
      </c>
      <c r="E399" s="299">
        <f t="shared" si="49"/>
        <v>0</v>
      </c>
      <c r="F399" s="299">
        <f t="shared" si="48"/>
        <v>0</v>
      </c>
      <c r="G399" s="299">
        <f t="shared" si="51"/>
        <v>0</v>
      </c>
      <c r="H399" s="298">
        <f t="shared" si="52"/>
        <v>0</v>
      </c>
    </row>
    <row r="400" spans="2:8" s="252" customFormat="1">
      <c r="B400" s="296">
        <f t="shared" si="53"/>
        <v>381</v>
      </c>
      <c r="C400" s="307">
        <f t="shared" si="55"/>
        <v>0</v>
      </c>
      <c r="D400" s="298">
        <f t="shared" si="54"/>
        <v>0</v>
      </c>
      <c r="E400" s="299">
        <f t="shared" si="49"/>
        <v>0</v>
      </c>
      <c r="F400" s="299">
        <f t="shared" si="48"/>
        <v>0</v>
      </c>
      <c r="G400" s="299">
        <f t="shared" si="51"/>
        <v>0</v>
      </c>
      <c r="H400" s="298">
        <f t="shared" si="52"/>
        <v>0</v>
      </c>
    </row>
    <row r="401" spans="2:8" s="252" customFormat="1">
      <c r="B401" s="296">
        <f t="shared" si="53"/>
        <v>382</v>
      </c>
      <c r="C401" s="307">
        <f t="shared" si="55"/>
        <v>0</v>
      </c>
      <c r="D401" s="298">
        <f t="shared" si="54"/>
        <v>0</v>
      </c>
      <c r="E401" s="299">
        <f t="shared" si="49"/>
        <v>0</v>
      </c>
      <c r="F401" s="299">
        <f t="shared" ref="F401:F439" si="56">E401-G401</f>
        <v>0</v>
      </c>
      <c r="G401" s="299">
        <f t="shared" si="51"/>
        <v>0</v>
      </c>
      <c r="H401" s="298">
        <f t="shared" si="52"/>
        <v>0</v>
      </c>
    </row>
    <row r="402" spans="2:8" s="252" customFormat="1">
      <c r="B402" s="296">
        <f t="shared" si="53"/>
        <v>383</v>
      </c>
      <c r="C402" s="307">
        <f t="shared" si="55"/>
        <v>0</v>
      </c>
      <c r="D402" s="298">
        <f t="shared" si="54"/>
        <v>0</v>
      </c>
      <c r="E402" s="299">
        <f t="shared" si="49"/>
        <v>0</v>
      </c>
      <c r="F402" s="299">
        <f t="shared" si="56"/>
        <v>0</v>
      </c>
      <c r="G402" s="299">
        <f t="shared" si="51"/>
        <v>0</v>
      </c>
      <c r="H402" s="298">
        <f t="shared" si="52"/>
        <v>0</v>
      </c>
    </row>
    <row r="403" spans="2:8" s="252" customFormat="1">
      <c r="B403" s="309">
        <f t="shared" si="53"/>
        <v>384</v>
      </c>
      <c r="C403" s="310">
        <f t="shared" si="55"/>
        <v>0</v>
      </c>
      <c r="D403" s="311">
        <f t="shared" si="54"/>
        <v>0</v>
      </c>
      <c r="E403" s="312">
        <f t="shared" ref="E403:E439" si="57">IF(H402&lt;=E402,H402+G403,$H$10)</f>
        <v>0</v>
      </c>
      <c r="F403" s="312">
        <f t="shared" si="56"/>
        <v>0</v>
      </c>
      <c r="G403" s="312">
        <f t="shared" si="51"/>
        <v>0</v>
      </c>
      <c r="H403" s="311">
        <f t="shared" si="52"/>
        <v>0</v>
      </c>
    </row>
    <row r="404" spans="2:8" s="252" customFormat="1">
      <c r="B404" s="296">
        <f t="shared" si="53"/>
        <v>385</v>
      </c>
      <c r="C404" s="307">
        <f t="shared" si="55"/>
        <v>0</v>
      </c>
      <c r="D404" s="298">
        <f t="shared" si="54"/>
        <v>0</v>
      </c>
      <c r="E404" s="299">
        <f t="shared" si="57"/>
        <v>0</v>
      </c>
      <c r="F404" s="299">
        <f t="shared" si="56"/>
        <v>0</v>
      </c>
      <c r="G404" s="299">
        <f t="shared" si="51"/>
        <v>0</v>
      </c>
      <c r="H404" s="298">
        <f t="shared" si="52"/>
        <v>0</v>
      </c>
    </row>
    <row r="405" spans="2:8" s="252" customFormat="1">
      <c r="B405" s="296">
        <f t="shared" si="53"/>
        <v>386</v>
      </c>
      <c r="C405" s="307">
        <f t="shared" si="55"/>
        <v>0</v>
      </c>
      <c r="D405" s="298">
        <f t="shared" si="54"/>
        <v>0</v>
      </c>
      <c r="E405" s="299">
        <f t="shared" si="57"/>
        <v>0</v>
      </c>
      <c r="F405" s="299">
        <f t="shared" si="56"/>
        <v>0</v>
      </c>
      <c r="G405" s="299">
        <f t="shared" ref="G405:G439" si="58">C405*(D405/365)*30</f>
        <v>0</v>
      </c>
      <c r="H405" s="298">
        <f t="shared" ref="H405:H439" si="59">IF((D405+G405-E405)&lt;0,0,D405+G405-E405)</f>
        <v>0</v>
      </c>
    </row>
    <row r="406" spans="2:8" s="252" customFormat="1">
      <c r="B406" s="296">
        <f t="shared" ref="B406:B439" si="60">B405+1</f>
        <v>387</v>
      </c>
      <c r="C406" s="307">
        <f t="shared" si="55"/>
        <v>0</v>
      </c>
      <c r="D406" s="298">
        <f t="shared" ref="D406:D439" si="61">H405</f>
        <v>0</v>
      </c>
      <c r="E406" s="299">
        <f t="shared" si="57"/>
        <v>0</v>
      </c>
      <c r="F406" s="299">
        <f t="shared" si="56"/>
        <v>0</v>
      </c>
      <c r="G406" s="299">
        <f t="shared" si="58"/>
        <v>0</v>
      </c>
      <c r="H406" s="298">
        <f t="shared" si="59"/>
        <v>0</v>
      </c>
    </row>
    <row r="407" spans="2:8" s="252" customFormat="1">
      <c r="B407" s="296">
        <f t="shared" si="60"/>
        <v>388</v>
      </c>
      <c r="C407" s="307">
        <f t="shared" si="55"/>
        <v>0</v>
      </c>
      <c r="D407" s="298">
        <f t="shared" si="61"/>
        <v>0</v>
      </c>
      <c r="E407" s="299">
        <f t="shared" si="57"/>
        <v>0</v>
      </c>
      <c r="F407" s="299">
        <f t="shared" si="56"/>
        <v>0</v>
      </c>
      <c r="G407" s="299">
        <f t="shared" si="58"/>
        <v>0</v>
      </c>
      <c r="H407" s="298">
        <f t="shared" si="59"/>
        <v>0</v>
      </c>
    </row>
    <row r="408" spans="2:8" s="252" customFormat="1">
      <c r="B408" s="296">
        <f t="shared" si="60"/>
        <v>389</v>
      </c>
      <c r="C408" s="307">
        <f t="shared" si="55"/>
        <v>0</v>
      </c>
      <c r="D408" s="298">
        <f t="shared" si="61"/>
        <v>0</v>
      </c>
      <c r="E408" s="299">
        <f t="shared" si="57"/>
        <v>0</v>
      </c>
      <c r="F408" s="299">
        <f t="shared" si="56"/>
        <v>0</v>
      </c>
      <c r="G408" s="299">
        <f t="shared" si="58"/>
        <v>0</v>
      </c>
      <c r="H408" s="298">
        <f t="shared" si="59"/>
        <v>0</v>
      </c>
    </row>
    <row r="409" spans="2:8" s="252" customFormat="1">
      <c r="B409" s="296">
        <f t="shared" si="60"/>
        <v>390</v>
      </c>
      <c r="C409" s="307">
        <f t="shared" si="55"/>
        <v>0</v>
      </c>
      <c r="D409" s="298">
        <f t="shared" si="61"/>
        <v>0</v>
      </c>
      <c r="E409" s="299">
        <f t="shared" si="57"/>
        <v>0</v>
      </c>
      <c r="F409" s="299">
        <f t="shared" si="56"/>
        <v>0</v>
      </c>
      <c r="G409" s="299">
        <f t="shared" si="58"/>
        <v>0</v>
      </c>
      <c r="H409" s="298">
        <f t="shared" si="59"/>
        <v>0</v>
      </c>
    </row>
    <row r="410" spans="2:8" s="252" customFormat="1">
      <c r="B410" s="296">
        <f t="shared" si="60"/>
        <v>391</v>
      </c>
      <c r="C410" s="307">
        <f t="shared" si="55"/>
        <v>0</v>
      </c>
      <c r="D410" s="298">
        <f t="shared" si="61"/>
        <v>0</v>
      </c>
      <c r="E410" s="299">
        <f t="shared" si="57"/>
        <v>0</v>
      </c>
      <c r="F410" s="299">
        <f t="shared" si="56"/>
        <v>0</v>
      </c>
      <c r="G410" s="299">
        <f t="shared" si="58"/>
        <v>0</v>
      </c>
      <c r="H410" s="298">
        <f t="shared" si="59"/>
        <v>0</v>
      </c>
    </row>
    <row r="411" spans="2:8" s="252" customFormat="1">
      <c r="B411" s="296">
        <f t="shared" si="60"/>
        <v>392</v>
      </c>
      <c r="C411" s="307">
        <f t="shared" si="55"/>
        <v>0</v>
      </c>
      <c r="D411" s="298">
        <f t="shared" si="61"/>
        <v>0</v>
      </c>
      <c r="E411" s="299">
        <f t="shared" si="57"/>
        <v>0</v>
      </c>
      <c r="F411" s="299">
        <f t="shared" si="56"/>
        <v>0</v>
      </c>
      <c r="G411" s="299">
        <f t="shared" si="58"/>
        <v>0</v>
      </c>
      <c r="H411" s="298">
        <f t="shared" si="59"/>
        <v>0</v>
      </c>
    </row>
    <row r="412" spans="2:8" s="252" customFormat="1">
      <c r="B412" s="296">
        <f t="shared" si="60"/>
        <v>393</v>
      </c>
      <c r="C412" s="307">
        <f t="shared" si="55"/>
        <v>0</v>
      </c>
      <c r="D412" s="298">
        <f t="shared" si="61"/>
        <v>0</v>
      </c>
      <c r="E412" s="299">
        <f t="shared" si="57"/>
        <v>0</v>
      </c>
      <c r="F412" s="299">
        <f t="shared" si="56"/>
        <v>0</v>
      </c>
      <c r="G412" s="299">
        <f t="shared" si="58"/>
        <v>0</v>
      </c>
      <c r="H412" s="298">
        <f t="shared" si="59"/>
        <v>0</v>
      </c>
    </row>
    <row r="413" spans="2:8" s="252" customFormat="1">
      <c r="B413" s="296">
        <f t="shared" si="60"/>
        <v>394</v>
      </c>
      <c r="C413" s="307">
        <f t="shared" si="55"/>
        <v>0</v>
      </c>
      <c r="D413" s="298">
        <f t="shared" si="61"/>
        <v>0</v>
      </c>
      <c r="E413" s="299">
        <f t="shared" si="57"/>
        <v>0</v>
      </c>
      <c r="F413" s="299">
        <f t="shared" si="56"/>
        <v>0</v>
      </c>
      <c r="G413" s="299">
        <f t="shared" si="58"/>
        <v>0</v>
      </c>
      <c r="H413" s="298">
        <f t="shared" si="59"/>
        <v>0</v>
      </c>
    </row>
    <row r="414" spans="2:8" s="252" customFormat="1">
      <c r="B414" s="296">
        <f t="shared" si="60"/>
        <v>395</v>
      </c>
      <c r="C414" s="307">
        <f t="shared" si="55"/>
        <v>0</v>
      </c>
      <c r="D414" s="298">
        <f t="shared" si="61"/>
        <v>0</v>
      </c>
      <c r="E414" s="299">
        <f t="shared" si="57"/>
        <v>0</v>
      </c>
      <c r="F414" s="299">
        <f t="shared" si="56"/>
        <v>0</v>
      </c>
      <c r="G414" s="299">
        <f t="shared" si="58"/>
        <v>0</v>
      </c>
      <c r="H414" s="298">
        <f t="shared" si="59"/>
        <v>0</v>
      </c>
    </row>
    <row r="415" spans="2:8" s="252" customFormat="1">
      <c r="B415" s="309">
        <f t="shared" si="60"/>
        <v>396</v>
      </c>
      <c r="C415" s="310">
        <f t="shared" si="55"/>
        <v>0</v>
      </c>
      <c r="D415" s="311">
        <f t="shared" si="61"/>
        <v>0</v>
      </c>
      <c r="E415" s="312">
        <f t="shared" si="57"/>
        <v>0</v>
      </c>
      <c r="F415" s="312">
        <f t="shared" si="56"/>
        <v>0</v>
      </c>
      <c r="G415" s="312">
        <f t="shared" si="58"/>
        <v>0</v>
      </c>
      <c r="H415" s="311">
        <f t="shared" si="59"/>
        <v>0</v>
      </c>
    </row>
    <row r="416" spans="2:8" s="252" customFormat="1">
      <c r="B416" s="296">
        <f t="shared" si="60"/>
        <v>397</v>
      </c>
      <c r="C416" s="307">
        <f t="shared" si="55"/>
        <v>0</v>
      </c>
      <c r="D416" s="298">
        <f t="shared" si="61"/>
        <v>0</v>
      </c>
      <c r="E416" s="299">
        <f t="shared" si="57"/>
        <v>0</v>
      </c>
      <c r="F416" s="299">
        <f t="shared" si="56"/>
        <v>0</v>
      </c>
      <c r="G416" s="299">
        <f t="shared" si="58"/>
        <v>0</v>
      </c>
      <c r="H416" s="298">
        <f t="shared" si="59"/>
        <v>0</v>
      </c>
    </row>
    <row r="417" spans="2:8" s="252" customFormat="1">
      <c r="B417" s="296">
        <f t="shared" si="60"/>
        <v>398</v>
      </c>
      <c r="C417" s="307">
        <f t="shared" si="55"/>
        <v>0</v>
      </c>
      <c r="D417" s="298">
        <f t="shared" si="61"/>
        <v>0</v>
      </c>
      <c r="E417" s="299">
        <f t="shared" si="57"/>
        <v>0</v>
      </c>
      <c r="F417" s="299">
        <f t="shared" si="56"/>
        <v>0</v>
      </c>
      <c r="G417" s="299">
        <f t="shared" si="58"/>
        <v>0</v>
      </c>
      <c r="H417" s="298">
        <f t="shared" si="59"/>
        <v>0</v>
      </c>
    </row>
    <row r="418" spans="2:8" s="252" customFormat="1">
      <c r="B418" s="296">
        <f t="shared" si="60"/>
        <v>399</v>
      </c>
      <c r="C418" s="307">
        <f t="shared" si="55"/>
        <v>0</v>
      </c>
      <c r="D418" s="298">
        <f t="shared" si="61"/>
        <v>0</v>
      </c>
      <c r="E418" s="299">
        <f t="shared" si="57"/>
        <v>0</v>
      </c>
      <c r="F418" s="299">
        <f t="shared" si="56"/>
        <v>0</v>
      </c>
      <c r="G418" s="299">
        <f t="shared" si="58"/>
        <v>0</v>
      </c>
      <c r="H418" s="298">
        <f t="shared" si="59"/>
        <v>0</v>
      </c>
    </row>
    <row r="419" spans="2:8" s="252" customFormat="1">
      <c r="B419" s="296">
        <f t="shared" si="60"/>
        <v>400</v>
      </c>
      <c r="C419" s="307">
        <f t="shared" si="55"/>
        <v>0</v>
      </c>
      <c r="D419" s="298">
        <f t="shared" si="61"/>
        <v>0</v>
      </c>
      <c r="E419" s="299">
        <f t="shared" si="57"/>
        <v>0</v>
      </c>
      <c r="F419" s="299">
        <f t="shared" si="56"/>
        <v>0</v>
      </c>
      <c r="G419" s="299">
        <f t="shared" si="58"/>
        <v>0</v>
      </c>
      <c r="H419" s="298">
        <f t="shared" si="59"/>
        <v>0</v>
      </c>
    </row>
    <row r="420" spans="2:8" s="252" customFormat="1">
      <c r="B420" s="296">
        <f t="shared" si="60"/>
        <v>401</v>
      </c>
      <c r="C420" s="307">
        <f t="shared" si="55"/>
        <v>0</v>
      </c>
      <c r="D420" s="298">
        <f t="shared" si="61"/>
        <v>0</v>
      </c>
      <c r="E420" s="299">
        <f t="shared" si="57"/>
        <v>0</v>
      </c>
      <c r="F420" s="299">
        <f t="shared" si="56"/>
        <v>0</v>
      </c>
      <c r="G420" s="299">
        <f t="shared" si="58"/>
        <v>0</v>
      </c>
      <c r="H420" s="298">
        <f t="shared" si="59"/>
        <v>0</v>
      </c>
    </row>
    <row r="421" spans="2:8" s="252" customFormat="1">
      <c r="B421" s="296">
        <f t="shared" si="60"/>
        <v>402</v>
      </c>
      <c r="C421" s="307">
        <f t="shared" si="55"/>
        <v>0</v>
      </c>
      <c r="D421" s="298">
        <f t="shared" si="61"/>
        <v>0</v>
      </c>
      <c r="E421" s="299">
        <f t="shared" si="57"/>
        <v>0</v>
      </c>
      <c r="F421" s="299">
        <f t="shared" si="56"/>
        <v>0</v>
      </c>
      <c r="G421" s="299">
        <f t="shared" si="58"/>
        <v>0</v>
      </c>
      <c r="H421" s="298">
        <f t="shared" si="59"/>
        <v>0</v>
      </c>
    </row>
    <row r="422" spans="2:8" s="252" customFormat="1">
      <c r="B422" s="296">
        <f t="shared" si="60"/>
        <v>403</v>
      </c>
      <c r="C422" s="307">
        <f t="shared" si="55"/>
        <v>0</v>
      </c>
      <c r="D422" s="298">
        <f t="shared" si="61"/>
        <v>0</v>
      </c>
      <c r="E422" s="299">
        <f t="shared" si="57"/>
        <v>0</v>
      </c>
      <c r="F422" s="299">
        <f t="shared" si="56"/>
        <v>0</v>
      </c>
      <c r="G422" s="299">
        <f t="shared" si="58"/>
        <v>0</v>
      </c>
      <c r="H422" s="298">
        <f t="shared" si="59"/>
        <v>0</v>
      </c>
    </row>
    <row r="423" spans="2:8" s="252" customFormat="1">
      <c r="B423" s="296">
        <f t="shared" si="60"/>
        <v>404</v>
      </c>
      <c r="C423" s="307">
        <f t="shared" si="55"/>
        <v>0</v>
      </c>
      <c r="D423" s="298">
        <f t="shared" si="61"/>
        <v>0</v>
      </c>
      <c r="E423" s="299">
        <f t="shared" si="57"/>
        <v>0</v>
      </c>
      <c r="F423" s="299">
        <f t="shared" si="56"/>
        <v>0</v>
      </c>
      <c r="G423" s="299">
        <f t="shared" si="58"/>
        <v>0</v>
      </c>
      <c r="H423" s="298">
        <f t="shared" si="59"/>
        <v>0</v>
      </c>
    </row>
    <row r="424" spans="2:8" s="252" customFormat="1">
      <c r="B424" s="296">
        <f t="shared" si="60"/>
        <v>405</v>
      </c>
      <c r="C424" s="307">
        <f t="shared" si="55"/>
        <v>0</v>
      </c>
      <c r="D424" s="298">
        <f t="shared" si="61"/>
        <v>0</v>
      </c>
      <c r="E424" s="299">
        <f t="shared" si="57"/>
        <v>0</v>
      </c>
      <c r="F424" s="299">
        <f t="shared" si="56"/>
        <v>0</v>
      </c>
      <c r="G424" s="299">
        <f t="shared" si="58"/>
        <v>0</v>
      </c>
      <c r="H424" s="298">
        <f t="shared" si="59"/>
        <v>0</v>
      </c>
    </row>
    <row r="425" spans="2:8" s="252" customFormat="1">
      <c r="B425" s="296">
        <f t="shared" si="60"/>
        <v>406</v>
      </c>
      <c r="C425" s="307">
        <f t="shared" si="55"/>
        <v>0</v>
      </c>
      <c r="D425" s="298">
        <f t="shared" si="61"/>
        <v>0</v>
      </c>
      <c r="E425" s="299">
        <f t="shared" si="57"/>
        <v>0</v>
      </c>
      <c r="F425" s="299">
        <f t="shared" si="56"/>
        <v>0</v>
      </c>
      <c r="G425" s="299">
        <f t="shared" si="58"/>
        <v>0</v>
      </c>
      <c r="H425" s="298">
        <f t="shared" si="59"/>
        <v>0</v>
      </c>
    </row>
    <row r="426" spans="2:8" s="252" customFormat="1">
      <c r="B426" s="296">
        <f t="shared" si="60"/>
        <v>407</v>
      </c>
      <c r="C426" s="307">
        <f t="shared" si="55"/>
        <v>0</v>
      </c>
      <c r="D426" s="298">
        <f t="shared" si="61"/>
        <v>0</v>
      </c>
      <c r="E426" s="299">
        <f t="shared" si="57"/>
        <v>0</v>
      </c>
      <c r="F426" s="299">
        <f t="shared" si="56"/>
        <v>0</v>
      </c>
      <c r="G426" s="299">
        <f t="shared" si="58"/>
        <v>0</v>
      </c>
      <c r="H426" s="298">
        <f t="shared" si="59"/>
        <v>0</v>
      </c>
    </row>
    <row r="427" spans="2:8" s="252" customFormat="1">
      <c r="B427" s="309">
        <f t="shared" si="60"/>
        <v>408</v>
      </c>
      <c r="C427" s="310">
        <f t="shared" si="55"/>
        <v>0</v>
      </c>
      <c r="D427" s="311">
        <f t="shared" si="61"/>
        <v>0</v>
      </c>
      <c r="E427" s="312">
        <f t="shared" si="57"/>
        <v>0</v>
      </c>
      <c r="F427" s="312">
        <f t="shared" si="56"/>
        <v>0</v>
      </c>
      <c r="G427" s="312">
        <f t="shared" si="58"/>
        <v>0</v>
      </c>
      <c r="H427" s="311">
        <f t="shared" si="59"/>
        <v>0</v>
      </c>
    </row>
    <row r="428" spans="2:8" s="252" customFormat="1">
      <c r="B428" s="296">
        <f t="shared" si="60"/>
        <v>409</v>
      </c>
      <c r="C428" s="307">
        <f t="shared" si="55"/>
        <v>0</v>
      </c>
      <c r="D428" s="298">
        <f t="shared" si="61"/>
        <v>0</v>
      </c>
      <c r="E428" s="299">
        <f t="shared" si="57"/>
        <v>0</v>
      </c>
      <c r="F428" s="299">
        <f t="shared" si="56"/>
        <v>0</v>
      </c>
      <c r="G428" s="299">
        <f t="shared" si="58"/>
        <v>0</v>
      </c>
      <c r="H428" s="298">
        <f t="shared" si="59"/>
        <v>0</v>
      </c>
    </row>
    <row r="429" spans="2:8" s="252" customFormat="1">
      <c r="B429" s="296">
        <f t="shared" si="60"/>
        <v>410</v>
      </c>
      <c r="C429" s="307">
        <f t="shared" si="55"/>
        <v>0</v>
      </c>
      <c r="D429" s="298">
        <f t="shared" si="61"/>
        <v>0</v>
      </c>
      <c r="E429" s="299">
        <f t="shared" si="57"/>
        <v>0</v>
      </c>
      <c r="F429" s="299">
        <f t="shared" si="56"/>
        <v>0</v>
      </c>
      <c r="G429" s="299">
        <f t="shared" si="58"/>
        <v>0</v>
      </c>
      <c r="H429" s="298">
        <f t="shared" si="59"/>
        <v>0</v>
      </c>
    </row>
    <row r="430" spans="2:8" s="252" customFormat="1">
      <c r="B430" s="296">
        <f t="shared" si="60"/>
        <v>411</v>
      </c>
      <c r="C430" s="307">
        <f t="shared" si="55"/>
        <v>0</v>
      </c>
      <c r="D430" s="298">
        <f t="shared" si="61"/>
        <v>0</v>
      </c>
      <c r="E430" s="299">
        <f t="shared" si="57"/>
        <v>0</v>
      </c>
      <c r="F430" s="299">
        <f t="shared" si="56"/>
        <v>0</v>
      </c>
      <c r="G430" s="299">
        <f t="shared" si="58"/>
        <v>0</v>
      </c>
      <c r="H430" s="298">
        <f t="shared" si="59"/>
        <v>0</v>
      </c>
    </row>
    <row r="431" spans="2:8" s="252" customFormat="1">
      <c r="B431" s="296">
        <f t="shared" si="60"/>
        <v>412</v>
      </c>
      <c r="C431" s="307">
        <f t="shared" si="55"/>
        <v>0</v>
      </c>
      <c r="D431" s="298">
        <f t="shared" si="61"/>
        <v>0</v>
      </c>
      <c r="E431" s="299">
        <f t="shared" si="57"/>
        <v>0</v>
      </c>
      <c r="F431" s="299">
        <f t="shared" si="56"/>
        <v>0</v>
      </c>
      <c r="G431" s="299">
        <f t="shared" si="58"/>
        <v>0</v>
      </c>
      <c r="H431" s="298">
        <f t="shared" si="59"/>
        <v>0</v>
      </c>
    </row>
    <row r="432" spans="2:8" s="252" customFormat="1">
      <c r="B432" s="296">
        <f t="shared" si="60"/>
        <v>413</v>
      </c>
      <c r="C432" s="307">
        <v>0</v>
      </c>
      <c r="D432" s="298">
        <f t="shared" si="61"/>
        <v>0</v>
      </c>
      <c r="E432" s="299">
        <f t="shared" si="57"/>
        <v>0</v>
      </c>
      <c r="F432" s="299">
        <f t="shared" si="56"/>
        <v>0</v>
      </c>
      <c r="G432" s="299">
        <f t="shared" si="58"/>
        <v>0</v>
      </c>
      <c r="H432" s="298">
        <f t="shared" si="59"/>
        <v>0</v>
      </c>
    </row>
    <row r="433" spans="2:8" s="252" customFormat="1">
      <c r="B433" s="296">
        <f t="shared" si="60"/>
        <v>414</v>
      </c>
      <c r="C433" s="307">
        <f t="shared" ref="C433:C439" si="62">IF(D433&gt;0,$F$7,0)</f>
        <v>0</v>
      </c>
      <c r="D433" s="298">
        <f t="shared" si="61"/>
        <v>0</v>
      </c>
      <c r="E433" s="299">
        <f t="shared" si="57"/>
        <v>0</v>
      </c>
      <c r="F433" s="299">
        <f t="shared" si="56"/>
        <v>0</v>
      </c>
      <c r="G433" s="299">
        <f t="shared" si="58"/>
        <v>0</v>
      </c>
      <c r="H433" s="298">
        <f t="shared" si="59"/>
        <v>0</v>
      </c>
    </row>
    <row r="434" spans="2:8" s="252" customFormat="1">
      <c r="B434" s="296">
        <f t="shared" si="60"/>
        <v>415</v>
      </c>
      <c r="C434" s="307">
        <f t="shared" si="62"/>
        <v>0</v>
      </c>
      <c r="D434" s="298">
        <f t="shared" si="61"/>
        <v>0</v>
      </c>
      <c r="E434" s="299">
        <f t="shared" si="57"/>
        <v>0</v>
      </c>
      <c r="F434" s="299">
        <f t="shared" si="56"/>
        <v>0</v>
      </c>
      <c r="G434" s="299">
        <f t="shared" si="58"/>
        <v>0</v>
      </c>
      <c r="H434" s="298">
        <f t="shared" si="59"/>
        <v>0</v>
      </c>
    </row>
    <row r="435" spans="2:8" s="252" customFormat="1">
      <c r="B435" s="296">
        <f t="shared" si="60"/>
        <v>416</v>
      </c>
      <c r="C435" s="307">
        <f t="shared" si="62"/>
        <v>0</v>
      </c>
      <c r="D435" s="298">
        <f t="shared" si="61"/>
        <v>0</v>
      </c>
      <c r="E435" s="299">
        <f t="shared" si="57"/>
        <v>0</v>
      </c>
      <c r="F435" s="299">
        <f t="shared" si="56"/>
        <v>0</v>
      </c>
      <c r="G435" s="299">
        <f t="shared" si="58"/>
        <v>0</v>
      </c>
      <c r="H435" s="298">
        <f t="shared" si="59"/>
        <v>0</v>
      </c>
    </row>
    <row r="436" spans="2:8" s="252" customFormat="1">
      <c r="B436" s="296">
        <f t="shared" si="60"/>
        <v>417</v>
      </c>
      <c r="C436" s="307">
        <f t="shared" si="62"/>
        <v>0</v>
      </c>
      <c r="D436" s="298">
        <f t="shared" si="61"/>
        <v>0</v>
      </c>
      <c r="E436" s="299">
        <f t="shared" si="57"/>
        <v>0</v>
      </c>
      <c r="F436" s="299">
        <f t="shared" si="56"/>
        <v>0</v>
      </c>
      <c r="G436" s="299">
        <f t="shared" si="58"/>
        <v>0</v>
      </c>
      <c r="H436" s="298">
        <f t="shared" si="59"/>
        <v>0</v>
      </c>
    </row>
    <row r="437" spans="2:8" s="252" customFormat="1">
      <c r="B437" s="296">
        <f t="shared" si="60"/>
        <v>418</v>
      </c>
      <c r="C437" s="307">
        <f t="shared" si="62"/>
        <v>0</v>
      </c>
      <c r="D437" s="298">
        <f t="shared" si="61"/>
        <v>0</v>
      </c>
      <c r="E437" s="299">
        <f t="shared" si="57"/>
        <v>0</v>
      </c>
      <c r="F437" s="299">
        <f t="shared" si="56"/>
        <v>0</v>
      </c>
      <c r="G437" s="299">
        <f t="shared" si="58"/>
        <v>0</v>
      </c>
      <c r="H437" s="298">
        <f t="shared" si="59"/>
        <v>0</v>
      </c>
    </row>
    <row r="438" spans="2:8" s="252" customFormat="1">
      <c r="B438" s="296">
        <f t="shared" si="60"/>
        <v>419</v>
      </c>
      <c r="C438" s="307">
        <f t="shared" si="62"/>
        <v>0</v>
      </c>
      <c r="D438" s="298">
        <f t="shared" si="61"/>
        <v>0</v>
      </c>
      <c r="E438" s="299">
        <f t="shared" si="57"/>
        <v>0</v>
      </c>
      <c r="F438" s="299">
        <f t="shared" si="56"/>
        <v>0</v>
      </c>
      <c r="G438" s="299">
        <f t="shared" si="58"/>
        <v>0</v>
      </c>
      <c r="H438" s="298">
        <f t="shared" si="59"/>
        <v>0</v>
      </c>
    </row>
    <row r="439" spans="2:8" s="252" customFormat="1">
      <c r="B439" s="309">
        <f t="shared" si="60"/>
        <v>420</v>
      </c>
      <c r="C439" s="310">
        <f t="shared" si="62"/>
        <v>0</v>
      </c>
      <c r="D439" s="311">
        <f t="shared" si="61"/>
        <v>0</v>
      </c>
      <c r="E439" s="312">
        <f t="shared" si="57"/>
        <v>0</v>
      </c>
      <c r="F439" s="312">
        <f t="shared" si="56"/>
        <v>0</v>
      </c>
      <c r="G439" s="312">
        <f t="shared" si="58"/>
        <v>0</v>
      </c>
      <c r="H439" s="311">
        <f t="shared" si="59"/>
        <v>0</v>
      </c>
    </row>
  </sheetData>
  <sheetProtection algorithmName="SHA-512" hashValue="l896Pa+KXsC+asJtDLXMbbr4qFX8Wi0e3Ml+P+NcYFjBLY/8wP7uWkM7XoAlKHBtRb2J8oaZvsoZXJrEJ90TrA==" saltValue="Db4BlPA72iIanf0OX/YKOA==" spinCount="100000" sheet="1" objects="1" scenarios="1" selectLockedCells="1" selectUnlockedCells="1"/>
  <mergeCells count="8">
    <mergeCell ref="B15:C15"/>
    <mergeCell ref="B17:C17"/>
    <mergeCell ref="B1:G1"/>
    <mergeCell ref="B6:C6"/>
    <mergeCell ref="B8:C9"/>
    <mergeCell ref="B12:C12"/>
    <mergeCell ref="B13:C13"/>
    <mergeCell ref="B14:C14"/>
  </mergeCells>
  <conditionalFormatting sqref="G15:I15">
    <cfRule type="cellIs" dxfId="7" priority="1" operator="lessThan">
      <formula>#REF!</formula>
    </cfRule>
    <cfRule type="cellIs" dxfId="6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MP (อัตราดอกเบี้ยนำเสนอลด)</oddHeader>
    <oddFooter>&amp;Lv202605&amp;Cหมายเหตุ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157725-CEDF-4811-B708-5C69F72FE176}">
          <x14:formula1>
            <xm:f>pam!$L$2:$L$4</xm:f>
          </x14:formula1>
          <xm:sqref>G3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DEB9-A4B7-44A2-9143-1FDB442F7EF2}">
  <sheetPr codeName="Sheet2"/>
  <dimension ref="B1:AR23"/>
  <sheetViews>
    <sheetView showGridLines="0" zoomScale="90" workbookViewId="0">
      <selection activeCell="AZ13" sqref="AZ13"/>
    </sheetView>
  </sheetViews>
  <sheetFormatPr defaultRowHeight="12.75"/>
  <cols>
    <col min="1" max="1" width="3.28515625" customWidth="1"/>
    <col min="2" max="3" width="9.140625" hidden="1" customWidth="1"/>
    <col min="4" max="5" width="13.28515625" style="177" hidden="1" customWidth="1"/>
    <col min="6" max="6" width="10" hidden="1" customWidth="1"/>
    <col min="7" max="7" width="9.28515625" hidden="1" customWidth="1"/>
    <col min="8" max="8" width="18.85546875" hidden="1" customWidth="1"/>
    <col min="9" max="9" width="6.140625" hidden="1" customWidth="1"/>
    <col min="10" max="10" width="10" hidden="1" customWidth="1"/>
    <col min="11" max="12" width="15.140625" hidden="1" customWidth="1"/>
    <col min="13" max="13" width="6.140625" hidden="1" customWidth="1"/>
    <col min="14" max="14" width="10.42578125" hidden="1" customWidth="1"/>
    <col min="15" max="20" width="9.140625" hidden="1" customWidth="1"/>
    <col min="21" max="21" width="9.5703125" hidden="1" customWidth="1"/>
    <col min="22" max="31" width="8.7109375" hidden="1" customWidth="1"/>
    <col min="32" max="32" width="6.5703125" hidden="1" customWidth="1"/>
    <col min="33" max="33" width="9.140625" hidden="1" customWidth="1"/>
    <col min="34" max="42" width="6.7109375" hidden="1" customWidth="1"/>
    <col min="43" max="44" width="9.140625" hidden="1" customWidth="1"/>
  </cols>
  <sheetData>
    <row r="1" spans="2:44">
      <c r="D1" s="486" t="s">
        <v>157</v>
      </c>
      <c r="E1" s="486"/>
    </row>
    <row r="2" spans="2:44">
      <c r="B2" t="s">
        <v>17</v>
      </c>
      <c r="D2" s="353" t="s">
        <v>1252</v>
      </c>
      <c r="E2" s="353" t="s">
        <v>1253</v>
      </c>
      <c r="O2" s="178" t="s">
        <v>28</v>
      </c>
      <c r="P2" s="178" t="s">
        <v>154</v>
      </c>
      <c r="Q2" s="178" t="s">
        <v>155</v>
      </c>
    </row>
    <row r="3" spans="2:44">
      <c r="B3" t="s">
        <v>15</v>
      </c>
      <c r="C3" t="s">
        <v>20</v>
      </c>
      <c r="D3" s="180">
        <v>0.8</v>
      </c>
      <c r="E3" s="180">
        <v>1</v>
      </c>
      <c r="F3" t="s">
        <v>29</v>
      </c>
      <c r="G3" t="s">
        <v>1281</v>
      </c>
      <c r="H3" t="s">
        <v>199</v>
      </c>
      <c r="I3" t="s">
        <v>38</v>
      </c>
      <c r="J3" t="s">
        <v>194</v>
      </c>
      <c r="K3" t="s">
        <v>209</v>
      </c>
      <c r="L3" t="s">
        <v>1220</v>
      </c>
      <c r="N3" t="s">
        <v>92</v>
      </c>
      <c r="O3" s="22">
        <f>SUM(P3:Q3)</f>
        <v>0</v>
      </c>
      <c r="P3" s="181"/>
      <c r="Q3" s="181"/>
      <c r="R3" t="s">
        <v>165</v>
      </c>
      <c r="U3" s="6" t="s">
        <v>31</v>
      </c>
      <c r="AH3" s="6" t="s">
        <v>31</v>
      </c>
    </row>
    <row r="4" spans="2:44">
      <c r="B4" t="s">
        <v>16</v>
      </c>
      <c r="C4" t="s">
        <v>21</v>
      </c>
      <c r="D4" s="180">
        <v>1.2</v>
      </c>
      <c r="E4" s="180">
        <v>1.25</v>
      </c>
      <c r="F4" t="s">
        <v>152</v>
      </c>
      <c r="G4" t="s">
        <v>1282</v>
      </c>
      <c r="H4" t="s">
        <v>200</v>
      </c>
      <c r="I4" t="s">
        <v>39</v>
      </c>
      <c r="J4" t="s">
        <v>202</v>
      </c>
      <c r="K4" t="s">
        <v>212</v>
      </c>
      <c r="L4" t="s">
        <v>1221</v>
      </c>
      <c r="N4" t="s">
        <v>93</v>
      </c>
      <c r="O4" s="22">
        <f>SUM(P4:Q4)</f>
        <v>0</v>
      </c>
      <c r="P4" s="181"/>
      <c r="Q4" s="181"/>
      <c r="R4" t="s">
        <v>166</v>
      </c>
      <c r="U4" s="9"/>
      <c r="V4" s="10" t="s">
        <v>20</v>
      </c>
      <c r="W4" s="10" t="s">
        <v>21</v>
      </c>
      <c r="X4" s="10" t="s">
        <v>1256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40</v>
      </c>
      <c r="AF4" s="9"/>
      <c r="AH4" s="9"/>
      <c r="AI4" s="10" t="s">
        <v>20</v>
      </c>
      <c r="AJ4" s="10" t="s">
        <v>21</v>
      </c>
      <c r="AK4" s="10" t="s">
        <v>22</v>
      </c>
      <c r="AL4" s="10" t="s">
        <v>23</v>
      </c>
      <c r="AM4" s="10" t="s">
        <v>24</v>
      </c>
      <c r="AN4" s="10" t="s">
        <v>25</v>
      </c>
      <c r="AO4" s="10" t="s">
        <v>26</v>
      </c>
      <c r="AP4" s="10" t="s">
        <v>27</v>
      </c>
      <c r="AQ4" s="10" t="s">
        <v>40</v>
      </c>
      <c r="AR4" s="9"/>
    </row>
    <row r="5" spans="2:44">
      <c r="C5" t="s">
        <v>1256</v>
      </c>
      <c r="D5" s="180">
        <v>1.2</v>
      </c>
      <c r="E5" s="180">
        <v>1.25</v>
      </c>
      <c r="F5" t="s">
        <v>30</v>
      </c>
      <c r="G5" t="s">
        <v>33</v>
      </c>
      <c r="H5" t="s">
        <v>201</v>
      </c>
      <c r="K5" t="s">
        <v>210</v>
      </c>
      <c r="O5" s="15"/>
      <c r="P5" s="179" t="s">
        <v>164</v>
      </c>
      <c r="Q5" s="179" t="s">
        <v>156</v>
      </c>
      <c r="U5" s="3">
        <v>1</v>
      </c>
      <c r="V5" s="3">
        <v>2</v>
      </c>
      <c r="W5" s="3">
        <v>3</v>
      </c>
      <c r="X5" s="3">
        <v>4</v>
      </c>
      <c r="Y5" s="3">
        <v>5</v>
      </c>
      <c r="Z5" s="3">
        <v>6</v>
      </c>
      <c r="AA5" s="3">
        <v>7</v>
      </c>
      <c r="AB5" s="3">
        <v>8</v>
      </c>
      <c r="AC5" s="3">
        <v>9</v>
      </c>
      <c r="AD5" s="3">
        <v>10</v>
      </c>
      <c r="AE5" s="3">
        <v>11</v>
      </c>
      <c r="AF5" s="4" t="s">
        <v>28</v>
      </c>
      <c r="AH5" s="3">
        <v>1</v>
      </c>
      <c r="AI5" s="3">
        <v>2</v>
      </c>
      <c r="AJ5" s="3">
        <v>3</v>
      </c>
      <c r="AK5" s="3">
        <v>4</v>
      </c>
      <c r="AL5" s="3">
        <v>5</v>
      </c>
      <c r="AM5" s="3">
        <v>6</v>
      </c>
      <c r="AN5" s="3">
        <v>7</v>
      </c>
      <c r="AO5" s="3">
        <v>8</v>
      </c>
      <c r="AP5" s="3">
        <v>9</v>
      </c>
      <c r="AQ5" s="3">
        <v>10</v>
      </c>
      <c r="AR5" s="4" t="s">
        <v>28</v>
      </c>
    </row>
    <row r="6" spans="2:44">
      <c r="C6" t="s">
        <v>22</v>
      </c>
      <c r="D6" s="180">
        <v>1.2</v>
      </c>
      <c r="E6" s="180">
        <v>1.25</v>
      </c>
      <c r="F6" t="s">
        <v>153</v>
      </c>
      <c r="K6" t="s">
        <v>211</v>
      </c>
      <c r="U6" s="2" t="s">
        <v>29</v>
      </c>
      <c r="V6" s="19">
        <f t="shared" ref="V6:W10" si="0">AI6/1.5</f>
        <v>-1.3333333333333333E-3</v>
      </c>
      <c r="W6" s="19">
        <f t="shared" si="0"/>
        <v>-1E-3</v>
      </c>
      <c r="X6" s="19">
        <f t="shared" ref="X6:Y10" si="1">AJ6/1.5</f>
        <v>-1E-3</v>
      </c>
      <c r="Y6" s="19">
        <f t="shared" si="1"/>
        <v>-1.3333333333333333E-3</v>
      </c>
      <c r="Z6" s="19">
        <f t="shared" ref="Z6:Z10" si="2">AL6/1.5</f>
        <v>-1E-3</v>
      </c>
      <c r="AA6" s="19">
        <f t="shared" ref="AA6:AA10" si="3">AM6/1.5</f>
        <v>-1E-3</v>
      </c>
      <c r="AB6" s="19">
        <f t="shared" ref="AB6:AB10" si="4">AN6/1.5</f>
        <v>-2E-3</v>
      </c>
      <c r="AC6" s="19">
        <f t="shared" ref="AC6:AC10" si="5">AO6/1.5</f>
        <v>-4.6666666666666671E-3</v>
      </c>
      <c r="AD6" s="19">
        <f t="shared" ref="AD6:AD10" si="6">AP6/1.5</f>
        <v>-1.3333333333333333E-3</v>
      </c>
      <c r="AE6" s="19">
        <f t="shared" ref="AE6:AE10" si="7">AQ6/1.5</f>
        <v>0</v>
      </c>
      <c r="AF6" s="19">
        <f t="shared" ref="AF6:AF10" si="8">AR6/1.5</f>
        <v>-1.5333333333333334E-3</v>
      </c>
      <c r="AH6" s="2" t="s">
        <v>29</v>
      </c>
      <c r="AI6" s="5">
        <v>-2E-3</v>
      </c>
      <c r="AJ6" s="5">
        <v>-1.5E-3</v>
      </c>
      <c r="AK6" s="5">
        <v>-2E-3</v>
      </c>
      <c r="AL6" s="5">
        <v>-1.5E-3</v>
      </c>
      <c r="AM6" s="5">
        <v>-1.5E-3</v>
      </c>
      <c r="AN6" s="5">
        <v>-3.0000000000000001E-3</v>
      </c>
      <c r="AO6" s="5">
        <v>-7.0000000000000001E-3</v>
      </c>
      <c r="AP6" s="5">
        <v>-2E-3</v>
      </c>
      <c r="AQ6" s="5">
        <v>0</v>
      </c>
      <c r="AR6" s="5">
        <v>-2.3E-3</v>
      </c>
    </row>
    <row r="7" spans="2:44">
      <c r="C7" t="s">
        <v>23</v>
      </c>
      <c r="D7" s="180">
        <v>1.2</v>
      </c>
      <c r="E7" s="180">
        <v>1.25</v>
      </c>
      <c r="K7" t="s">
        <v>213</v>
      </c>
      <c r="O7" s="20" t="s">
        <v>171</v>
      </c>
      <c r="P7" s="20" t="s">
        <v>1</v>
      </c>
      <c r="Q7" s="20" t="s">
        <v>2</v>
      </c>
      <c r="R7" s="20" t="s">
        <v>3</v>
      </c>
      <c r="S7" s="20" t="s">
        <v>155</v>
      </c>
      <c r="U7" s="2" t="s">
        <v>152</v>
      </c>
      <c r="V7" s="19">
        <f t="shared" si="0"/>
        <v>-1.3333333333333333E-3</v>
      </c>
      <c r="W7" s="19">
        <f t="shared" si="0"/>
        <v>-1.6666666666666668E-3</v>
      </c>
      <c r="X7" s="19">
        <f t="shared" si="1"/>
        <v>-1.6666666666666668E-3</v>
      </c>
      <c r="Y7" s="19">
        <f t="shared" si="1"/>
        <v>-2.6666666666666666E-3</v>
      </c>
      <c r="Z7" s="19">
        <f t="shared" si="2"/>
        <v>-1E-3</v>
      </c>
      <c r="AA7" s="19">
        <f t="shared" si="3"/>
        <v>-1.6666666666666668E-3</v>
      </c>
      <c r="AB7" s="19">
        <f t="shared" si="4"/>
        <v>-4.0000000000000001E-3</v>
      </c>
      <c r="AC7" s="19">
        <f t="shared" si="5"/>
        <v>-4.6666666666666671E-3</v>
      </c>
      <c r="AD7" s="19">
        <f t="shared" si="6"/>
        <v>-4.0000000000000001E-3</v>
      </c>
      <c r="AE7" s="19">
        <f t="shared" si="7"/>
        <v>0</v>
      </c>
      <c r="AF7" s="19">
        <f t="shared" si="8"/>
        <v>-2E-3</v>
      </c>
      <c r="AH7" s="2" t="s">
        <v>152</v>
      </c>
      <c r="AI7" s="5">
        <v>-2E-3</v>
      </c>
      <c r="AJ7" s="5">
        <v>-2.5000000000000001E-3</v>
      </c>
      <c r="AK7" s="5">
        <v>-4.0000000000000001E-3</v>
      </c>
      <c r="AL7" s="5">
        <v>-1.5E-3</v>
      </c>
      <c r="AM7" s="5">
        <v>-2.5000000000000001E-3</v>
      </c>
      <c r="AN7" s="5">
        <v>-6.0000000000000001E-3</v>
      </c>
      <c r="AO7" s="5">
        <v>-7.0000000000000001E-3</v>
      </c>
      <c r="AP7" s="5">
        <v>-6.0000000000000001E-3</v>
      </c>
      <c r="AQ7" s="5">
        <v>0</v>
      </c>
      <c r="AR7" s="5">
        <v>-3.0000000000000001E-3</v>
      </c>
    </row>
    <row r="8" spans="2:44">
      <c r="C8" t="s">
        <v>24</v>
      </c>
      <c r="D8" s="177">
        <v>1.2</v>
      </c>
      <c r="E8" s="180">
        <v>1.25</v>
      </c>
      <c r="K8" t="s">
        <v>214</v>
      </c>
      <c r="N8" t="s">
        <v>172</v>
      </c>
      <c r="O8" s="176">
        <v>0.01</v>
      </c>
      <c r="P8" s="183">
        <v>1.2E-2</v>
      </c>
      <c r="Q8" s="183">
        <v>1.55E-2</v>
      </c>
      <c r="R8" s="183">
        <v>1.7000000000000001E-2</v>
      </c>
      <c r="S8" s="176">
        <v>5.7000000000000002E-3</v>
      </c>
      <c r="U8" s="2" t="s">
        <v>30</v>
      </c>
      <c r="V8" s="19">
        <f t="shared" si="0"/>
        <v>-3.3333333333333335E-3</v>
      </c>
      <c r="W8" s="19">
        <f t="shared" si="0"/>
        <v>-3.3333333333333335E-3</v>
      </c>
      <c r="X8" s="19">
        <f t="shared" si="1"/>
        <v>-3.3333333333333335E-3</v>
      </c>
      <c r="Y8" s="19">
        <f t="shared" si="1"/>
        <v>-5.3333333333333332E-3</v>
      </c>
      <c r="Z8" s="19">
        <f t="shared" si="2"/>
        <v>-1E-3</v>
      </c>
      <c r="AA8" s="19">
        <f t="shared" si="3"/>
        <v>-3.3333333333333335E-3</v>
      </c>
      <c r="AB8" s="19">
        <f t="shared" si="4"/>
        <v>-8.6666666666666663E-3</v>
      </c>
      <c r="AC8" s="19">
        <f t="shared" si="5"/>
        <v>-0.01</v>
      </c>
      <c r="AD8" s="19">
        <f t="shared" si="6"/>
        <v>-5.9999999999999993E-3</v>
      </c>
      <c r="AE8" s="19">
        <f t="shared" si="7"/>
        <v>0</v>
      </c>
      <c r="AF8" s="19">
        <f t="shared" si="8"/>
        <v>-4.0000000000000001E-3</v>
      </c>
      <c r="AH8" s="2" t="s">
        <v>30</v>
      </c>
      <c r="AI8" s="5">
        <v>-5.0000000000000001E-3</v>
      </c>
      <c r="AJ8" s="5">
        <v>-5.0000000000000001E-3</v>
      </c>
      <c r="AK8" s="5">
        <v>-8.0000000000000002E-3</v>
      </c>
      <c r="AL8" s="5">
        <v>-1.5E-3</v>
      </c>
      <c r="AM8" s="5">
        <v>-5.0000000000000001E-3</v>
      </c>
      <c r="AN8" s="5">
        <v>-1.2999999999999999E-2</v>
      </c>
      <c r="AO8" s="5">
        <v>-1.4999999999999999E-2</v>
      </c>
      <c r="AP8" s="5">
        <v>-8.9999999999999993E-3</v>
      </c>
      <c r="AQ8" s="5">
        <v>0</v>
      </c>
      <c r="AR8" s="5">
        <v>-6.0000000000000001E-3</v>
      </c>
    </row>
    <row r="9" spans="2:44">
      <c r="C9" t="s">
        <v>27</v>
      </c>
      <c r="K9" t="s">
        <v>215</v>
      </c>
      <c r="O9" s="177"/>
      <c r="P9" s="177"/>
      <c r="Q9" s="177"/>
      <c r="R9" s="177"/>
      <c r="S9" s="177"/>
      <c r="U9" s="2" t="s">
        <v>153</v>
      </c>
      <c r="V9" s="19">
        <f t="shared" si="0"/>
        <v>-6.6666666666666671E-3</v>
      </c>
      <c r="W9" s="19">
        <f t="shared" si="0"/>
        <v>-6.6666666666666671E-3</v>
      </c>
      <c r="X9" s="19">
        <f t="shared" si="1"/>
        <v>-6.6666666666666671E-3</v>
      </c>
      <c r="Y9" s="19">
        <f t="shared" si="1"/>
        <v>-1.1333333333333334E-2</v>
      </c>
      <c r="Z9" s="19">
        <f t="shared" si="2"/>
        <v>-2E-3</v>
      </c>
      <c r="AA9" s="19">
        <f t="shared" si="3"/>
        <v>-6.6666666666666671E-3</v>
      </c>
      <c r="AB9" s="19">
        <f t="shared" si="4"/>
        <v>-1.7999999999999999E-2</v>
      </c>
      <c r="AC9" s="19">
        <f t="shared" si="5"/>
        <v>-2.0666666666666667E-2</v>
      </c>
      <c r="AD9" s="19">
        <f t="shared" si="6"/>
        <v>-1.2666666666666666E-2</v>
      </c>
      <c r="AE9" s="19">
        <f t="shared" si="7"/>
        <v>0</v>
      </c>
      <c r="AF9" s="19">
        <f t="shared" si="8"/>
        <v>-8.2000000000000007E-3</v>
      </c>
      <c r="AH9" s="2" t="s">
        <v>153</v>
      </c>
      <c r="AI9" s="5">
        <v>-0.01</v>
      </c>
      <c r="AJ9" s="5">
        <v>-0.01</v>
      </c>
      <c r="AK9" s="5">
        <v>-1.7000000000000001E-2</v>
      </c>
      <c r="AL9" s="5">
        <v>-3.0000000000000001E-3</v>
      </c>
      <c r="AM9" s="5">
        <v>-0.01</v>
      </c>
      <c r="AN9" s="5">
        <v>-2.7E-2</v>
      </c>
      <c r="AO9" s="5">
        <v>-3.1E-2</v>
      </c>
      <c r="AP9" s="5">
        <v>-1.9E-2</v>
      </c>
      <c r="AQ9" s="5">
        <v>0</v>
      </c>
      <c r="AR9" s="5">
        <v>-1.23E-2</v>
      </c>
    </row>
    <row r="10" spans="2:44">
      <c r="C10" t="s">
        <v>40</v>
      </c>
      <c r="K10" t="s">
        <v>216</v>
      </c>
      <c r="O10" s="21" t="s">
        <v>167</v>
      </c>
      <c r="P10" s="182">
        <f>P8+S8</f>
        <v>1.77E-2</v>
      </c>
      <c r="Q10" s="182">
        <f>O8+S8</f>
        <v>1.5699999999999999E-2</v>
      </c>
      <c r="R10" s="182">
        <f>O8+S8</f>
        <v>1.5699999999999999E-2</v>
      </c>
      <c r="S10" s="182">
        <f>AVERAGE(P10:R10)</f>
        <v>1.6366666666666665E-2</v>
      </c>
      <c r="U10" s="2" t="s">
        <v>28</v>
      </c>
      <c r="V10" s="19">
        <f t="shared" si="0"/>
        <v>0</v>
      </c>
      <c r="W10" s="19">
        <f t="shared" si="0"/>
        <v>0</v>
      </c>
      <c r="X10" s="19">
        <f t="shared" si="1"/>
        <v>0</v>
      </c>
      <c r="Y10" s="19">
        <f t="shared" si="1"/>
        <v>0</v>
      </c>
      <c r="Z10" s="19">
        <f t="shared" si="2"/>
        <v>0</v>
      </c>
      <c r="AA10" s="19">
        <f t="shared" si="3"/>
        <v>0</v>
      </c>
      <c r="AB10" s="19">
        <f t="shared" si="4"/>
        <v>0</v>
      </c>
      <c r="AC10" s="19">
        <f t="shared" si="5"/>
        <v>0</v>
      </c>
      <c r="AD10" s="19">
        <f t="shared" si="6"/>
        <v>0</v>
      </c>
      <c r="AE10" s="19">
        <f t="shared" si="7"/>
        <v>0</v>
      </c>
      <c r="AF10" s="19">
        <f t="shared" si="8"/>
        <v>0</v>
      </c>
    </row>
    <row r="11" spans="2:44">
      <c r="K11" t="s">
        <v>217</v>
      </c>
      <c r="O11" s="21" t="s">
        <v>168</v>
      </c>
      <c r="P11" s="182">
        <f>Q8+S8</f>
        <v>2.12E-2</v>
      </c>
      <c r="Q11" s="182">
        <f>Q8+S8</f>
        <v>2.12E-2</v>
      </c>
      <c r="R11" s="182">
        <f>O8+S8</f>
        <v>1.5699999999999999E-2</v>
      </c>
      <c r="S11" s="182">
        <f t="shared" ref="S11:S14" si="9">AVERAGE(P11:R11)</f>
        <v>1.9366666666666667E-2</v>
      </c>
    </row>
    <row r="12" spans="2:44">
      <c r="K12" t="s">
        <v>218</v>
      </c>
      <c r="O12" s="21" t="s">
        <v>169</v>
      </c>
      <c r="P12" s="182">
        <f>R8+S8</f>
        <v>2.2700000000000001E-2</v>
      </c>
      <c r="Q12" s="182">
        <f>R8+S8</f>
        <v>2.2700000000000001E-2</v>
      </c>
      <c r="R12" s="182">
        <f>R8+S8</f>
        <v>2.2700000000000001E-2</v>
      </c>
      <c r="S12" s="182">
        <f t="shared" si="9"/>
        <v>2.2700000000000001E-2</v>
      </c>
      <c r="U12" t="s">
        <v>34</v>
      </c>
      <c r="V12" t="e">
        <f>HLOOKUP('1.ลดดอกเบี้ย'!C18,pam!$V$4:$AE$5,2,FALSE)</f>
        <v>#N/A</v>
      </c>
    </row>
    <row r="13" spans="2:44">
      <c r="K13" t="s">
        <v>219</v>
      </c>
      <c r="O13" s="21" t="s">
        <v>174</v>
      </c>
      <c r="P13" s="182">
        <f>O8+S8</f>
        <v>1.5699999999999999E-2</v>
      </c>
      <c r="Q13" s="182">
        <f>R8+S8</f>
        <v>2.2700000000000001E-2</v>
      </c>
      <c r="R13" s="182">
        <f>R8+S8</f>
        <v>2.2700000000000001E-2</v>
      </c>
      <c r="S13" s="182">
        <f t="shared" si="9"/>
        <v>2.0366666666666668E-2</v>
      </c>
    </row>
    <row r="14" spans="2:44">
      <c r="O14" s="21" t="s">
        <v>173</v>
      </c>
      <c r="P14" s="182">
        <f>O8+S8</f>
        <v>1.5699999999999999E-2</v>
      </c>
      <c r="Q14" s="182">
        <f>O8+S8</f>
        <v>1.5699999999999999E-2</v>
      </c>
      <c r="R14" s="182">
        <f>R8+S8</f>
        <v>2.2700000000000001E-2</v>
      </c>
      <c r="S14" s="182">
        <f t="shared" si="9"/>
        <v>1.8033333333333332E-2</v>
      </c>
    </row>
    <row r="15" spans="2:44">
      <c r="O15" s="21" t="s">
        <v>170</v>
      </c>
      <c r="P15" s="182">
        <f>O8+S8</f>
        <v>1.5699999999999999E-2</v>
      </c>
      <c r="Q15" s="182">
        <f>O8+S8</f>
        <v>1.5699999999999999E-2</v>
      </c>
      <c r="R15" s="182">
        <f>O8+S8</f>
        <v>1.5699999999999999E-2</v>
      </c>
      <c r="S15" s="182">
        <f>AVERAGE(P15:R15)</f>
        <v>1.5699999999999999E-2</v>
      </c>
      <c r="U15" s="11"/>
      <c r="V15" s="12" t="s">
        <v>42</v>
      </c>
      <c r="W15" s="12" t="s">
        <v>43</v>
      </c>
      <c r="X15" s="12" t="s">
        <v>44</v>
      </c>
      <c r="Y15" s="12" t="s">
        <v>45</v>
      </c>
    </row>
    <row r="16" spans="2:44">
      <c r="O16" s="21" t="s">
        <v>175</v>
      </c>
      <c r="P16" s="225">
        <v>0.1</v>
      </c>
      <c r="Q16" s="225">
        <v>0.1</v>
      </c>
      <c r="R16" s="225">
        <v>0.1</v>
      </c>
      <c r="S16" s="225">
        <v>0.1</v>
      </c>
      <c r="U16" s="8" t="s">
        <v>46</v>
      </c>
      <c r="V16" s="23">
        <v>73419674.150000006</v>
      </c>
      <c r="W16" s="23">
        <v>51799836.149999999</v>
      </c>
      <c r="X16" s="23">
        <v>20366928</v>
      </c>
      <c r="Y16" s="23">
        <v>1252910</v>
      </c>
    </row>
    <row r="17" spans="15:25">
      <c r="O17" s="21" t="s">
        <v>176</v>
      </c>
      <c r="P17" s="225">
        <v>0.1</v>
      </c>
      <c r="Q17" s="225">
        <v>0.1</v>
      </c>
      <c r="R17" s="225">
        <v>0.1</v>
      </c>
      <c r="S17" s="225">
        <v>0.1</v>
      </c>
      <c r="U17" s="8" t="s">
        <v>47</v>
      </c>
      <c r="V17" s="23">
        <v>11125092.34</v>
      </c>
      <c r="W17" s="23">
        <v>2815200.78</v>
      </c>
      <c r="X17" s="23">
        <v>6460979.5599999996</v>
      </c>
      <c r="Y17" s="23">
        <v>1848912</v>
      </c>
    </row>
    <row r="18" spans="15:25">
      <c r="U18" s="8" t="s">
        <v>48</v>
      </c>
      <c r="V18" s="23">
        <v>40726341.640000001</v>
      </c>
      <c r="W18" s="23" t="s">
        <v>49</v>
      </c>
      <c r="X18" s="23">
        <v>39906466.640000001</v>
      </c>
      <c r="Y18" s="23">
        <v>819875</v>
      </c>
    </row>
    <row r="19" spans="15:25">
      <c r="U19" s="8" t="s">
        <v>28</v>
      </c>
      <c r="V19" s="23">
        <v>125271108.13</v>
      </c>
      <c r="W19" s="23">
        <v>54615036.93</v>
      </c>
      <c r="X19" s="23">
        <v>66734374.200000003</v>
      </c>
      <c r="Y19" s="23">
        <v>3921697</v>
      </c>
    </row>
    <row r="20" spans="15:25">
      <c r="U20" s="15"/>
    </row>
    <row r="21" spans="15:25">
      <c r="O21" s="184" t="s">
        <v>35</v>
      </c>
      <c r="P21" s="3" t="e">
        <f>VLOOKUP('1.ลดดอกเบี้ย'!C11,pam!N3:R4,5,FALSE)&amp;VLOOKUP('1.ลดดอกเบี้ย'!C12,pam!N3:R4,5,FALSE)&amp;VLOOKUP('1.ลดดอกเบี้ย'!C13,pam!N3:R4,5,FALSE)</f>
        <v>#N/A</v>
      </c>
      <c r="Q21" s="19" t="e">
        <f>VLOOKUP(P21,$O$10:$S$18,5,FALSE)</f>
        <v>#N/A</v>
      </c>
      <c r="U21" s="13" t="s">
        <v>51</v>
      </c>
      <c r="V21" s="1">
        <f>SUM(W21:Y21)</f>
        <v>24180.787525330044</v>
      </c>
      <c r="W21" s="1">
        <v>8925.1129342600016</v>
      </c>
      <c r="X21" s="1">
        <v>12972.039129570077</v>
      </c>
      <c r="Y21" s="1">
        <v>2283.6354614999645</v>
      </c>
    </row>
    <row r="22" spans="15:25">
      <c r="O22" s="184" t="s">
        <v>25</v>
      </c>
      <c r="P22" s="3" t="e">
        <f>VLOOKUP('1.ลดดอกเบี้ย'!E11,pam!N3:R4,5,FALSE)&amp;VLOOKUP('1.ลดดอกเบี้ย'!E12,pam!N3:R4,5,FALSE)&amp;VLOOKUP('1.ลดดอกเบี้ย'!E13,pam!N3:R4,5,FALSE)</f>
        <v>#N/A</v>
      </c>
      <c r="Q22" s="19" t="e">
        <f>VLOOKUP(P22,$O$10:$S$17,5,FALSE)</f>
        <v>#N/A</v>
      </c>
      <c r="U22" s="16" t="s">
        <v>50</v>
      </c>
      <c r="V22" s="14">
        <f>V19/(V21*1000000)</f>
        <v>5.1806049740429272E-3</v>
      </c>
      <c r="W22" s="14">
        <f>W19/(W21*1000000)</f>
        <v>6.1192544377062534E-3</v>
      </c>
      <c r="X22" s="14">
        <f>X19/(X21*1000000)</f>
        <v>5.1444783301553094E-3</v>
      </c>
      <c r="Y22" s="14">
        <f>Y19/(Y21*1000000)</f>
        <v>1.7173043010218908E-3</v>
      </c>
    </row>
    <row r="23" spans="15:25">
      <c r="W23" s="7"/>
    </row>
  </sheetData>
  <sheetProtection algorithmName="SHA-512" hashValue="ihf8JaJTcZdGF/1F4IzkcZMsU2av+kc1sqzQYUHcrIK4nypcKjj4xKKa40Yn1id0ZTZHgUfTgosaTtL7UJoZ4A==" saltValue="rre7mOqSqOP+DMptWVCRWA==" spinCount="100000" sheet="1" selectLockedCells="1" selectUnlockedCells="1"/>
  <mergeCells count="1">
    <mergeCell ref="D1:E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D089-F553-4981-B7A9-9F1517404858}">
  <sheetPr codeName="Sheet12"/>
  <dimension ref="A1:BX51"/>
  <sheetViews>
    <sheetView topLeftCell="BY1" workbookViewId="0">
      <selection activeCell="CE8" sqref="CE8"/>
    </sheetView>
  </sheetViews>
  <sheetFormatPr defaultRowHeight="12.75"/>
  <cols>
    <col min="1" max="1" width="16.85546875" hidden="1" customWidth="1"/>
    <col min="2" max="2" width="0" hidden="1" customWidth="1"/>
    <col min="3" max="3" width="11.85546875" hidden="1" customWidth="1"/>
    <col min="4" max="4" width="10.5703125" hidden="1" customWidth="1"/>
    <col min="5" max="5" width="13.42578125" hidden="1" customWidth="1"/>
    <col min="6" max="6" width="10.5703125" hidden="1" customWidth="1"/>
    <col min="7" max="7" width="0" hidden="1" customWidth="1"/>
    <col min="8" max="8" width="12.140625" hidden="1" customWidth="1"/>
    <col min="9" max="9" width="0" hidden="1" customWidth="1"/>
    <col min="10" max="10" width="9.42578125" hidden="1" customWidth="1"/>
    <col min="11" max="12" width="0" hidden="1" customWidth="1"/>
    <col min="13" max="13" width="10.7109375" hidden="1" customWidth="1"/>
    <col min="14" max="14" width="10.85546875" hidden="1" customWidth="1"/>
    <col min="15" max="17" width="0" hidden="1" customWidth="1"/>
    <col min="18" max="18" width="11.5703125" hidden="1" customWidth="1"/>
    <col min="19" max="19" width="10.42578125" hidden="1" customWidth="1"/>
    <col min="20" max="20" width="10.7109375" hidden="1" customWidth="1"/>
    <col min="21" max="21" width="13.5703125" hidden="1" customWidth="1"/>
    <col min="22" max="22" width="16.85546875" hidden="1" customWidth="1"/>
    <col min="23" max="23" width="12.140625" hidden="1" customWidth="1"/>
    <col min="24" max="24" width="9.28515625" hidden="1" customWidth="1"/>
    <col min="25" max="25" width="10.7109375" hidden="1" customWidth="1"/>
    <col min="26" max="27" width="0" hidden="1" customWidth="1"/>
    <col min="28" max="28" width="10.42578125" hidden="1" customWidth="1"/>
    <col min="29" max="29" width="15.7109375" hidden="1" customWidth="1"/>
    <col min="30" max="30" width="11.140625" hidden="1" customWidth="1"/>
    <col min="31" max="31" width="9.28515625" hidden="1" customWidth="1"/>
    <col min="32" max="32" width="18.140625" hidden="1" customWidth="1"/>
    <col min="33" max="35" width="0" hidden="1" customWidth="1"/>
    <col min="36" max="36" width="11" hidden="1" customWidth="1"/>
    <col min="37" max="37" width="9.85546875" hidden="1" customWidth="1"/>
    <col min="38" max="38" width="11.7109375" hidden="1" customWidth="1"/>
    <col min="39" max="41" width="0" hidden="1" customWidth="1"/>
    <col min="42" max="42" width="13.42578125" hidden="1" customWidth="1"/>
    <col min="43" max="43" width="11.28515625" hidden="1" customWidth="1"/>
    <col min="44" max="44" width="12.42578125" hidden="1" customWidth="1"/>
    <col min="45" max="46" width="0" hidden="1" customWidth="1"/>
    <col min="47" max="47" width="9.5703125" hidden="1" customWidth="1"/>
    <col min="48" max="54" width="0" hidden="1" customWidth="1"/>
    <col min="55" max="55" width="10.5703125" hidden="1" customWidth="1"/>
    <col min="56" max="56" width="10.28515625" hidden="1" customWidth="1"/>
    <col min="57" max="58" width="0" hidden="1" customWidth="1"/>
    <col min="59" max="59" width="14.42578125" hidden="1" customWidth="1"/>
    <col min="60" max="60" width="14.5703125" hidden="1" customWidth="1"/>
    <col min="61" max="61" width="12.28515625" hidden="1" customWidth="1"/>
    <col min="62" max="62" width="9.5703125" hidden="1" customWidth="1"/>
    <col min="63" max="65" width="0" hidden="1" customWidth="1"/>
    <col min="66" max="66" width="11.85546875" hidden="1" customWidth="1"/>
    <col min="67" max="67" width="13.28515625" hidden="1" customWidth="1"/>
    <col min="68" max="68" width="0" hidden="1" customWidth="1"/>
    <col min="69" max="69" width="11.42578125" hidden="1" customWidth="1"/>
    <col min="70" max="70" width="13.5703125" hidden="1" customWidth="1"/>
    <col min="71" max="71" width="9.7109375" hidden="1" customWidth="1"/>
    <col min="72" max="72" width="10" hidden="1" customWidth="1"/>
    <col min="73" max="73" width="10.28515625" hidden="1" customWidth="1"/>
    <col min="74" max="74" width="10.42578125" hidden="1" customWidth="1"/>
    <col min="75" max="75" width="13.5703125" hidden="1" customWidth="1"/>
    <col min="76" max="76" width="13.140625" hidden="1" customWidth="1"/>
  </cols>
  <sheetData>
    <row r="1" spans="1:76">
      <c r="A1" t="s">
        <v>204</v>
      </c>
      <c r="B1" t="s">
        <v>270</v>
      </c>
      <c r="C1" t="s">
        <v>279</v>
      </c>
      <c r="D1" t="s">
        <v>293</v>
      </c>
      <c r="E1" t="s">
        <v>312</v>
      </c>
      <c r="F1" t="s">
        <v>324</v>
      </c>
      <c r="G1" t="s">
        <v>350</v>
      </c>
      <c r="H1" t="s">
        <v>361</v>
      </c>
      <c r="I1" t="s">
        <v>373</v>
      </c>
      <c r="J1" t="s">
        <v>385</v>
      </c>
      <c r="K1" t="s">
        <v>394</v>
      </c>
      <c r="L1" t="s">
        <v>411</v>
      </c>
      <c r="M1" t="s">
        <v>420</v>
      </c>
      <c r="N1" t="s">
        <v>439</v>
      </c>
      <c r="O1" t="s">
        <v>463</v>
      </c>
      <c r="P1" t="s">
        <v>474</v>
      </c>
      <c r="Q1" t="s">
        <v>482</v>
      </c>
      <c r="R1" t="s">
        <v>492</v>
      </c>
      <c r="S1" t="s">
        <v>497</v>
      </c>
      <c r="T1" t="s">
        <v>505</v>
      </c>
      <c r="U1" t="s">
        <v>518</v>
      </c>
      <c r="V1" t="s">
        <v>551</v>
      </c>
      <c r="W1" t="s">
        <v>574</v>
      </c>
      <c r="X1" t="s">
        <v>590</v>
      </c>
      <c r="Y1" t="s">
        <v>597</v>
      </c>
      <c r="Z1" t="s">
        <v>611</v>
      </c>
      <c r="AA1" t="s">
        <v>626</v>
      </c>
      <c r="AB1" t="s">
        <v>649</v>
      </c>
      <c r="AC1" t="s">
        <v>657</v>
      </c>
      <c r="AD1" t="s">
        <v>666</v>
      </c>
      <c r="AE1" t="s">
        <v>674</v>
      </c>
      <c r="AF1" t="s">
        <v>687</v>
      </c>
      <c r="AG1" t="s">
        <v>703</v>
      </c>
      <c r="AH1" t="s">
        <v>712</v>
      </c>
      <c r="AI1" t="s">
        <v>724</v>
      </c>
      <c r="AJ1" t="s">
        <v>737</v>
      </c>
      <c r="AK1" t="s">
        <v>747</v>
      </c>
      <c r="AL1" t="s">
        <v>756</v>
      </c>
      <c r="AM1" t="s">
        <v>768</v>
      </c>
      <c r="AN1" t="s">
        <v>777</v>
      </c>
      <c r="AO1" t="s">
        <v>787</v>
      </c>
      <c r="AP1" t="s">
        <v>791</v>
      </c>
      <c r="AQ1" t="s">
        <v>805</v>
      </c>
      <c r="AR1" t="s">
        <v>813</v>
      </c>
      <c r="AS1" t="s">
        <v>821</v>
      </c>
      <c r="AT1" t="s">
        <v>830</v>
      </c>
      <c r="AU1" t="s">
        <v>840</v>
      </c>
      <c r="AV1" t="s">
        <v>861</v>
      </c>
      <c r="AW1" t="s">
        <v>867</v>
      </c>
      <c r="AX1" t="s">
        <v>876</v>
      </c>
      <c r="AY1" t="s">
        <v>887</v>
      </c>
      <c r="AZ1" t="s">
        <v>899</v>
      </c>
      <c r="BA1" t="s">
        <v>913</v>
      </c>
      <c r="BB1" t="s">
        <v>922</v>
      </c>
      <c r="BC1" t="s">
        <v>937</v>
      </c>
      <c r="BD1" t="s">
        <v>960</v>
      </c>
      <c r="BE1" t="s">
        <v>979</v>
      </c>
      <c r="BF1" t="s">
        <v>996</v>
      </c>
      <c r="BG1" t="s">
        <v>1004</v>
      </c>
      <c r="BH1" t="s">
        <v>1011</v>
      </c>
      <c r="BI1" t="s">
        <v>1015</v>
      </c>
      <c r="BJ1" t="s">
        <v>1019</v>
      </c>
      <c r="BK1" t="s">
        <v>1029</v>
      </c>
      <c r="BL1" t="s">
        <v>1042</v>
      </c>
      <c r="BM1" t="s">
        <v>1049</v>
      </c>
      <c r="BN1" t="s">
        <v>1059</v>
      </c>
      <c r="BO1" t="s">
        <v>1070</v>
      </c>
      <c r="BP1" t="s">
        <v>1090</v>
      </c>
      <c r="BQ1" t="s">
        <v>1108</v>
      </c>
      <c r="BR1" t="s">
        <v>1126</v>
      </c>
      <c r="BS1" t="s">
        <v>1133</v>
      </c>
      <c r="BT1" t="s">
        <v>1141</v>
      </c>
      <c r="BU1" t="s">
        <v>1162</v>
      </c>
      <c r="BV1" t="s">
        <v>1171</v>
      </c>
      <c r="BW1" t="s">
        <v>1181</v>
      </c>
      <c r="BX1" t="s">
        <v>1207</v>
      </c>
    </row>
    <row r="2" spans="1:76">
      <c r="A2" t="s">
        <v>220</v>
      </c>
      <c r="B2" t="s">
        <v>271</v>
      </c>
      <c r="C2" t="s">
        <v>280</v>
      </c>
      <c r="D2" t="s">
        <v>294</v>
      </c>
      <c r="E2" t="s">
        <v>313</v>
      </c>
      <c r="F2" t="s">
        <v>325</v>
      </c>
      <c r="G2" t="s">
        <v>351</v>
      </c>
      <c r="H2" t="s">
        <v>362</v>
      </c>
      <c r="I2" t="s">
        <v>374</v>
      </c>
      <c r="J2" t="s">
        <v>386</v>
      </c>
      <c r="K2" t="s">
        <v>395</v>
      </c>
      <c r="L2" t="s">
        <v>412</v>
      </c>
      <c r="M2" t="s">
        <v>421</v>
      </c>
      <c r="N2" t="s">
        <v>440</v>
      </c>
      <c r="O2" t="s">
        <v>464</v>
      </c>
      <c r="P2" t="s">
        <v>475</v>
      </c>
      <c r="Q2" t="s">
        <v>483</v>
      </c>
      <c r="R2" t="s">
        <v>493</v>
      </c>
      <c r="S2" t="s">
        <v>498</v>
      </c>
      <c r="T2" t="s">
        <v>506</v>
      </c>
      <c r="U2" t="s">
        <v>519</v>
      </c>
      <c r="V2" t="s">
        <v>552</v>
      </c>
      <c r="W2" t="s">
        <v>575</v>
      </c>
      <c r="X2" t="s">
        <v>591</v>
      </c>
      <c r="Y2" t="s">
        <v>598</v>
      </c>
      <c r="Z2" t="s">
        <v>612</v>
      </c>
      <c r="AA2" t="s">
        <v>627</v>
      </c>
      <c r="AB2" t="s">
        <v>650</v>
      </c>
      <c r="AC2" t="s">
        <v>658</v>
      </c>
      <c r="AD2" t="s">
        <v>667</v>
      </c>
      <c r="AE2" t="s">
        <v>675</v>
      </c>
      <c r="AF2" t="s">
        <v>687</v>
      </c>
      <c r="AG2" t="s">
        <v>704</v>
      </c>
      <c r="AH2" t="s">
        <v>713</v>
      </c>
      <c r="AI2" t="s">
        <v>725</v>
      </c>
      <c r="AJ2" t="s">
        <v>738</v>
      </c>
      <c r="AK2" t="s">
        <v>748</v>
      </c>
      <c r="AL2" t="s">
        <v>757</v>
      </c>
      <c r="AM2" t="s">
        <v>769</v>
      </c>
      <c r="AN2" t="s">
        <v>778</v>
      </c>
      <c r="AO2" t="s">
        <v>788</v>
      </c>
      <c r="AP2" t="s">
        <v>792</v>
      </c>
      <c r="AQ2" t="s">
        <v>806</v>
      </c>
      <c r="AR2" t="s">
        <v>814</v>
      </c>
      <c r="AS2" t="s">
        <v>822</v>
      </c>
      <c r="AT2" t="s">
        <v>831</v>
      </c>
      <c r="AU2" t="s">
        <v>841</v>
      </c>
      <c r="AV2" t="s">
        <v>862</v>
      </c>
      <c r="AW2" t="s">
        <v>868</v>
      </c>
      <c r="AX2" t="s">
        <v>877</v>
      </c>
      <c r="AY2" t="s">
        <v>888</v>
      </c>
      <c r="AZ2" t="s">
        <v>900</v>
      </c>
      <c r="BA2" t="s">
        <v>914</v>
      </c>
      <c r="BB2" t="s">
        <v>923</v>
      </c>
      <c r="BC2" t="s">
        <v>938</v>
      </c>
      <c r="BD2" t="s">
        <v>961</v>
      </c>
      <c r="BE2" t="s">
        <v>980</v>
      </c>
      <c r="BF2" t="s">
        <v>997</v>
      </c>
      <c r="BG2" t="s">
        <v>1005</v>
      </c>
      <c r="BH2" t="s">
        <v>1012</v>
      </c>
      <c r="BI2" t="s">
        <v>1016</v>
      </c>
      <c r="BJ2" t="s">
        <v>1020</v>
      </c>
      <c r="BK2" t="s">
        <v>1030</v>
      </c>
      <c r="BL2" t="s">
        <v>1043</v>
      </c>
      <c r="BM2" t="s">
        <v>1050</v>
      </c>
      <c r="BN2" t="s">
        <v>1060</v>
      </c>
      <c r="BO2" t="s">
        <v>1071</v>
      </c>
      <c r="BP2" t="s">
        <v>1091</v>
      </c>
      <c r="BQ2" t="s">
        <v>1109</v>
      </c>
      <c r="BR2" t="s">
        <v>1127</v>
      </c>
      <c r="BS2" t="s">
        <v>1134</v>
      </c>
      <c r="BT2" t="s">
        <v>1142</v>
      </c>
      <c r="BU2" t="s">
        <v>1163</v>
      </c>
      <c r="BV2" t="s">
        <v>1172</v>
      </c>
      <c r="BW2" t="s">
        <v>1182</v>
      </c>
      <c r="BX2" t="s">
        <v>1208</v>
      </c>
    </row>
    <row r="3" spans="1:76">
      <c r="A3" t="s">
        <v>221</v>
      </c>
      <c r="B3" t="s">
        <v>272</v>
      </c>
      <c r="C3" t="s">
        <v>281</v>
      </c>
      <c r="D3" t="s">
        <v>295</v>
      </c>
      <c r="E3" t="s">
        <v>314</v>
      </c>
      <c r="F3" t="s">
        <v>326</v>
      </c>
      <c r="G3" t="s">
        <v>352</v>
      </c>
      <c r="H3" t="s">
        <v>363</v>
      </c>
      <c r="I3" t="s">
        <v>375</v>
      </c>
      <c r="J3" t="s">
        <v>387</v>
      </c>
      <c r="K3" t="s">
        <v>396</v>
      </c>
      <c r="L3" t="s">
        <v>413</v>
      </c>
      <c r="M3" t="s">
        <v>422</v>
      </c>
      <c r="N3" t="s">
        <v>222</v>
      </c>
      <c r="O3" t="s">
        <v>465</v>
      </c>
      <c r="P3" t="s">
        <v>476</v>
      </c>
      <c r="Q3" t="s">
        <v>484</v>
      </c>
      <c r="R3" t="s">
        <v>494</v>
      </c>
      <c r="S3" t="s">
        <v>499</v>
      </c>
      <c r="T3" t="s">
        <v>507</v>
      </c>
      <c r="U3" t="s">
        <v>520</v>
      </c>
      <c r="V3" t="s">
        <v>553</v>
      </c>
      <c r="W3" t="s">
        <v>576</v>
      </c>
      <c r="X3" t="s">
        <v>592</v>
      </c>
      <c r="Y3" t="s">
        <v>599</v>
      </c>
      <c r="Z3" t="s">
        <v>613</v>
      </c>
      <c r="AA3" t="s">
        <v>628</v>
      </c>
      <c r="AB3" t="s">
        <v>651</v>
      </c>
      <c r="AC3" t="s">
        <v>659</v>
      </c>
      <c r="AD3" t="s">
        <v>668</v>
      </c>
      <c r="AE3" t="s">
        <v>676</v>
      </c>
      <c r="AF3" t="s">
        <v>688</v>
      </c>
      <c r="AG3" t="s">
        <v>705</v>
      </c>
      <c r="AH3" t="s">
        <v>714</v>
      </c>
      <c r="AI3" t="s">
        <v>726</v>
      </c>
      <c r="AJ3" t="s">
        <v>739</v>
      </c>
      <c r="AK3" t="s">
        <v>749</v>
      </c>
      <c r="AL3" t="s">
        <v>758</v>
      </c>
      <c r="AM3" t="s">
        <v>770</v>
      </c>
      <c r="AN3" t="s">
        <v>779</v>
      </c>
      <c r="AO3" t="s">
        <v>789</v>
      </c>
      <c r="AP3" t="s">
        <v>793</v>
      </c>
      <c r="AQ3" t="s">
        <v>807</v>
      </c>
      <c r="AR3" t="s">
        <v>815</v>
      </c>
      <c r="AS3" t="s">
        <v>823</v>
      </c>
      <c r="AT3" t="s">
        <v>832</v>
      </c>
      <c r="AU3" t="s">
        <v>842</v>
      </c>
      <c r="AV3" t="s">
        <v>863</v>
      </c>
      <c r="AW3" t="s">
        <v>869</v>
      </c>
      <c r="AX3" t="s">
        <v>878</v>
      </c>
      <c r="AY3" t="s">
        <v>889</v>
      </c>
      <c r="AZ3" t="s">
        <v>901</v>
      </c>
      <c r="BA3" t="s">
        <v>915</v>
      </c>
      <c r="BB3" t="s">
        <v>924</v>
      </c>
      <c r="BC3" t="s">
        <v>939</v>
      </c>
      <c r="BD3" t="s">
        <v>962</v>
      </c>
      <c r="BE3" t="s">
        <v>981</v>
      </c>
      <c r="BF3" t="s">
        <v>998</v>
      </c>
      <c r="BG3" t="s">
        <v>1006</v>
      </c>
      <c r="BH3" t="s">
        <v>1013</v>
      </c>
      <c r="BI3" t="s">
        <v>1017</v>
      </c>
      <c r="BJ3" t="s">
        <v>1021</v>
      </c>
      <c r="BK3" t="s">
        <v>1031</v>
      </c>
      <c r="BL3" t="s">
        <v>1044</v>
      </c>
      <c r="BM3" t="s">
        <v>1051</v>
      </c>
      <c r="BN3" t="s">
        <v>1061</v>
      </c>
      <c r="BO3" t="s">
        <v>1072</v>
      </c>
      <c r="BP3" t="s">
        <v>1092</v>
      </c>
      <c r="BQ3" t="s">
        <v>1110</v>
      </c>
      <c r="BR3" t="s">
        <v>1128</v>
      </c>
      <c r="BS3" t="s">
        <v>1135</v>
      </c>
      <c r="BT3" t="s">
        <v>1143</v>
      </c>
      <c r="BU3" t="s">
        <v>1164</v>
      </c>
      <c r="BV3" t="s">
        <v>1173</v>
      </c>
      <c r="BW3" t="s">
        <v>1183</v>
      </c>
      <c r="BX3" t="s">
        <v>1209</v>
      </c>
    </row>
    <row r="4" spans="1:76">
      <c r="A4" t="s">
        <v>222</v>
      </c>
      <c r="B4" t="s">
        <v>273</v>
      </c>
      <c r="C4" t="s">
        <v>282</v>
      </c>
      <c r="D4" t="s">
        <v>296</v>
      </c>
      <c r="E4" t="s">
        <v>315</v>
      </c>
      <c r="F4" t="s">
        <v>327</v>
      </c>
      <c r="G4" t="s">
        <v>353</v>
      </c>
      <c r="H4" t="s">
        <v>364</v>
      </c>
      <c r="I4" t="s">
        <v>376</v>
      </c>
      <c r="J4" t="s">
        <v>388</v>
      </c>
      <c r="K4" t="s">
        <v>397</v>
      </c>
      <c r="L4" t="s">
        <v>414</v>
      </c>
      <c r="M4" t="s">
        <v>423</v>
      </c>
      <c r="N4" t="s">
        <v>441</v>
      </c>
      <c r="O4" t="s">
        <v>466</v>
      </c>
      <c r="P4" t="s">
        <v>477</v>
      </c>
      <c r="Q4" t="s">
        <v>485</v>
      </c>
      <c r="R4" t="s">
        <v>495</v>
      </c>
      <c r="S4" t="s">
        <v>500</v>
      </c>
      <c r="T4" t="s">
        <v>508</v>
      </c>
      <c r="U4" t="s">
        <v>521</v>
      </c>
      <c r="V4" t="s">
        <v>554</v>
      </c>
      <c r="W4" t="s">
        <v>577</v>
      </c>
      <c r="X4" t="s">
        <v>593</v>
      </c>
      <c r="Y4" t="s">
        <v>600</v>
      </c>
      <c r="Z4" t="s">
        <v>614</v>
      </c>
      <c r="AA4" t="s">
        <v>629</v>
      </c>
      <c r="AB4" t="s">
        <v>652</v>
      </c>
      <c r="AC4" t="s">
        <v>660</v>
      </c>
      <c r="AD4" t="s">
        <v>669</v>
      </c>
      <c r="AE4" t="s">
        <v>677</v>
      </c>
      <c r="AF4" t="s">
        <v>689</v>
      </c>
      <c r="AG4" t="s">
        <v>706</v>
      </c>
      <c r="AH4" t="s">
        <v>715</v>
      </c>
      <c r="AI4" t="s">
        <v>727</v>
      </c>
      <c r="AJ4" t="s">
        <v>740</v>
      </c>
      <c r="AK4" t="s">
        <v>750</v>
      </c>
      <c r="AL4" t="s">
        <v>759</v>
      </c>
      <c r="AM4" t="s">
        <v>771</v>
      </c>
      <c r="AN4" t="s">
        <v>780</v>
      </c>
      <c r="AO4" t="s">
        <v>790</v>
      </c>
      <c r="AP4" t="s">
        <v>794</v>
      </c>
      <c r="AQ4" t="s">
        <v>808</v>
      </c>
      <c r="AR4" t="s">
        <v>816</v>
      </c>
      <c r="AS4" t="s">
        <v>824</v>
      </c>
      <c r="AT4" t="s">
        <v>833</v>
      </c>
      <c r="AU4" t="s">
        <v>843</v>
      </c>
      <c r="AV4" t="s">
        <v>864</v>
      </c>
      <c r="AW4" t="s">
        <v>870</v>
      </c>
      <c r="AX4" t="s">
        <v>879</v>
      </c>
      <c r="AY4" t="s">
        <v>890</v>
      </c>
      <c r="AZ4" t="s">
        <v>902</v>
      </c>
      <c r="BA4" t="s">
        <v>916</v>
      </c>
      <c r="BB4" t="s">
        <v>925</v>
      </c>
      <c r="BC4" t="s">
        <v>940</v>
      </c>
      <c r="BD4" t="s">
        <v>963</v>
      </c>
      <c r="BE4" t="s">
        <v>982</v>
      </c>
      <c r="BF4" t="s">
        <v>999</v>
      </c>
      <c r="BG4" t="s">
        <v>1007</v>
      </c>
      <c r="BH4" t="s">
        <v>1014</v>
      </c>
      <c r="BI4" t="s">
        <v>1018</v>
      </c>
      <c r="BJ4" t="s">
        <v>1022</v>
      </c>
      <c r="BK4" t="s">
        <v>1032</v>
      </c>
      <c r="BL4" t="s">
        <v>1045</v>
      </c>
      <c r="BM4" t="s">
        <v>1052</v>
      </c>
      <c r="BN4" t="s">
        <v>1062</v>
      </c>
      <c r="BO4" t="s">
        <v>1073</v>
      </c>
      <c r="BP4" t="s">
        <v>1093</v>
      </c>
      <c r="BQ4" t="s">
        <v>1111</v>
      </c>
      <c r="BR4" t="s">
        <v>1129</v>
      </c>
      <c r="BS4" t="s">
        <v>1136</v>
      </c>
      <c r="BT4" t="s">
        <v>1144</v>
      </c>
      <c r="BU4" t="s">
        <v>1165</v>
      </c>
      <c r="BV4" t="s">
        <v>1174</v>
      </c>
      <c r="BW4" t="s">
        <v>1184</v>
      </c>
      <c r="BX4" t="s">
        <v>1210</v>
      </c>
    </row>
    <row r="5" spans="1:76">
      <c r="A5" t="s">
        <v>223</v>
      </c>
      <c r="B5" t="s">
        <v>274</v>
      </c>
      <c r="C5" t="s">
        <v>283</v>
      </c>
      <c r="D5" t="s">
        <v>297</v>
      </c>
      <c r="E5" t="s">
        <v>316</v>
      </c>
      <c r="F5" t="s">
        <v>328</v>
      </c>
      <c r="G5" t="s">
        <v>354</v>
      </c>
      <c r="H5" t="s">
        <v>365</v>
      </c>
      <c r="I5" t="s">
        <v>377</v>
      </c>
      <c r="J5" t="s">
        <v>389</v>
      </c>
      <c r="K5" t="s">
        <v>398</v>
      </c>
      <c r="L5" t="s">
        <v>415</v>
      </c>
      <c r="M5" t="s">
        <v>424</v>
      </c>
      <c r="N5" t="s">
        <v>442</v>
      </c>
      <c r="O5" t="s">
        <v>467</v>
      </c>
      <c r="P5" t="s">
        <v>478</v>
      </c>
      <c r="Q5" t="s">
        <v>486</v>
      </c>
      <c r="R5" t="s">
        <v>496</v>
      </c>
      <c r="S5" t="s">
        <v>501</v>
      </c>
      <c r="T5" t="s">
        <v>509</v>
      </c>
      <c r="U5" t="s">
        <v>522</v>
      </c>
      <c r="V5" t="s">
        <v>555</v>
      </c>
      <c r="W5" t="s">
        <v>578</v>
      </c>
      <c r="X5" t="s">
        <v>594</v>
      </c>
      <c r="Y5" t="s">
        <v>601</v>
      </c>
      <c r="Z5" t="s">
        <v>615</v>
      </c>
      <c r="AA5" t="s">
        <v>630</v>
      </c>
      <c r="AB5" t="s">
        <v>653</v>
      </c>
      <c r="AC5" t="s">
        <v>661</v>
      </c>
      <c r="AD5" t="s">
        <v>670</v>
      </c>
      <c r="AE5" t="s">
        <v>678</v>
      </c>
      <c r="AF5" t="s">
        <v>690</v>
      </c>
      <c r="AG5" t="s">
        <v>707</v>
      </c>
      <c r="AH5" t="s">
        <v>716</v>
      </c>
      <c r="AI5" t="s">
        <v>728</v>
      </c>
      <c r="AJ5" t="s">
        <v>741</v>
      </c>
      <c r="AK5" t="s">
        <v>751</v>
      </c>
      <c r="AL5" t="s">
        <v>760</v>
      </c>
      <c r="AM5" t="s">
        <v>772</v>
      </c>
      <c r="AN5" t="s">
        <v>781</v>
      </c>
      <c r="AP5" t="s">
        <v>795</v>
      </c>
      <c r="AQ5" t="s">
        <v>809</v>
      </c>
      <c r="AR5" t="s">
        <v>817</v>
      </c>
      <c r="AS5" t="s">
        <v>825</v>
      </c>
      <c r="AT5" t="s">
        <v>834</v>
      </c>
      <c r="AU5" t="s">
        <v>844</v>
      </c>
      <c r="AV5" t="s">
        <v>865</v>
      </c>
      <c r="AW5" t="s">
        <v>871</v>
      </c>
      <c r="AX5" t="s">
        <v>880</v>
      </c>
      <c r="AY5" t="s">
        <v>891</v>
      </c>
      <c r="AZ5" t="s">
        <v>903</v>
      </c>
      <c r="BA5" t="s">
        <v>917</v>
      </c>
      <c r="BB5" t="s">
        <v>926</v>
      </c>
      <c r="BC5" t="s">
        <v>941</v>
      </c>
      <c r="BD5" t="s">
        <v>964</v>
      </c>
      <c r="BE5" t="s">
        <v>983</v>
      </c>
      <c r="BF5" t="s">
        <v>1000</v>
      </c>
      <c r="BG5" t="s">
        <v>1008</v>
      </c>
      <c r="BJ5" t="s">
        <v>1023</v>
      </c>
      <c r="BK5" t="s">
        <v>1033</v>
      </c>
      <c r="BL5" t="s">
        <v>1046</v>
      </c>
      <c r="BM5" t="s">
        <v>1053</v>
      </c>
      <c r="BN5" t="s">
        <v>1063</v>
      </c>
      <c r="BO5" t="s">
        <v>1074</v>
      </c>
      <c r="BP5" t="s">
        <v>1094</v>
      </c>
      <c r="BQ5" t="s">
        <v>1112</v>
      </c>
      <c r="BR5" t="s">
        <v>1130</v>
      </c>
      <c r="BS5" t="s">
        <v>1137</v>
      </c>
      <c r="BT5" t="s">
        <v>1145</v>
      </c>
      <c r="BU5" t="s">
        <v>1166</v>
      </c>
      <c r="BV5" t="s">
        <v>1175</v>
      </c>
      <c r="BW5" t="s">
        <v>1185</v>
      </c>
      <c r="BX5" t="s">
        <v>1211</v>
      </c>
    </row>
    <row r="6" spans="1:76">
      <c r="A6" t="s">
        <v>224</v>
      </c>
      <c r="B6" t="s">
        <v>275</v>
      </c>
      <c r="C6" t="s">
        <v>284</v>
      </c>
      <c r="D6" t="s">
        <v>298</v>
      </c>
      <c r="E6" t="s">
        <v>317</v>
      </c>
      <c r="F6" t="s">
        <v>329</v>
      </c>
      <c r="G6" t="s">
        <v>355</v>
      </c>
      <c r="H6" t="s">
        <v>366</v>
      </c>
      <c r="I6" t="s">
        <v>378</v>
      </c>
      <c r="J6" t="s">
        <v>390</v>
      </c>
      <c r="K6" t="s">
        <v>399</v>
      </c>
      <c r="L6" t="s">
        <v>416</v>
      </c>
      <c r="M6" t="s">
        <v>425</v>
      </c>
      <c r="N6" t="s">
        <v>443</v>
      </c>
      <c r="O6" t="s">
        <v>468</v>
      </c>
      <c r="P6" t="s">
        <v>479</v>
      </c>
      <c r="Q6" t="s">
        <v>487</v>
      </c>
      <c r="S6" t="s">
        <v>502</v>
      </c>
      <c r="T6" t="s">
        <v>510</v>
      </c>
      <c r="U6" t="s">
        <v>523</v>
      </c>
      <c r="V6" t="s">
        <v>556</v>
      </c>
      <c r="W6" t="s">
        <v>579</v>
      </c>
      <c r="X6" t="s">
        <v>595</v>
      </c>
      <c r="Y6" t="s">
        <v>602</v>
      </c>
      <c r="Z6" t="s">
        <v>616</v>
      </c>
      <c r="AA6" t="s">
        <v>631</v>
      </c>
      <c r="AB6" t="s">
        <v>654</v>
      </c>
      <c r="AC6" t="s">
        <v>662</v>
      </c>
      <c r="AD6" t="s">
        <v>671</v>
      </c>
      <c r="AE6" t="s">
        <v>679</v>
      </c>
      <c r="AF6" t="s">
        <v>691</v>
      </c>
      <c r="AG6" t="s">
        <v>708</v>
      </c>
      <c r="AH6" t="s">
        <v>717</v>
      </c>
      <c r="AI6" t="s">
        <v>729</v>
      </c>
      <c r="AJ6" t="s">
        <v>742</v>
      </c>
      <c r="AK6" t="s">
        <v>752</v>
      </c>
      <c r="AL6" t="s">
        <v>761</v>
      </c>
      <c r="AM6" t="s">
        <v>773</v>
      </c>
      <c r="AN6" t="s">
        <v>782</v>
      </c>
      <c r="AP6" t="s">
        <v>796</v>
      </c>
      <c r="AQ6" t="s">
        <v>810</v>
      </c>
      <c r="AR6" t="s">
        <v>818</v>
      </c>
      <c r="AS6" t="s">
        <v>826</v>
      </c>
      <c r="AT6" t="s">
        <v>835</v>
      </c>
      <c r="AU6" t="s">
        <v>845</v>
      </c>
      <c r="AV6" t="s">
        <v>866</v>
      </c>
      <c r="AW6" t="s">
        <v>872</v>
      </c>
      <c r="AX6" t="s">
        <v>881</v>
      </c>
      <c r="AY6" t="s">
        <v>892</v>
      </c>
      <c r="AZ6" t="s">
        <v>904</v>
      </c>
      <c r="BA6" t="s">
        <v>918</v>
      </c>
      <c r="BB6" t="s">
        <v>927</v>
      </c>
      <c r="BC6" t="s">
        <v>942</v>
      </c>
      <c r="BD6" t="s">
        <v>965</v>
      </c>
      <c r="BE6" t="s">
        <v>984</v>
      </c>
      <c r="BF6" t="s">
        <v>1001</v>
      </c>
      <c r="BG6" t="s">
        <v>1009</v>
      </c>
      <c r="BJ6" t="s">
        <v>1024</v>
      </c>
      <c r="BK6" t="s">
        <v>1034</v>
      </c>
      <c r="BL6" t="s">
        <v>1047</v>
      </c>
      <c r="BM6" t="s">
        <v>1054</v>
      </c>
      <c r="BN6" t="s">
        <v>1064</v>
      </c>
      <c r="BO6" t="s">
        <v>1075</v>
      </c>
      <c r="BP6" t="s">
        <v>1095</v>
      </c>
      <c r="BQ6" t="s">
        <v>1113</v>
      </c>
      <c r="BR6" t="s">
        <v>1131</v>
      </c>
      <c r="BS6" t="s">
        <v>1138</v>
      </c>
      <c r="BT6" t="s">
        <v>1146</v>
      </c>
      <c r="BU6" t="s">
        <v>1167</v>
      </c>
      <c r="BV6" t="s">
        <v>1176</v>
      </c>
      <c r="BW6" t="s">
        <v>1186</v>
      </c>
      <c r="BX6" t="s">
        <v>1212</v>
      </c>
    </row>
    <row r="7" spans="1:76">
      <c r="A7" t="s">
        <v>225</v>
      </c>
      <c r="B7" t="s">
        <v>276</v>
      </c>
      <c r="C7" t="s">
        <v>285</v>
      </c>
      <c r="D7" t="s">
        <v>299</v>
      </c>
      <c r="E7" t="s">
        <v>318</v>
      </c>
      <c r="F7" t="s">
        <v>330</v>
      </c>
      <c r="G7" t="s">
        <v>356</v>
      </c>
      <c r="H7" t="s">
        <v>367</v>
      </c>
      <c r="I7" t="s">
        <v>379</v>
      </c>
      <c r="J7" t="s">
        <v>391</v>
      </c>
      <c r="K7" t="s">
        <v>400</v>
      </c>
      <c r="L7" t="s">
        <v>417</v>
      </c>
      <c r="M7" t="s">
        <v>426</v>
      </c>
      <c r="N7" t="s">
        <v>444</v>
      </c>
      <c r="O7" t="s">
        <v>469</v>
      </c>
      <c r="P7" t="s">
        <v>480</v>
      </c>
      <c r="Q7" t="s">
        <v>488</v>
      </c>
      <c r="S7" t="s">
        <v>503</v>
      </c>
      <c r="T7" t="s">
        <v>511</v>
      </c>
      <c r="U7" t="s">
        <v>524</v>
      </c>
      <c r="V7" t="s">
        <v>557</v>
      </c>
      <c r="W7" t="s">
        <v>580</v>
      </c>
      <c r="X7" t="s">
        <v>596</v>
      </c>
      <c r="Y7" t="s">
        <v>603</v>
      </c>
      <c r="Z7" t="s">
        <v>617</v>
      </c>
      <c r="AA7" t="s">
        <v>632</v>
      </c>
      <c r="AB7" t="s">
        <v>655</v>
      </c>
      <c r="AC7" t="s">
        <v>663</v>
      </c>
      <c r="AD7" t="s">
        <v>672</v>
      </c>
      <c r="AE7" t="s">
        <v>680</v>
      </c>
      <c r="AF7" t="s">
        <v>692</v>
      </c>
      <c r="AG7" t="s">
        <v>709</v>
      </c>
      <c r="AH7" t="s">
        <v>718</v>
      </c>
      <c r="AI7" t="s">
        <v>730</v>
      </c>
      <c r="AJ7" t="s">
        <v>743</v>
      </c>
      <c r="AK7" t="s">
        <v>753</v>
      </c>
      <c r="AL7" t="s">
        <v>762</v>
      </c>
      <c r="AM7" t="s">
        <v>774</v>
      </c>
      <c r="AN7" t="s">
        <v>783</v>
      </c>
      <c r="AP7" t="s">
        <v>797</v>
      </c>
      <c r="AQ7" t="s">
        <v>811</v>
      </c>
      <c r="AR7" t="s">
        <v>819</v>
      </c>
      <c r="AS7" t="s">
        <v>827</v>
      </c>
      <c r="AT7" t="s">
        <v>836</v>
      </c>
      <c r="AU7" t="s">
        <v>846</v>
      </c>
      <c r="AW7" t="s">
        <v>873</v>
      </c>
      <c r="AX7" t="s">
        <v>882</v>
      </c>
      <c r="AY7" t="s">
        <v>893</v>
      </c>
      <c r="AZ7" t="s">
        <v>905</v>
      </c>
      <c r="BA7" t="s">
        <v>919</v>
      </c>
      <c r="BB7" t="s">
        <v>928</v>
      </c>
      <c r="BC7" t="s">
        <v>943</v>
      </c>
      <c r="BD7" t="s">
        <v>966</v>
      </c>
      <c r="BE7" t="s">
        <v>985</v>
      </c>
      <c r="BF7" t="s">
        <v>1002</v>
      </c>
      <c r="BG7" t="s">
        <v>1010</v>
      </c>
      <c r="BJ7" t="s">
        <v>1025</v>
      </c>
      <c r="BK7" t="s">
        <v>1035</v>
      </c>
      <c r="BL7" t="s">
        <v>1048</v>
      </c>
      <c r="BM7" t="s">
        <v>1055</v>
      </c>
      <c r="BN7" t="s">
        <v>1065</v>
      </c>
      <c r="BO7" t="s">
        <v>1076</v>
      </c>
      <c r="BP7" t="s">
        <v>1096</v>
      </c>
      <c r="BQ7" t="s">
        <v>1114</v>
      </c>
      <c r="BR7" t="s">
        <v>1132</v>
      </c>
      <c r="BS7" t="s">
        <v>1139</v>
      </c>
      <c r="BT7" t="s">
        <v>1147</v>
      </c>
      <c r="BU7" t="s">
        <v>1168</v>
      </c>
      <c r="BV7" t="s">
        <v>1177</v>
      </c>
      <c r="BW7" t="s">
        <v>1187</v>
      </c>
      <c r="BX7" t="s">
        <v>1213</v>
      </c>
    </row>
    <row r="8" spans="1:76">
      <c r="A8" t="s">
        <v>226</v>
      </c>
      <c r="B8" t="s">
        <v>277</v>
      </c>
      <c r="C8" t="s">
        <v>286</v>
      </c>
      <c r="D8" t="s">
        <v>300</v>
      </c>
      <c r="E8" t="s">
        <v>319</v>
      </c>
      <c r="F8" t="s">
        <v>331</v>
      </c>
      <c r="G8" t="s">
        <v>357</v>
      </c>
      <c r="H8" t="s">
        <v>368</v>
      </c>
      <c r="I8" t="s">
        <v>380</v>
      </c>
      <c r="J8" t="s">
        <v>392</v>
      </c>
      <c r="K8" t="s">
        <v>401</v>
      </c>
      <c r="L8" t="s">
        <v>418</v>
      </c>
      <c r="M8" t="s">
        <v>427</v>
      </c>
      <c r="N8" t="s">
        <v>445</v>
      </c>
      <c r="O8" t="s">
        <v>470</v>
      </c>
      <c r="P8" t="s">
        <v>481</v>
      </c>
      <c r="Q8" t="s">
        <v>489</v>
      </c>
      <c r="S8" t="s">
        <v>504</v>
      </c>
      <c r="T8" t="s">
        <v>512</v>
      </c>
      <c r="U8" t="s">
        <v>525</v>
      </c>
      <c r="V8" t="s">
        <v>558</v>
      </c>
      <c r="W8" t="s">
        <v>581</v>
      </c>
      <c r="Y8" t="s">
        <v>604</v>
      </c>
      <c r="Z8" t="s">
        <v>618</v>
      </c>
      <c r="AA8" t="s">
        <v>633</v>
      </c>
      <c r="AB8" t="s">
        <v>656</v>
      </c>
      <c r="AC8" t="s">
        <v>664</v>
      </c>
      <c r="AD8" t="s">
        <v>673</v>
      </c>
      <c r="AE8" t="s">
        <v>681</v>
      </c>
      <c r="AF8" t="s">
        <v>693</v>
      </c>
      <c r="AG8" t="s">
        <v>710</v>
      </c>
      <c r="AH8" t="s">
        <v>719</v>
      </c>
      <c r="AI8" t="s">
        <v>731</v>
      </c>
      <c r="AJ8" t="s">
        <v>744</v>
      </c>
      <c r="AK8" t="s">
        <v>754</v>
      </c>
      <c r="AL8" t="s">
        <v>763</v>
      </c>
      <c r="AM8" t="s">
        <v>775</v>
      </c>
      <c r="AN8" t="s">
        <v>784</v>
      </c>
      <c r="AP8" t="s">
        <v>798</v>
      </c>
      <c r="AQ8" t="s">
        <v>812</v>
      </c>
      <c r="AR8" t="s">
        <v>820</v>
      </c>
      <c r="AS8" t="s">
        <v>828</v>
      </c>
      <c r="AT8" t="s">
        <v>837</v>
      </c>
      <c r="AU8" t="s">
        <v>847</v>
      </c>
      <c r="AW8" t="s">
        <v>874</v>
      </c>
      <c r="AX8" t="s">
        <v>883</v>
      </c>
      <c r="AY8" t="s">
        <v>894</v>
      </c>
      <c r="AZ8" t="s">
        <v>906</v>
      </c>
      <c r="BA8" t="s">
        <v>920</v>
      </c>
      <c r="BB8" t="s">
        <v>929</v>
      </c>
      <c r="BC8" t="s">
        <v>944</v>
      </c>
      <c r="BD8" t="s">
        <v>967</v>
      </c>
      <c r="BE8" t="s">
        <v>986</v>
      </c>
      <c r="BF8" t="s">
        <v>1003</v>
      </c>
      <c r="BJ8" t="s">
        <v>1026</v>
      </c>
      <c r="BK8" t="s">
        <v>1036</v>
      </c>
      <c r="BM8" t="s">
        <v>1056</v>
      </c>
      <c r="BN8" t="s">
        <v>1066</v>
      </c>
      <c r="BO8" t="s">
        <v>1077</v>
      </c>
      <c r="BP8" t="s">
        <v>1097</v>
      </c>
      <c r="BQ8" t="s">
        <v>1115</v>
      </c>
      <c r="BS8" t="s">
        <v>1140</v>
      </c>
      <c r="BT8" t="s">
        <v>1148</v>
      </c>
      <c r="BU8" t="s">
        <v>1169</v>
      </c>
      <c r="BV8" t="s">
        <v>1178</v>
      </c>
      <c r="BW8" t="s">
        <v>1188</v>
      </c>
      <c r="BX8" t="s">
        <v>1214</v>
      </c>
    </row>
    <row r="9" spans="1:76">
      <c r="A9" t="s">
        <v>227</v>
      </c>
      <c r="B9" t="s">
        <v>278</v>
      </c>
      <c r="C9" t="s">
        <v>287</v>
      </c>
      <c r="D9" t="s">
        <v>301</v>
      </c>
      <c r="E9" t="s">
        <v>320</v>
      </c>
      <c r="F9" t="s">
        <v>332</v>
      </c>
      <c r="G9" t="s">
        <v>358</v>
      </c>
      <c r="H9" t="s">
        <v>369</v>
      </c>
      <c r="I9" t="s">
        <v>381</v>
      </c>
      <c r="J9" t="s">
        <v>393</v>
      </c>
      <c r="K9" t="s">
        <v>402</v>
      </c>
      <c r="L9" t="s">
        <v>419</v>
      </c>
      <c r="M9" t="s">
        <v>428</v>
      </c>
      <c r="N9" t="s">
        <v>446</v>
      </c>
      <c r="O9" t="s">
        <v>471</v>
      </c>
      <c r="Q9" t="s">
        <v>490</v>
      </c>
      <c r="T9" t="s">
        <v>513</v>
      </c>
      <c r="U9" t="s">
        <v>526</v>
      </c>
      <c r="V9" t="s">
        <v>559</v>
      </c>
      <c r="W9" t="s">
        <v>582</v>
      </c>
      <c r="Y9" t="s">
        <v>605</v>
      </c>
      <c r="Z9" t="s">
        <v>619</v>
      </c>
      <c r="AA9" t="s">
        <v>634</v>
      </c>
      <c r="AC9" t="s">
        <v>665</v>
      </c>
      <c r="AE9" t="s">
        <v>682</v>
      </c>
      <c r="AF9" t="s">
        <v>694</v>
      </c>
      <c r="AG9" t="s">
        <v>711</v>
      </c>
      <c r="AH9" t="s">
        <v>720</v>
      </c>
      <c r="AI9" t="s">
        <v>732</v>
      </c>
      <c r="AJ9" t="s">
        <v>745</v>
      </c>
      <c r="AK9" t="s">
        <v>755</v>
      </c>
      <c r="AL9" t="s">
        <v>764</v>
      </c>
      <c r="AM9" t="s">
        <v>776</v>
      </c>
      <c r="AN9" t="s">
        <v>785</v>
      </c>
      <c r="AP9" t="s">
        <v>799</v>
      </c>
      <c r="AS9" t="s">
        <v>829</v>
      </c>
      <c r="AT9" t="s">
        <v>838</v>
      </c>
      <c r="AU9" t="s">
        <v>848</v>
      </c>
      <c r="AW9" t="s">
        <v>875</v>
      </c>
      <c r="AX9" t="s">
        <v>884</v>
      </c>
      <c r="AY9" t="s">
        <v>895</v>
      </c>
      <c r="AZ9" t="s">
        <v>907</v>
      </c>
      <c r="BA9" t="s">
        <v>921</v>
      </c>
      <c r="BB9" t="s">
        <v>930</v>
      </c>
      <c r="BC9" t="s">
        <v>945</v>
      </c>
      <c r="BD9" t="s">
        <v>968</v>
      </c>
      <c r="BE9" t="s">
        <v>987</v>
      </c>
      <c r="BJ9" t="s">
        <v>1027</v>
      </c>
      <c r="BK9" t="s">
        <v>1037</v>
      </c>
      <c r="BM9" t="s">
        <v>1057</v>
      </c>
      <c r="BN9" t="s">
        <v>1067</v>
      </c>
      <c r="BO9" t="s">
        <v>1078</v>
      </c>
      <c r="BP9" t="s">
        <v>1098</v>
      </c>
      <c r="BQ9" t="s">
        <v>1116</v>
      </c>
      <c r="BT9" t="s">
        <v>1149</v>
      </c>
      <c r="BU9" t="s">
        <v>1170</v>
      </c>
      <c r="BV9" t="s">
        <v>1179</v>
      </c>
      <c r="BW9" t="s">
        <v>1189</v>
      </c>
    </row>
    <row r="10" spans="1:76">
      <c r="A10" t="s">
        <v>228</v>
      </c>
      <c r="C10" t="s">
        <v>288</v>
      </c>
      <c r="D10" t="s">
        <v>302</v>
      </c>
      <c r="E10" t="s">
        <v>321</v>
      </c>
      <c r="F10" t="s">
        <v>333</v>
      </c>
      <c r="G10" t="s">
        <v>359</v>
      </c>
      <c r="H10" t="s">
        <v>370</v>
      </c>
      <c r="I10" t="s">
        <v>382</v>
      </c>
      <c r="K10" t="s">
        <v>403</v>
      </c>
      <c r="M10" t="s">
        <v>429</v>
      </c>
      <c r="N10" t="s">
        <v>447</v>
      </c>
      <c r="O10" t="s">
        <v>472</v>
      </c>
      <c r="Q10" t="s">
        <v>491</v>
      </c>
      <c r="T10" t="s">
        <v>514</v>
      </c>
      <c r="U10" t="s">
        <v>527</v>
      </c>
      <c r="V10" t="s">
        <v>560</v>
      </c>
      <c r="W10" t="s">
        <v>583</v>
      </c>
      <c r="Y10" t="s">
        <v>606</v>
      </c>
      <c r="Z10" t="s">
        <v>620</v>
      </c>
      <c r="AA10" t="s">
        <v>635</v>
      </c>
      <c r="AE10" t="s">
        <v>683</v>
      </c>
      <c r="AF10" t="s">
        <v>695</v>
      </c>
      <c r="AH10" t="s">
        <v>721</v>
      </c>
      <c r="AI10" t="s">
        <v>733</v>
      </c>
      <c r="AJ10" t="s">
        <v>746</v>
      </c>
      <c r="AL10" t="s">
        <v>765</v>
      </c>
      <c r="AN10" t="s">
        <v>786</v>
      </c>
      <c r="AP10" t="s">
        <v>800</v>
      </c>
      <c r="AT10" t="s">
        <v>839</v>
      </c>
      <c r="AU10" t="s">
        <v>849</v>
      </c>
      <c r="AX10" t="s">
        <v>885</v>
      </c>
      <c r="AY10" t="s">
        <v>896</v>
      </c>
      <c r="AZ10" t="s">
        <v>908</v>
      </c>
      <c r="BB10" t="s">
        <v>931</v>
      </c>
      <c r="BC10" t="s">
        <v>946</v>
      </c>
      <c r="BD10" t="s">
        <v>969</v>
      </c>
      <c r="BE10" t="s">
        <v>988</v>
      </c>
      <c r="BJ10" t="s">
        <v>1028</v>
      </c>
      <c r="BK10" t="s">
        <v>1038</v>
      </c>
      <c r="BM10" t="s">
        <v>1058</v>
      </c>
      <c r="BN10" t="s">
        <v>1068</v>
      </c>
      <c r="BO10" t="s">
        <v>1079</v>
      </c>
      <c r="BP10" t="s">
        <v>1099</v>
      </c>
      <c r="BQ10" t="s">
        <v>1117</v>
      </c>
      <c r="BT10" t="s">
        <v>1150</v>
      </c>
      <c r="BV10" t="s">
        <v>1180</v>
      </c>
      <c r="BW10" t="s">
        <v>1190</v>
      </c>
    </row>
    <row r="11" spans="1:76">
      <c r="A11" t="s">
        <v>229</v>
      </c>
      <c r="C11" t="s">
        <v>289</v>
      </c>
      <c r="D11" t="s">
        <v>303</v>
      </c>
      <c r="E11" t="s">
        <v>322</v>
      </c>
      <c r="F11" t="s">
        <v>334</v>
      </c>
      <c r="G11" t="s">
        <v>360</v>
      </c>
      <c r="H11" t="s">
        <v>371</v>
      </c>
      <c r="I11" t="s">
        <v>383</v>
      </c>
      <c r="K11" t="s">
        <v>404</v>
      </c>
      <c r="M11" t="s">
        <v>430</v>
      </c>
      <c r="N11" t="s">
        <v>448</v>
      </c>
      <c r="O11" t="s">
        <v>473</v>
      </c>
      <c r="T11" t="s">
        <v>515</v>
      </c>
      <c r="U11" t="s">
        <v>528</v>
      </c>
      <c r="V11" t="s">
        <v>561</v>
      </c>
      <c r="W11" t="s">
        <v>584</v>
      </c>
      <c r="Y11" t="s">
        <v>607</v>
      </c>
      <c r="Z11" t="s">
        <v>621</v>
      </c>
      <c r="AA11" t="s">
        <v>636</v>
      </c>
      <c r="AE11" t="s">
        <v>684</v>
      </c>
      <c r="AF11" t="s">
        <v>696</v>
      </c>
      <c r="AH11" t="s">
        <v>722</v>
      </c>
      <c r="AI11" t="s">
        <v>734</v>
      </c>
      <c r="AL11" t="s">
        <v>766</v>
      </c>
      <c r="AP11" t="s">
        <v>801</v>
      </c>
      <c r="AU11" t="s">
        <v>850</v>
      </c>
      <c r="AX11" t="s">
        <v>886</v>
      </c>
      <c r="AY11" t="s">
        <v>897</v>
      </c>
      <c r="AZ11" t="s">
        <v>909</v>
      </c>
      <c r="BB11" t="s">
        <v>932</v>
      </c>
      <c r="BC11" t="s">
        <v>947</v>
      </c>
      <c r="BD11" t="s">
        <v>970</v>
      </c>
      <c r="BE11" t="s">
        <v>989</v>
      </c>
      <c r="BK11" t="s">
        <v>1039</v>
      </c>
      <c r="BN11" t="s">
        <v>1069</v>
      </c>
      <c r="BO11" t="s">
        <v>1080</v>
      </c>
      <c r="BP11" t="s">
        <v>1100</v>
      </c>
      <c r="BQ11" t="s">
        <v>1118</v>
      </c>
      <c r="BT11" t="s">
        <v>1151</v>
      </c>
      <c r="BW11" t="s">
        <v>1191</v>
      </c>
    </row>
    <row r="12" spans="1:76">
      <c r="A12" t="s">
        <v>230</v>
      </c>
      <c r="C12" t="s">
        <v>290</v>
      </c>
      <c r="D12" t="s">
        <v>304</v>
      </c>
      <c r="E12" t="s">
        <v>323</v>
      </c>
      <c r="F12" t="s">
        <v>335</v>
      </c>
      <c r="H12" t="s">
        <v>372</v>
      </c>
      <c r="I12" t="s">
        <v>384</v>
      </c>
      <c r="K12" t="s">
        <v>405</v>
      </c>
      <c r="M12" t="s">
        <v>431</v>
      </c>
      <c r="N12" t="s">
        <v>449</v>
      </c>
      <c r="T12" t="s">
        <v>516</v>
      </c>
      <c r="U12" t="s">
        <v>529</v>
      </c>
      <c r="V12" t="s">
        <v>562</v>
      </c>
      <c r="W12" t="s">
        <v>585</v>
      </c>
      <c r="Y12" t="s">
        <v>608</v>
      </c>
      <c r="Z12" t="s">
        <v>622</v>
      </c>
      <c r="AA12" t="s">
        <v>637</v>
      </c>
      <c r="AE12" t="s">
        <v>685</v>
      </c>
      <c r="AF12" t="s">
        <v>697</v>
      </c>
      <c r="AH12" t="s">
        <v>723</v>
      </c>
      <c r="AI12" t="s">
        <v>735</v>
      </c>
      <c r="AL12" t="s">
        <v>767</v>
      </c>
      <c r="AP12" t="s">
        <v>802</v>
      </c>
      <c r="AU12" t="s">
        <v>851</v>
      </c>
      <c r="AY12" t="s">
        <v>898</v>
      </c>
      <c r="AZ12" t="s">
        <v>910</v>
      </c>
      <c r="BB12" t="s">
        <v>933</v>
      </c>
      <c r="BC12" t="s">
        <v>948</v>
      </c>
      <c r="BD12" t="s">
        <v>971</v>
      </c>
      <c r="BE12" t="s">
        <v>990</v>
      </c>
      <c r="BK12" t="s">
        <v>1040</v>
      </c>
      <c r="BO12" t="s">
        <v>1081</v>
      </c>
      <c r="BP12" t="s">
        <v>1101</v>
      </c>
      <c r="BQ12" t="s">
        <v>1119</v>
      </c>
      <c r="BT12" t="s">
        <v>1152</v>
      </c>
      <c r="BW12" t="s">
        <v>1192</v>
      </c>
    </row>
    <row r="13" spans="1:76">
      <c r="A13" t="s">
        <v>231</v>
      </c>
      <c r="C13" t="s">
        <v>291</v>
      </c>
      <c r="D13" t="s">
        <v>305</v>
      </c>
      <c r="F13" t="s">
        <v>336</v>
      </c>
      <c r="K13" t="s">
        <v>406</v>
      </c>
      <c r="M13" t="s">
        <v>432</v>
      </c>
      <c r="N13" t="s">
        <v>450</v>
      </c>
      <c r="T13" t="s">
        <v>517</v>
      </c>
      <c r="U13" t="s">
        <v>530</v>
      </c>
      <c r="V13" t="s">
        <v>563</v>
      </c>
      <c r="W13" t="s">
        <v>586</v>
      </c>
      <c r="Y13" t="s">
        <v>609</v>
      </c>
      <c r="Z13" t="s">
        <v>623</v>
      </c>
      <c r="AA13" t="s">
        <v>638</v>
      </c>
      <c r="AE13" t="s">
        <v>686</v>
      </c>
      <c r="AF13" t="s">
        <v>698</v>
      </c>
      <c r="AI13" t="s">
        <v>736</v>
      </c>
      <c r="AP13" t="s">
        <v>803</v>
      </c>
      <c r="AU13" t="s">
        <v>852</v>
      </c>
      <c r="AZ13" t="s">
        <v>911</v>
      </c>
      <c r="BB13" t="s">
        <v>934</v>
      </c>
      <c r="BC13" t="s">
        <v>949</v>
      </c>
      <c r="BD13" t="s">
        <v>972</v>
      </c>
      <c r="BE13" t="s">
        <v>991</v>
      </c>
      <c r="BK13" t="s">
        <v>1041</v>
      </c>
      <c r="BO13" t="s">
        <v>1082</v>
      </c>
      <c r="BP13" t="s">
        <v>1102</v>
      </c>
      <c r="BQ13" t="s">
        <v>1120</v>
      </c>
      <c r="BT13" t="s">
        <v>1153</v>
      </c>
      <c r="BW13" t="s">
        <v>1193</v>
      </c>
    </row>
    <row r="14" spans="1:76">
      <c r="A14" t="s">
        <v>232</v>
      </c>
      <c r="C14" t="s">
        <v>292</v>
      </c>
      <c r="D14" t="s">
        <v>306</v>
      </c>
      <c r="F14" t="s">
        <v>337</v>
      </c>
      <c r="K14" t="s">
        <v>407</v>
      </c>
      <c r="M14" t="s">
        <v>433</v>
      </c>
      <c r="N14" t="s">
        <v>451</v>
      </c>
      <c r="U14" t="s">
        <v>531</v>
      </c>
      <c r="V14" t="s">
        <v>564</v>
      </c>
      <c r="W14" t="s">
        <v>587</v>
      </c>
      <c r="Y14" t="s">
        <v>610</v>
      </c>
      <c r="Z14" t="s">
        <v>624</v>
      </c>
      <c r="AA14" t="s">
        <v>639</v>
      </c>
      <c r="AF14" t="s">
        <v>699</v>
      </c>
      <c r="AP14" t="s">
        <v>804</v>
      </c>
      <c r="AU14" t="s">
        <v>853</v>
      </c>
      <c r="AZ14" t="s">
        <v>912</v>
      </c>
      <c r="BB14" t="s">
        <v>935</v>
      </c>
      <c r="BC14" t="s">
        <v>950</v>
      </c>
      <c r="BD14" t="s">
        <v>973</v>
      </c>
      <c r="BE14" t="s">
        <v>992</v>
      </c>
      <c r="BK14" t="s">
        <v>548</v>
      </c>
      <c r="BO14" t="s">
        <v>1083</v>
      </c>
      <c r="BP14" t="s">
        <v>1103</v>
      </c>
      <c r="BQ14" t="s">
        <v>1121</v>
      </c>
      <c r="BT14" t="s">
        <v>1154</v>
      </c>
      <c r="BW14" t="s">
        <v>1194</v>
      </c>
    </row>
    <row r="15" spans="1:76">
      <c r="A15" t="s">
        <v>233</v>
      </c>
      <c r="D15" t="s">
        <v>307</v>
      </c>
      <c r="F15" t="s">
        <v>338</v>
      </c>
      <c r="K15" t="s">
        <v>408</v>
      </c>
      <c r="M15" t="s">
        <v>434</v>
      </c>
      <c r="N15" t="s">
        <v>452</v>
      </c>
      <c r="U15" t="s">
        <v>532</v>
      </c>
      <c r="V15" t="s">
        <v>565</v>
      </c>
      <c r="W15" t="s">
        <v>588</v>
      </c>
      <c r="Z15" t="s">
        <v>548</v>
      </c>
      <c r="AA15" t="s">
        <v>640</v>
      </c>
      <c r="AF15" t="s">
        <v>700</v>
      </c>
      <c r="AU15" t="s">
        <v>854</v>
      </c>
      <c r="BB15" t="s">
        <v>936</v>
      </c>
      <c r="BC15" t="s">
        <v>951</v>
      </c>
      <c r="BD15" t="s">
        <v>974</v>
      </c>
      <c r="BE15" t="s">
        <v>993</v>
      </c>
      <c r="BO15" t="s">
        <v>1084</v>
      </c>
      <c r="BP15" t="s">
        <v>1104</v>
      </c>
      <c r="BQ15" t="s">
        <v>1122</v>
      </c>
      <c r="BT15" t="s">
        <v>1155</v>
      </c>
      <c r="BW15" t="s">
        <v>1195</v>
      </c>
    </row>
    <row r="16" spans="1:76">
      <c r="A16" t="s">
        <v>234</v>
      </c>
      <c r="D16" t="s">
        <v>308</v>
      </c>
      <c r="F16" t="s">
        <v>339</v>
      </c>
      <c r="K16" t="s">
        <v>409</v>
      </c>
      <c r="M16" t="s">
        <v>435</v>
      </c>
      <c r="N16" t="s">
        <v>453</v>
      </c>
      <c r="U16" t="s">
        <v>533</v>
      </c>
      <c r="V16" t="s">
        <v>566</v>
      </c>
      <c r="W16" t="s">
        <v>589</v>
      </c>
      <c r="Z16" t="s">
        <v>625</v>
      </c>
      <c r="AA16" t="s">
        <v>641</v>
      </c>
      <c r="AF16" t="s">
        <v>701</v>
      </c>
      <c r="AU16" t="s">
        <v>855</v>
      </c>
      <c r="BC16" t="s">
        <v>952</v>
      </c>
      <c r="BD16" t="s">
        <v>975</v>
      </c>
      <c r="BE16" t="s">
        <v>994</v>
      </c>
      <c r="BO16" t="s">
        <v>1085</v>
      </c>
      <c r="BP16" t="s">
        <v>1105</v>
      </c>
      <c r="BQ16" t="s">
        <v>1123</v>
      </c>
      <c r="BT16" t="s">
        <v>1156</v>
      </c>
      <c r="BW16" t="s">
        <v>1196</v>
      </c>
    </row>
    <row r="17" spans="1:75">
      <c r="A17" t="s">
        <v>235</v>
      </c>
      <c r="D17" t="s">
        <v>309</v>
      </c>
      <c r="F17" t="s">
        <v>340</v>
      </c>
      <c r="K17" t="s">
        <v>410</v>
      </c>
      <c r="M17" t="s">
        <v>436</v>
      </c>
      <c r="N17" t="s">
        <v>454</v>
      </c>
      <c r="U17" t="s">
        <v>534</v>
      </c>
      <c r="V17" t="s">
        <v>567</v>
      </c>
      <c r="AA17" t="s">
        <v>642</v>
      </c>
      <c r="AF17" t="s">
        <v>702</v>
      </c>
      <c r="AU17" t="s">
        <v>856</v>
      </c>
      <c r="BC17" t="s">
        <v>953</v>
      </c>
      <c r="BD17" t="s">
        <v>976</v>
      </c>
      <c r="BE17" t="s">
        <v>995</v>
      </c>
      <c r="BO17" t="s">
        <v>1086</v>
      </c>
      <c r="BP17" t="s">
        <v>1106</v>
      </c>
      <c r="BQ17" t="s">
        <v>1124</v>
      </c>
      <c r="BT17" t="s">
        <v>1157</v>
      </c>
      <c r="BW17" t="s">
        <v>1197</v>
      </c>
    </row>
    <row r="18" spans="1:75">
      <c r="A18" t="s">
        <v>236</v>
      </c>
      <c r="D18" t="s">
        <v>310</v>
      </c>
      <c r="F18" t="s">
        <v>341</v>
      </c>
      <c r="M18" t="s">
        <v>437</v>
      </c>
      <c r="N18" t="s">
        <v>455</v>
      </c>
      <c r="U18" t="s">
        <v>535</v>
      </c>
      <c r="V18" t="s">
        <v>568</v>
      </c>
      <c r="AA18" t="s">
        <v>643</v>
      </c>
      <c r="AU18" t="s">
        <v>857</v>
      </c>
      <c r="BC18" t="s">
        <v>954</v>
      </c>
      <c r="BD18" t="s">
        <v>977</v>
      </c>
      <c r="BO18" t="s">
        <v>1087</v>
      </c>
      <c r="BP18" t="s">
        <v>1107</v>
      </c>
      <c r="BQ18" t="s">
        <v>1125</v>
      </c>
      <c r="BT18" t="s">
        <v>1158</v>
      </c>
      <c r="BW18" t="s">
        <v>1198</v>
      </c>
    </row>
    <row r="19" spans="1:75">
      <c r="A19" t="s">
        <v>237</v>
      </c>
      <c r="D19" t="s">
        <v>311</v>
      </c>
      <c r="F19" t="s">
        <v>342</v>
      </c>
      <c r="M19" t="s">
        <v>438</v>
      </c>
      <c r="N19" t="s">
        <v>456</v>
      </c>
      <c r="U19" t="s">
        <v>536</v>
      </c>
      <c r="V19" t="s">
        <v>569</v>
      </c>
      <c r="AA19" t="s">
        <v>644</v>
      </c>
      <c r="AU19" t="s">
        <v>858</v>
      </c>
      <c r="BC19" t="s">
        <v>955</v>
      </c>
      <c r="BD19" t="s">
        <v>978</v>
      </c>
      <c r="BO19" t="s">
        <v>1088</v>
      </c>
      <c r="BT19" t="s">
        <v>1159</v>
      </c>
      <c r="BW19" t="s">
        <v>1199</v>
      </c>
    </row>
    <row r="20" spans="1:75">
      <c r="A20" t="s">
        <v>238</v>
      </c>
      <c r="F20" t="s">
        <v>343</v>
      </c>
      <c r="N20" t="s">
        <v>457</v>
      </c>
      <c r="U20" t="s">
        <v>537</v>
      </c>
      <c r="V20" t="s">
        <v>570</v>
      </c>
      <c r="AA20" t="s">
        <v>645</v>
      </c>
      <c r="AU20" t="s">
        <v>859</v>
      </c>
      <c r="BC20" t="s">
        <v>956</v>
      </c>
      <c r="BO20" t="s">
        <v>1089</v>
      </c>
      <c r="BT20" t="s">
        <v>1160</v>
      </c>
      <c r="BW20" t="s">
        <v>1200</v>
      </c>
    </row>
    <row r="21" spans="1:75">
      <c r="A21" t="s">
        <v>239</v>
      </c>
      <c r="F21" t="s">
        <v>344</v>
      </c>
      <c r="N21" t="s">
        <v>458</v>
      </c>
      <c r="U21" t="s">
        <v>538</v>
      </c>
      <c r="V21" t="s">
        <v>571</v>
      </c>
      <c r="AA21" t="s">
        <v>646</v>
      </c>
      <c r="AU21" t="s">
        <v>860</v>
      </c>
      <c r="BC21" t="s">
        <v>957</v>
      </c>
      <c r="BT21" t="s">
        <v>1161</v>
      </c>
      <c r="BW21" t="s">
        <v>1201</v>
      </c>
    </row>
    <row r="22" spans="1:75">
      <c r="A22" t="s">
        <v>240</v>
      </c>
      <c r="F22" t="s">
        <v>345</v>
      </c>
      <c r="N22" t="s">
        <v>459</v>
      </c>
      <c r="U22" t="s">
        <v>539</v>
      </c>
      <c r="V22" t="s">
        <v>572</v>
      </c>
      <c r="AA22" t="s">
        <v>647</v>
      </c>
      <c r="BC22" t="s">
        <v>958</v>
      </c>
      <c r="BW22" t="s">
        <v>1202</v>
      </c>
    </row>
    <row r="23" spans="1:75">
      <c r="A23" t="s">
        <v>241</v>
      </c>
      <c r="F23" t="s">
        <v>346</v>
      </c>
      <c r="N23" t="s">
        <v>460</v>
      </c>
      <c r="U23" t="s">
        <v>540</v>
      </c>
      <c r="V23" t="s">
        <v>573</v>
      </c>
      <c r="AA23" t="s">
        <v>548</v>
      </c>
      <c r="BC23" t="s">
        <v>959</v>
      </c>
      <c r="BW23" t="s">
        <v>1203</v>
      </c>
    </row>
    <row r="24" spans="1:75">
      <c r="A24" t="s">
        <v>242</v>
      </c>
      <c r="F24" t="s">
        <v>347</v>
      </c>
      <c r="N24" t="s">
        <v>461</v>
      </c>
      <c r="U24" t="s">
        <v>541</v>
      </c>
      <c r="V24" t="s">
        <v>548</v>
      </c>
      <c r="AA24" t="s">
        <v>648</v>
      </c>
      <c r="BW24" t="s">
        <v>1204</v>
      </c>
    </row>
    <row r="25" spans="1:75">
      <c r="A25" t="s">
        <v>243</v>
      </c>
      <c r="F25" t="s">
        <v>348</v>
      </c>
      <c r="N25" t="s">
        <v>462</v>
      </c>
      <c r="U25" t="s">
        <v>542</v>
      </c>
      <c r="BW25" t="s">
        <v>1205</v>
      </c>
    </row>
    <row r="26" spans="1:75">
      <c r="A26" t="s">
        <v>244</v>
      </c>
      <c r="F26" t="s">
        <v>349</v>
      </c>
      <c r="U26" t="s">
        <v>543</v>
      </c>
      <c r="BW26" t="s">
        <v>1206</v>
      </c>
    </row>
    <row r="27" spans="1:75">
      <c r="A27" t="s">
        <v>245</v>
      </c>
      <c r="U27" t="s">
        <v>544</v>
      </c>
    </row>
    <row r="28" spans="1:75">
      <c r="A28" t="s">
        <v>246</v>
      </c>
      <c r="U28" t="s">
        <v>545</v>
      </c>
    </row>
    <row r="29" spans="1:75">
      <c r="A29" t="s">
        <v>247</v>
      </c>
      <c r="U29" t="s">
        <v>546</v>
      </c>
    </row>
    <row r="30" spans="1:75">
      <c r="A30" t="s">
        <v>248</v>
      </c>
      <c r="U30" t="s">
        <v>547</v>
      </c>
    </row>
    <row r="31" spans="1:75">
      <c r="A31" t="s">
        <v>249</v>
      </c>
      <c r="U31" t="s">
        <v>548</v>
      </c>
    </row>
    <row r="32" spans="1:75">
      <c r="A32" t="s">
        <v>250</v>
      </c>
      <c r="U32" t="s">
        <v>549</v>
      </c>
    </row>
    <row r="33" spans="1:21">
      <c r="A33" t="s">
        <v>251</v>
      </c>
      <c r="U33" t="s">
        <v>550</v>
      </c>
    </row>
    <row r="34" spans="1:21">
      <c r="A34" t="s">
        <v>252</v>
      </c>
    </row>
    <row r="35" spans="1:21">
      <c r="A35" t="s">
        <v>253</v>
      </c>
    </row>
    <row r="36" spans="1:21">
      <c r="A36" t="s">
        <v>254</v>
      </c>
    </row>
    <row r="37" spans="1:21">
      <c r="A37" t="s">
        <v>255</v>
      </c>
    </row>
    <row r="38" spans="1:21">
      <c r="A38" t="s">
        <v>256</v>
      </c>
    </row>
    <row r="39" spans="1:21">
      <c r="A39" t="s">
        <v>257</v>
      </c>
    </row>
    <row r="40" spans="1:21">
      <c r="A40" t="s">
        <v>258</v>
      </c>
    </row>
    <row r="41" spans="1:21">
      <c r="A41" t="s">
        <v>259</v>
      </c>
    </row>
    <row r="42" spans="1:21">
      <c r="A42" t="s">
        <v>260</v>
      </c>
    </row>
    <row r="43" spans="1:21">
      <c r="A43" t="s">
        <v>261</v>
      </c>
    </row>
    <row r="44" spans="1:21">
      <c r="A44" t="s">
        <v>262</v>
      </c>
    </row>
    <row r="45" spans="1:21">
      <c r="A45" t="s">
        <v>263</v>
      </c>
    </row>
    <row r="46" spans="1:21">
      <c r="A46" t="s">
        <v>264</v>
      </c>
    </row>
    <row r="47" spans="1:21">
      <c r="A47" t="s">
        <v>265</v>
      </c>
    </row>
    <row r="48" spans="1:21">
      <c r="A48" t="s">
        <v>266</v>
      </c>
    </row>
    <row r="49" spans="1:1">
      <c r="A49" t="s">
        <v>267</v>
      </c>
    </row>
    <row r="50" spans="1:1">
      <c r="A50" t="s">
        <v>268</v>
      </c>
    </row>
    <row r="51" spans="1:1">
      <c r="A51" t="s">
        <v>269</v>
      </c>
    </row>
  </sheetData>
  <sheetProtection algorithmName="SHA-512" hashValue="7Zi9eESU2QB1ftZPL50MWSSlfWBMvCFOAmmFULb0nWnRAxFiBSfFpLUrGBuZRrDpKvmD6y905G0pDJh0YUsAyw==" saltValue="ei/IP803y+y8LIE6YB2xW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08B4-99B3-4FBA-B9C2-594133B4D72D}">
  <sheetPr codeName="Sheet3"/>
  <dimension ref="A1:K493"/>
  <sheetViews>
    <sheetView showGridLines="0" topLeftCell="L1" zoomScale="85" zoomScaleNormal="85" workbookViewId="0">
      <pane ySplit="12" topLeftCell="A13" activePane="bottomLeft" state="frozen"/>
      <selection activeCell="F475" sqref="F475"/>
      <selection pane="bottomLeft" sqref="A1:K1048576"/>
    </sheetView>
  </sheetViews>
  <sheetFormatPr defaultColWidth="10.28515625" defaultRowHeight="15"/>
  <cols>
    <col min="1" max="1" width="4.7109375" style="24" hidden="1" customWidth="1"/>
    <col min="2" max="2" width="12.7109375" style="24" hidden="1" customWidth="1"/>
    <col min="3" max="3" width="13.5703125" style="24" hidden="1" customWidth="1"/>
    <col min="4" max="4" width="15" style="24" hidden="1" customWidth="1"/>
    <col min="5" max="6" width="11.5703125" style="24" hidden="1" customWidth="1"/>
    <col min="7" max="7" width="10.42578125" style="24" hidden="1" customWidth="1"/>
    <col min="8" max="8" width="10" style="24" hidden="1" customWidth="1"/>
    <col min="9" max="9" width="12.5703125" style="24" hidden="1" customWidth="1"/>
    <col min="10" max="10" width="8.7109375" style="24" hidden="1" customWidth="1"/>
    <col min="11" max="11" width="0" style="24" hidden="1" customWidth="1"/>
    <col min="12" max="16384" width="10.28515625" style="24"/>
  </cols>
  <sheetData>
    <row r="1" spans="1:11">
      <c r="B1" s="25" t="s">
        <v>95</v>
      </c>
      <c r="C1" s="26">
        <f>'1.ลดดอกเบี้ย'!C8</f>
        <v>0</v>
      </c>
      <c r="G1" s="27" t="str">
        <f>[2]ตาราง!T25</f>
        <v>No Insurance</v>
      </c>
      <c r="H1" s="17" t="s">
        <v>1</v>
      </c>
      <c r="I1" s="17" t="s">
        <v>2</v>
      </c>
      <c r="J1" s="17" t="s">
        <v>3</v>
      </c>
      <c r="K1" s="17" t="s">
        <v>96</v>
      </c>
    </row>
    <row r="2" spans="1:11">
      <c r="B2" s="28" t="s">
        <v>97</v>
      </c>
      <c r="C2" s="29">
        <f>'1.ลดดอกเบี้ย'!C9</f>
        <v>0</v>
      </c>
      <c r="G2" t="s">
        <v>98</v>
      </c>
      <c r="H2" s="30">
        <v>5.5E-2</v>
      </c>
      <c r="I2" s="30">
        <v>5.5E-2</v>
      </c>
      <c r="J2" s="30">
        <v>5.5E-2</v>
      </c>
      <c r="K2" s="30">
        <v>7.7249999999999999E-2</v>
      </c>
    </row>
    <row r="3" spans="1:11">
      <c r="B3" s="28" t="s">
        <v>99</v>
      </c>
      <c r="C3" s="31">
        <f>'1.ลดดอกเบี้ย'!D11</f>
        <v>0</v>
      </c>
      <c r="D3" s="24">
        <v>12</v>
      </c>
      <c r="E3" s="32">
        <f>C3*D3</f>
        <v>0</v>
      </c>
      <c r="G3" t="s">
        <v>100</v>
      </c>
      <c r="H3" s="30">
        <v>5.7000000000000002E-2</v>
      </c>
      <c r="I3" s="30">
        <v>5.7000000000000002E-2</v>
      </c>
      <c r="J3" s="30">
        <v>5.7000000000000002E-2</v>
      </c>
      <c r="K3" s="30">
        <v>7.7249999999999999E-2</v>
      </c>
    </row>
    <row r="4" spans="1:11">
      <c r="B4" s="28" t="s">
        <v>101</v>
      </c>
      <c r="C4" s="31">
        <f>'1.ลดดอกเบี้ย'!D12</f>
        <v>0</v>
      </c>
      <c r="D4" s="24">
        <v>12</v>
      </c>
      <c r="E4" s="32">
        <f t="shared" ref="E4:E6" si="0">C4*D4</f>
        <v>0</v>
      </c>
    </row>
    <row r="5" spans="1:11">
      <c r="B5" s="28" t="s">
        <v>102</v>
      </c>
      <c r="C5" s="31">
        <f>'1.ลดดอกเบี้ย'!D13</f>
        <v>0</v>
      </c>
      <c r="D5" s="24">
        <v>12</v>
      </c>
      <c r="E5" s="32">
        <f t="shared" si="0"/>
        <v>0</v>
      </c>
    </row>
    <row r="6" spans="1:11">
      <c r="B6" s="28" t="s">
        <v>103</v>
      </c>
      <c r="C6" s="31">
        <f>'1.ลดดอกเบี้ย'!D14</f>
        <v>0</v>
      </c>
      <c r="D6" s="24">
        <f>(C2*12)-SUM(D3:D5)</f>
        <v>-36</v>
      </c>
      <c r="E6" s="32">
        <f t="shared" si="0"/>
        <v>0</v>
      </c>
    </row>
    <row r="7" spans="1:11">
      <c r="B7" s="33"/>
      <c r="C7" s="34"/>
      <c r="D7" s="35"/>
      <c r="E7" s="36" t="e">
        <f>SUM(E3:E6)/(C2*12)</f>
        <v>#DIV/0!</v>
      </c>
    </row>
    <row r="8" spans="1:11" ht="15.75" thickBot="1">
      <c r="B8" s="37"/>
      <c r="C8" s="38"/>
    </row>
    <row r="9" spans="1:11" ht="15.75" thickBot="1">
      <c r="B9" s="39" t="s">
        <v>104</v>
      </c>
      <c r="C9" s="40" t="e">
        <f>E7+0.75%</f>
        <v>#DIV/0!</v>
      </c>
      <c r="D9" s="41" t="s">
        <v>105</v>
      </c>
      <c r="E9" s="42" cm="1">
        <f t="array" aca="1" ref="E9" ca="1">CELL("row",INDEX(C14:C493,MATCH(MIN(C14:C493),C14:C493,0)))-ROW(C14)+1</f>
        <v>1</v>
      </c>
      <c r="I9" s="43" t="s">
        <v>106</v>
      </c>
    </row>
    <row r="10" spans="1:11">
      <c r="B10" s="37" t="s">
        <v>107</v>
      </c>
      <c r="C10" s="44">
        <f>IFERROR(ROUNDUP(PMT(C9/12,C2*12,-C1),-1),0)</f>
        <v>0</v>
      </c>
      <c r="I10" s="45">
        <v>2.8000000000000001E-2</v>
      </c>
    </row>
    <row r="11" spans="1:11" ht="12.75" customHeight="1"/>
    <row r="12" spans="1:11" s="47" customFormat="1">
      <c r="A12" s="46" t="s">
        <v>108</v>
      </c>
      <c r="B12" s="46" t="s">
        <v>109</v>
      </c>
      <c r="C12" s="46" t="s">
        <v>110</v>
      </c>
      <c r="D12" s="46" t="s">
        <v>111</v>
      </c>
      <c r="E12" s="46" t="s">
        <v>112</v>
      </c>
      <c r="F12" s="46" t="s">
        <v>113</v>
      </c>
      <c r="G12" s="46" t="s">
        <v>114</v>
      </c>
      <c r="H12" s="46" t="s">
        <v>115</v>
      </c>
      <c r="I12" s="46" t="s">
        <v>0</v>
      </c>
    </row>
    <row r="13" spans="1:11" s="47" customFormat="1">
      <c r="A13" s="48"/>
      <c r="B13" s="48"/>
      <c r="C13" s="48"/>
      <c r="D13" s="49">
        <f>-C14</f>
        <v>0</v>
      </c>
      <c r="E13" s="48"/>
      <c r="F13" s="48"/>
      <c r="G13" s="48"/>
      <c r="H13" s="48"/>
      <c r="I13" s="48"/>
    </row>
    <row r="14" spans="1:11" ht="17.25" customHeight="1">
      <c r="A14" s="47">
        <v>1</v>
      </c>
      <c r="B14" s="50">
        <f>$C$3</f>
        <v>0</v>
      </c>
      <c r="C14" s="51">
        <f>C1</f>
        <v>0</v>
      </c>
      <c r="D14" s="51">
        <f t="shared" ref="D14:D77" si="1">IF(C14+E14&gt;$C$10,$C$10,C14+E14)</f>
        <v>0</v>
      </c>
      <c r="E14" s="51">
        <f>C14*(B14/12)</f>
        <v>0</v>
      </c>
      <c r="F14" s="51">
        <f>IF(C14&lt;$C$10,C14,D14-E14)</f>
        <v>0</v>
      </c>
      <c r="G14" s="51">
        <f t="shared" ref="G14:G77" si="2">C14-F14</f>
        <v>0</v>
      </c>
      <c r="H14" s="52" t="e">
        <f>G14/$C$1</f>
        <v>#DIV/0!</v>
      </c>
      <c r="I14" s="51">
        <f>C14*$I$10/12</f>
        <v>0</v>
      </c>
    </row>
    <row r="15" spans="1:11">
      <c r="A15" s="47">
        <v>2</v>
      </c>
      <c r="B15" s="50">
        <f t="shared" ref="B15:B25" si="3">$C$3</f>
        <v>0</v>
      </c>
      <c r="C15" s="51">
        <f>G14</f>
        <v>0</v>
      </c>
      <c r="D15" s="51">
        <f t="shared" si="1"/>
        <v>0</v>
      </c>
      <c r="E15" s="51">
        <f t="shared" ref="E15:E78" si="4">C15*(B15/12)</f>
        <v>0</v>
      </c>
      <c r="F15" s="51">
        <f t="shared" ref="F15:F78" si="5">IF(C15&lt;$C$10,C15,D15-E15)</f>
        <v>0</v>
      </c>
      <c r="G15" s="51">
        <f t="shared" si="2"/>
        <v>0</v>
      </c>
      <c r="H15" s="52" t="e">
        <f t="shared" ref="H15:H78" si="6">G15/$C$1</f>
        <v>#DIV/0!</v>
      </c>
      <c r="I15" s="51">
        <f t="shared" ref="I15:I78" si="7">C15*$I$10/12</f>
        <v>0</v>
      </c>
    </row>
    <row r="16" spans="1:11">
      <c r="A16" s="47">
        <v>3</v>
      </c>
      <c r="B16" s="50">
        <f t="shared" si="3"/>
        <v>0</v>
      </c>
      <c r="C16" s="51">
        <f t="shared" ref="C16:C79" si="8">G15</f>
        <v>0</v>
      </c>
      <c r="D16" s="51">
        <f t="shared" si="1"/>
        <v>0</v>
      </c>
      <c r="E16" s="51">
        <f>C16*(B16/12)</f>
        <v>0</v>
      </c>
      <c r="F16" s="51">
        <f t="shared" si="5"/>
        <v>0</v>
      </c>
      <c r="G16" s="51">
        <f t="shared" si="2"/>
        <v>0</v>
      </c>
      <c r="H16" s="52" t="e">
        <f t="shared" si="6"/>
        <v>#DIV/0!</v>
      </c>
      <c r="I16" s="51">
        <f t="shared" si="7"/>
        <v>0</v>
      </c>
    </row>
    <row r="17" spans="1:10">
      <c r="A17" s="47">
        <v>4</v>
      </c>
      <c r="B17" s="50">
        <f t="shared" si="3"/>
        <v>0</v>
      </c>
      <c r="C17" s="51">
        <f t="shared" si="8"/>
        <v>0</v>
      </c>
      <c r="D17" s="51">
        <f t="shared" si="1"/>
        <v>0</v>
      </c>
      <c r="E17" s="51">
        <f t="shared" si="4"/>
        <v>0</v>
      </c>
      <c r="F17" s="51">
        <f t="shared" si="5"/>
        <v>0</v>
      </c>
      <c r="G17" s="51">
        <f t="shared" si="2"/>
        <v>0</v>
      </c>
      <c r="H17" s="52" t="e">
        <f t="shared" si="6"/>
        <v>#DIV/0!</v>
      </c>
      <c r="I17" s="51">
        <f t="shared" si="7"/>
        <v>0</v>
      </c>
    </row>
    <row r="18" spans="1:10">
      <c r="A18" s="47">
        <v>5</v>
      </c>
      <c r="B18" s="50">
        <f t="shared" si="3"/>
        <v>0</v>
      </c>
      <c r="C18" s="51">
        <f t="shared" si="8"/>
        <v>0</v>
      </c>
      <c r="D18" s="51">
        <f t="shared" si="1"/>
        <v>0</v>
      </c>
      <c r="E18" s="51">
        <f t="shared" si="4"/>
        <v>0</v>
      </c>
      <c r="F18" s="51">
        <f t="shared" si="5"/>
        <v>0</v>
      </c>
      <c r="G18" s="51">
        <f t="shared" si="2"/>
        <v>0</v>
      </c>
      <c r="H18" s="52" t="e">
        <f t="shared" si="6"/>
        <v>#DIV/0!</v>
      </c>
      <c r="I18" s="51">
        <f t="shared" si="7"/>
        <v>0</v>
      </c>
    </row>
    <row r="19" spans="1:10">
      <c r="A19" s="47">
        <v>6</v>
      </c>
      <c r="B19" s="50">
        <f t="shared" si="3"/>
        <v>0</v>
      </c>
      <c r="C19" s="51">
        <f t="shared" si="8"/>
        <v>0</v>
      </c>
      <c r="D19" s="51">
        <f t="shared" si="1"/>
        <v>0</v>
      </c>
      <c r="E19" s="51">
        <f t="shared" si="4"/>
        <v>0</v>
      </c>
      <c r="F19" s="51">
        <f t="shared" si="5"/>
        <v>0</v>
      </c>
      <c r="G19" s="51">
        <f t="shared" si="2"/>
        <v>0</v>
      </c>
      <c r="H19" s="52" t="e">
        <f t="shared" si="6"/>
        <v>#DIV/0!</v>
      </c>
      <c r="I19" s="51">
        <f t="shared" si="7"/>
        <v>0</v>
      </c>
    </row>
    <row r="20" spans="1:10">
      <c r="A20" s="47">
        <v>7</v>
      </c>
      <c r="B20" s="50">
        <f t="shared" si="3"/>
        <v>0</v>
      </c>
      <c r="C20" s="51">
        <f t="shared" si="8"/>
        <v>0</v>
      </c>
      <c r="D20" s="51">
        <f t="shared" si="1"/>
        <v>0</v>
      </c>
      <c r="E20" s="51">
        <f t="shared" si="4"/>
        <v>0</v>
      </c>
      <c r="F20" s="51">
        <f t="shared" si="5"/>
        <v>0</v>
      </c>
      <c r="G20" s="51">
        <f t="shared" si="2"/>
        <v>0</v>
      </c>
      <c r="H20" s="52" t="e">
        <f t="shared" si="6"/>
        <v>#DIV/0!</v>
      </c>
      <c r="I20" s="51">
        <f t="shared" si="7"/>
        <v>0</v>
      </c>
    </row>
    <row r="21" spans="1:10">
      <c r="A21" s="47">
        <v>8</v>
      </c>
      <c r="B21" s="50">
        <f t="shared" si="3"/>
        <v>0</v>
      </c>
      <c r="C21" s="51">
        <f t="shared" si="8"/>
        <v>0</v>
      </c>
      <c r="D21" s="51">
        <f t="shared" si="1"/>
        <v>0</v>
      </c>
      <c r="E21" s="51">
        <f t="shared" si="4"/>
        <v>0</v>
      </c>
      <c r="F21" s="51">
        <f t="shared" si="5"/>
        <v>0</v>
      </c>
      <c r="G21" s="51">
        <f t="shared" si="2"/>
        <v>0</v>
      </c>
      <c r="H21" s="52" t="e">
        <f t="shared" si="6"/>
        <v>#DIV/0!</v>
      </c>
      <c r="I21" s="51">
        <f t="shared" si="7"/>
        <v>0</v>
      </c>
    </row>
    <row r="22" spans="1:10">
      <c r="A22" s="47">
        <v>9</v>
      </c>
      <c r="B22" s="50">
        <f t="shared" si="3"/>
        <v>0</v>
      </c>
      <c r="C22" s="51">
        <f t="shared" si="8"/>
        <v>0</v>
      </c>
      <c r="D22" s="51">
        <f t="shared" si="1"/>
        <v>0</v>
      </c>
      <c r="E22" s="51">
        <f t="shared" si="4"/>
        <v>0</v>
      </c>
      <c r="F22" s="51">
        <f t="shared" si="5"/>
        <v>0</v>
      </c>
      <c r="G22" s="51">
        <f t="shared" si="2"/>
        <v>0</v>
      </c>
      <c r="H22" s="52" t="e">
        <f t="shared" si="6"/>
        <v>#DIV/0!</v>
      </c>
      <c r="I22" s="51">
        <f t="shared" si="7"/>
        <v>0</v>
      </c>
    </row>
    <row r="23" spans="1:10">
      <c r="A23" s="47">
        <v>10</v>
      </c>
      <c r="B23" s="50">
        <f t="shared" si="3"/>
        <v>0</v>
      </c>
      <c r="C23" s="51">
        <f t="shared" si="8"/>
        <v>0</v>
      </c>
      <c r="D23" s="51">
        <f t="shared" si="1"/>
        <v>0</v>
      </c>
      <c r="E23" s="51">
        <f t="shared" si="4"/>
        <v>0</v>
      </c>
      <c r="F23" s="51">
        <f t="shared" si="5"/>
        <v>0</v>
      </c>
      <c r="G23" s="51">
        <f t="shared" si="2"/>
        <v>0</v>
      </c>
      <c r="H23" s="52" t="e">
        <f t="shared" si="6"/>
        <v>#DIV/0!</v>
      </c>
      <c r="I23" s="51">
        <f t="shared" si="7"/>
        <v>0</v>
      </c>
    </row>
    <row r="24" spans="1:10">
      <c r="A24" s="47">
        <v>11</v>
      </c>
      <c r="B24" s="50">
        <f t="shared" si="3"/>
        <v>0</v>
      </c>
      <c r="C24" s="51">
        <f t="shared" si="8"/>
        <v>0</v>
      </c>
      <c r="D24" s="51">
        <f t="shared" si="1"/>
        <v>0</v>
      </c>
      <c r="E24" s="51">
        <f t="shared" si="4"/>
        <v>0</v>
      </c>
      <c r="F24" s="51">
        <f t="shared" si="5"/>
        <v>0</v>
      </c>
      <c r="G24" s="51">
        <f t="shared" si="2"/>
        <v>0</v>
      </c>
      <c r="H24" s="52" t="e">
        <f t="shared" si="6"/>
        <v>#DIV/0!</v>
      </c>
      <c r="I24" s="51">
        <f t="shared" si="7"/>
        <v>0</v>
      </c>
    </row>
    <row r="25" spans="1:10">
      <c r="A25" s="53">
        <v>12</v>
      </c>
      <c r="B25" s="54">
        <f t="shared" si="3"/>
        <v>0</v>
      </c>
      <c r="C25" s="55">
        <f t="shared" si="8"/>
        <v>0</v>
      </c>
      <c r="D25" s="55">
        <f t="shared" si="1"/>
        <v>0</v>
      </c>
      <c r="E25" s="55">
        <f t="shared" si="4"/>
        <v>0</v>
      </c>
      <c r="F25" s="55">
        <f t="shared" si="5"/>
        <v>0</v>
      </c>
      <c r="G25" s="55">
        <f t="shared" si="2"/>
        <v>0</v>
      </c>
      <c r="H25" s="56" t="e">
        <f t="shared" si="6"/>
        <v>#DIV/0!</v>
      </c>
      <c r="I25" s="55">
        <f t="shared" si="7"/>
        <v>0</v>
      </c>
      <c r="J25" s="57"/>
    </row>
    <row r="26" spans="1:10">
      <c r="A26" s="47">
        <v>13</v>
      </c>
      <c r="B26" s="50">
        <f>$C$4</f>
        <v>0</v>
      </c>
      <c r="C26" s="51">
        <f t="shared" si="8"/>
        <v>0</v>
      </c>
      <c r="D26" s="51">
        <f t="shared" si="1"/>
        <v>0</v>
      </c>
      <c r="E26" s="51">
        <f t="shared" si="4"/>
        <v>0</v>
      </c>
      <c r="F26" s="51">
        <f t="shared" si="5"/>
        <v>0</v>
      </c>
      <c r="G26" s="51">
        <f t="shared" si="2"/>
        <v>0</v>
      </c>
      <c r="H26" s="52" t="e">
        <f t="shared" si="6"/>
        <v>#DIV/0!</v>
      </c>
      <c r="I26" s="51">
        <f t="shared" si="7"/>
        <v>0</v>
      </c>
    </row>
    <row r="27" spans="1:10">
      <c r="A27" s="47">
        <v>14</v>
      </c>
      <c r="B27" s="50">
        <f t="shared" ref="B27:B37" si="9">$C$4</f>
        <v>0</v>
      </c>
      <c r="C27" s="51">
        <f t="shared" si="8"/>
        <v>0</v>
      </c>
      <c r="D27" s="51">
        <f t="shared" si="1"/>
        <v>0</v>
      </c>
      <c r="E27" s="51">
        <f t="shared" si="4"/>
        <v>0</v>
      </c>
      <c r="F27" s="51">
        <f t="shared" si="5"/>
        <v>0</v>
      </c>
      <c r="G27" s="51">
        <f t="shared" si="2"/>
        <v>0</v>
      </c>
      <c r="H27" s="52" t="e">
        <f t="shared" si="6"/>
        <v>#DIV/0!</v>
      </c>
      <c r="I27" s="51">
        <f t="shared" si="7"/>
        <v>0</v>
      </c>
    </row>
    <row r="28" spans="1:10">
      <c r="A28" s="47">
        <v>15</v>
      </c>
      <c r="B28" s="50">
        <f t="shared" si="9"/>
        <v>0</v>
      </c>
      <c r="C28" s="51">
        <f t="shared" si="8"/>
        <v>0</v>
      </c>
      <c r="D28" s="51">
        <f t="shared" si="1"/>
        <v>0</v>
      </c>
      <c r="E28" s="51">
        <f t="shared" si="4"/>
        <v>0</v>
      </c>
      <c r="F28" s="51">
        <f t="shared" si="5"/>
        <v>0</v>
      </c>
      <c r="G28" s="51">
        <f t="shared" si="2"/>
        <v>0</v>
      </c>
      <c r="H28" s="52" t="e">
        <f t="shared" si="6"/>
        <v>#DIV/0!</v>
      </c>
      <c r="I28" s="51">
        <f t="shared" si="7"/>
        <v>0</v>
      </c>
    </row>
    <row r="29" spans="1:10">
      <c r="A29" s="47">
        <v>16</v>
      </c>
      <c r="B29" s="50">
        <f t="shared" si="9"/>
        <v>0</v>
      </c>
      <c r="C29" s="51">
        <f t="shared" si="8"/>
        <v>0</v>
      </c>
      <c r="D29" s="51">
        <f t="shared" si="1"/>
        <v>0</v>
      </c>
      <c r="E29" s="51">
        <f t="shared" si="4"/>
        <v>0</v>
      </c>
      <c r="F29" s="51">
        <f t="shared" si="5"/>
        <v>0</v>
      </c>
      <c r="G29" s="51">
        <f t="shared" si="2"/>
        <v>0</v>
      </c>
      <c r="H29" s="52" t="e">
        <f t="shared" si="6"/>
        <v>#DIV/0!</v>
      </c>
      <c r="I29" s="51">
        <f t="shared" si="7"/>
        <v>0</v>
      </c>
    </row>
    <row r="30" spans="1:10">
      <c r="A30" s="47">
        <v>17</v>
      </c>
      <c r="B30" s="50">
        <f t="shared" si="9"/>
        <v>0</v>
      </c>
      <c r="C30" s="51">
        <f t="shared" si="8"/>
        <v>0</v>
      </c>
      <c r="D30" s="51">
        <f t="shared" si="1"/>
        <v>0</v>
      </c>
      <c r="E30" s="51">
        <f t="shared" si="4"/>
        <v>0</v>
      </c>
      <c r="F30" s="51">
        <f t="shared" si="5"/>
        <v>0</v>
      </c>
      <c r="G30" s="51">
        <f t="shared" si="2"/>
        <v>0</v>
      </c>
      <c r="H30" s="52" t="e">
        <f t="shared" si="6"/>
        <v>#DIV/0!</v>
      </c>
      <c r="I30" s="51">
        <f t="shared" si="7"/>
        <v>0</v>
      </c>
    </row>
    <row r="31" spans="1:10">
      <c r="A31" s="47">
        <v>18</v>
      </c>
      <c r="B31" s="50">
        <f t="shared" si="9"/>
        <v>0</v>
      </c>
      <c r="C31" s="51">
        <f t="shared" si="8"/>
        <v>0</v>
      </c>
      <c r="D31" s="51">
        <f t="shared" si="1"/>
        <v>0</v>
      </c>
      <c r="E31" s="51">
        <f t="shared" si="4"/>
        <v>0</v>
      </c>
      <c r="F31" s="51">
        <f t="shared" si="5"/>
        <v>0</v>
      </c>
      <c r="G31" s="51">
        <f t="shared" si="2"/>
        <v>0</v>
      </c>
      <c r="H31" s="52" t="e">
        <f t="shared" si="6"/>
        <v>#DIV/0!</v>
      </c>
      <c r="I31" s="51">
        <f t="shared" si="7"/>
        <v>0</v>
      </c>
    </row>
    <row r="32" spans="1:10">
      <c r="A32" s="47">
        <v>19</v>
      </c>
      <c r="B32" s="50">
        <f t="shared" si="9"/>
        <v>0</v>
      </c>
      <c r="C32" s="51">
        <f t="shared" si="8"/>
        <v>0</v>
      </c>
      <c r="D32" s="51">
        <f t="shared" si="1"/>
        <v>0</v>
      </c>
      <c r="E32" s="51">
        <f t="shared" si="4"/>
        <v>0</v>
      </c>
      <c r="F32" s="51">
        <f t="shared" si="5"/>
        <v>0</v>
      </c>
      <c r="G32" s="51">
        <f t="shared" si="2"/>
        <v>0</v>
      </c>
      <c r="H32" s="52" t="e">
        <f t="shared" si="6"/>
        <v>#DIV/0!</v>
      </c>
      <c r="I32" s="51">
        <f t="shared" si="7"/>
        <v>0</v>
      </c>
    </row>
    <row r="33" spans="1:10">
      <c r="A33" s="47">
        <v>20</v>
      </c>
      <c r="B33" s="50">
        <f t="shared" si="9"/>
        <v>0</v>
      </c>
      <c r="C33" s="51">
        <f t="shared" si="8"/>
        <v>0</v>
      </c>
      <c r="D33" s="51">
        <f t="shared" si="1"/>
        <v>0</v>
      </c>
      <c r="E33" s="51">
        <f t="shared" si="4"/>
        <v>0</v>
      </c>
      <c r="F33" s="51">
        <f t="shared" si="5"/>
        <v>0</v>
      </c>
      <c r="G33" s="51">
        <f t="shared" si="2"/>
        <v>0</v>
      </c>
      <c r="H33" s="52" t="e">
        <f t="shared" si="6"/>
        <v>#DIV/0!</v>
      </c>
      <c r="I33" s="51">
        <f t="shared" si="7"/>
        <v>0</v>
      </c>
    </row>
    <row r="34" spans="1:10">
      <c r="A34" s="47">
        <v>21</v>
      </c>
      <c r="B34" s="50">
        <f t="shared" si="9"/>
        <v>0</v>
      </c>
      <c r="C34" s="51">
        <f t="shared" si="8"/>
        <v>0</v>
      </c>
      <c r="D34" s="51">
        <f t="shared" si="1"/>
        <v>0</v>
      </c>
      <c r="E34" s="51">
        <f t="shared" si="4"/>
        <v>0</v>
      </c>
      <c r="F34" s="51">
        <f t="shared" si="5"/>
        <v>0</v>
      </c>
      <c r="G34" s="51">
        <f t="shared" si="2"/>
        <v>0</v>
      </c>
      <c r="H34" s="52" t="e">
        <f t="shared" si="6"/>
        <v>#DIV/0!</v>
      </c>
      <c r="I34" s="51">
        <f t="shared" si="7"/>
        <v>0</v>
      </c>
    </row>
    <row r="35" spans="1:10">
      <c r="A35" s="47">
        <v>22</v>
      </c>
      <c r="B35" s="50">
        <f t="shared" si="9"/>
        <v>0</v>
      </c>
      <c r="C35" s="51">
        <f t="shared" si="8"/>
        <v>0</v>
      </c>
      <c r="D35" s="51">
        <f t="shared" si="1"/>
        <v>0</v>
      </c>
      <c r="E35" s="51">
        <f t="shared" si="4"/>
        <v>0</v>
      </c>
      <c r="F35" s="51">
        <f t="shared" si="5"/>
        <v>0</v>
      </c>
      <c r="G35" s="51">
        <f t="shared" si="2"/>
        <v>0</v>
      </c>
      <c r="H35" s="52" t="e">
        <f t="shared" si="6"/>
        <v>#DIV/0!</v>
      </c>
      <c r="I35" s="51">
        <f t="shared" si="7"/>
        <v>0</v>
      </c>
    </row>
    <row r="36" spans="1:10">
      <c r="A36" s="47">
        <v>23</v>
      </c>
      <c r="B36" s="50">
        <f t="shared" si="9"/>
        <v>0</v>
      </c>
      <c r="C36" s="51">
        <f t="shared" si="8"/>
        <v>0</v>
      </c>
      <c r="D36" s="51">
        <f t="shared" si="1"/>
        <v>0</v>
      </c>
      <c r="E36" s="51">
        <f t="shared" si="4"/>
        <v>0</v>
      </c>
      <c r="F36" s="51">
        <f t="shared" si="5"/>
        <v>0</v>
      </c>
      <c r="G36" s="51">
        <f t="shared" si="2"/>
        <v>0</v>
      </c>
      <c r="H36" s="52" t="e">
        <f t="shared" si="6"/>
        <v>#DIV/0!</v>
      </c>
      <c r="I36" s="51">
        <f t="shared" si="7"/>
        <v>0</v>
      </c>
    </row>
    <row r="37" spans="1:10">
      <c r="A37" s="53">
        <v>24</v>
      </c>
      <c r="B37" s="54">
        <f t="shared" si="9"/>
        <v>0</v>
      </c>
      <c r="C37" s="55">
        <f t="shared" si="8"/>
        <v>0</v>
      </c>
      <c r="D37" s="55">
        <f t="shared" si="1"/>
        <v>0</v>
      </c>
      <c r="E37" s="55">
        <f t="shared" si="4"/>
        <v>0</v>
      </c>
      <c r="F37" s="55">
        <f t="shared" si="5"/>
        <v>0</v>
      </c>
      <c r="G37" s="55">
        <f t="shared" si="2"/>
        <v>0</v>
      </c>
      <c r="H37" s="56" t="e">
        <f t="shared" si="6"/>
        <v>#DIV/0!</v>
      </c>
      <c r="I37" s="55">
        <f t="shared" si="7"/>
        <v>0</v>
      </c>
      <c r="J37" s="57"/>
    </row>
    <row r="38" spans="1:10">
      <c r="A38" s="47">
        <v>25</v>
      </c>
      <c r="B38" s="50">
        <f>$C$5</f>
        <v>0</v>
      </c>
      <c r="C38" s="51">
        <f t="shared" si="8"/>
        <v>0</v>
      </c>
      <c r="D38" s="51">
        <f t="shared" si="1"/>
        <v>0</v>
      </c>
      <c r="E38" s="51">
        <f t="shared" si="4"/>
        <v>0</v>
      </c>
      <c r="F38" s="51">
        <f t="shared" si="5"/>
        <v>0</v>
      </c>
      <c r="G38" s="51">
        <f t="shared" si="2"/>
        <v>0</v>
      </c>
      <c r="H38" s="52" t="e">
        <f t="shared" si="6"/>
        <v>#DIV/0!</v>
      </c>
      <c r="I38" s="51">
        <f t="shared" si="7"/>
        <v>0</v>
      </c>
    </row>
    <row r="39" spans="1:10">
      <c r="A39" s="47">
        <v>26</v>
      </c>
      <c r="B39" s="50">
        <f t="shared" ref="B39:B49" si="10">$C$5</f>
        <v>0</v>
      </c>
      <c r="C39" s="51">
        <f t="shared" si="8"/>
        <v>0</v>
      </c>
      <c r="D39" s="51">
        <f t="shared" si="1"/>
        <v>0</v>
      </c>
      <c r="E39" s="51">
        <f t="shared" si="4"/>
        <v>0</v>
      </c>
      <c r="F39" s="51">
        <f t="shared" si="5"/>
        <v>0</v>
      </c>
      <c r="G39" s="51">
        <f t="shared" si="2"/>
        <v>0</v>
      </c>
      <c r="H39" s="52" t="e">
        <f t="shared" si="6"/>
        <v>#DIV/0!</v>
      </c>
      <c r="I39" s="51">
        <f t="shared" si="7"/>
        <v>0</v>
      </c>
    </row>
    <row r="40" spans="1:10">
      <c r="A40" s="47">
        <v>27</v>
      </c>
      <c r="B40" s="50">
        <f t="shared" si="10"/>
        <v>0</v>
      </c>
      <c r="C40" s="51">
        <f t="shared" si="8"/>
        <v>0</v>
      </c>
      <c r="D40" s="51">
        <f t="shared" si="1"/>
        <v>0</v>
      </c>
      <c r="E40" s="51">
        <f t="shared" si="4"/>
        <v>0</v>
      </c>
      <c r="F40" s="51">
        <f t="shared" si="5"/>
        <v>0</v>
      </c>
      <c r="G40" s="51">
        <f t="shared" si="2"/>
        <v>0</v>
      </c>
      <c r="H40" s="52" t="e">
        <f t="shared" si="6"/>
        <v>#DIV/0!</v>
      </c>
      <c r="I40" s="51">
        <f t="shared" si="7"/>
        <v>0</v>
      </c>
    </row>
    <row r="41" spans="1:10">
      <c r="A41" s="47">
        <v>28</v>
      </c>
      <c r="B41" s="50">
        <f t="shared" si="10"/>
        <v>0</v>
      </c>
      <c r="C41" s="51">
        <f t="shared" si="8"/>
        <v>0</v>
      </c>
      <c r="D41" s="51">
        <f t="shared" si="1"/>
        <v>0</v>
      </c>
      <c r="E41" s="51">
        <f t="shared" si="4"/>
        <v>0</v>
      </c>
      <c r="F41" s="51">
        <f t="shared" si="5"/>
        <v>0</v>
      </c>
      <c r="G41" s="51">
        <f t="shared" si="2"/>
        <v>0</v>
      </c>
      <c r="H41" s="52" t="e">
        <f t="shared" si="6"/>
        <v>#DIV/0!</v>
      </c>
      <c r="I41" s="51">
        <f t="shared" si="7"/>
        <v>0</v>
      </c>
    </row>
    <row r="42" spans="1:10">
      <c r="A42" s="47">
        <v>29</v>
      </c>
      <c r="B42" s="50">
        <f t="shared" si="10"/>
        <v>0</v>
      </c>
      <c r="C42" s="51">
        <f t="shared" si="8"/>
        <v>0</v>
      </c>
      <c r="D42" s="51">
        <f t="shared" si="1"/>
        <v>0</v>
      </c>
      <c r="E42" s="51">
        <f t="shared" si="4"/>
        <v>0</v>
      </c>
      <c r="F42" s="51">
        <f t="shared" si="5"/>
        <v>0</v>
      </c>
      <c r="G42" s="51">
        <f t="shared" si="2"/>
        <v>0</v>
      </c>
      <c r="H42" s="52" t="e">
        <f t="shared" si="6"/>
        <v>#DIV/0!</v>
      </c>
      <c r="I42" s="51">
        <f t="shared" si="7"/>
        <v>0</v>
      </c>
    </row>
    <row r="43" spans="1:10">
      <c r="A43" s="47">
        <v>30</v>
      </c>
      <c r="B43" s="50">
        <f t="shared" si="10"/>
        <v>0</v>
      </c>
      <c r="C43" s="51">
        <f t="shared" si="8"/>
        <v>0</v>
      </c>
      <c r="D43" s="51">
        <f t="shared" si="1"/>
        <v>0</v>
      </c>
      <c r="E43" s="51">
        <f t="shared" si="4"/>
        <v>0</v>
      </c>
      <c r="F43" s="51">
        <f t="shared" si="5"/>
        <v>0</v>
      </c>
      <c r="G43" s="51">
        <f t="shared" si="2"/>
        <v>0</v>
      </c>
      <c r="H43" s="52" t="e">
        <f t="shared" si="6"/>
        <v>#DIV/0!</v>
      </c>
      <c r="I43" s="51">
        <f t="shared" si="7"/>
        <v>0</v>
      </c>
    </row>
    <row r="44" spans="1:10">
      <c r="A44" s="47">
        <v>31</v>
      </c>
      <c r="B44" s="50">
        <f t="shared" si="10"/>
        <v>0</v>
      </c>
      <c r="C44" s="51">
        <f t="shared" si="8"/>
        <v>0</v>
      </c>
      <c r="D44" s="51">
        <f t="shared" si="1"/>
        <v>0</v>
      </c>
      <c r="E44" s="51">
        <f t="shared" si="4"/>
        <v>0</v>
      </c>
      <c r="F44" s="51">
        <f t="shared" si="5"/>
        <v>0</v>
      </c>
      <c r="G44" s="51">
        <f t="shared" si="2"/>
        <v>0</v>
      </c>
      <c r="H44" s="52" t="e">
        <f t="shared" si="6"/>
        <v>#DIV/0!</v>
      </c>
      <c r="I44" s="51">
        <f t="shared" si="7"/>
        <v>0</v>
      </c>
    </row>
    <row r="45" spans="1:10">
      <c r="A45" s="47">
        <v>32</v>
      </c>
      <c r="B45" s="50">
        <f t="shared" si="10"/>
        <v>0</v>
      </c>
      <c r="C45" s="51">
        <f t="shared" si="8"/>
        <v>0</v>
      </c>
      <c r="D45" s="51">
        <f t="shared" si="1"/>
        <v>0</v>
      </c>
      <c r="E45" s="51">
        <f t="shared" si="4"/>
        <v>0</v>
      </c>
      <c r="F45" s="51">
        <f t="shared" si="5"/>
        <v>0</v>
      </c>
      <c r="G45" s="51">
        <f t="shared" si="2"/>
        <v>0</v>
      </c>
      <c r="H45" s="52" t="e">
        <f t="shared" si="6"/>
        <v>#DIV/0!</v>
      </c>
      <c r="I45" s="51">
        <f t="shared" si="7"/>
        <v>0</v>
      </c>
    </row>
    <row r="46" spans="1:10">
      <c r="A46" s="47">
        <v>33</v>
      </c>
      <c r="B46" s="50">
        <f t="shared" si="10"/>
        <v>0</v>
      </c>
      <c r="C46" s="51">
        <f t="shared" si="8"/>
        <v>0</v>
      </c>
      <c r="D46" s="51">
        <f t="shared" si="1"/>
        <v>0</v>
      </c>
      <c r="E46" s="51">
        <f t="shared" si="4"/>
        <v>0</v>
      </c>
      <c r="F46" s="51">
        <f t="shared" si="5"/>
        <v>0</v>
      </c>
      <c r="G46" s="51">
        <f t="shared" si="2"/>
        <v>0</v>
      </c>
      <c r="H46" s="52" t="e">
        <f t="shared" si="6"/>
        <v>#DIV/0!</v>
      </c>
      <c r="I46" s="51">
        <f t="shared" si="7"/>
        <v>0</v>
      </c>
    </row>
    <row r="47" spans="1:10">
      <c r="A47" s="47">
        <v>34</v>
      </c>
      <c r="B47" s="50">
        <f t="shared" si="10"/>
        <v>0</v>
      </c>
      <c r="C47" s="51">
        <f t="shared" si="8"/>
        <v>0</v>
      </c>
      <c r="D47" s="51">
        <f t="shared" si="1"/>
        <v>0</v>
      </c>
      <c r="E47" s="51">
        <f t="shared" si="4"/>
        <v>0</v>
      </c>
      <c r="F47" s="51">
        <f t="shared" si="5"/>
        <v>0</v>
      </c>
      <c r="G47" s="51">
        <f t="shared" si="2"/>
        <v>0</v>
      </c>
      <c r="H47" s="52" t="e">
        <f t="shared" si="6"/>
        <v>#DIV/0!</v>
      </c>
      <c r="I47" s="51">
        <f t="shared" si="7"/>
        <v>0</v>
      </c>
    </row>
    <row r="48" spans="1:10">
      <c r="A48" s="47">
        <v>35</v>
      </c>
      <c r="B48" s="50">
        <f t="shared" si="10"/>
        <v>0</v>
      </c>
      <c r="C48" s="51">
        <f t="shared" si="8"/>
        <v>0</v>
      </c>
      <c r="D48" s="51">
        <f t="shared" si="1"/>
        <v>0</v>
      </c>
      <c r="E48" s="51">
        <f t="shared" si="4"/>
        <v>0</v>
      </c>
      <c r="F48" s="51">
        <f t="shared" si="5"/>
        <v>0</v>
      </c>
      <c r="G48" s="51">
        <f t="shared" si="2"/>
        <v>0</v>
      </c>
      <c r="H48" s="52" t="e">
        <f t="shared" si="6"/>
        <v>#DIV/0!</v>
      </c>
      <c r="I48" s="51">
        <f t="shared" si="7"/>
        <v>0</v>
      </c>
    </row>
    <row r="49" spans="1:10">
      <c r="A49" s="53">
        <v>36</v>
      </c>
      <c r="B49" s="54">
        <f t="shared" si="10"/>
        <v>0</v>
      </c>
      <c r="C49" s="55">
        <f t="shared" si="8"/>
        <v>0</v>
      </c>
      <c r="D49" s="55">
        <f t="shared" si="1"/>
        <v>0</v>
      </c>
      <c r="E49" s="55">
        <f t="shared" si="4"/>
        <v>0</v>
      </c>
      <c r="F49" s="55">
        <f t="shared" si="5"/>
        <v>0</v>
      </c>
      <c r="G49" s="55">
        <f t="shared" si="2"/>
        <v>0</v>
      </c>
      <c r="H49" s="56" t="e">
        <f t="shared" si="6"/>
        <v>#DIV/0!</v>
      </c>
      <c r="I49" s="55">
        <f t="shared" si="7"/>
        <v>0</v>
      </c>
      <c r="J49" s="57"/>
    </row>
    <row r="50" spans="1:10">
      <c r="A50" s="47">
        <v>37</v>
      </c>
      <c r="B50" s="50">
        <f>$C$6</f>
        <v>0</v>
      </c>
      <c r="C50" s="51">
        <f t="shared" si="8"/>
        <v>0</v>
      </c>
      <c r="D50" s="51">
        <f t="shared" si="1"/>
        <v>0</v>
      </c>
      <c r="E50" s="51">
        <f t="shared" si="4"/>
        <v>0</v>
      </c>
      <c r="F50" s="51">
        <f t="shared" si="5"/>
        <v>0</v>
      </c>
      <c r="G50" s="51">
        <f t="shared" si="2"/>
        <v>0</v>
      </c>
      <c r="H50" s="52" t="e">
        <f t="shared" si="6"/>
        <v>#DIV/0!</v>
      </c>
      <c r="I50" s="51">
        <f t="shared" si="7"/>
        <v>0</v>
      </c>
    </row>
    <row r="51" spans="1:10">
      <c r="A51" s="47">
        <v>38</v>
      </c>
      <c r="B51" s="50">
        <f t="shared" ref="B51:B114" si="11">$C$6</f>
        <v>0</v>
      </c>
      <c r="C51" s="51">
        <f t="shared" si="8"/>
        <v>0</v>
      </c>
      <c r="D51" s="51">
        <f t="shared" si="1"/>
        <v>0</v>
      </c>
      <c r="E51" s="51">
        <f t="shared" si="4"/>
        <v>0</v>
      </c>
      <c r="F51" s="51">
        <f t="shared" si="5"/>
        <v>0</v>
      </c>
      <c r="G51" s="51">
        <f t="shared" si="2"/>
        <v>0</v>
      </c>
      <c r="H51" s="52" t="e">
        <f t="shared" si="6"/>
        <v>#DIV/0!</v>
      </c>
      <c r="I51" s="51">
        <f t="shared" si="7"/>
        <v>0</v>
      </c>
    </row>
    <row r="52" spans="1:10">
      <c r="A52" s="47">
        <v>39</v>
      </c>
      <c r="B52" s="50">
        <f t="shared" si="11"/>
        <v>0</v>
      </c>
      <c r="C52" s="51">
        <f t="shared" si="8"/>
        <v>0</v>
      </c>
      <c r="D52" s="51">
        <f t="shared" si="1"/>
        <v>0</v>
      </c>
      <c r="E52" s="51">
        <f t="shared" si="4"/>
        <v>0</v>
      </c>
      <c r="F52" s="51">
        <f t="shared" si="5"/>
        <v>0</v>
      </c>
      <c r="G52" s="51">
        <f t="shared" si="2"/>
        <v>0</v>
      </c>
      <c r="H52" s="52" t="e">
        <f t="shared" si="6"/>
        <v>#DIV/0!</v>
      </c>
      <c r="I52" s="51">
        <f t="shared" si="7"/>
        <v>0</v>
      </c>
    </row>
    <row r="53" spans="1:10">
      <c r="A53" s="47">
        <v>40</v>
      </c>
      <c r="B53" s="50">
        <f t="shared" si="11"/>
        <v>0</v>
      </c>
      <c r="C53" s="51">
        <f t="shared" si="8"/>
        <v>0</v>
      </c>
      <c r="D53" s="51">
        <f t="shared" si="1"/>
        <v>0</v>
      </c>
      <c r="E53" s="51">
        <f t="shared" si="4"/>
        <v>0</v>
      </c>
      <c r="F53" s="51">
        <f t="shared" si="5"/>
        <v>0</v>
      </c>
      <c r="G53" s="51">
        <f t="shared" si="2"/>
        <v>0</v>
      </c>
      <c r="H53" s="52" t="e">
        <f t="shared" si="6"/>
        <v>#DIV/0!</v>
      </c>
      <c r="I53" s="51">
        <f t="shared" si="7"/>
        <v>0</v>
      </c>
    </row>
    <row r="54" spans="1:10">
      <c r="A54" s="47">
        <v>41</v>
      </c>
      <c r="B54" s="50">
        <f t="shared" si="11"/>
        <v>0</v>
      </c>
      <c r="C54" s="51">
        <f t="shared" si="8"/>
        <v>0</v>
      </c>
      <c r="D54" s="51">
        <f t="shared" si="1"/>
        <v>0</v>
      </c>
      <c r="E54" s="51">
        <f t="shared" si="4"/>
        <v>0</v>
      </c>
      <c r="F54" s="51">
        <f t="shared" si="5"/>
        <v>0</v>
      </c>
      <c r="G54" s="51">
        <f t="shared" si="2"/>
        <v>0</v>
      </c>
      <c r="H54" s="52" t="e">
        <f t="shared" si="6"/>
        <v>#DIV/0!</v>
      </c>
      <c r="I54" s="51">
        <f t="shared" si="7"/>
        <v>0</v>
      </c>
    </row>
    <row r="55" spans="1:10">
      <c r="A55" s="47">
        <v>42</v>
      </c>
      <c r="B55" s="50">
        <f t="shared" si="11"/>
        <v>0</v>
      </c>
      <c r="C55" s="51">
        <f t="shared" si="8"/>
        <v>0</v>
      </c>
      <c r="D55" s="51">
        <f t="shared" si="1"/>
        <v>0</v>
      </c>
      <c r="E55" s="51">
        <f t="shared" si="4"/>
        <v>0</v>
      </c>
      <c r="F55" s="51">
        <f t="shared" si="5"/>
        <v>0</v>
      </c>
      <c r="G55" s="51">
        <f t="shared" si="2"/>
        <v>0</v>
      </c>
      <c r="H55" s="52" t="e">
        <f t="shared" si="6"/>
        <v>#DIV/0!</v>
      </c>
      <c r="I55" s="51">
        <f t="shared" si="7"/>
        <v>0</v>
      </c>
    </row>
    <row r="56" spans="1:10">
      <c r="A56" s="47">
        <v>43</v>
      </c>
      <c r="B56" s="50">
        <f t="shared" si="11"/>
        <v>0</v>
      </c>
      <c r="C56" s="51">
        <f t="shared" si="8"/>
        <v>0</v>
      </c>
      <c r="D56" s="51">
        <f t="shared" si="1"/>
        <v>0</v>
      </c>
      <c r="E56" s="51">
        <f t="shared" si="4"/>
        <v>0</v>
      </c>
      <c r="F56" s="51">
        <f t="shared" si="5"/>
        <v>0</v>
      </c>
      <c r="G56" s="51">
        <f t="shared" si="2"/>
        <v>0</v>
      </c>
      <c r="H56" s="52" t="e">
        <f t="shared" si="6"/>
        <v>#DIV/0!</v>
      </c>
      <c r="I56" s="51">
        <f t="shared" si="7"/>
        <v>0</v>
      </c>
    </row>
    <row r="57" spans="1:10">
      <c r="A57" s="47">
        <v>44</v>
      </c>
      <c r="B57" s="50">
        <f t="shared" si="11"/>
        <v>0</v>
      </c>
      <c r="C57" s="51">
        <f t="shared" si="8"/>
        <v>0</v>
      </c>
      <c r="D57" s="51">
        <f t="shared" si="1"/>
        <v>0</v>
      </c>
      <c r="E57" s="51">
        <f t="shared" si="4"/>
        <v>0</v>
      </c>
      <c r="F57" s="51">
        <f t="shared" si="5"/>
        <v>0</v>
      </c>
      <c r="G57" s="51">
        <f t="shared" si="2"/>
        <v>0</v>
      </c>
      <c r="H57" s="52" t="e">
        <f t="shared" si="6"/>
        <v>#DIV/0!</v>
      </c>
      <c r="I57" s="51">
        <f t="shared" si="7"/>
        <v>0</v>
      </c>
    </row>
    <row r="58" spans="1:10">
      <c r="A58" s="47">
        <v>45</v>
      </c>
      <c r="B58" s="50">
        <f t="shared" si="11"/>
        <v>0</v>
      </c>
      <c r="C58" s="51">
        <f t="shared" si="8"/>
        <v>0</v>
      </c>
      <c r="D58" s="51">
        <f t="shared" si="1"/>
        <v>0</v>
      </c>
      <c r="E58" s="51">
        <f t="shared" si="4"/>
        <v>0</v>
      </c>
      <c r="F58" s="51">
        <f t="shared" si="5"/>
        <v>0</v>
      </c>
      <c r="G58" s="51">
        <f t="shared" si="2"/>
        <v>0</v>
      </c>
      <c r="H58" s="52" t="e">
        <f t="shared" si="6"/>
        <v>#DIV/0!</v>
      </c>
      <c r="I58" s="51">
        <f t="shared" si="7"/>
        <v>0</v>
      </c>
    </row>
    <row r="59" spans="1:10">
      <c r="A59" s="47">
        <v>46</v>
      </c>
      <c r="B59" s="50">
        <f t="shared" si="11"/>
        <v>0</v>
      </c>
      <c r="C59" s="51">
        <f t="shared" si="8"/>
        <v>0</v>
      </c>
      <c r="D59" s="51">
        <f t="shared" si="1"/>
        <v>0</v>
      </c>
      <c r="E59" s="51">
        <f t="shared" si="4"/>
        <v>0</v>
      </c>
      <c r="F59" s="51">
        <f t="shared" si="5"/>
        <v>0</v>
      </c>
      <c r="G59" s="51">
        <f t="shared" si="2"/>
        <v>0</v>
      </c>
      <c r="H59" s="52" t="e">
        <f t="shared" si="6"/>
        <v>#DIV/0!</v>
      </c>
      <c r="I59" s="51">
        <f t="shared" si="7"/>
        <v>0</v>
      </c>
    </row>
    <row r="60" spans="1:10">
      <c r="A60" s="47">
        <v>47</v>
      </c>
      <c r="B60" s="50">
        <f t="shared" si="11"/>
        <v>0</v>
      </c>
      <c r="C60" s="51">
        <f t="shared" si="8"/>
        <v>0</v>
      </c>
      <c r="D60" s="51">
        <f t="shared" si="1"/>
        <v>0</v>
      </c>
      <c r="E60" s="51">
        <f t="shared" si="4"/>
        <v>0</v>
      </c>
      <c r="F60" s="51">
        <f t="shared" si="5"/>
        <v>0</v>
      </c>
      <c r="G60" s="51">
        <f t="shared" si="2"/>
        <v>0</v>
      </c>
      <c r="H60" s="52" t="e">
        <f t="shared" si="6"/>
        <v>#DIV/0!</v>
      </c>
      <c r="I60" s="51">
        <f t="shared" si="7"/>
        <v>0</v>
      </c>
    </row>
    <row r="61" spans="1:10">
      <c r="A61" s="53">
        <v>48</v>
      </c>
      <c r="B61" s="54">
        <f t="shared" si="11"/>
        <v>0</v>
      </c>
      <c r="C61" s="55">
        <f t="shared" si="8"/>
        <v>0</v>
      </c>
      <c r="D61" s="55">
        <f t="shared" si="1"/>
        <v>0</v>
      </c>
      <c r="E61" s="55">
        <f t="shared" si="4"/>
        <v>0</v>
      </c>
      <c r="F61" s="55">
        <f t="shared" si="5"/>
        <v>0</v>
      </c>
      <c r="G61" s="55">
        <f t="shared" si="2"/>
        <v>0</v>
      </c>
      <c r="H61" s="56" t="e">
        <f t="shared" si="6"/>
        <v>#DIV/0!</v>
      </c>
      <c r="I61" s="55">
        <f t="shared" si="7"/>
        <v>0</v>
      </c>
    </row>
    <row r="62" spans="1:10">
      <c r="A62" s="47">
        <v>49</v>
      </c>
      <c r="B62" s="50">
        <f t="shared" si="11"/>
        <v>0</v>
      </c>
      <c r="C62" s="51">
        <f t="shared" si="8"/>
        <v>0</v>
      </c>
      <c r="D62" s="51">
        <f t="shared" si="1"/>
        <v>0</v>
      </c>
      <c r="E62" s="51">
        <f t="shared" si="4"/>
        <v>0</v>
      </c>
      <c r="F62" s="51">
        <f t="shared" si="5"/>
        <v>0</v>
      </c>
      <c r="G62" s="51">
        <f t="shared" si="2"/>
        <v>0</v>
      </c>
      <c r="H62" s="52" t="e">
        <f t="shared" si="6"/>
        <v>#DIV/0!</v>
      </c>
      <c r="I62" s="51">
        <f t="shared" si="7"/>
        <v>0</v>
      </c>
    </row>
    <row r="63" spans="1:10">
      <c r="A63" s="47">
        <v>50</v>
      </c>
      <c r="B63" s="50">
        <f t="shared" si="11"/>
        <v>0</v>
      </c>
      <c r="C63" s="51">
        <f t="shared" si="8"/>
        <v>0</v>
      </c>
      <c r="D63" s="51">
        <f t="shared" si="1"/>
        <v>0</v>
      </c>
      <c r="E63" s="51">
        <f t="shared" si="4"/>
        <v>0</v>
      </c>
      <c r="F63" s="51">
        <f t="shared" si="5"/>
        <v>0</v>
      </c>
      <c r="G63" s="51">
        <f t="shared" si="2"/>
        <v>0</v>
      </c>
      <c r="H63" s="52" t="e">
        <f t="shared" si="6"/>
        <v>#DIV/0!</v>
      </c>
      <c r="I63" s="51">
        <f t="shared" si="7"/>
        <v>0</v>
      </c>
    </row>
    <row r="64" spans="1:10">
      <c r="A64" s="47">
        <v>51</v>
      </c>
      <c r="B64" s="50">
        <f t="shared" si="11"/>
        <v>0</v>
      </c>
      <c r="C64" s="51">
        <f t="shared" si="8"/>
        <v>0</v>
      </c>
      <c r="D64" s="51">
        <f t="shared" si="1"/>
        <v>0</v>
      </c>
      <c r="E64" s="51">
        <f t="shared" si="4"/>
        <v>0</v>
      </c>
      <c r="F64" s="51">
        <f t="shared" si="5"/>
        <v>0</v>
      </c>
      <c r="G64" s="51">
        <f t="shared" si="2"/>
        <v>0</v>
      </c>
      <c r="H64" s="52" t="e">
        <f t="shared" si="6"/>
        <v>#DIV/0!</v>
      </c>
      <c r="I64" s="51">
        <f t="shared" si="7"/>
        <v>0</v>
      </c>
    </row>
    <row r="65" spans="1:9">
      <c r="A65" s="47">
        <v>52</v>
      </c>
      <c r="B65" s="50">
        <f t="shared" si="11"/>
        <v>0</v>
      </c>
      <c r="C65" s="51">
        <f t="shared" si="8"/>
        <v>0</v>
      </c>
      <c r="D65" s="51">
        <f t="shared" si="1"/>
        <v>0</v>
      </c>
      <c r="E65" s="51">
        <f t="shared" si="4"/>
        <v>0</v>
      </c>
      <c r="F65" s="51">
        <f t="shared" si="5"/>
        <v>0</v>
      </c>
      <c r="G65" s="51">
        <f t="shared" si="2"/>
        <v>0</v>
      </c>
      <c r="H65" s="52" t="e">
        <f t="shared" si="6"/>
        <v>#DIV/0!</v>
      </c>
      <c r="I65" s="51">
        <f t="shared" si="7"/>
        <v>0</v>
      </c>
    </row>
    <row r="66" spans="1:9">
      <c r="A66" s="47">
        <v>53</v>
      </c>
      <c r="B66" s="50">
        <f t="shared" si="11"/>
        <v>0</v>
      </c>
      <c r="C66" s="51">
        <f t="shared" si="8"/>
        <v>0</v>
      </c>
      <c r="D66" s="51">
        <f t="shared" si="1"/>
        <v>0</v>
      </c>
      <c r="E66" s="51">
        <f t="shared" si="4"/>
        <v>0</v>
      </c>
      <c r="F66" s="51">
        <f t="shared" si="5"/>
        <v>0</v>
      </c>
      <c r="G66" s="51">
        <f t="shared" si="2"/>
        <v>0</v>
      </c>
      <c r="H66" s="52" t="e">
        <f t="shared" si="6"/>
        <v>#DIV/0!</v>
      </c>
      <c r="I66" s="51">
        <f t="shared" si="7"/>
        <v>0</v>
      </c>
    </row>
    <row r="67" spans="1:9">
      <c r="A67" s="47">
        <v>54</v>
      </c>
      <c r="B67" s="50">
        <f t="shared" si="11"/>
        <v>0</v>
      </c>
      <c r="C67" s="51">
        <f t="shared" si="8"/>
        <v>0</v>
      </c>
      <c r="D67" s="51">
        <f t="shared" si="1"/>
        <v>0</v>
      </c>
      <c r="E67" s="51">
        <f t="shared" si="4"/>
        <v>0</v>
      </c>
      <c r="F67" s="51">
        <f t="shared" si="5"/>
        <v>0</v>
      </c>
      <c r="G67" s="51">
        <f t="shared" si="2"/>
        <v>0</v>
      </c>
      <c r="H67" s="52" t="e">
        <f t="shared" si="6"/>
        <v>#DIV/0!</v>
      </c>
      <c r="I67" s="51">
        <f t="shared" si="7"/>
        <v>0</v>
      </c>
    </row>
    <row r="68" spans="1:9">
      <c r="A68" s="47">
        <v>55</v>
      </c>
      <c r="B68" s="50">
        <f t="shared" si="11"/>
        <v>0</v>
      </c>
      <c r="C68" s="51">
        <f t="shared" si="8"/>
        <v>0</v>
      </c>
      <c r="D68" s="51">
        <f t="shared" si="1"/>
        <v>0</v>
      </c>
      <c r="E68" s="51">
        <f t="shared" si="4"/>
        <v>0</v>
      </c>
      <c r="F68" s="51">
        <f t="shared" si="5"/>
        <v>0</v>
      </c>
      <c r="G68" s="51">
        <f t="shared" si="2"/>
        <v>0</v>
      </c>
      <c r="H68" s="52" t="e">
        <f t="shared" si="6"/>
        <v>#DIV/0!</v>
      </c>
      <c r="I68" s="51">
        <f t="shared" si="7"/>
        <v>0</v>
      </c>
    </row>
    <row r="69" spans="1:9">
      <c r="A69" s="47">
        <v>56</v>
      </c>
      <c r="B69" s="50">
        <f t="shared" si="11"/>
        <v>0</v>
      </c>
      <c r="C69" s="51">
        <f t="shared" si="8"/>
        <v>0</v>
      </c>
      <c r="D69" s="51">
        <f t="shared" si="1"/>
        <v>0</v>
      </c>
      <c r="E69" s="51">
        <f t="shared" si="4"/>
        <v>0</v>
      </c>
      <c r="F69" s="51">
        <f t="shared" si="5"/>
        <v>0</v>
      </c>
      <c r="G69" s="51">
        <f t="shared" si="2"/>
        <v>0</v>
      </c>
      <c r="H69" s="52" t="e">
        <f t="shared" si="6"/>
        <v>#DIV/0!</v>
      </c>
      <c r="I69" s="51">
        <f t="shared" si="7"/>
        <v>0</v>
      </c>
    </row>
    <row r="70" spans="1:9">
      <c r="A70" s="47">
        <v>57</v>
      </c>
      <c r="B70" s="50">
        <f t="shared" si="11"/>
        <v>0</v>
      </c>
      <c r="C70" s="51">
        <f t="shared" si="8"/>
        <v>0</v>
      </c>
      <c r="D70" s="51">
        <f t="shared" si="1"/>
        <v>0</v>
      </c>
      <c r="E70" s="51">
        <f t="shared" si="4"/>
        <v>0</v>
      </c>
      <c r="F70" s="51">
        <f t="shared" si="5"/>
        <v>0</v>
      </c>
      <c r="G70" s="51">
        <f t="shared" si="2"/>
        <v>0</v>
      </c>
      <c r="H70" s="52" t="e">
        <f t="shared" si="6"/>
        <v>#DIV/0!</v>
      </c>
      <c r="I70" s="51">
        <f t="shared" si="7"/>
        <v>0</v>
      </c>
    </row>
    <row r="71" spans="1:9">
      <c r="A71" s="47">
        <v>58</v>
      </c>
      <c r="B71" s="50">
        <f t="shared" si="11"/>
        <v>0</v>
      </c>
      <c r="C71" s="51">
        <f t="shared" si="8"/>
        <v>0</v>
      </c>
      <c r="D71" s="51">
        <f t="shared" si="1"/>
        <v>0</v>
      </c>
      <c r="E71" s="51">
        <f t="shared" si="4"/>
        <v>0</v>
      </c>
      <c r="F71" s="51">
        <f t="shared" si="5"/>
        <v>0</v>
      </c>
      <c r="G71" s="51">
        <f t="shared" si="2"/>
        <v>0</v>
      </c>
      <c r="H71" s="52" t="e">
        <f t="shared" si="6"/>
        <v>#DIV/0!</v>
      </c>
      <c r="I71" s="51">
        <f t="shared" si="7"/>
        <v>0</v>
      </c>
    </row>
    <row r="72" spans="1:9">
      <c r="A72" s="47">
        <v>59</v>
      </c>
      <c r="B72" s="50">
        <f t="shared" si="11"/>
        <v>0</v>
      </c>
      <c r="C72" s="51">
        <f t="shared" si="8"/>
        <v>0</v>
      </c>
      <c r="D72" s="51">
        <f t="shared" si="1"/>
        <v>0</v>
      </c>
      <c r="E72" s="51">
        <f t="shared" si="4"/>
        <v>0</v>
      </c>
      <c r="F72" s="51">
        <f t="shared" si="5"/>
        <v>0</v>
      </c>
      <c r="G72" s="51">
        <f t="shared" si="2"/>
        <v>0</v>
      </c>
      <c r="H72" s="52" t="e">
        <f t="shared" si="6"/>
        <v>#DIV/0!</v>
      </c>
      <c r="I72" s="51">
        <f t="shared" si="7"/>
        <v>0</v>
      </c>
    </row>
    <row r="73" spans="1:9">
      <c r="A73" s="53">
        <v>60</v>
      </c>
      <c r="B73" s="54">
        <f t="shared" si="11"/>
        <v>0</v>
      </c>
      <c r="C73" s="55">
        <f t="shared" si="8"/>
        <v>0</v>
      </c>
      <c r="D73" s="55">
        <f t="shared" si="1"/>
        <v>0</v>
      </c>
      <c r="E73" s="55">
        <f t="shared" si="4"/>
        <v>0</v>
      </c>
      <c r="F73" s="55">
        <f t="shared" si="5"/>
        <v>0</v>
      </c>
      <c r="G73" s="55">
        <f t="shared" si="2"/>
        <v>0</v>
      </c>
      <c r="H73" s="56" t="e">
        <f t="shared" si="6"/>
        <v>#DIV/0!</v>
      </c>
      <c r="I73" s="55">
        <f t="shared" si="7"/>
        <v>0</v>
      </c>
    </row>
    <row r="74" spans="1:9">
      <c r="A74" s="47">
        <v>61</v>
      </c>
      <c r="B74" s="50">
        <f t="shared" si="11"/>
        <v>0</v>
      </c>
      <c r="C74" s="51">
        <f t="shared" si="8"/>
        <v>0</v>
      </c>
      <c r="D74" s="51">
        <f t="shared" si="1"/>
        <v>0</v>
      </c>
      <c r="E74" s="51">
        <f t="shared" si="4"/>
        <v>0</v>
      </c>
      <c r="F74" s="51">
        <f t="shared" si="5"/>
        <v>0</v>
      </c>
      <c r="G74" s="51">
        <f t="shared" si="2"/>
        <v>0</v>
      </c>
      <c r="H74" s="52" t="e">
        <f t="shared" si="6"/>
        <v>#DIV/0!</v>
      </c>
      <c r="I74" s="51">
        <f t="shared" si="7"/>
        <v>0</v>
      </c>
    </row>
    <row r="75" spans="1:9">
      <c r="A75" s="47">
        <v>62</v>
      </c>
      <c r="B75" s="50">
        <f t="shared" si="11"/>
        <v>0</v>
      </c>
      <c r="C75" s="51">
        <f t="shared" si="8"/>
        <v>0</v>
      </c>
      <c r="D75" s="51">
        <f t="shared" si="1"/>
        <v>0</v>
      </c>
      <c r="E75" s="51">
        <f t="shared" si="4"/>
        <v>0</v>
      </c>
      <c r="F75" s="51">
        <f t="shared" si="5"/>
        <v>0</v>
      </c>
      <c r="G75" s="51">
        <f t="shared" si="2"/>
        <v>0</v>
      </c>
      <c r="H75" s="52" t="e">
        <f t="shared" si="6"/>
        <v>#DIV/0!</v>
      </c>
      <c r="I75" s="51">
        <f t="shared" si="7"/>
        <v>0</v>
      </c>
    </row>
    <row r="76" spans="1:9">
      <c r="A76" s="47">
        <v>63</v>
      </c>
      <c r="B76" s="50">
        <f t="shared" si="11"/>
        <v>0</v>
      </c>
      <c r="C76" s="51">
        <f t="shared" si="8"/>
        <v>0</v>
      </c>
      <c r="D76" s="51">
        <f t="shared" si="1"/>
        <v>0</v>
      </c>
      <c r="E76" s="51">
        <f t="shared" si="4"/>
        <v>0</v>
      </c>
      <c r="F76" s="51">
        <f t="shared" si="5"/>
        <v>0</v>
      </c>
      <c r="G76" s="51">
        <f t="shared" si="2"/>
        <v>0</v>
      </c>
      <c r="H76" s="52" t="e">
        <f t="shared" si="6"/>
        <v>#DIV/0!</v>
      </c>
      <c r="I76" s="51">
        <f t="shared" si="7"/>
        <v>0</v>
      </c>
    </row>
    <row r="77" spans="1:9">
      <c r="A77" s="47">
        <v>64</v>
      </c>
      <c r="B77" s="50">
        <f t="shared" si="11"/>
        <v>0</v>
      </c>
      <c r="C77" s="51">
        <f t="shared" si="8"/>
        <v>0</v>
      </c>
      <c r="D77" s="51">
        <f t="shared" si="1"/>
        <v>0</v>
      </c>
      <c r="E77" s="51">
        <f t="shared" si="4"/>
        <v>0</v>
      </c>
      <c r="F77" s="51">
        <f t="shared" si="5"/>
        <v>0</v>
      </c>
      <c r="G77" s="51">
        <f t="shared" si="2"/>
        <v>0</v>
      </c>
      <c r="H77" s="52" t="e">
        <f t="shared" si="6"/>
        <v>#DIV/0!</v>
      </c>
      <c r="I77" s="51">
        <f t="shared" si="7"/>
        <v>0</v>
      </c>
    </row>
    <row r="78" spans="1:9">
      <c r="A78" s="47">
        <v>65</v>
      </c>
      <c r="B78" s="50">
        <f t="shared" si="11"/>
        <v>0</v>
      </c>
      <c r="C78" s="51">
        <f t="shared" si="8"/>
        <v>0</v>
      </c>
      <c r="D78" s="51">
        <f t="shared" ref="D78:D141" si="12">IF(C78+E78&gt;$C$10,$C$10,C78+E78)</f>
        <v>0</v>
      </c>
      <c r="E78" s="51">
        <f t="shared" si="4"/>
        <v>0</v>
      </c>
      <c r="F78" s="51">
        <f t="shared" si="5"/>
        <v>0</v>
      </c>
      <c r="G78" s="51">
        <f t="shared" ref="G78:G141" si="13">C78-F78</f>
        <v>0</v>
      </c>
      <c r="H78" s="52" t="e">
        <f t="shared" si="6"/>
        <v>#DIV/0!</v>
      </c>
      <c r="I78" s="51">
        <f t="shared" si="7"/>
        <v>0</v>
      </c>
    </row>
    <row r="79" spans="1:9">
      <c r="A79" s="47">
        <v>66</v>
      </c>
      <c r="B79" s="50">
        <f t="shared" si="11"/>
        <v>0</v>
      </c>
      <c r="C79" s="51">
        <f t="shared" si="8"/>
        <v>0</v>
      </c>
      <c r="D79" s="51">
        <f t="shared" si="12"/>
        <v>0</v>
      </c>
      <c r="E79" s="51">
        <f t="shared" ref="E79:E142" si="14">C79*(B79/12)</f>
        <v>0</v>
      </c>
      <c r="F79" s="51">
        <f t="shared" ref="F79:F142" si="15">IF(C79&lt;$C$10,C79,D79-E79)</f>
        <v>0</v>
      </c>
      <c r="G79" s="51">
        <f t="shared" si="13"/>
        <v>0</v>
      </c>
      <c r="H79" s="52" t="e">
        <f t="shared" ref="H79:H142" si="16">G79/$C$1</f>
        <v>#DIV/0!</v>
      </c>
      <c r="I79" s="51">
        <f t="shared" ref="I79:I142" si="17">C79*$I$10/12</f>
        <v>0</v>
      </c>
    </row>
    <row r="80" spans="1:9">
      <c r="A80" s="47">
        <v>67</v>
      </c>
      <c r="B80" s="50">
        <f t="shared" si="11"/>
        <v>0</v>
      </c>
      <c r="C80" s="51">
        <f t="shared" ref="C80:C143" si="18">G79</f>
        <v>0</v>
      </c>
      <c r="D80" s="51">
        <f t="shared" si="12"/>
        <v>0</v>
      </c>
      <c r="E80" s="51">
        <f t="shared" si="14"/>
        <v>0</v>
      </c>
      <c r="F80" s="51">
        <f t="shared" si="15"/>
        <v>0</v>
      </c>
      <c r="G80" s="51">
        <f t="shared" si="13"/>
        <v>0</v>
      </c>
      <c r="H80" s="52" t="e">
        <f t="shared" si="16"/>
        <v>#DIV/0!</v>
      </c>
      <c r="I80" s="51">
        <f t="shared" si="17"/>
        <v>0</v>
      </c>
    </row>
    <row r="81" spans="1:9">
      <c r="A81" s="47">
        <v>68</v>
      </c>
      <c r="B81" s="50">
        <f t="shared" si="11"/>
        <v>0</v>
      </c>
      <c r="C81" s="51">
        <f t="shared" si="18"/>
        <v>0</v>
      </c>
      <c r="D81" s="51">
        <f t="shared" si="12"/>
        <v>0</v>
      </c>
      <c r="E81" s="51">
        <f t="shared" si="14"/>
        <v>0</v>
      </c>
      <c r="F81" s="51">
        <f t="shared" si="15"/>
        <v>0</v>
      </c>
      <c r="G81" s="51">
        <f t="shared" si="13"/>
        <v>0</v>
      </c>
      <c r="H81" s="52" t="e">
        <f t="shared" si="16"/>
        <v>#DIV/0!</v>
      </c>
      <c r="I81" s="51">
        <f t="shared" si="17"/>
        <v>0</v>
      </c>
    </row>
    <row r="82" spans="1:9">
      <c r="A82" s="47">
        <v>69</v>
      </c>
      <c r="B82" s="50">
        <f t="shared" si="11"/>
        <v>0</v>
      </c>
      <c r="C82" s="51">
        <f t="shared" si="18"/>
        <v>0</v>
      </c>
      <c r="D82" s="51">
        <f t="shared" si="12"/>
        <v>0</v>
      </c>
      <c r="E82" s="51">
        <f t="shared" si="14"/>
        <v>0</v>
      </c>
      <c r="F82" s="51">
        <f t="shared" si="15"/>
        <v>0</v>
      </c>
      <c r="G82" s="51">
        <f t="shared" si="13"/>
        <v>0</v>
      </c>
      <c r="H82" s="52" t="e">
        <f t="shared" si="16"/>
        <v>#DIV/0!</v>
      </c>
      <c r="I82" s="51">
        <f t="shared" si="17"/>
        <v>0</v>
      </c>
    </row>
    <row r="83" spans="1:9">
      <c r="A83" s="47">
        <v>70</v>
      </c>
      <c r="B83" s="50">
        <f t="shared" si="11"/>
        <v>0</v>
      </c>
      <c r="C83" s="51">
        <f t="shared" si="18"/>
        <v>0</v>
      </c>
      <c r="D83" s="51">
        <f t="shared" si="12"/>
        <v>0</v>
      </c>
      <c r="E83" s="51">
        <f t="shared" si="14"/>
        <v>0</v>
      </c>
      <c r="F83" s="51">
        <f t="shared" si="15"/>
        <v>0</v>
      </c>
      <c r="G83" s="51">
        <f t="shared" si="13"/>
        <v>0</v>
      </c>
      <c r="H83" s="52" t="e">
        <f t="shared" si="16"/>
        <v>#DIV/0!</v>
      </c>
      <c r="I83" s="51">
        <f t="shared" si="17"/>
        <v>0</v>
      </c>
    </row>
    <row r="84" spans="1:9">
      <c r="A84" s="47">
        <v>71</v>
      </c>
      <c r="B84" s="50">
        <f t="shared" si="11"/>
        <v>0</v>
      </c>
      <c r="C84" s="51">
        <f t="shared" si="18"/>
        <v>0</v>
      </c>
      <c r="D84" s="51">
        <f t="shared" si="12"/>
        <v>0</v>
      </c>
      <c r="E84" s="51">
        <f t="shared" si="14"/>
        <v>0</v>
      </c>
      <c r="F84" s="51">
        <f t="shared" si="15"/>
        <v>0</v>
      </c>
      <c r="G84" s="51">
        <f t="shared" si="13"/>
        <v>0</v>
      </c>
      <c r="H84" s="52" t="e">
        <f t="shared" si="16"/>
        <v>#DIV/0!</v>
      </c>
      <c r="I84" s="51">
        <f t="shared" si="17"/>
        <v>0</v>
      </c>
    </row>
    <row r="85" spans="1:9">
      <c r="A85" s="53">
        <v>72</v>
      </c>
      <c r="B85" s="54">
        <f t="shared" si="11"/>
        <v>0</v>
      </c>
      <c r="C85" s="55">
        <f t="shared" si="18"/>
        <v>0</v>
      </c>
      <c r="D85" s="55">
        <f t="shared" si="12"/>
        <v>0</v>
      </c>
      <c r="E85" s="55">
        <f t="shared" si="14"/>
        <v>0</v>
      </c>
      <c r="F85" s="55">
        <f t="shared" si="15"/>
        <v>0</v>
      </c>
      <c r="G85" s="55">
        <f t="shared" si="13"/>
        <v>0</v>
      </c>
      <c r="H85" s="56" t="e">
        <f t="shared" si="16"/>
        <v>#DIV/0!</v>
      </c>
      <c r="I85" s="55">
        <f t="shared" si="17"/>
        <v>0</v>
      </c>
    </row>
    <row r="86" spans="1:9">
      <c r="A86" s="47">
        <v>73</v>
      </c>
      <c r="B86" s="50">
        <f t="shared" si="11"/>
        <v>0</v>
      </c>
      <c r="C86" s="51">
        <f t="shared" si="18"/>
        <v>0</v>
      </c>
      <c r="D86" s="51">
        <f t="shared" si="12"/>
        <v>0</v>
      </c>
      <c r="E86" s="51">
        <f t="shared" si="14"/>
        <v>0</v>
      </c>
      <c r="F86" s="51">
        <f t="shared" si="15"/>
        <v>0</v>
      </c>
      <c r="G86" s="51">
        <f t="shared" si="13"/>
        <v>0</v>
      </c>
      <c r="H86" s="52" t="e">
        <f t="shared" si="16"/>
        <v>#DIV/0!</v>
      </c>
      <c r="I86" s="51">
        <f t="shared" si="17"/>
        <v>0</v>
      </c>
    </row>
    <row r="87" spans="1:9">
      <c r="A87" s="47">
        <v>74</v>
      </c>
      <c r="B87" s="50">
        <f t="shared" si="11"/>
        <v>0</v>
      </c>
      <c r="C87" s="51">
        <f t="shared" si="18"/>
        <v>0</v>
      </c>
      <c r="D87" s="51">
        <f t="shared" si="12"/>
        <v>0</v>
      </c>
      <c r="E87" s="51">
        <f t="shared" si="14"/>
        <v>0</v>
      </c>
      <c r="F87" s="51">
        <f t="shared" si="15"/>
        <v>0</v>
      </c>
      <c r="G87" s="51">
        <f t="shared" si="13"/>
        <v>0</v>
      </c>
      <c r="H87" s="52" t="e">
        <f t="shared" si="16"/>
        <v>#DIV/0!</v>
      </c>
      <c r="I87" s="51">
        <f t="shared" si="17"/>
        <v>0</v>
      </c>
    </row>
    <row r="88" spans="1:9">
      <c r="A88" s="47">
        <v>75</v>
      </c>
      <c r="B88" s="50">
        <f t="shared" si="11"/>
        <v>0</v>
      </c>
      <c r="C88" s="51">
        <f t="shared" si="18"/>
        <v>0</v>
      </c>
      <c r="D88" s="51">
        <f t="shared" si="12"/>
        <v>0</v>
      </c>
      <c r="E88" s="51">
        <f t="shared" si="14"/>
        <v>0</v>
      </c>
      <c r="F88" s="51">
        <f t="shared" si="15"/>
        <v>0</v>
      </c>
      <c r="G88" s="51">
        <f t="shared" si="13"/>
        <v>0</v>
      </c>
      <c r="H88" s="52" t="e">
        <f t="shared" si="16"/>
        <v>#DIV/0!</v>
      </c>
      <c r="I88" s="51">
        <f t="shared" si="17"/>
        <v>0</v>
      </c>
    </row>
    <row r="89" spans="1:9">
      <c r="A89" s="47">
        <v>76</v>
      </c>
      <c r="B89" s="50">
        <f t="shared" si="11"/>
        <v>0</v>
      </c>
      <c r="C89" s="51">
        <f t="shared" si="18"/>
        <v>0</v>
      </c>
      <c r="D89" s="51">
        <f t="shared" si="12"/>
        <v>0</v>
      </c>
      <c r="E89" s="51">
        <f t="shared" si="14"/>
        <v>0</v>
      </c>
      <c r="F89" s="51">
        <f t="shared" si="15"/>
        <v>0</v>
      </c>
      <c r="G89" s="51">
        <f t="shared" si="13"/>
        <v>0</v>
      </c>
      <c r="H89" s="52" t="e">
        <f t="shared" si="16"/>
        <v>#DIV/0!</v>
      </c>
      <c r="I89" s="51">
        <f t="shared" si="17"/>
        <v>0</v>
      </c>
    </row>
    <row r="90" spans="1:9">
      <c r="A90" s="47">
        <v>77</v>
      </c>
      <c r="B90" s="50">
        <f t="shared" si="11"/>
        <v>0</v>
      </c>
      <c r="C90" s="51">
        <f t="shared" si="18"/>
        <v>0</v>
      </c>
      <c r="D90" s="51">
        <f t="shared" si="12"/>
        <v>0</v>
      </c>
      <c r="E90" s="51">
        <f t="shared" si="14"/>
        <v>0</v>
      </c>
      <c r="F90" s="51">
        <f t="shared" si="15"/>
        <v>0</v>
      </c>
      <c r="G90" s="51">
        <f t="shared" si="13"/>
        <v>0</v>
      </c>
      <c r="H90" s="52" t="e">
        <f t="shared" si="16"/>
        <v>#DIV/0!</v>
      </c>
      <c r="I90" s="51">
        <f t="shared" si="17"/>
        <v>0</v>
      </c>
    </row>
    <row r="91" spans="1:9">
      <c r="A91" s="47">
        <v>78</v>
      </c>
      <c r="B91" s="50">
        <f t="shared" si="11"/>
        <v>0</v>
      </c>
      <c r="C91" s="51">
        <f t="shared" si="18"/>
        <v>0</v>
      </c>
      <c r="D91" s="51">
        <f t="shared" si="12"/>
        <v>0</v>
      </c>
      <c r="E91" s="51">
        <f t="shared" si="14"/>
        <v>0</v>
      </c>
      <c r="F91" s="51">
        <f t="shared" si="15"/>
        <v>0</v>
      </c>
      <c r="G91" s="51">
        <f t="shared" si="13"/>
        <v>0</v>
      </c>
      <c r="H91" s="52" t="e">
        <f t="shared" si="16"/>
        <v>#DIV/0!</v>
      </c>
      <c r="I91" s="51">
        <f t="shared" si="17"/>
        <v>0</v>
      </c>
    </row>
    <row r="92" spans="1:9">
      <c r="A92" s="47">
        <v>79</v>
      </c>
      <c r="B92" s="50">
        <f t="shared" si="11"/>
        <v>0</v>
      </c>
      <c r="C92" s="51">
        <f t="shared" si="18"/>
        <v>0</v>
      </c>
      <c r="D92" s="51">
        <f t="shared" si="12"/>
        <v>0</v>
      </c>
      <c r="E92" s="51">
        <f t="shared" si="14"/>
        <v>0</v>
      </c>
      <c r="F92" s="51">
        <f t="shared" si="15"/>
        <v>0</v>
      </c>
      <c r="G92" s="51">
        <f t="shared" si="13"/>
        <v>0</v>
      </c>
      <c r="H92" s="52" t="e">
        <f t="shared" si="16"/>
        <v>#DIV/0!</v>
      </c>
      <c r="I92" s="51">
        <f t="shared" si="17"/>
        <v>0</v>
      </c>
    </row>
    <row r="93" spans="1:9">
      <c r="A93" s="47">
        <v>80</v>
      </c>
      <c r="B93" s="50">
        <f t="shared" si="11"/>
        <v>0</v>
      </c>
      <c r="C93" s="51">
        <f t="shared" si="18"/>
        <v>0</v>
      </c>
      <c r="D93" s="51">
        <f t="shared" si="12"/>
        <v>0</v>
      </c>
      <c r="E93" s="51">
        <f t="shared" si="14"/>
        <v>0</v>
      </c>
      <c r="F93" s="51">
        <f t="shared" si="15"/>
        <v>0</v>
      </c>
      <c r="G93" s="51">
        <f t="shared" si="13"/>
        <v>0</v>
      </c>
      <c r="H93" s="52" t="e">
        <f t="shared" si="16"/>
        <v>#DIV/0!</v>
      </c>
      <c r="I93" s="51">
        <f t="shared" si="17"/>
        <v>0</v>
      </c>
    </row>
    <row r="94" spans="1:9">
      <c r="A94" s="47">
        <v>81</v>
      </c>
      <c r="B94" s="50">
        <f t="shared" si="11"/>
        <v>0</v>
      </c>
      <c r="C94" s="51">
        <f t="shared" si="18"/>
        <v>0</v>
      </c>
      <c r="D94" s="51">
        <f t="shared" si="12"/>
        <v>0</v>
      </c>
      <c r="E94" s="51">
        <f t="shared" si="14"/>
        <v>0</v>
      </c>
      <c r="F94" s="51">
        <f t="shared" si="15"/>
        <v>0</v>
      </c>
      <c r="G94" s="51">
        <f t="shared" si="13"/>
        <v>0</v>
      </c>
      <c r="H94" s="52" t="e">
        <f t="shared" si="16"/>
        <v>#DIV/0!</v>
      </c>
      <c r="I94" s="51">
        <f t="shared" si="17"/>
        <v>0</v>
      </c>
    </row>
    <row r="95" spans="1:9">
      <c r="A95" s="47">
        <v>82</v>
      </c>
      <c r="B95" s="50">
        <f t="shared" si="11"/>
        <v>0</v>
      </c>
      <c r="C95" s="51">
        <f t="shared" si="18"/>
        <v>0</v>
      </c>
      <c r="D95" s="51">
        <f t="shared" si="12"/>
        <v>0</v>
      </c>
      <c r="E95" s="51">
        <f t="shared" si="14"/>
        <v>0</v>
      </c>
      <c r="F95" s="51">
        <f t="shared" si="15"/>
        <v>0</v>
      </c>
      <c r="G95" s="51">
        <f t="shared" si="13"/>
        <v>0</v>
      </c>
      <c r="H95" s="52" t="e">
        <f t="shared" si="16"/>
        <v>#DIV/0!</v>
      </c>
      <c r="I95" s="51">
        <f t="shared" si="17"/>
        <v>0</v>
      </c>
    </row>
    <row r="96" spans="1:9">
      <c r="A96" s="47">
        <v>83</v>
      </c>
      <c r="B96" s="50">
        <f t="shared" si="11"/>
        <v>0</v>
      </c>
      <c r="C96" s="51">
        <f t="shared" si="18"/>
        <v>0</v>
      </c>
      <c r="D96" s="51">
        <f t="shared" si="12"/>
        <v>0</v>
      </c>
      <c r="E96" s="51">
        <f t="shared" si="14"/>
        <v>0</v>
      </c>
      <c r="F96" s="51">
        <f t="shared" si="15"/>
        <v>0</v>
      </c>
      <c r="G96" s="51">
        <f t="shared" si="13"/>
        <v>0</v>
      </c>
      <c r="H96" s="52" t="e">
        <f t="shared" si="16"/>
        <v>#DIV/0!</v>
      </c>
      <c r="I96" s="51">
        <f t="shared" si="17"/>
        <v>0</v>
      </c>
    </row>
    <row r="97" spans="1:9">
      <c r="A97" s="53">
        <v>84</v>
      </c>
      <c r="B97" s="54">
        <f t="shared" si="11"/>
        <v>0</v>
      </c>
      <c r="C97" s="55">
        <f t="shared" si="18"/>
        <v>0</v>
      </c>
      <c r="D97" s="55">
        <f t="shared" si="12"/>
        <v>0</v>
      </c>
      <c r="E97" s="55">
        <f t="shared" si="14"/>
        <v>0</v>
      </c>
      <c r="F97" s="55">
        <f t="shared" si="15"/>
        <v>0</v>
      </c>
      <c r="G97" s="55">
        <f t="shared" si="13"/>
        <v>0</v>
      </c>
      <c r="H97" s="56" t="e">
        <f t="shared" si="16"/>
        <v>#DIV/0!</v>
      </c>
      <c r="I97" s="55">
        <f t="shared" si="17"/>
        <v>0</v>
      </c>
    </row>
    <row r="98" spans="1:9">
      <c r="A98" s="47">
        <v>85</v>
      </c>
      <c r="B98" s="50">
        <f t="shared" si="11"/>
        <v>0</v>
      </c>
      <c r="C98" s="51">
        <f t="shared" si="18"/>
        <v>0</v>
      </c>
      <c r="D98" s="51">
        <f t="shared" si="12"/>
        <v>0</v>
      </c>
      <c r="E98" s="51">
        <f t="shared" si="14"/>
        <v>0</v>
      </c>
      <c r="F98" s="51">
        <f t="shared" si="15"/>
        <v>0</v>
      </c>
      <c r="G98" s="51">
        <f t="shared" si="13"/>
        <v>0</v>
      </c>
      <c r="H98" s="52" t="e">
        <f t="shared" si="16"/>
        <v>#DIV/0!</v>
      </c>
      <c r="I98" s="51">
        <f t="shared" si="17"/>
        <v>0</v>
      </c>
    </row>
    <row r="99" spans="1:9">
      <c r="A99" s="47">
        <v>86</v>
      </c>
      <c r="B99" s="50">
        <f t="shared" si="11"/>
        <v>0</v>
      </c>
      <c r="C99" s="51">
        <f t="shared" si="18"/>
        <v>0</v>
      </c>
      <c r="D99" s="51">
        <f t="shared" si="12"/>
        <v>0</v>
      </c>
      <c r="E99" s="51">
        <f t="shared" si="14"/>
        <v>0</v>
      </c>
      <c r="F99" s="51">
        <f t="shared" si="15"/>
        <v>0</v>
      </c>
      <c r="G99" s="51">
        <f t="shared" si="13"/>
        <v>0</v>
      </c>
      <c r="H99" s="52" t="e">
        <f t="shared" si="16"/>
        <v>#DIV/0!</v>
      </c>
      <c r="I99" s="51">
        <f t="shared" si="17"/>
        <v>0</v>
      </c>
    </row>
    <row r="100" spans="1:9">
      <c r="A100" s="47">
        <v>87</v>
      </c>
      <c r="B100" s="50">
        <f t="shared" si="11"/>
        <v>0</v>
      </c>
      <c r="C100" s="51">
        <f t="shared" si="18"/>
        <v>0</v>
      </c>
      <c r="D100" s="51">
        <f t="shared" si="12"/>
        <v>0</v>
      </c>
      <c r="E100" s="51">
        <f t="shared" si="14"/>
        <v>0</v>
      </c>
      <c r="F100" s="51">
        <f t="shared" si="15"/>
        <v>0</v>
      </c>
      <c r="G100" s="51">
        <f t="shared" si="13"/>
        <v>0</v>
      </c>
      <c r="H100" s="52" t="e">
        <f t="shared" si="16"/>
        <v>#DIV/0!</v>
      </c>
      <c r="I100" s="51">
        <f t="shared" si="17"/>
        <v>0</v>
      </c>
    </row>
    <row r="101" spans="1:9">
      <c r="A101" s="47">
        <v>88</v>
      </c>
      <c r="B101" s="50">
        <f t="shared" si="11"/>
        <v>0</v>
      </c>
      <c r="C101" s="51">
        <f t="shared" si="18"/>
        <v>0</v>
      </c>
      <c r="D101" s="51">
        <f t="shared" si="12"/>
        <v>0</v>
      </c>
      <c r="E101" s="51">
        <f t="shared" si="14"/>
        <v>0</v>
      </c>
      <c r="F101" s="51">
        <f t="shared" si="15"/>
        <v>0</v>
      </c>
      <c r="G101" s="51">
        <f t="shared" si="13"/>
        <v>0</v>
      </c>
      <c r="H101" s="52" t="e">
        <f t="shared" si="16"/>
        <v>#DIV/0!</v>
      </c>
      <c r="I101" s="51">
        <f t="shared" si="17"/>
        <v>0</v>
      </c>
    </row>
    <row r="102" spans="1:9">
      <c r="A102" s="47">
        <v>89</v>
      </c>
      <c r="B102" s="50">
        <f t="shared" si="11"/>
        <v>0</v>
      </c>
      <c r="C102" s="51">
        <f t="shared" si="18"/>
        <v>0</v>
      </c>
      <c r="D102" s="51">
        <f t="shared" si="12"/>
        <v>0</v>
      </c>
      <c r="E102" s="51">
        <f t="shared" si="14"/>
        <v>0</v>
      </c>
      <c r="F102" s="51">
        <f t="shared" si="15"/>
        <v>0</v>
      </c>
      <c r="G102" s="51">
        <f t="shared" si="13"/>
        <v>0</v>
      </c>
      <c r="H102" s="52" t="e">
        <f t="shared" si="16"/>
        <v>#DIV/0!</v>
      </c>
      <c r="I102" s="51">
        <f t="shared" si="17"/>
        <v>0</v>
      </c>
    </row>
    <row r="103" spans="1:9">
      <c r="A103" s="47">
        <v>90</v>
      </c>
      <c r="B103" s="50">
        <f t="shared" si="11"/>
        <v>0</v>
      </c>
      <c r="C103" s="51">
        <f t="shared" si="18"/>
        <v>0</v>
      </c>
      <c r="D103" s="51">
        <f t="shared" si="12"/>
        <v>0</v>
      </c>
      <c r="E103" s="51">
        <f t="shared" si="14"/>
        <v>0</v>
      </c>
      <c r="F103" s="51">
        <f t="shared" si="15"/>
        <v>0</v>
      </c>
      <c r="G103" s="51">
        <f t="shared" si="13"/>
        <v>0</v>
      </c>
      <c r="H103" s="52" t="e">
        <f t="shared" si="16"/>
        <v>#DIV/0!</v>
      </c>
      <c r="I103" s="51">
        <f t="shared" si="17"/>
        <v>0</v>
      </c>
    </row>
    <row r="104" spans="1:9">
      <c r="A104" s="47">
        <v>91</v>
      </c>
      <c r="B104" s="50">
        <f t="shared" si="11"/>
        <v>0</v>
      </c>
      <c r="C104" s="51">
        <f t="shared" si="18"/>
        <v>0</v>
      </c>
      <c r="D104" s="51">
        <f t="shared" si="12"/>
        <v>0</v>
      </c>
      <c r="E104" s="51">
        <f t="shared" si="14"/>
        <v>0</v>
      </c>
      <c r="F104" s="51">
        <f t="shared" si="15"/>
        <v>0</v>
      </c>
      <c r="G104" s="51">
        <f t="shared" si="13"/>
        <v>0</v>
      </c>
      <c r="H104" s="52" t="e">
        <f t="shared" si="16"/>
        <v>#DIV/0!</v>
      </c>
      <c r="I104" s="51">
        <f t="shared" si="17"/>
        <v>0</v>
      </c>
    </row>
    <row r="105" spans="1:9">
      <c r="A105" s="47">
        <v>92</v>
      </c>
      <c r="B105" s="50">
        <f t="shared" si="11"/>
        <v>0</v>
      </c>
      <c r="C105" s="51">
        <f t="shared" si="18"/>
        <v>0</v>
      </c>
      <c r="D105" s="51">
        <f t="shared" si="12"/>
        <v>0</v>
      </c>
      <c r="E105" s="51">
        <f t="shared" si="14"/>
        <v>0</v>
      </c>
      <c r="F105" s="51">
        <f t="shared" si="15"/>
        <v>0</v>
      </c>
      <c r="G105" s="51">
        <f t="shared" si="13"/>
        <v>0</v>
      </c>
      <c r="H105" s="52" t="e">
        <f t="shared" si="16"/>
        <v>#DIV/0!</v>
      </c>
      <c r="I105" s="51">
        <f t="shared" si="17"/>
        <v>0</v>
      </c>
    </row>
    <row r="106" spans="1:9">
      <c r="A106" s="47">
        <v>93</v>
      </c>
      <c r="B106" s="50">
        <f t="shared" si="11"/>
        <v>0</v>
      </c>
      <c r="C106" s="51">
        <f t="shared" si="18"/>
        <v>0</v>
      </c>
      <c r="D106" s="51">
        <f t="shared" si="12"/>
        <v>0</v>
      </c>
      <c r="E106" s="51">
        <f t="shared" si="14"/>
        <v>0</v>
      </c>
      <c r="F106" s="51">
        <f t="shared" si="15"/>
        <v>0</v>
      </c>
      <c r="G106" s="51">
        <f t="shared" si="13"/>
        <v>0</v>
      </c>
      <c r="H106" s="52" t="e">
        <f t="shared" si="16"/>
        <v>#DIV/0!</v>
      </c>
      <c r="I106" s="51">
        <f t="shared" si="17"/>
        <v>0</v>
      </c>
    </row>
    <row r="107" spans="1:9">
      <c r="A107" s="47">
        <v>94</v>
      </c>
      <c r="B107" s="50">
        <f t="shared" si="11"/>
        <v>0</v>
      </c>
      <c r="C107" s="51">
        <f t="shared" si="18"/>
        <v>0</v>
      </c>
      <c r="D107" s="51">
        <f t="shared" si="12"/>
        <v>0</v>
      </c>
      <c r="E107" s="51">
        <f t="shared" si="14"/>
        <v>0</v>
      </c>
      <c r="F107" s="51">
        <f t="shared" si="15"/>
        <v>0</v>
      </c>
      <c r="G107" s="51">
        <f t="shared" si="13"/>
        <v>0</v>
      </c>
      <c r="H107" s="52" t="e">
        <f t="shared" si="16"/>
        <v>#DIV/0!</v>
      </c>
      <c r="I107" s="51">
        <f t="shared" si="17"/>
        <v>0</v>
      </c>
    </row>
    <row r="108" spans="1:9">
      <c r="A108" s="47">
        <v>95</v>
      </c>
      <c r="B108" s="50">
        <f t="shared" si="11"/>
        <v>0</v>
      </c>
      <c r="C108" s="51">
        <f t="shared" si="18"/>
        <v>0</v>
      </c>
      <c r="D108" s="51">
        <f t="shared" si="12"/>
        <v>0</v>
      </c>
      <c r="E108" s="51">
        <f t="shared" si="14"/>
        <v>0</v>
      </c>
      <c r="F108" s="51">
        <f t="shared" si="15"/>
        <v>0</v>
      </c>
      <c r="G108" s="51">
        <f t="shared" si="13"/>
        <v>0</v>
      </c>
      <c r="H108" s="52" t="e">
        <f t="shared" si="16"/>
        <v>#DIV/0!</v>
      </c>
      <c r="I108" s="51">
        <f t="shared" si="17"/>
        <v>0</v>
      </c>
    </row>
    <row r="109" spans="1:9">
      <c r="A109" s="53">
        <v>96</v>
      </c>
      <c r="B109" s="54">
        <f t="shared" si="11"/>
        <v>0</v>
      </c>
      <c r="C109" s="55">
        <f t="shared" si="18"/>
        <v>0</v>
      </c>
      <c r="D109" s="55">
        <f t="shared" si="12"/>
        <v>0</v>
      </c>
      <c r="E109" s="55">
        <f t="shared" si="14"/>
        <v>0</v>
      </c>
      <c r="F109" s="55">
        <f t="shared" si="15"/>
        <v>0</v>
      </c>
      <c r="G109" s="55">
        <f t="shared" si="13"/>
        <v>0</v>
      </c>
      <c r="H109" s="56" t="e">
        <f t="shared" si="16"/>
        <v>#DIV/0!</v>
      </c>
      <c r="I109" s="55">
        <f t="shared" si="17"/>
        <v>0</v>
      </c>
    </row>
    <row r="110" spans="1:9">
      <c r="A110" s="47">
        <v>97</v>
      </c>
      <c r="B110" s="50">
        <f t="shared" si="11"/>
        <v>0</v>
      </c>
      <c r="C110" s="51">
        <f t="shared" si="18"/>
        <v>0</v>
      </c>
      <c r="D110" s="51">
        <f t="shared" si="12"/>
        <v>0</v>
      </c>
      <c r="E110" s="51">
        <f t="shared" si="14"/>
        <v>0</v>
      </c>
      <c r="F110" s="51">
        <f t="shared" si="15"/>
        <v>0</v>
      </c>
      <c r="G110" s="51">
        <f t="shared" si="13"/>
        <v>0</v>
      </c>
      <c r="H110" s="52" t="e">
        <f t="shared" si="16"/>
        <v>#DIV/0!</v>
      </c>
      <c r="I110" s="51">
        <f t="shared" si="17"/>
        <v>0</v>
      </c>
    </row>
    <row r="111" spans="1:9">
      <c r="A111" s="47">
        <v>98</v>
      </c>
      <c r="B111" s="50">
        <f t="shared" si="11"/>
        <v>0</v>
      </c>
      <c r="C111" s="51">
        <f t="shared" si="18"/>
        <v>0</v>
      </c>
      <c r="D111" s="51">
        <f t="shared" si="12"/>
        <v>0</v>
      </c>
      <c r="E111" s="51">
        <f t="shared" si="14"/>
        <v>0</v>
      </c>
      <c r="F111" s="51">
        <f t="shared" si="15"/>
        <v>0</v>
      </c>
      <c r="G111" s="51">
        <f t="shared" si="13"/>
        <v>0</v>
      </c>
      <c r="H111" s="52" t="e">
        <f t="shared" si="16"/>
        <v>#DIV/0!</v>
      </c>
      <c r="I111" s="51">
        <f t="shared" si="17"/>
        <v>0</v>
      </c>
    </row>
    <row r="112" spans="1:9">
      <c r="A112" s="47">
        <v>99</v>
      </c>
      <c r="B112" s="50">
        <f t="shared" si="11"/>
        <v>0</v>
      </c>
      <c r="C112" s="51">
        <f t="shared" si="18"/>
        <v>0</v>
      </c>
      <c r="D112" s="51">
        <f t="shared" si="12"/>
        <v>0</v>
      </c>
      <c r="E112" s="51">
        <f t="shared" si="14"/>
        <v>0</v>
      </c>
      <c r="F112" s="51">
        <f t="shared" si="15"/>
        <v>0</v>
      </c>
      <c r="G112" s="51">
        <f t="shared" si="13"/>
        <v>0</v>
      </c>
      <c r="H112" s="52" t="e">
        <f t="shared" si="16"/>
        <v>#DIV/0!</v>
      </c>
      <c r="I112" s="51">
        <f t="shared" si="17"/>
        <v>0</v>
      </c>
    </row>
    <row r="113" spans="1:9">
      <c r="A113" s="47">
        <v>100</v>
      </c>
      <c r="B113" s="50">
        <f t="shared" si="11"/>
        <v>0</v>
      </c>
      <c r="C113" s="51">
        <f t="shared" si="18"/>
        <v>0</v>
      </c>
      <c r="D113" s="51">
        <f t="shared" si="12"/>
        <v>0</v>
      </c>
      <c r="E113" s="51">
        <f t="shared" si="14"/>
        <v>0</v>
      </c>
      <c r="F113" s="51">
        <f t="shared" si="15"/>
        <v>0</v>
      </c>
      <c r="G113" s="51">
        <f t="shared" si="13"/>
        <v>0</v>
      </c>
      <c r="H113" s="52" t="e">
        <f t="shared" si="16"/>
        <v>#DIV/0!</v>
      </c>
      <c r="I113" s="51">
        <f t="shared" si="17"/>
        <v>0</v>
      </c>
    </row>
    <row r="114" spans="1:9">
      <c r="A114" s="47">
        <v>101</v>
      </c>
      <c r="B114" s="50">
        <f t="shared" si="11"/>
        <v>0</v>
      </c>
      <c r="C114" s="51">
        <f t="shared" si="18"/>
        <v>0</v>
      </c>
      <c r="D114" s="51">
        <f t="shared" si="12"/>
        <v>0</v>
      </c>
      <c r="E114" s="51">
        <f t="shared" si="14"/>
        <v>0</v>
      </c>
      <c r="F114" s="51">
        <f t="shared" si="15"/>
        <v>0</v>
      </c>
      <c r="G114" s="51">
        <f t="shared" si="13"/>
        <v>0</v>
      </c>
      <c r="H114" s="52" t="e">
        <f t="shared" si="16"/>
        <v>#DIV/0!</v>
      </c>
      <c r="I114" s="51">
        <f t="shared" si="17"/>
        <v>0</v>
      </c>
    </row>
    <row r="115" spans="1:9">
      <c r="A115" s="47">
        <v>102</v>
      </c>
      <c r="B115" s="50">
        <f t="shared" ref="B115:B178" si="19">$C$6</f>
        <v>0</v>
      </c>
      <c r="C115" s="51">
        <f t="shared" si="18"/>
        <v>0</v>
      </c>
      <c r="D115" s="51">
        <f t="shared" si="12"/>
        <v>0</v>
      </c>
      <c r="E115" s="51">
        <f t="shared" si="14"/>
        <v>0</v>
      </c>
      <c r="F115" s="51">
        <f t="shared" si="15"/>
        <v>0</v>
      </c>
      <c r="G115" s="51">
        <f t="shared" si="13"/>
        <v>0</v>
      </c>
      <c r="H115" s="52" t="e">
        <f t="shared" si="16"/>
        <v>#DIV/0!</v>
      </c>
      <c r="I115" s="51">
        <f t="shared" si="17"/>
        <v>0</v>
      </c>
    </row>
    <row r="116" spans="1:9">
      <c r="A116" s="47">
        <v>103</v>
      </c>
      <c r="B116" s="50">
        <f t="shared" si="19"/>
        <v>0</v>
      </c>
      <c r="C116" s="51">
        <f t="shared" si="18"/>
        <v>0</v>
      </c>
      <c r="D116" s="51">
        <f t="shared" si="12"/>
        <v>0</v>
      </c>
      <c r="E116" s="51">
        <f t="shared" si="14"/>
        <v>0</v>
      </c>
      <c r="F116" s="51">
        <f t="shared" si="15"/>
        <v>0</v>
      </c>
      <c r="G116" s="51">
        <f t="shared" si="13"/>
        <v>0</v>
      </c>
      <c r="H116" s="52" t="e">
        <f t="shared" si="16"/>
        <v>#DIV/0!</v>
      </c>
      <c r="I116" s="51">
        <f t="shared" si="17"/>
        <v>0</v>
      </c>
    </row>
    <row r="117" spans="1:9">
      <c r="A117" s="47">
        <v>104</v>
      </c>
      <c r="B117" s="50">
        <f t="shared" si="19"/>
        <v>0</v>
      </c>
      <c r="C117" s="51">
        <f t="shared" si="18"/>
        <v>0</v>
      </c>
      <c r="D117" s="51">
        <f t="shared" si="12"/>
        <v>0</v>
      </c>
      <c r="E117" s="51">
        <f t="shared" si="14"/>
        <v>0</v>
      </c>
      <c r="F117" s="51">
        <f t="shared" si="15"/>
        <v>0</v>
      </c>
      <c r="G117" s="51">
        <f t="shared" si="13"/>
        <v>0</v>
      </c>
      <c r="H117" s="52" t="e">
        <f t="shared" si="16"/>
        <v>#DIV/0!</v>
      </c>
      <c r="I117" s="51">
        <f t="shared" si="17"/>
        <v>0</v>
      </c>
    </row>
    <row r="118" spans="1:9">
      <c r="A118" s="47">
        <v>105</v>
      </c>
      <c r="B118" s="50">
        <f t="shared" si="19"/>
        <v>0</v>
      </c>
      <c r="C118" s="51">
        <f t="shared" si="18"/>
        <v>0</v>
      </c>
      <c r="D118" s="51">
        <f t="shared" si="12"/>
        <v>0</v>
      </c>
      <c r="E118" s="51">
        <f t="shared" si="14"/>
        <v>0</v>
      </c>
      <c r="F118" s="51">
        <f t="shared" si="15"/>
        <v>0</v>
      </c>
      <c r="G118" s="51">
        <f t="shared" si="13"/>
        <v>0</v>
      </c>
      <c r="H118" s="52" t="e">
        <f t="shared" si="16"/>
        <v>#DIV/0!</v>
      </c>
      <c r="I118" s="51">
        <f t="shared" si="17"/>
        <v>0</v>
      </c>
    </row>
    <row r="119" spans="1:9">
      <c r="A119" s="47">
        <v>106</v>
      </c>
      <c r="B119" s="50">
        <f t="shared" si="19"/>
        <v>0</v>
      </c>
      <c r="C119" s="51">
        <f t="shared" si="18"/>
        <v>0</v>
      </c>
      <c r="D119" s="51">
        <f t="shared" si="12"/>
        <v>0</v>
      </c>
      <c r="E119" s="51">
        <f t="shared" si="14"/>
        <v>0</v>
      </c>
      <c r="F119" s="51">
        <f t="shared" si="15"/>
        <v>0</v>
      </c>
      <c r="G119" s="51">
        <f t="shared" si="13"/>
        <v>0</v>
      </c>
      <c r="H119" s="52" t="e">
        <f t="shared" si="16"/>
        <v>#DIV/0!</v>
      </c>
      <c r="I119" s="51">
        <f t="shared" si="17"/>
        <v>0</v>
      </c>
    </row>
    <row r="120" spans="1:9">
      <c r="A120" s="47">
        <v>107</v>
      </c>
      <c r="B120" s="50">
        <f t="shared" si="19"/>
        <v>0</v>
      </c>
      <c r="C120" s="51">
        <f t="shared" si="18"/>
        <v>0</v>
      </c>
      <c r="D120" s="51">
        <f t="shared" si="12"/>
        <v>0</v>
      </c>
      <c r="E120" s="51">
        <f t="shared" si="14"/>
        <v>0</v>
      </c>
      <c r="F120" s="51">
        <f t="shared" si="15"/>
        <v>0</v>
      </c>
      <c r="G120" s="51">
        <f t="shared" si="13"/>
        <v>0</v>
      </c>
      <c r="H120" s="52" t="e">
        <f t="shared" si="16"/>
        <v>#DIV/0!</v>
      </c>
      <c r="I120" s="51">
        <f t="shared" si="17"/>
        <v>0</v>
      </c>
    </row>
    <row r="121" spans="1:9">
      <c r="A121" s="53">
        <v>108</v>
      </c>
      <c r="B121" s="54">
        <f t="shared" si="19"/>
        <v>0</v>
      </c>
      <c r="C121" s="55">
        <f t="shared" si="18"/>
        <v>0</v>
      </c>
      <c r="D121" s="55">
        <f t="shared" si="12"/>
        <v>0</v>
      </c>
      <c r="E121" s="55">
        <f t="shared" si="14"/>
        <v>0</v>
      </c>
      <c r="F121" s="55">
        <f t="shared" si="15"/>
        <v>0</v>
      </c>
      <c r="G121" s="55">
        <f t="shared" si="13"/>
        <v>0</v>
      </c>
      <c r="H121" s="56" t="e">
        <f t="shared" si="16"/>
        <v>#DIV/0!</v>
      </c>
      <c r="I121" s="55">
        <f t="shared" si="17"/>
        <v>0</v>
      </c>
    </row>
    <row r="122" spans="1:9">
      <c r="A122" s="47">
        <v>109</v>
      </c>
      <c r="B122" s="50">
        <f t="shared" si="19"/>
        <v>0</v>
      </c>
      <c r="C122" s="51">
        <f t="shared" si="18"/>
        <v>0</v>
      </c>
      <c r="D122" s="51">
        <f t="shared" si="12"/>
        <v>0</v>
      </c>
      <c r="E122" s="51">
        <f t="shared" si="14"/>
        <v>0</v>
      </c>
      <c r="F122" s="51">
        <f t="shared" si="15"/>
        <v>0</v>
      </c>
      <c r="G122" s="51">
        <f t="shared" si="13"/>
        <v>0</v>
      </c>
      <c r="H122" s="52" t="e">
        <f t="shared" si="16"/>
        <v>#DIV/0!</v>
      </c>
      <c r="I122" s="51">
        <f t="shared" si="17"/>
        <v>0</v>
      </c>
    </row>
    <row r="123" spans="1:9">
      <c r="A123" s="47">
        <v>110</v>
      </c>
      <c r="B123" s="50">
        <f t="shared" si="19"/>
        <v>0</v>
      </c>
      <c r="C123" s="51">
        <f t="shared" si="18"/>
        <v>0</v>
      </c>
      <c r="D123" s="51">
        <f t="shared" si="12"/>
        <v>0</v>
      </c>
      <c r="E123" s="51">
        <f t="shared" si="14"/>
        <v>0</v>
      </c>
      <c r="F123" s="51">
        <f t="shared" si="15"/>
        <v>0</v>
      </c>
      <c r="G123" s="51">
        <f t="shared" si="13"/>
        <v>0</v>
      </c>
      <c r="H123" s="52" t="e">
        <f t="shared" si="16"/>
        <v>#DIV/0!</v>
      </c>
      <c r="I123" s="51">
        <f t="shared" si="17"/>
        <v>0</v>
      </c>
    </row>
    <row r="124" spans="1:9">
      <c r="A124" s="47">
        <v>111</v>
      </c>
      <c r="B124" s="50">
        <f t="shared" si="19"/>
        <v>0</v>
      </c>
      <c r="C124" s="51">
        <f t="shared" si="18"/>
        <v>0</v>
      </c>
      <c r="D124" s="51">
        <f t="shared" si="12"/>
        <v>0</v>
      </c>
      <c r="E124" s="51">
        <f t="shared" si="14"/>
        <v>0</v>
      </c>
      <c r="F124" s="51">
        <f t="shared" si="15"/>
        <v>0</v>
      </c>
      <c r="G124" s="51">
        <f t="shared" si="13"/>
        <v>0</v>
      </c>
      <c r="H124" s="52" t="e">
        <f t="shared" si="16"/>
        <v>#DIV/0!</v>
      </c>
      <c r="I124" s="51">
        <f t="shared" si="17"/>
        <v>0</v>
      </c>
    </row>
    <row r="125" spans="1:9">
      <c r="A125" s="47">
        <v>112</v>
      </c>
      <c r="B125" s="50">
        <f t="shared" si="19"/>
        <v>0</v>
      </c>
      <c r="C125" s="51">
        <f t="shared" si="18"/>
        <v>0</v>
      </c>
      <c r="D125" s="51">
        <f t="shared" si="12"/>
        <v>0</v>
      </c>
      <c r="E125" s="51">
        <f t="shared" si="14"/>
        <v>0</v>
      </c>
      <c r="F125" s="51">
        <f t="shared" si="15"/>
        <v>0</v>
      </c>
      <c r="G125" s="51">
        <f t="shared" si="13"/>
        <v>0</v>
      </c>
      <c r="H125" s="52" t="e">
        <f t="shared" si="16"/>
        <v>#DIV/0!</v>
      </c>
      <c r="I125" s="51">
        <f t="shared" si="17"/>
        <v>0</v>
      </c>
    </row>
    <row r="126" spans="1:9">
      <c r="A126" s="47">
        <v>113</v>
      </c>
      <c r="B126" s="50">
        <f t="shared" si="19"/>
        <v>0</v>
      </c>
      <c r="C126" s="51">
        <f t="shared" si="18"/>
        <v>0</v>
      </c>
      <c r="D126" s="51">
        <f t="shared" si="12"/>
        <v>0</v>
      </c>
      <c r="E126" s="51">
        <f t="shared" si="14"/>
        <v>0</v>
      </c>
      <c r="F126" s="51">
        <f t="shared" si="15"/>
        <v>0</v>
      </c>
      <c r="G126" s="51">
        <f t="shared" si="13"/>
        <v>0</v>
      </c>
      <c r="H126" s="52" t="e">
        <f t="shared" si="16"/>
        <v>#DIV/0!</v>
      </c>
      <c r="I126" s="51">
        <f t="shared" si="17"/>
        <v>0</v>
      </c>
    </row>
    <row r="127" spans="1:9">
      <c r="A127" s="47">
        <v>114</v>
      </c>
      <c r="B127" s="50">
        <f t="shared" si="19"/>
        <v>0</v>
      </c>
      <c r="C127" s="51">
        <f t="shared" si="18"/>
        <v>0</v>
      </c>
      <c r="D127" s="51">
        <f t="shared" si="12"/>
        <v>0</v>
      </c>
      <c r="E127" s="51">
        <f t="shared" si="14"/>
        <v>0</v>
      </c>
      <c r="F127" s="51">
        <f t="shared" si="15"/>
        <v>0</v>
      </c>
      <c r="G127" s="51">
        <f t="shared" si="13"/>
        <v>0</v>
      </c>
      <c r="H127" s="52" t="e">
        <f t="shared" si="16"/>
        <v>#DIV/0!</v>
      </c>
      <c r="I127" s="51">
        <f t="shared" si="17"/>
        <v>0</v>
      </c>
    </row>
    <row r="128" spans="1:9">
      <c r="A128" s="47">
        <v>115</v>
      </c>
      <c r="B128" s="50">
        <f t="shared" si="19"/>
        <v>0</v>
      </c>
      <c r="C128" s="51">
        <f t="shared" si="18"/>
        <v>0</v>
      </c>
      <c r="D128" s="51">
        <f t="shared" si="12"/>
        <v>0</v>
      </c>
      <c r="E128" s="51">
        <f t="shared" si="14"/>
        <v>0</v>
      </c>
      <c r="F128" s="51">
        <f t="shared" si="15"/>
        <v>0</v>
      </c>
      <c r="G128" s="51">
        <f t="shared" si="13"/>
        <v>0</v>
      </c>
      <c r="H128" s="52" t="e">
        <f t="shared" si="16"/>
        <v>#DIV/0!</v>
      </c>
      <c r="I128" s="51">
        <f t="shared" si="17"/>
        <v>0</v>
      </c>
    </row>
    <row r="129" spans="1:9">
      <c r="A129" s="47">
        <v>116</v>
      </c>
      <c r="B129" s="50">
        <f t="shared" si="19"/>
        <v>0</v>
      </c>
      <c r="C129" s="51">
        <f t="shared" si="18"/>
        <v>0</v>
      </c>
      <c r="D129" s="51">
        <f t="shared" si="12"/>
        <v>0</v>
      </c>
      <c r="E129" s="51">
        <f t="shared" si="14"/>
        <v>0</v>
      </c>
      <c r="F129" s="51">
        <f t="shared" si="15"/>
        <v>0</v>
      </c>
      <c r="G129" s="51">
        <f t="shared" si="13"/>
        <v>0</v>
      </c>
      <c r="H129" s="52" t="e">
        <f t="shared" si="16"/>
        <v>#DIV/0!</v>
      </c>
      <c r="I129" s="51">
        <f t="shared" si="17"/>
        <v>0</v>
      </c>
    </row>
    <row r="130" spans="1:9">
      <c r="A130" s="47">
        <v>117</v>
      </c>
      <c r="B130" s="50">
        <f t="shared" si="19"/>
        <v>0</v>
      </c>
      <c r="C130" s="51">
        <f t="shared" si="18"/>
        <v>0</v>
      </c>
      <c r="D130" s="51">
        <f t="shared" si="12"/>
        <v>0</v>
      </c>
      <c r="E130" s="51">
        <f t="shared" si="14"/>
        <v>0</v>
      </c>
      <c r="F130" s="51">
        <f t="shared" si="15"/>
        <v>0</v>
      </c>
      <c r="G130" s="51">
        <f t="shared" si="13"/>
        <v>0</v>
      </c>
      <c r="H130" s="52" t="e">
        <f t="shared" si="16"/>
        <v>#DIV/0!</v>
      </c>
      <c r="I130" s="51">
        <f t="shared" si="17"/>
        <v>0</v>
      </c>
    </row>
    <row r="131" spans="1:9">
      <c r="A131" s="47">
        <v>118</v>
      </c>
      <c r="B131" s="50">
        <f t="shared" si="19"/>
        <v>0</v>
      </c>
      <c r="C131" s="51">
        <f t="shared" si="18"/>
        <v>0</v>
      </c>
      <c r="D131" s="51">
        <f t="shared" si="12"/>
        <v>0</v>
      </c>
      <c r="E131" s="51">
        <f t="shared" si="14"/>
        <v>0</v>
      </c>
      <c r="F131" s="51">
        <f t="shared" si="15"/>
        <v>0</v>
      </c>
      <c r="G131" s="51">
        <f t="shared" si="13"/>
        <v>0</v>
      </c>
      <c r="H131" s="52" t="e">
        <f t="shared" si="16"/>
        <v>#DIV/0!</v>
      </c>
      <c r="I131" s="51">
        <f t="shared" si="17"/>
        <v>0</v>
      </c>
    </row>
    <row r="132" spans="1:9">
      <c r="A132" s="47">
        <v>119</v>
      </c>
      <c r="B132" s="50">
        <f t="shared" si="19"/>
        <v>0</v>
      </c>
      <c r="C132" s="51">
        <f t="shared" si="18"/>
        <v>0</v>
      </c>
      <c r="D132" s="51">
        <f t="shared" si="12"/>
        <v>0</v>
      </c>
      <c r="E132" s="51">
        <f t="shared" si="14"/>
        <v>0</v>
      </c>
      <c r="F132" s="51">
        <f t="shared" si="15"/>
        <v>0</v>
      </c>
      <c r="G132" s="51">
        <f t="shared" si="13"/>
        <v>0</v>
      </c>
      <c r="H132" s="52" t="e">
        <f t="shared" si="16"/>
        <v>#DIV/0!</v>
      </c>
      <c r="I132" s="51">
        <f t="shared" si="17"/>
        <v>0</v>
      </c>
    </row>
    <row r="133" spans="1:9">
      <c r="A133" s="47">
        <v>120</v>
      </c>
      <c r="B133" s="50">
        <f t="shared" si="19"/>
        <v>0</v>
      </c>
      <c r="C133" s="51">
        <f t="shared" si="18"/>
        <v>0</v>
      </c>
      <c r="D133" s="51">
        <f t="shared" si="12"/>
        <v>0</v>
      </c>
      <c r="E133" s="51">
        <f t="shared" si="14"/>
        <v>0</v>
      </c>
      <c r="F133" s="51">
        <f t="shared" si="15"/>
        <v>0</v>
      </c>
      <c r="G133" s="51">
        <f t="shared" si="13"/>
        <v>0</v>
      </c>
      <c r="H133" s="52" t="e">
        <f t="shared" si="16"/>
        <v>#DIV/0!</v>
      </c>
      <c r="I133" s="51">
        <f t="shared" si="17"/>
        <v>0</v>
      </c>
    </row>
    <row r="134" spans="1:9">
      <c r="A134" s="47">
        <v>121</v>
      </c>
      <c r="B134" s="50">
        <f t="shared" si="19"/>
        <v>0</v>
      </c>
      <c r="C134" s="51">
        <f t="shared" si="18"/>
        <v>0</v>
      </c>
      <c r="D134" s="51">
        <f t="shared" si="12"/>
        <v>0</v>
      </c>
      <c r="E134" s="51">
        <f t="shared" si="14"/>
        <v>0</v>
      </c>
      <c r="F134" s="51">
        <f t="shared" si="15"/>
        <v>0</v>
      </c>
      <c r="G134" s="51">
        <f t="shared" si="13"/>
        <v>0</v>
      </c>
      <c r="H134" s="52" t="e">
        <f t="shared" si="16"/>
        <v>#DIV/0!</v>
      </c>
      <c r="I134" s="51">
        <f t="shared" si="17"/>
        <v>0</v>
      </c>
    </row>
    <row r="135" spans="1:9">
      <c r="A135" s="47">
        <v>122</v>
      </c>
      <c r="B135" s="50">
        <f t="shared" si="19"/>
        <v>0</v>
      </c>
      <c r="C135" s="51">
        <f t="shared" si="18"/>
        <v>0</v>
      </c>
      <c r="D135" s="51">
        <f t="shared" si="12"/>
        <v>0</v>
      </c>
      <c r="E135" s="51">
        <f t="shared" si="14"/>
        <v>0</v>
      </c>
      <c r="F135" s="51">
        <f t="shared" si="15"/>
        <v>0</v>
      </c>
      <c r="G135" s="51">
        <f t="shared" si="13"/>
        <v>0</v>
      </c>
      <c r="H135" s="52" t="e">
        <f t="shared" si="16"/>
        <v>#DIV/0!</v>
      </c>
      <c r="I135" s="51">
        <f t="shared" si="17"/>
        <v>0</v>
      </c>
    </row>
    <row r="136" spans="1:9">
      <c r="A136" s="47">
        <v>123</v>
      </c>
      <c r="B136" s="50">
        <f t="shared" si="19"/>
        <v>0</v>
      </c>
      <c r="C136" s="51">
        <f t="shared" si="18"/>
        <v>0</v>
      </c>
      <c r="D136" s="51">
        <f t="shared" si="12"/>
        <v>0</v>
      </c>
      <c r="E136" s="51">
        <f t="shared" si="14"/>
        <v>0</v>
      </c>
      <c r="F136" s="51">
        <f t="shared" si="15"/>
        <v>0</v>
      </c>
      <c r="G136" s="51">
        <f t="shared" si="13"/>
        <v>0</v>
      </c>
      <c r="H136" s="52" t="e">
        <f t="shared" si="16"/>
        <v>#DIV/0!</v>
      </c>
      <c r="I136" s="51">
        <f t="shared" si="17"/>
        <v>0</v>
      </c>
    </row>
    <row r="137" spans="1:9">
      <c r="A137" s="47">
        <v>124</v>
      </c>
      <c r="B137" s="50">
        <f t="shared" si="19"/>
        <v>0</v>
      </c>
      <c r="C137" s="51">
        <f t="shared" si="18"/>
        <v>0</v>
      </c>
      <c r="D137" s="51">
        <f t="shared" si="12"/>
        <v>0</v>
      </c>
      <c r="E137" s="51">
        <f t="shared" si="14"/>
        <v>0</v>
      </c>
      <c r="F137" s="51">
        <f t="shared" si="15"/>
        <v>0</v>
      </c>
      <c r="G137" s="51">
        <f t="shared" si="13"/>
        <v>0</v>
      </c>
      <c r="H137" s="52" t="e">
        <f t="shared" si="16"/>
        <v>#DIV/0!</v>
      </c>
      <c r="I137" s="51">
        <f t="shared" si="17"/>
        <v>0</v>
      </c>
    </row>
    <row r="138" spans="1:9">
      <c r="A138" s="47">
        <v>125</v>
      </c>
      <c r="B138" s="50">
        <f t="shared" si="19"/>
        <v>0</v>
      </c>
      <c r="C138" s="51">
        <f t="shared" si="18"/>
        <v>0</v>
      </c>
      <c r="D138" s="51">
        <f t="shared" si="12"/>
        <v>0</v>
      </c>
      <c r="E138" s="51">
        <f t="shared" si="14"/>
        <v>0</v>
      </c>
      <c r="F138" s="51">
        <f t="shared" si="15"/>
        <v>0</v>
      </c>
      <c r="G138" s="51">
        <f t="shared" si="13"/>
        <v>0</v>
      </c>
      <c r="H138" s="52" t="e">
        <f t="shared" si="16"/>
        <v>#DIV/0!</v>
      </c>
      <c r="I138" s="51">
        <f t="shared" si="17"/>
        <v>0</v>
      </c>
    </row>
    <row r="139" spans="1:9">
      <c r="A139" s="47">
        <v>126</v>
      </c>
      <c r="B139" s="50">
        <f t="shared" si="19"/>
        <v>0</v>
      </c>
      <c r="C139" s="51">
        <f t="shared" si="18"/>
        <v>0</v>
      </c>
      <c r="D139" s="51">
        <f t="shared" si="12"/>
        <v>0</v>
      </c>
      <c r="E139" s="51">
        <f t="shared" si="14"/>
        <v>0</v>
      </c>
      <c r="F139" s="51">
        <f t="shared" si="15"/>
        <v>0</v>
      </c>
      <c r="G139" s="51">
        <f t="shared" si="13"/>
        <v>0</v>
      </c>
      <c r="H139" s="52" t="e">
        <f t="shared" si="16"/>
        <v>#DIV/0!</v>
      </c>
      <c r="I139" s="51">
        <f t="shared" si="17"/>
        <v>0</v>
      </c>
    </row>
    <row r="140" spans="1:9">
      <c r="A140" s="47">
        <v>127</v>
      </c>
      <c r="B140" s="50">
        <f t="shared" si="19"/>
        <v>0</v>
      </c>
      <c r="C140" s="51">
        <f t="shared" si="18"/>
        <v>0</v>
      </c>
      <c r="D140" s="51">
        <f t="shared" si="12"/>
        <v>0</v>
      </c>
      <c r="E140" s="51">
        <f t="shared" si="14"/>
        <v>0</v>
      </c>
      <c r="F140" s="51">
        <f t="shared" si="15"/>
        <v>0</v>
      </c>
      <c r="G140" s="51">
        <f t="shared" si="13"/>
        <v>0</v>
      </c>
      <c r="H140" s="52" t="e">
        <f t="shared" si="16"/>
        <v>#DIV/0!</v>
      </c>
      <c r="I140" s="51">
        <f t="shared" si="17"/>
        <v>0</v>
      </c>
    </row>
    <row r="141" spans="1:9">
      <c r="A141" s="47">
        <v>128</v>
      </c>
      <c r="B141" s="50">
        <f t="shared" si="19"/>
        <v>0</v>
      </c>
      <c r="C141" s="51">
        <f t="shared" si="18"/>
        <v>0</v>
      </c>
      <c r="D141" s="51">
        <f t="shared" si="12"/>
        <v>0</v>
      </c>
      <c r="E141" s="51">
        <f t="shared" si="14"/>
        <v>0</v>
      </c>
      <c r="F141" s="51">
        <f t="shared" si="15"/>
        <v>0</v>
      </c>
      <c r="G141" s="51">
        <f t="shared" si="13"/>
        <v>0</v>
      </c>
      <c r="H141" s="52" t="e">
        <f t="shared" si="16"/>
        <v>#DIV/0!</v>
      </c>
      <c r="I141" s="51">
        <f t="shared" si="17"/>
        <v>0</v>
      </c>
    </row>
    <row r="142" spans="1:9">
      <c r="A142" s="47">
        <v>129</v>
      </c>
      <c r="B142" s="50">
        <f t="shared" si="19"/>
        <v>0</v>
      </c>
      <c r="C142" s="51">
        <f t="shared" si="18"/>
        <v>0</v>
      </c>
      <c r="D142" s="51">
        <f t="shared" ref="D142:D205" si="20">IF(C142+E142&gt;$C$10,$C$10,C142+E142)</f>
        <v>0</v>
      </c>
      <c r="E142" s="51">
        <f t="shared" si="14"/>
        <v>0</v>
      </c>
      <c r="F142" s="51">
        <f t="shared" si="15"/>
        <v>0</v>
      </c>
      <c r="G142" s="51">
        <f t="shared" ref="G142:G205" si="21">C142-F142</f>
        <v>0</v>
      </c>
      <c r="H142" s="52" t="e">
        <f t="shared" si="16"/>
        <v>#DIV/0!</v>
      </c>
      <c r="I142" s="51">
        <f t="shared" si="17"/>
        <v>0</v>
      </c>
    </row>
    <row r="143" spans="1:9">
      <c r="A143" s="47">
        <v>130</v>
      </c>
      <c r="B143" s="50">
        <f t="shared" si="19"/>
        <v>0</v>
      </c>
      <c r="C143" s="51">
        <f t="shared" si="18"/>
        <v>0</v>
      </c>
      <c r="D143" s="51">
        <f t="shared" si="20"/>
        <v>0</v>
      </c>
      <c r="E143" s="51">
        <f t="shared" ref="E143:E206" si="22">C143*(B143/12)</f>
        <v>0</v>
      </c>
      <c r="F143" s="51">
        <f t="shared" ref="F143:F206" si="23">IF(C143&lt;$C$10,C143,D143-E143)</f>
        <v>0</v>
      </c>
      <c r="G143" s="51">
        <f t="shared" si="21"/>
        <v>0</v>
      </c>
      <c r="H143" s="52" t="e">
        <f t="shared" ref="H143:H206" si="24">G143/$C$1</f>
        <v>#DIV/0!</v>
      </c>
      <c r="I143" s="51">
        <f t="shared" ref="I143:I206" si="25">C143*$I$10/12</f>
        <v>0</v>
      </c>
    </row>
    <row r="144" spans="1:9">
      <c r="A144" s="47">
        <v>131</v>
      </c>
      <c r="B144" s="50">
        <f t="shared" si="19"/>
        <v>0</v>
      </c>
      <c r="C144" s="51">
        <f t="shared" ref="C144:C207" si="26">G143</f>
        <v>0</v>
      </c>
      <c r="D144" s="51">
        <f t="shared" si="20"/>
        <v>0</v>
      </c>
      <c r="E144" s="51">
        <f t="shared" si="22"/>
        <v>0</v>
      </c>
      <c r="F144" s="51">
        <f t="shared" si="23"/>
        <v>0</v>
      </c>
      <c r="G144" s="51">
        <f t="shared" si="21"/>
        <v>0</v>
      </c>
      <c r="H144" s="52" t="e">
        <f t="shared" si="24"/>
        <v>#DIV/0!</v>
      </c>
      <c r="I144" s="51">
        <f t="shared" si="25"/>
        <v>0</v>
      </c>
    </row>
    <row r="145" spans="1:9">
      <c r="A145" s="47">
        <v>132</v>
      </c>
      <c r="B145" s="50">
        <f t="shared" si="19"/>
        <v>0</v>
      </c>
      <c r="C145" s="51">
        <f t="shared" si="26"/>
        <v>0</v>
      </c>
      <c r="D145" s="51">
        <f t="shared" si="20"/>
        <v>0</v>
      </c>
      <c r="E145" s="51">
        <f t="shared" si="22"/>
        <v>0</v>
      </c>
      <c r="F145" s="51">
        <f t="shared" si="23"/>
        <v>0</v>
      </c>
      <c r="G145" s="51">
        <f t="shared" si="21"/>
        <v>0</v>
      </c>
      <c r="H145" s="52" t="e">
        <f t="shared" si="24"/>
        <v>#DIV/0!</v>
      </c>
      <c r="I145" s="51">
        <f t="shared" si="25"/>
        <v>0</v>
      </c>
    </row>
    <row r="146" spans="1:9">
      <c r="A146" s="47">
        <v>133</v>
      </c>
      <c r="B146" s="50">
        <f t="shared" si="19"/>
        <v>0</v>
      </c>
      <c r="C146" s="51">
        <f t="shared" si="26"/>
        <v>0</v>
      </c>
      <c r="D146" s="51">
        <f t="shared" si="20"/>
        <v>0</v>
      </c>
      <c r="E146" s="51">
        <f t="shared" si="22"/>
        <v>0</v>
      </c>
      <c r="F146" s="51">
        <f t="shared" si="23"/>
        <v>0</v>
      </c>
      <c r="G146" s="51">
        <f t="shared" si="21"/>
        <v>0</v>
      </c>
      <c r="H146" s="52" t="e">
        <f t="shared" si="24"/>
        <v>#DIV/0!</v>
      </c>
      <c r="I146" s="51">
        <f t="shared" si="25"/>
        <v>0</v>
      </c>
    </row>
    <row r="147" spans="1:9">
      <c r="A147" s="47">
        <v>134</v>
      </c>
      <c r="B147" s="50">
        <f t="shared" si="19"/>
        <v>0</v>
      </c>
      <c r="C147" s="51">
        <f t="shared" si="26"/>
        <v>0</v>
      </c>
      <c r="D147" s="51">
        <f t="shared" si="20"/>
        <v>0</v>
      </c>
      <c r="E147" s="51">
        <f t="shared" si="22"/>
        <v>0</v>
      </c>
      <c r="F147" s="51">
        <f t="shared" si="23"/>
        <v>0</v>
      </c>
      <c r="G147" s="51">
        <f t="shared" si="21"/>
        <v>0</v>
      </c>
      <c r="H147" s="52" t="e">
        <f t="shared" si="24"/>
        <v>#DIV/0!</v>
      </c>
      <c r="I147" s="51">
        <f t="shared" si="25"/>
        <v>0</v>
      </c>
    </row>
    <row r="148" spans="1:9">
      <c r="A148" s="47">
        <v>135</v>
      </c>
      <c r="B148" s="50">
        <f t="shared" si="19"/>
        <v>0</v>
      </c>
      <c r="C148" s="51">
        <f t="shared" si="26"/>
        <v>0</v>
      </c>
      <c r="D148" s="51">
        <f t="shared" si="20"/>
        <v>0</v>
      </c>
      <c r="E148" s="51">
        <f t="shared" si="22"/>
        <v>0</v>
      </c>
      <c r="F148" s="51">
        <f t="shared" si="23"/>
        <v>0</v>
      </c>
      <c r="G148" s="51">
        <f t="shared" si="21"/>
        <v>0</v>
      </c>
      <c r="H148" s="52" t="e">
        <f t="shared" si="24"/>
        <v>#DIV/0!</v>
      </c>
      <c r="I148" s="51">
        <f t="shared" si="25"/>
        <v>0</v>
      </c>
    </row>
    <row r="149" spans="1:9">
      <c r="A149" s="47">
        <v>136</v>
      </c>
      <c r="B149" s="50">
        <f t="shared" si="19"/>
        <v>0</v>
      </c>
      <c r="C149" s="51">
        <f t="shared" si="26"/>
        <v>0</v>
      </c>
      <c r="D149" s="51">
        <f t="shared" si="20"/>
        <v>0</v>
      </c>
      <c r="E149" s="51">
        <f t="shared" si="22"/>
        <v>0</v>
      </c>
      <c r="F149" s="51">
        <f t="shared" si="23"/>
        <v>0</v>
      </c>
      <c r="G149" s="51">
        <f t="shared" si="21"/>
        <v>0</v>
      </c>
      <c r="H149" s="52" t="e">
        <f t="shared" si="24"/>
        <v>#DIV/0!</v>
      </c>
      <c r="I149" s="51">
        <f t="shared" si="25"/>
        <v>0</v>
      </c>
    </row>
    <row r="150" spans="1:9">
      <c r="A150" s="47">
        <v>137</v>
      </c>
      <c r="B150" s="50">
        <f t="shared" si="19"/>
        <v>0</v>
      </c>
      <c r="C150" s="51">
        <f t="shared" si="26"/>
        <v>0</v>
      </c>
      <c r="D150" s="51">
        <f t="shared" si="20"/>
        <v>0</v>
      </c>
      <c r="E150" s="51">
        <f t="shared" si="22"/>
        <v>0</v>
      </c>
      <c r="F150" s="51">
        <f t="shared" si="23"/>
        <v>0</v>
      </c>
      <c r="G150" s="51">
        <f t="shared" si="21"/>
        <v>0</v>
      </c>
      <c r="H150" s="52" t="e">
        <f t="shared" si="24"/>
        <v>#DIV/0!</v>
      </c>
      <c r="I150" s="51">
        <f t="shared" si="25"/>
        <v>0</v>
      </c>
    </row>
    <row r="151" spans="1:9">
      <c r="A151" s="47">
        <v>138</v>
      </c>
      <c r="B151" s="50">
        <f t="shared" si="19"/>
        <v>0</v>
      </c>
      <c r="C151" s="51">
        <f t="shared" si="26"/>
        <v>0</v>
      </c>
      <c r="D151" s="51">
        <f t="shared" si="20"/>
        <v>0</v>
      </c>
      <c r="E151" s="51">
        <f t="shared" si="22"/>
        <v>0</v>
      </c>
      <c r="F151" s="51">
        <f t="shared" si="23"/>
        <v>0</v>
      </c>
      <c r="G151" s="51">
        <f t="shared" si="21"/>
        <v>0</v>
      </c>
      <c r="H151" s="52" t="e">
        <f t="shared" si="24"/>
        <v>#DIV/0!</v>
      </c>
      <c r="I151" s="51">
        <f t="shared" si="25"/>
        <v>0</v>
      </c>
    </row>
    <row r="152" spans="1:9">
      <c r="A152" s="47">
        <v>139</v>
      </c>
      <c r="B152" s="50">
        <f t="shared" si="19"/>
        <v>0</v>
      </c>
      <c r="C152" s="51">
        <f t="shared" si="26"/>
        <v>0</v>
      </c>
      <c r="D152" s="51">
        <f t="shared" si="20"/>
        <v>0</v>
      </c>
      <c r="E152" s="51">
        <f t="shared" si="22"/>
        <v>0</v>
      </c>
      <c r="F152" s="51">
        <f t="shared" si="23"/>
        <v>0</v>
      </c>
      <c r="G152" s="51">
        <f t="shared" si="21"/>
        <v>0</v>
      </c>
      <c r="H152" s="52" t="e">
        <f t="shared" si="24"/>
        <v>#DIV/0!</v>
      </c>
      <c r="I152" s="51">
        <f t="shared" si="25"/>
        <v>0</v>
      </c>
    </row>
    <row r="153" spans="1:9">
      <c r="A153" s="47">
        <v>140</v>
      </c>
      <c r="B153" s="50">
        <f t="shared" si="19"/>
        <v>0</v>
      </c>
      <c r="C153" s="51">
        <f t="shared" si="26"/>
        <v>0</v>
      </c>
      <c r="D153" s="51">
        <f t="shared" si="20"/>
        <v>0</v>
      </c>
      <c r="E153" s="51">
        <f t="shared" si="22"/>
        <v>0</v>
      </c>
      <c r="F153" s="51">
        <f t="shared" si="23"/>
        <v>0</v>
      </c>
      <c r="G153" s="51">
        <f t="shared" si="21"/>
        <v>0</v>
      </c>
      <c r="H153" s="52" t="e">
        <f t="shared" si="24"/>
        <v>#DIV/0!</v>
      </c>
      <c r="I153" s="51">
        <f t="shared" si="25"/>
        <v>0</v>
      </c>
    </row>
    <row r="154" spans="1:9">
      <c r="A154" s="47">
        <v>141</v>
      </c>
      <c r="B154" s="50">
        <f t="shared" si="19"/>
        <v>0</v>
      </c>
      <c r="C154" s="51">
        <f t="shared" si="26"/>
        <v>0</v>
      </c>
      <c r="D154" s="51">
        <f t="shared" si="20"/>
        <v>0</v>
      </c>
      <c r="E154" s="51">
        <f t="shared" si="22"/>
        <v>0</v>
      </c>
      <c r="F154" s="51">
        <f t="shared" si="23"/>
        <v>0</v>
      </c>
      <c r="G154" s="51">
        <f t="shared" si="21"/>
        <v>0</v>
      </c>
      <c r="H154" s="52" t="e">
        <f t="shared" si="24"/>
        <v>#DIV/0!</v>
      </c>
      <c r="I154" s="51">
        <f t="shared" si="25"/>
        <v>0</v>
      </c>
    </row>
    <row r="155" spans="1:9">
      <c r="A155" s="47">
        <v>142</v>
      </c>
      <c r="B155" s="50">
        <f t="shared" si="19"/>
        <v>0</v>
      </c>
      <c r="C155" s="51">
        <f t="shared" si="26"/>
        <v>0</v>
      </c>
      <c r="D155" s="51">
        <f t="shared" si="20"/>
        <v>0</v>
      </c>
      <c r="E155" s="51">
        <f t="shared" si="22"/>
        <v>0</v>
      </c>
      <c r="F155" s="51">
        <f t="shared" si="23"/>
        <v>0</v>
      </c>
      <c r="G155" s="51">
        <f t="shared" si="21"/>
        <v>0</v>
      </c>
      <c r="H155" s="52" t="e">
        <f t="shared" si="24"/>
        <v>#DIV/0!</v>
      </c>
      <c r="I155" s="51">
        <f t="shared" si="25"/>
        <v>0</v>
      </c>
    </row>
    <row r="156" spans="1:9">
      <c r="A156" s="47">
        <v>143</v>
      </c>
      <c r="B156" s="50">
        <f t="shared" si="19"/>
        <v>0</v>
      </c>
      <c r="C156" s="51">
        <f t="shared" si="26"/>
        <v>0</v>
      </c>
      <c r="D156" s="51">
        <f t="shared" si="20"/>
        <v>0</v>
      </c>
      <c r="E156" s="51">
        <f t="shared" si="22"/>
        <v>0</v>
      </c>
      <c r="F156" s="51">
        <f t="shared" si="23"/>
        <v>0</v>
      </c>
      <c r="G156" s="51">
        <f t="shared" si="21"/>
        <v>0</v>
      </c>
      <c r="H156" s="52" t="e">
        <f t="shared" si="24"/>
        <v>#DIV/0!</v>
      </c>
      <c r="I156" s="51">
        <f t="shared" si="25"/>
        <v>0</v>
      </c>
    </row>
    <row r="157" spans="1:9">
      <c r="A157" s="47">
        <v>144</v>
      </c>
      <c r="B157" s="50">
        <f t="shared" si="19"/>
        <v>0</v>
      </c>
      <c r="C157" s="51">
        <f t="shared" si="26"/>
        <v>0</v>
      </c>
      <c r="D157" s="51">
        <f t="shared" si="20"/>
        <v>0</v>
      </c>
      <c r="E157" s="51">
        <f t="shared" si="22"/>
        <v>0</v>
      </c>
      <c r="F157" s="51">
        <f t="shared" si="23"/>
        <v>0</v>
      </c>
      <c r="G157" s="51">
        <f t="shared" si="21"/>
        <v>0</v>
      </c>
      <c r="H157" s="52" t="e">
        <f t="shared" si="24"/>
        <v>#DIV/0!</v>
      </c>
      <c r="I157" s="51">
        <f t="shared" si="25"/>
        <v>0</v>
      </c>
    </row>
    <row r="158" spans="1:9">
      <c r="A158" s="47">
        <v>145</v>
      </c>
      <c r="B158" s="50">
        <f t="shared" si="19"/>
        <v>0</v>
      </c>
      <c r="C158" s="51">
        <f t="shared" si="26"/>
        <v>0</v>
      </c>
      <c r="D158" s="51">
        <f t="shared" si="20"/>
        <v>0</v>
      </c>
      <c r="E158" s="51">
        <f t="shared" si="22"/>
        <v>0</v>
      </c>
      <c r="F158" s="51">
        <f t="shared" si="23"/>
        <v>0</v>
      </c>
      <c r="G158" s="51">
        <f t="shared" si="21"/>
        <v>0</v>
      </c>
      <c r="H158" s="52" t="e">
        <f t="shared" si="24"/>
        <v>#DIV/0!</v>
      </c>
      <c r="I158" s="51">
        <f t="shared" si="25"/>
        <v>0</v>
      </c>
    </row>
    <row r="159" spans="1:9">
      <c r="A159" s="47">
        <v>146</v>
      </c>
      <c r="B159" s="50">
        <f t="shared" si="19"/>
        <v>0</v>
      </c>
      <c r="C159" s="51">
        <f t="shared" si="26"/>
        <v>0</v>
      </c>
      <c r="D159" s="51">
        <f t="shared" si="20"/>
        <v>0</v>
      </c>
      <c r="E159" s="51">
        <f t="shared" si="22"/>
        <v>0</v>
      </c>
      <c r="F159" s="51">
        <f t="shared" si="23"/>
        <v>0</v>
      </c>
      <c r="G159" s="51">
        <f t="shared" si="21"/>
        <v>0</v>
      </c>
      <c r="H159" s="52" t="e">
        <f t="shared" si="24"/>
        <v>#DIV/0!</v>
      </c>
      <c r="I159" s="51">
        <f t="shared" si="25"/>
        <v>0</v>
      </c>
    </row>
    <row r="160" spans="1:9">
      <c r="A160" s="47">
        <v>147</v>
      </c>
      <c r="B160" s="50">
        <f t="shared" si="19"/>
        <v>0</v>
      </c>
      <c r="C160" s="51">
        <f t="shared" si="26"/>
        <v>0</v>
      </c>
      <c r="D160" s="51">
        <f t="shared" si="20"/>
        <v>0</v>
      </c>
      <c r="E160" s="51">
        <f t="shared" si="22"/>
        <v>0</v>
      </c>
      <c r="F160" s="51">
        <f t="shared" si="23"/>
        <v>0</v>
      </c>
      <c r="G160" s="51">
        <f t="shared" si="21"/>
        <v>0</v>
      </c>
      <c r="H160" s="52" t="e">
        <f t="shared" si="24"/>
        <v>#DIV/0!</v>
      </c>
      <c r="I160" s="51">
        <f t="shared" si="25"/>
        <v>0</v>
      </c>
    </row>
    <row r="161" spans="1:9">
      <c r="A161" s="47">
        <v>148</v>
      </c>
      <c r="B161" s="50">
        <f t="shared" si="19"/>
        <v>0</v>
      </c>
      <c r="C161" s="51">
        <f t="shared" si="26"/>
        <v>0</v>
      </c>
      <c r="D161" s="51">
        <f t="shared" si="20"/>
        <v>0</v>
      </c>
      <c r="E161" s="51">
        <f t="shared" si="22"/>
        <v>0</v>
      </c>
      <c r="F161" s="51">
        <f t="shared" si="23"/>
        <v>0</v>
      </c>
      <c r="G161" s="51">
        <f t="shared" si="21"/>
        <v>0</v>
      </c>
      <c r="H161" s="52" t="e">
        <f t="shared" si="24"/>
        <v>#DIV/0!</v>
      </c>
      <c r="I161" s="51">
        <f t="shared" si="25"/>
        <v>0</v>
      </c>
    </row>
    <row r="162" spans="1:9">
      <c r="A162" s="47">
        <v>149</v>
      </c>
      <c r="B162" s="50">
        <f t="shared" si="19"/>
        <v>0</v>
      </c>
      <c r="C162" s="51">
        <f t="shared" si="26"/>
        <v>0</v>
      </c>
      <c r="D162" s="51">
        <f t="shared" si="20"/>
        <v>0</v>
      </c>
      <c r="E162" s="51">
        <f t="shared" si="22"/>
        <v>0</v>
      </c>
      <c r="F162" s="51">
        <f t="shared" si="23"/>
        <v>0</v>
      </c>
      <c r="G162" s="51">
        <f t="shared" si="21"/>
        <v>0</v>
      </c>
      <c r="H162" s="52" t="e">
        <f t="shared" si="24"/>
        <v>#DIV/0!</v>
      </c>
      <c r="I162" s="51">
        <f t="shared" si="25"/>
        <v>0</v>
      </c>
    </row>
    <row r="163" spans="1:9">
      <c r="A163" s="47">
        <v>150</v>
      </c>
      <c r="B163" s="50">
        <f t="shared" si="19"/>
        <v>0</v>
      </c>
      <c r="C163" s="51">
        <f t="shared" si="26"/>
        <v>0</v>
      </c>
      <c r="D163" s="51">
        <f t="shared" si="20"/>
        <v>0</v>
      </c>
      <c r="E163" s="51">
        <f t="shared" si="22"/>
        <v>0</v>
      </c>
      <c r="F163" s="51">
        <f t="shared" si="23"/>
        <v>0</v>
      </c>
      <c r="G163" s="51">
        <f t="shared" si="21"/>
        <v>0</v>
      </c>
      <c r="H163" s="52" t="e">
        <f t="shared" si="24"/>
        <v>#DIV/0!</v>
      </c>
      <c r="I163" s="51">
        <f t="shared" si="25"/>
        <v>0</v>
      </c>
    </row>
    <row r="164" spans="1:9">
      <c r="A164" s="47">
        <v>151</v>
      </c>
      <c r="B164" s="50">
        <f t="shared" si="19"/>
        <v>0</v>
      </c>
      <c r="C164" s="51">
        <f t="shared" si="26"/>
        <v>0</v>
      </c>
      <c r="D164" s="51">
        <f t="shared" si="20"/>
        <v>0</v>
      </c>
      <c r="E164" s="51">
        <f t="shared" si="22"/>
        <v>0</v>
      </c>
      <c r="F164" s="51">
        <f t="shared" si="23"/>
        <v>0</v>
      </c>
      <c r="G164" s="51">
        <f t="shared" si="21"/>
        <v>0</v>
      </c>
      <c r="H164" s="52" t="e">
        <f t="shared" si="24"/>
        <v>#DIV/0!</v>
      </c>
      <c r="I164" s="51">
        <f t="shared" si="25"/>
        <v>0</v>
      </c>
    </row>
    <row r="165" spans="1:9">
      <c r="A165" s="47">
        <v>152</v>
      </c>
      <c r="B165" s="50">
        <f t="shared" si="19"/>
        <v>0</v>
      </c>
      <c r="C165" s="51">
        <f t="shared" si="26"/>
        <v>0</v>
      </c>
      <c r="D165" s="51">
        <f t="shared" si="20"/>
        <v>0</v>
      </c>
      <c r="E165" s="51">
        <f t="shared" si="22"/>
        <v>0</v>
      </c>
      <c r="F165" s="51">
        <f t="shared" si="23"/>
        <v>0</v>
      </c>
      <c r="G165" s="51">
        <f t="shared" si="21"/>
        <v>0</v>
      </c>
      <c r="H165" s="52" t="e">
        <f t="shared" si="24"/>
        <v>#DIV/0!</v>
      </c>
      <c r="I165" s="51">
        <f t="shared" si="25"/>
        <v>0</v>
      </c>
    </row>
    <row r="166" spans="1:9">
      <c r="A166" s="47">
        <v>153</v>
      </c>
      <c r="B166" s="50">
        <f t="shared" si="19"/>
        <v>0</v>
      </c>
      <c r="C166" s="51">
        <f t="shared" si="26"/>
        <v>0</v>
      </c>
      <c r="D166" s="51">
        <f t="shared" si="20"/>
        <v>0</v>
      </c>
      <c r="E166" s="51">
        <f t="shared" si="22"/>
        <v>0</v>
      </c>
      <c r="F166" s="51">
        <f t="shared" si="23"/>
        <v>0</v>
      </c>
      <c r="G166" s="51">
        <f t="shared" si="21"/>
        <v>0</v>
      </c>
      <c r="H166" s="52" t="e">
        <f t="shared" si="24"/>
        <v>#DIV/0!</v>
      </c>
      <c r="I166" s="51">
        <f t="shared" si="25"/>
        <v>0</v>
      </c>
    </row>
    <row r="167" spans="1:9">
      <c r="A167" s="47">
        <v>154</v>
      </c>
      <c r="B167" s="50">
        <f t="shared" si="19"/>
        <v>0</v>
      </c>
      <c r="C167" s="51">
        <f t="shared" si="26"/>
        <v>0</v>
      </c>
      <c r="D167" s="51">
        <f t="shared" si="20"/>
        <v>0</v>
      </c>
      <c r="E167" s="51">
        <f t="shared" si="22"/>
        <v>0</v>
      </c>
      <c r="F167" s="51">
        <f t="shared" si="23"/>
        <v>0</v>
      </c>
      <c r="G167" s="51">
        <f t="shared" si="21"/>
        <v>0</v>
      </c>
      <c r="H167" s="52" t="e">
        <f t="shared" si="24"/>
        <v>#DIV/0!</v>
      </c>
      <c r="I167" s="51">
        <f t="shared" si="25"/>
        <v>0</v>
      </c>
    </row>
    <row r="168" spans="1:9">
      <c r="A168" s="47">
        <v>155</v>
      </c>
      <c r="B168" s="50">
        <f t="shared" si="19"/>
        <v>0</v>
      </c>
      <c r="C168" s="51">
        <f t="shared" si="26"/>
        <v>0</v>
      </c>
      <c r="D168" s="51">
        <f t="shared" si="20"/>
        <v>0</v>
      </c>
      <c r="E168" s="51">
        <f t="shared" si="22"/>
        <v>0</v>
      </c>
      <c r="F168" s="51">
        <f t="shared" si="23"/>
        <v>0</v>
      </c>
      <c r="G168" s="51">
        <f t="shared" si="21"/>
        <v>0</v>
      </c>
      <c r="H168" s="52" t="e">
        <f t="shared" si="24"/>
        <v>#DIV/0!</v>
      </c>
      <c r="I168" s="51">
        <f t="shared" si="25"/>
        <v>0</v>
      </c>
    </row>
    <row r="169" spans="1:9">
      <c r="A169" s="47">
        <v>156</v>
      </c>
      <c r="B169" s="50">
        <f t="shared" si="19"/>
        <v>0</v>
      </c>
      <c r="C169" s="51">
        <f t="shared" si="26"/>
        <v>0</v>
      </c>
      <c r="D169" s="51">
        <f t="shared" si="20"/>
        <v>0</v>
      </c>
      <c r="E169" s="51">
        <f t="shared" si="22"/>
        <v>0</v>
      </c>
      <c r="F169" s="51">
        <f t="shared" si="23"/>
        <v>0</v>
      </c>
      <c r="G169" s="51">
        <f t="shared" si="21"/>
        <v>0</v>
      </c>
      <c r="H169" s="52" t="e">
        <f t="shared" si="24"/>
        <v>#DIV/0!</v>
      </c>
      <c r="I169" s="51">
        <f t="shared" si="25"/>
        <v>0</v>
      </c>
    </row>
    <row r="170" spans="1:9">
      <c r="A170" s="47">
        <v>157</v>
      </c>
      <c r="B170" s="50">
        <f t="shared" si="19"/>
        <v>0</v>
      </c>
      <c r="C170" s="51">
        <f t="shared" si="26"/>
        <v>0</v>
      </c>
      <c r="D170" s="51">
        <f t="shared" si="20"/>
        <v>0</v>
      </c>
      <c r="E170" s="51">
        <f t="shared" si="22"/>
        <v>0</v>
      </c>
      <c r="F170" s="51">
        <f t="shared" si="23"/>
        <v>0</v>
      </c>
      <c r="G170" s="51">
        <f t="shared" si="21"/>
        <v>0</v>
      </c>
      <c r="H170" s="52" t="e">
        <f t="shared" si="24"/>
        <v>#DIV/0!</v>
      </c>
      <c r="I170" s="51">
        <f t="shared" si="25"/>
        <v>0</v>
      </c>
    </row>
    <row r="171" spans="1:9">
      <c r="A171" s="47">
        <v>158</v>
      </c>
      <c r="B171" s="50">
        <f t="shared" si="19"/>
        <v>0</v>
      </c>
      <c r="C171" s="51">
        <f t="shared" si="26"/>
        <v>0</v>
      </c>
      <c r="D171" s="51">
        <f t="shared" si="20"/>
        <v>0</v>
      </c>
      <c r="E171" s="51">
        <f t="shared" si="22"/>
        <v>0</v>
      </c>
      <c r="F171" s="51">
        <f t="shared" si="23"/>
        <v>0</v>
      </c>
      <c r="G171" s="51">
        <f t="shared" si="21"/>
        <v>0</v>
      </c>
      <c r="H171" s="52" t="e">
        <f t="shared" si="24"/>
        <v>#DIV/0!</v>
      </c>
      <c r="I171" s="51">
        <f t="shared" si="25"/>
        <v>0</v>
      </c>
    </row>
    <row r="172" spans="1:9">
      <c r="A172" s="47">
        <v>159</v>
      </c>
      <c r="B172" s="50">
        <f t="shared" si="19"/>
        <v>0</v>
      </c>
      <c r="C172" s="51">
        <f t="shared" si="26"/>
        <v>0</v>
      </c>
      <c r="D172" s="51">
        <f t="shared" si="20"/>
        <v>0</v>
      </c>
      <c r="E172" s="51">
        <f t="shared" si="22"/>
        <v>0</v>
      </c>
      <c r="F172" s="51">
        <f t="shared" si="23"/>
        <v>0</v>
      </c>
      <c r="G172" s="51">
        <f t="shared" si="21"/>
        <v>0</v>
      </c>
      <c r="H172" s="52" t="e">
        <f t="shared" si="24"/>
        <v>#DIV/0!</v>
      </c>
      <c r="I172" s="51">
        <f t="shared" si="25"/>
        <v>0</v>
      </c>
    </row>
    <row r="173" spans="1:9">
      <c r="A173" s="47">
        <v>160</v>
      </c>
      <c r="B173" s="50">
        <f t="shared" si="19"/>
        <v>0</v>
      </c>
      <c r="C173" s="51">
        <f t="shared" si="26"/>
        <v>0</v>
      </c>
      <c r="D173" s="51">
        <f t="shared" si="20"/>
        <v>0</v>
      </c>
      <c r="E173" s="51">
        <f t="shared" si="22"/>
        <v>0</v>
      </c>
      <c r="F173" s="51">
        <f t="shared" si="23"/>
        <v>0</v>
      </c>
      <c r="G173" s="51">
        <f t="shared" si="21"/>
        <v>0</v>
      </c>
      <c r="H173" s="52" t="e">
        <f t="shared" si="24"/>
        <v>#DIV/0!</v>
      </c>
      <c r="I173" s="51">
        <f t="shared" si="25"/>
        <v>0</v>
      </c>
    </row>
    <row r="174" spans="1:9">
      <c r="A174" s="47">
        <v>161</v>
      </c>
      <c r="B174" s="50">
        <f t="shared" si="19"/>
        <v>0</v>
      </c>
      <c r="C174" s="51">
        <f t="shared" si="26"/>
        <v>0</v>
      </c>
      <c r="D174" s="51">
        <f t="shared" si="20"/>
        <v>0</v>
      </c>
      <c r="E174" s="51">
        <f t="shared" si="22"/>
        <v>0</v>
      </c>
      <c r="F174" s="51">
        <f t="shared" si="23"/>
        <v>0</v>
      </c>
      <c r="G174" s="51">
        <f t="shared" si="21"/>
        <v>0</v>
      </c>
      <c r="H174" s="52" t="e">
        <f t="shared" si="24"/>
        <v>#DIV/0!</v>
      </c>
      <c r="I174" s="51">
        <f t="shared" si="25"/>
        <v>0</v>
      </c>
    </row>
    <row r="175" spans="1:9">
      <c r="A175" s="47">
        <v>162</v>
      </c>
      <c r="B175" s="50">
        <f t="shared" si="19"/>
        <v>0</v>
      </c>
      <c r="C175" s="51">
        <f t="shared" si="26"/>
        <v>0</v>
      </c>
      <c r="D175" s="51">
        <f t="shared" si="20"/>
        <v>0</v>
      </c>
      <c r="E175" s="51">
        <f t="shared" si="22"/>
        <v>0</v>
      </c>
      <c r="F175" s="51">
        <f t="shared" si="23"/>
        <v>0</v>
      </c>
      <c r="G175" s="51">
        <f t="shared" si="21"/>
        <v>0</v>
      </c>
      <c r="H175" s="52" t="e">
        <f t="shared" si="24"/>
        <v>#DIV/0!</v>
      </c>
      <c r="I175" s="51">
        <f t="shared" si="25"/>
        <v>0</v>
      </c>
    </row>
    <row r="176" spans="1:9">
      <c r="A176" s="47">
        <v>163</v>
      </c>
      <c r="B176" s="50">
        <f t="shared" si="19"/>
        <v>0</v>
      </c>
      <c r="C176" s="51">
        <f t="shared" si="26"/>
        <v>0</v>
      </c>
      <c r="D176" s="51">
        <f t="shared" si="20"/>
        <v>0</v>
      </c>
      <c r="E176" s="51">
        <f t="shared" si="22"/>
        <v>0</v>
      </c>
      <c r="F176" s="51">
        <f t="shared" si="23"/>
        <v>0</v>
      </c>
      <c r="G176" s="51">
        <f t="shared" si="21"/>
        <v>0</v>
      </c>
      <c r="H176" s="52" t="e">
        <f t="shared" si="24"/>
        <v>#DIV/0!</v>
      </c>
      <c r="I176" s="51">
        <f t="shared" si="25"/>
        <v>0</v>
      </c>
    </row>
    <row r="177" spans="1:9">
      <c r="A177" s="47">
        <v>164</v>
      </c>
      <c r="B177" s="50">
        <f t="shared" si="19"/>
        <v>0</v>
      </c>
      <c r="C177" s="51">
        <f t="shared" si="26"/>
        <v>0</v>
      </c>
      <c r="D177" s="51">
        <f t="shared" si="20"/>
        <v>0</v>
      </c>
      <c r="E177" s="51">
        <f t="shared" si="22"/>
        <v>0</v>
      </c>
      <c r="F177" s="51">
        <f t="shared" si="23"/>
        <v>0</v>
      </c>
      <c r="G177" s="51">
        <f t="shared" si="21"/>
        <v>0</v>
      </c>
      <c r="H177" s="52" t="e">
        <f t="shared" si="24"/>
        <v>#DIV/0!</v>
      </c>
      <c r="I177" s="51">
        <f t="shared" si="25"/>
        <v>0</v>
      </c>
    </row>
    <row r="178" spans="1:9">
      <c r="A178" s="47">
        <v>165</v>
      </c>
      <c r="B178" s="50">
        <f t="shared" si="19"/>
        <v>0</v>
      </c>
      <c r="C178" s="51">
        <f t="shared" si="26"/>
        <v>0</v>
      </c>
      <c r="D178" s="51">
        <f t="shared" si="20"/>
        <v>0</v>
      </c>
      <c r="E178" s="51">
        <f t="shared" si="22"/>
        <v>0</v>
      </c>
      <c r="F178" s="51">
        <f t="shared" si="23"/>
        <v>0</v>
      </c>
      <c r="G178" s="51">
        <f t="shared" si="21"/>
        <v>0</v>
      </c>
      <c r="H178" s="52" t="e">
        <f t="shared" si="24"/>
        <v>#DIV/0!</v>
      </c>
      <c r="I178" s="51">
        <f t="shared" si="25"/>
        <v>0</v>
      </c>
    </row>
    <row r="179" spans="1:9">
      <c r="A179" s="47">
        <v>166</v>
      </c>
      <c r="B179" s="50">
        <f t="shared" ref="B179:B242" si="27">$C$6</f>
        <v>0</v>
      </c>
      <c r="C179" s="51">
        <f t="shared" si="26"/>
        <v>0</v>
      </c>
      <c r="D179" s="51">
        <f t="shared" si="20"/>
        <v>0</v>
      </c>
      <c r="E179" s="51">
        <f t="shared" si="22"/>
        <v>0</v>
      </c>
      <c r="F179" s="51">
        <f t="shared" si="23"/>
        <v>0</v>
      </c>
      <c r="G179" s="51">
        <f t="shared" si="21"/>
        <v>0</v>
      </c>
      <c r="H179" s="52" t="e">
        <f t="shared" si="24"/>
        <v>#DIV/0!</v>
      </c>
      <c r="I179" s="51">
        <f t="shared" si="25"/>
        <v>0</v>
      </c>
    </row>
    <row r="180" spans="1:9">
      <c r="A180" s="47">
        <v>167</v>
      </c>
      <c r="B180" s="50">
        <f t="shared" si="27"/>
        <v>0</v>
      </c>
      <c r="C180" s="51">
        <f t="shared" si="26"/>
        <v>0</v>
      </c>
      <c r="D180" s="51">
        <f t="shared" si="20"/>
        <v>0</v>
      </c>
      <c r="E180" s="51">
        <f t="shared" si="22"/>
        <v>0</v>
      </c>
      <c r="F180" s="51">
        <f t="shared" si="23"/>
        <v>0</v>
      </c>
      <c r="G180" s="51">
        <f t="shared" si="21"/>
        <v>0</v>
      </c>
      <c r="H180" s="52" t="e">
        <f t="shared" si="24"/>
        <v>#DIV/0!</v>
      </c>
      <c r="I180" s="51">
        <f t="shared" si="25"/>
        <v>0</v>
      </c>
    </row>
    <row r="181" spans="1:9">
      <c r="A181" s="47">
        <v>168</v>
      </c>
      <c r="B181" s="50">
        <f t="shared" si="27"/>
        <v>0</v>
      </c>
      <c r="C181" s="51">
        <f t="shared" si="26"/>
        <v>0</v>
      </c>
      <c r="D181" s="51">
        <f t="shared" si="20"/>
        <v>0</v>
      </c>
      <c r="E181" s="51">
        <f t="shared" si="22"/>
        <v>0</v>
      </c>
      <c r="F181" s="51">
        <f t="shared" si="23"/>
        <v>0</v>
      </c>
      <c r="G181" s="51">
        <f t="shared" si="21"/>
        <v>0</v>
      </c>
      <c r="H181" s="52" t="e">
        <f t="shared" si="24"/>
        <v>#DIV/0!</v>
      </c>
      <c r="I181" s="51">
        <f t="shared" si="25"/>
        <v>0</v>
      </c>
    </row>
    <row r="182" spans="1:9">
      <c r="A182" s="47">
        <v>169</v>
      </c>
      <c r="B182" s="50">
        <f t="shared" si="27"/>
        <v>0</v>
      </c>
      <c r="C182" s="51">
        <f t="shared" si="26"/>
        <v>0</v>
      </c>
      <c r="D182" s="51">
        <f t="shared" si="20"/>
        <v>0</v>
      </c>
      <c r="E182" s="51">
        <f t="shared" si="22"/>
        <v>0</v>
      </c>
      <c r="F182" s="51">
        <f t="shared" si="23"/>
        <v>0</v>
      </c>
      <c r="G182" s="51">
        <f t="shared" si="21"/>
        <v>0</v>
      </c>
      <c r="H182" s="52" t="e">
        <f t="shared" si="24"/>
        <v>#DIV/0!</v>
      </c>
      <c r="I182" s="51">
        <f t="shared" si="25"/>
        <v>0</v>
      </c>
    </row>
    <row r="183" spans="1:9">
      <c r="A183" s="47">
        <v>170</v>
      </c>
      <c r="B183" s="50">
        <f t="shared" si="27"/>
        <v>0</v>
      </c>
      <c r="C183" s="51">
        <f t="shared" si="26"/>
        <v>0</v>
      </c>
      <c r="D183" s="51">
        <f t="shared" si="20"/>
        <v>0</v>
      </c>
      <c r="E183" s="51">
        <f t="shared" si="22"/>
        <v>0</v>
      </c>
      <c r="F183" s="51">
        <f t="shared" si="23"/>
        <v>0</v>
      </c>
      <c r="G183" s="51">
        <f t="shared" si="21"/>
        <v>0</v>
      </c>
      <c r="H183" s="52" t="e">
        <f t="shared" si="24"/>
        <v>#DIV/0!</v>
      </c>
      <c r="I183" s="51">
        <f t="shared" si="25"/>
        <v>0</v>
      </c>
    </row>
    <row r="184" spans="1:9">
      <c r="A184" s="47">
        <v>171</v>
      </c>
      <c r="B184" s="50">
        <f t="shared" si="27"/>
        <v>0</v>
      </c>
      <c r="C184" s="51">
        <f t="shared" si="26"/>
        <v>0</v>
      </c>
      <c r="D184" s="51">
        <f t="shared" si="20"/>
        <v>0</v>
      </c>
      <c r="E184" s="51">
        <f t="shared" si="22"/>
        <v>0</v>
      </c>
      <c r="F184" s="51">
        <f t="shared" si="23"/>
        <v>0</v>
      </c>
      <c r="G184" s="51">
        <f t="shared" si="21"/>
        <v>0</v>
      </c>
      <c r="H184" s="52" t="e">
        <f t="shared" si="24"/>
        <v>#DIV/0!</v>
      </c>
      <c r="I184" s="51">
        <f t="shared" si="25"/>
        <v>0</v>
      </c>
    </row>
    <row r="185" spans="1:9">
      <c r="A185" s="47">
        <v>172</v>
      </c>
      <c r="B185" s="50">
        <f t="shared" si="27"/>
        <v>0</v>
      </c>
      <c r="C185" s="51">
        <f t="shared" si="26"/>
        <v>0</v>
      </c>
      <c r="D185" s="51">
        <f t="shared" si="20"/>
        <v>0</v>
      </c>
      <c r="E185" s="51">
        <f t="shared" si="22"/>
        <v>0</v>
      </c>
      <c r="F185" s="51">
        <f t="shared" si="23"/>
        <v>0</v>
      </c>
      <c r="G185" s="51">
        <f t="shared" si="21"/>
        <v>0</v>
      </c>
      <c r="H185" s="52" t="e">
        <f t="shared" si="24"/>
        <v>#DIV/0!</v>
      </c>
      <c r="I185" s="51">
        <f t="shared" si="25"/>
        <v>0</v>
      </c>
    </row>
    <row r="186" spans="1:9">
      <c r="A186" s="47">
        <v>173</v>
      </c>
      <c r="B186" s="50">
        <f t="shared" si="27"/>
        <v>0</v>
      </c>
      <c r="C186" s="51">
        <f t="shared" si="26"/>
        <v>0</v>
      </c>
      <c r="D186" s="51">
        <f t="shared" si="20"/>
        <v>0</v>
      </c>
      <c r="E186" s="51">
        <f t="shared" si="22"/>
        <v>0</v>
      </c>
      <c r="F186" s="51">
        <f t="shared" si="23"/>
        <v>0</v>
      </c>
      <c r="G186" s="51">
        <f t="shared" si="21"/>
        <v>0</v>
      </c>
      <c r="H186" s="52" t="e">
        <f t="shared" si="24"/>
        <v>#DIV/0!</v>
      </c>
      <c r="I186" s="51">
        <f t="shared" si="25"/>
        <v>0</v>
      </c>
    </row>
    <row r="187" spans="1:9">
      <c r="A187" s="47">
        <v>174</v>
      </c>
      <c r="B187" s="50">
        <f t="shared" si="27"/>
        <v>0</v>
      </c>
      <c r="C187" s="51">
        <f t="shared" si="26"/>
        <v>0</v>
      </c>
      <c r="D187" s="51">
        <f t="shared" si="20"/>
        <v>0</v>
      </c>
      <c r="E187" s="51">
        <f t="shared" si="22"/>
        <v>0</v>
      </c>
      <c r="F187" s="51">
        <f t="shared" si="23"/>
        <v>0</v>
      </c>
      <c r="G187" s="51">
        <f t="shared" si="21"/>
        <v>0</v>
      </c>
      <c r="H187" s="52" t="e">
        <f t="shared" si="24"/>
        <v>#DIV/0!</v>
      </c>
      <c r="I187" s="51">
        <f t="shared" si="25"/>
        <v>0</v>
      </c>
    </row>
    <row r="188" spans="1:9">
      <c r="A188" s="47">
        <v>175</v>
      </c>
      <c r="B188" s="50">
        <f t="shared" si="27"/>
        <v>0</v>
      </c>
      <c r="C188" s="51">
        <f t="shared" si="26"/>
        <v>0</v>
      </c>
      <c r="D188" s="51">
        <f t="shared" si="20"/>
        <v>0</v>
      </c>
      <c r="E188" s="51">
        <f t="shared" si="22"/>
        <v>0</v>
      </c>
      <c r="F188" s="51">
        <f t="shared" si="23"/>
        <v>0</v>
      </c>
      <c r="G188" s="51">
        <f t="shared" si="21"/>
        <v>0</v>
      </c>
      <c r="H188" s="52" t="e">
        <f t="shared" si="24"/>
        <v>#DIV/0!</v>
      </c>
      <c r="I188" s="51">
        <f t="shared" si="25"/>
        <v>0</v>
      </c>
    </row>
    <row r="189" spans="1:9">
      <c r="A189" s="47">
        <v>176</v>
      </c>
      <c r="B189" s="50">
        <f t="shared" si="27"/>
        <v>0</v>
      </c>
      <c r="C189" s="51">
        <f t="shared" si="26"/>
        <v>0</v>
      </c>
      <c r="D189" s="51">
        <f t="shared" si="20"/>
        <v>0</v>
      </c>
      <c r="E189" s="51">
        <f t="shared" si="22"/>
        <v>0</v>
      </c>
      <c r="F189" s="51">
        <f t="shared" si="23"/>
        <v>0</v>
      </c>
      <c r="G189" s="51">
        <f t="shared" si="21"/>
        <v>0</v>
      </c>
      <c r="H189" s="52" t="e">
        <f t="shared" si="24"/>
        <v>#DIV/0!</v>
      </c>
      <c r="I189" s="51">
        <f t="shared" si="25"/>
        <v>0</v>
      </c>
    </row>
    <row r="190" spans="1:9">
      <c r="A190" s="47">
        <v>177</v>
      </c>
      <c r="B190" s="50">
        <f t="shared" si="27"/>
        <v>0</v>
      </c>
      <c r="C190" s="51">
        <f t="shared" si="26"/>
        <v>0</v>
      </c>
      <c r="D190" s="51">
        <f t="shared" si="20"/>
        <v>0</v>
      </c>
      <c r="E190" s="51">
        <f t="shared" si="22"/>
        <v>0</v>
      </c>
      <c r="F190" s="51">
        <f t="shared" si="23"/>
        <v>0</v>
      </c>
      <c r="G190" s="51">
        <f t="shared" si="21"/>
        <v>0</v>
      </c>
      <c r="H190" s="52" t="e">
        <f t="shared" si="24"/>
        <v>#DIV/0!</v>
      </c>
      <c r="I190" s="51">
        <f t="shared" si="25"/>
        <v>0</v>
      </c>
    </row>
    <row r="191" spans="1:9">
      <c r="A191" s="47">
        <v>178</v>
      </c>
      <c r="B191" s="50">
        <f t="shared" si="27"/>
        <v>0</v>
      </c>
      <c r="C191" s="51">
        <f t="shared" si="26"/>
        <v>0</v>
      </c>
      <c r="D191" s="51">
        <f t="shared" si="20"/>
        <v>0</v>
      </c>
      <c r="E191" s="51">
        <f t="shared" si="22"/>
        <v>0</v>
      </c>
      <c r="F191" s="51">
        <f t="shared" si="23"/>
        <v>0</v>
      </c>
      <c r="G191" s="51">
        <f t="shared" si="21"/>
        <v>0</v>
      </c>
      <c r="H191" s="52" t="e">
        <f t="shared" si="24"/>
        <v>#DIV/0!</v>
      </c>
      <c r="I191" s="51">
        <f t="shared" si="25"/>
        <v>0</v>
      </c>
    </row>
    <row r="192" spans="1:9">
      <c r="A192" s="47">
        <v>179</v>
      </c>
      <c r="B192" s="50">
        <f t="shared" si="27"/>
        <v>0</v>
      </c>
      <c r="C192" s="51">
        <f t="shared" si="26"/>
        <v>0</v>
      </c>
      <c r="D192" s="51">
        <f t="shared" si="20"/>
        <v>0</v>
      </c>
      <c r="E192" s="51">
        <f t="shared" si="22"/>
        <v>0</v>
      </c>
      <c r="F192" s="51">
        <f t="shared" si="23"/>
        <v>0</v>
      </c>
      <c r="G192" s="51">
        <f t="shared" si="21"/>
        <v>0</v>
      </c>
      <c r="H192" s="52" t="e">
        <f t="shared" si="24"/>
        <v>#DIV/0!</v>
      </c>
      <c r="I192" s="51">
        <f t="shared" si="25"/>
        <v>0</v>
      </c>
    </row>
    <row r="193" spans="1:9">
      <c r="A193" s="47">
        <v>180</v>
      </c>
      <c r="B193" s="50">
        <f t="shared" si="27"/>
        <v>0</v>
      </c>
      <c r="C193" s="51">
        <f t="shared" si="26"/>
        <v>0</v>
      </c>
      <c r="D193" s="51">
        <f t="shared" si="20"/>
        <v>0</v>
      </c>
      <c r="E193" s="51">
        <f t="shared" si="22"/>
        <v>0</v>
      </c>
      <c r="F193" s="51">
        <f t="shared" si="23"/>
        <v>0</v>
      </c>
      <c r="G193" s="51">
        <f t="shared" si="21"/>
        <v>0</v>
      </c>
      <c r="H193" s="52" t="e">
        <f t="shared" si="24"/>
        <v>#DIV/0!</v>
      </c>
      <c r="I193" s="51">
        <f t="shared" si="25"/>
        <v>0</v>
      </c>
    </row>
    <row r="194" spans="1:9">
      <c r="A194" s="47">
        <v>181</v>
      </c>
      <c r="B194" s="50">
        <f t="shared" si="27"/>
        <v>0</v>
      </c>
      <c r="C194" s="51">
        <f t="shared" si="26"/>
        <v>0</v>
      </c>
      <c r="D194" s="51">
        <f t="shared" si="20"/>
        <v>0</v>
      </c>
      <c r="E194" s="51">
        <f t="shared" si="22"/>
        <v>0</v>
      </c>
      <c r="F194" s="51">
        <f t="shared" si="23"/>
        <v>0</v>
      </c>
      <c r="G194" s="51">
        <f t="shared" si="21"/>
        <v>0</v>
      </c>
      <c r="H194" s="52" t="e">
        <f t="shared" si="24"/>
        <v>#DIV/0!</v>
      </c>
      <c r="I194" s="51">
        <f t="shared" si="25"/>
        <v>0</v>
      </c>
    </row>
    <row r="195" spans="1:9">
      <c r="A195" s="47">
        <v>182</v>
      </c>
      <c r="B195" s="50">
        <f t="shared" si="27"/>
        <v>0</v>
      </c>
      <c r="C195" s="51">
        <f t="shared" si="26"/>
        <v>0</v>
      </c>
      <c r="D195" s="51">
        <f t="shared" si="20"/>
        <v>0</v>
      </c>
      <c r="E195" s="51">
        <f t="shared" si="22"/>
        <v>0</v>
      </c>
      <c r="F195" s="51">
        <f t="shared" si="23"/>
        <v>0</v>
      </c>
      <c r="G195" s="51">
        <f t="shared" si="21"/>
        <v>0</v>
      </c>
      <c r="H195" s="52" t="e">
        <f t="shared" si="24"/>
        <v>#DIV/0!</v>
      </c>
      <c r="I195" s="51">
        <f t="shared" si="25"/>
        <v>0</v>
      </c>
    </row>
    <row r="196" spans="1:9">
      <c r="A196" s="47">
        <v>183</v>
      </c>
      <c r="B196" s="50">
        <f t="shared" si="27"/>
        <v>0</v>
      </c>
      <c r="C196" s="51">
        <f t="shared" si="26"/>
        <v>0</v>
      </c>
      <c r="D196" s="51">
        <f t="shared" si="20"/>
        <v>0</v>
      </c>
      <c r="E196" s="51">
        <f t="shared" si="22"/>
        <v>0</v>
      </c>
      <c r="F196" s="51">
        <f t="shared" si="23"/>
        <v>0</v>
      </c>
      <c r="G196" s="51">
        <f t="shared" si="21"/>
        <v>0</v>
      </c>
      <c r="H196" s="52" t="e">
        <f t="shared" si="24"/>
        <v>#DIV/0!</v>
      </c>
      <c r="I196" s="51">
        <f t="shared" si="25"/>
        <v>0</v>
      </c>
    </row>
    <row r="197" spans="1:9">
      <c r="A197" s="47">
        <v>184</v>
      </c>
      <c r="B197" s="50">
        <f t="shared" si="27"/>
        <v>0</v>
      </c>
      <c r="C197" s="51">
        <f t="shared" si="26"/>
        <v>0</v>
      </c>
      <c r="D197" s="51">
        <f t="shared" si="20"/>
        <v>0</v>
      </c>
      <c r="E197" s="51">
        <f t="shared" si="22"/>
        <v>0</v>
      </c>
      <c r="F197" s="51">
        <f t="shared" si="23"/>
        <v>0</v>
      </c>
      <c r="G197" s="51">
        <f t="shared" si="21"/>
        <v>0</v>
      </c>
      <c r="H197" s="52" t="e">
        <f t="shared" si="24"/>
        <v>#DIV/0!</v>
      </c>
      <c r="I197" s="51">
        <f t="shared" si="25"/>
        <v>0</v>
      </c>
    </row>
    <row r="198" spans="1:9">
      <c r="A198" s="47">
        <v>185</v>
      </c>
      <c r="B198" s="50">
        <f t="shared" si="27"/>
        <v>0</v>
      </c>
      <c r="C198" s="51">
        <f t="shared" si="26"/>
        <v>0</v>
      </c>
      <c r="D198" s="51">
        <f t="shared" si="20"/>
        <v>0</v>
      </c>
      <c r="E198" s="51">
        <f t="shared" si="22"/>
        <v>0</v>
      </c>
      <c r="F198" s="51">
        <f t="shared" si="23"/>
        <v>0</v>
      </c>
      <c r="G198" s="51">
        <f t="shared" si="21"/>
        <v>0</v>
      </c>
      <c r="H198" s="52" t="e">
        <f t="shared" si="24"/>
        <v>#DIV/0!</v>
      </c>
      <c r="I198" s="51">
        <f t="shared" si="25"/>
        <v>0</v>
      </c>
    </row>
    <row r="199" spans="1:9">
      <c r="A199" s="47">
        <v>186</v>
      </c>
      <c r="B199" s="50">
        <f t="shared" si="27"/>
        <v>0</v>
      </c>
      <c r="C199" s="51">
        <f t="shared" si="26"/>
        <v>0</v>
      </c>
      <c r="D199" s="51">
        <f t="shared" si="20"/>
        <v>0</v>
      </c>
      <c r="E199" s="51">
        <f t="shared" si="22"/>
        <v>0</v>
      </c>
      <c r="F199" s="51">
        <f t="shared" si="23"/>
        <v>0</v>
      </c>
      <c r="G199" s="51">
        <f t="shared" si="21"/>
        <v>0</v>
      </c>
      <c r="H199" s="52" t="e">
        <f t="shared" si="24"/>
        <v>#DIV/0!</v>
      </c>
      <c r="I199" s="51">
        <f t="shared" si="25"/>
        <v>0</v>
      </c>
    </row>
    <row r="200" spans="1:9">
      <c r="A200" s="47">
        <v>187</v>
      </c>
      <c r="B200" s="50">
        <f t="shared" si="27"/>
        <v>0</v>
      </c>
      <c r="C200" s="51">
        <f t="shared" si="26"/>
        <v>0</v>
      </c>
      <c r="D200" s="51">
        <f t="shared" si="20"/>
        <v>0</v>
      </c>
      <c r="E200" s="51">
        <f t="shared" si="22"/>
        <v>0</v>
      </c>
      <c r="F200" s="51">
        <f t="shared" si="23"/>
        <v>0</v>
      </c>
      <c r="G200" s="51">
        <f t="shared" si="21"/>
        <v>0</v>
      </c>
      <c r="H200" s="52" t="e">
        <f t="shared" si="24"/>
        <v>#DIV/0!</v>
      </c>
      <c r="I200" s="51">
        <f t="shared" si="25"/>
        <v>0</v>
      </c>
    </row>
    <row r="201" spans="1:9">
      <c r="A201" s="47">
        <v>188</v>
      </c>
      <c r="B201" s="50">
        <f t="shared" si="27"/>
        <v>0</v>
      </c>
      <c r="C201" s="51">
        <f t="shared" si="26"/>
        <v>0</v>
      </c>
      <c r="D201" s="51">
        <f t="shared" si="20"/>
        <v>0</v>
      </c>
      <c r="E201" s="51">
        <f t="shared" si="22"/>
        <v>0</v>
      </c>
      <c r="F201" s="51">
        <f t="shared" si="23"/>
        <v>0</v>
      </c>
      <c r="G201" s="51">
        <f t="shared" si="21"/>
        <v>0</v>
      </c>
      <c r="H201" s="52" t="e">
        <f t="shared" si="24"/>
        <v>#DIV/0!</v>
      </c>
      <c r="I201" s="51">
        <f t="shared" si="25"/>
        <v>0</v>
      </c>
    </row>
    <row r="202" spans="1:9">
      <c r="A202" s="47">
        <v>189</v>
      </c>
      <c r="B202" s="50">
        <f t="shared" si="27"/>
        <v>0</v>
      </c>
      <c r="C202" s="51">
        <f t="shared" si="26"/>
        <v>0</v>
      </c>
      <c r="D202" s="51">
        <f t="shared" si="20"/>
        <v>0</v>
      </c>
      <c r="E202" s="51">
        <f t="shared" si="22"/>
        <v>0</v>
      </c>
      <c r="F202" s="51">
        <f t="shared" si="23"/>
        <v>0</v>
      </c>
      <c r="G202" s="51">
        <f t="shared" si="21"/>
        <v>0</v>
      </c>
      <c r="H202" s="52" t="e">
        <f t="shared" si="24"/>
        <v>#DIV/0!</v>
      </c>
      <c r="I202" s="51">
        <f t="shared" si="25"/>
        <v>0</v>
      </c>
    </row>
    <row r="203" spans="1:9">
      <c r="A203" s="47">
        <v>190</v>
      </c>
      <c r="B203" s="50">
        <f t="shared" si="27"/>
        <v>0</v>
      </c>
      <c r="C203" s="51">
        <f t="shared" si="26"/>
        <v>0</v>
      </c>
      <c r="D203" s="51">
        <f t="shared" si="20"/>
        <v>0</v>
      </c>
      <c r="E203" s="51">
        <f t="shared" si="22"/>
        <v>0</v>
      </c>
      <c r="F203" s="51">
        <f t="shared" si="23"/>
        <v>0</v>
      </c>
      <c r="G203" s="51">
        <f t="shared" si="21"/>
        <v>0</v>
      </c>
      <c r="H203" s="52" t="e">
        <f t="shared" si="24"/>
        <v>#DIV/0!</v>
      </c>
      <c r="I203" s="51">
        <f t="shared" si="25"/>
        <v>0</v>
      </c>
    </row>
    <row r="204" spans="1:9">
      <c r="A204" s="47">
        <v>191</v>
      </c>
      <c r="B204" s="50">
        <f t="shared" si="27"/>
        <v>0</v>
      </c>
      <c r="C204" s="51">
        <f t="shared" si="26"/>
        <v>0</v>
      </c>
      <c r="D204" s="51">
        <f t="shared" si="20"/>
        <v>0</v>
      </c>
      <c r="E204" s="51">
        <f t="shared" si="22"/>
        <v>0</v>
      </c>
      <c r="F204" s="51">
        <f t="shared" si="23"/>
        <v>0</v>
      </c>
      <c r="G204" s="51">
        <f t="shared" si="21"/>
        <v>0</v>
      </c>
      <c r="H204" s="52" t="e">
        <f t="shared" si="24"/>
        <v>#DIV/0!</v>
      </c>
      <c r="I204" s="51">
        <f t="shared" si="25"/>
        <v>0</v>
      </c>
    </row>
    <row r="205" spans="1:9">
      <c r="A205" s="47">
        <v>192</v>
      </c>
      <c r="B205" s="50">
        <f t="shared" si="27"/>
        <v>0</v>
      </c>
      <c r="C205" s="51">
        <f t="shared" si="26"/>
        <v>0</v>
      </c>
      <c r="D205" s="51">
        <f t="shared" si="20"/>
        <v>0</v>
      </c>
      <c r="E205" s="51">
        <f t="shared" si="22"/>
        <v>0</v>
      </c>
      <c r="F205" s="51">
        <f t="shared" si="23"/>
        <v>0</v>
      </c>
      <c r="G205" s="51">
        <f t="shared" si="21"/>
        <v>0</v>
      </c>
      <c r="H205" s="52" t="e">
        <f t="shared" si="24"/>
        <v>#DIV/0!</v>
      </c>
      <c r="I205" s="51">
        <f t="shared" si="25"/>
        <v>0</v>
      </c>
    </row>
    <row r="206" spans="1:9">
      <c r="A206" s="47">
        <v>193</v>
      </c>
      <c r="B206" s="50">
        <f t="shared" si="27"/>
        <v>0</v>
      </c>
      <c r="C206" s="51">
        <f t="shared" si="26"/>
        <v>0</v>
      </c>
      <c r="D206" s="51">
        <f t="shared" ref="D206:D269" si="28">IF(C206+E206&gt;$C$10,$C$10,C206+E206)</f>
        <v>0</v>
      </c>
      <c r="E206" s="51">
        <f t="shared" si="22"/>
        <v>0</v>
      </c>
      <c r="F206" s="51">
        <f t="shared" si="23"/>
        <v>0</v>
      </c>
      <c r="G206" s="51">
        <f t="shared" ref="G206:G269" si="29">C206-F206</f>
        <v>0</v>
      </c>
      <c r="H206" s="52" t="e">
        <f t="shared" si="24"/>
        <v>#DIV/0!</v>
      </c>
      <c r="I206" s="51">
        <f t="shared" si="25"/>
        <v>0</v>
      </c>
    </row>
    <row r="207" spans="1:9">
      <c r="A207" s="47">
        <v>194</v>
      </c>
      <c r="B207" s="50">
        <f t="shared" si="27"/>
        <v>0</v>
      </c>
      <c r="C207" s="51">
        <f t="shared" si="26"/>
        <v>0</v>
      </c>
      <c r="D207" s="51">
        <f t="shared" si="28"/>
        <v>0</v>
      </c>
      <c r="E207" s="51">
        <f t="shared" ref="E207:E270" si="30">C207*(B207/12)</f>
        <v>0</v>
      </c>
      <c r="F207" s="51">
        <f t="shared" ref="F207:F270" si="31">IF(C207&lt;$C$10,C207,D207-E207)</f>
        <v>0</v>
      </c>
      <c r="G207" s="51">
        <f t="shared" si="29"/>
        <v>0</v>
      </c>
      <c r="H207" s="52" t="e">
        <f t="shared" ref="H207:H270" si="32">G207/$C$1</f>
        <v>#DIV/0!</v>
      </c>
      <c r="I207" s="51">
        <f t="shared" ref="I207:I270" si="33">C207*$I$10/12</f>
        <v>0</v>
      </c>
    </row>
    <row r="208" spans="1:9">
      <c r="A208" s="47">
        <v>195</v>
      </c>
      <c r="B208" s="50">
        <f t="shared" si="27"/>
        <v>0</v>
      </c>
      <c r="C208" s="51">
        <f t="shared" ref="C208:C271" si="34">G207</f>
        <v>0</v>
      </c>
      <c r="D208" s="51">
        <f t="shared" si="28"/>
        <v>0</v>
      </c>
      <c r="E208" s="51">
        <f t="shared" si="30"/>
        <v>0</v>
      </c>
      <c r="F208" s="51">
        <f t="shared" si="31"/>
        <v>0</v>
      </c>
      <c r="G208" s="51">
        <f t="shared" si="29"/>
        <v>0</v>
      </c>
      <c r="H208" s="52" t="e">
        <f t="shared" si="32"/>
        <v>#DIV/0!</v>
      </c>
      <c r="I208" s="51">
        <f t="shared" si="33"/>
        <v>0</v>
      </c>
    </row>
    <row r="209" spans="1:9">
      <c r="A209" s="47">
        <v>196</v>
      </c>
      <c r="B209" s="50">
        <f t="shared" si="27"/>
        <v>0</v>
      </c>
      <c r="C209" s="51">
        <f t="shared" si="34"/>
        <v>0</v>
      </c>
      <c r="D209" s="51">
        <f t="shared" si="28"/>
        <v>0</v>
      </c>
      <c r="E209" s="51">
        <f t="shared" si="30"/>
        <v>0</v>
      </c>
      <c r="F209" s="51">
        <f t="shared" si="31"/>
        <v>0</v>
      </c>
      <c r="G209" s="51">
        <f t="shared" si="29"/>
        <v>0</v>
      </c>
      <c r="H209" s="52" t="e">
        <f t="shared" si="32"/>
        <v>#DIV/0!</v>
      </c>
      <c r="I209" s="51">
        <f t="shared" si="33"/>
        <v>0</v>
      </c>
    </row>
    <row r="210" spans="1:9">
      <c r="A210" s="47">
        <v>197</v>
      </c>
      <c r="B210" s="50">
        <f t="shared" si="27"/>
        <v>0</v>
      </c>
      <c r="C210" s="51">
        <f t="shared" si="34"/>
        <v>0</v>
      </c>
      <c r="D210" s="51">
        <f t="shared" si="28"/>
        <v>0</v>
      </c>
      <c r="E210" s="51">
        <f t="shared" si="30"/>
        <v>0</v>
      </c>
      <c r="F210" s="51">
        <f t="shared" si="31"/>
        <v>0</v>
      </c>
      <c r="G210" s="51">
        <f t="shared" si="29"/>
        <v>0</v>
      </c>
      <c r="H210" s="52" t="e">
        <f t="shared" si="32"/>
        <v>#DIV/0!</v>
      </c>
      <c r="I210" s="51">
        <f t="shared" si="33"/>
        <v>0</v>
      </c>
    </row>
    <row r="211" spans="1:9">
      <c r="A211" s="47">
        <v>198</v>
      </c>
      <c r="B211" s="50">
        <f t="shared" si="27"/>
        <v>0</v>
      </c>
      <c r="C211" s="51">
        <f t="shared" si="34"/>
        <v>0</v>
      </c>
      <c r="D211" s="51">
        <f t="shared" si="28"/>
        <v>0</v>
      </c>
      <c r="E211" s="51">
        <f t="shared" si="30"/>
        <v>0</v>
      </c>
      <c r="F211" s="51">
        <f t="shared" si="31"/>
        <v>0</v>
      </c>
      <c r="G211" s="51">
        <f t="shared" si="29"/>
        <v>0</v>
      </c>
      <c r="H211" s="52" t="e">
        <f t="shared" si="32"/>
        <v>#DIV/0!</v>
      </c>
      <c r="I211" s="51">
        <f t="shared" si="33"/>
        <v>0</v>
      </c>
    </row>
    <row r="212" spans="1:9">
      <c r="A212" s="47">
        <v>199</v>
      </c>
      <c r="B212" s="50">
        <f t="shared" si="27"/>
        <v>0</v>
      </c>
      <c r="C212" s="51">
        <f t="shared" si="34"/>
        <v>0</v>
      </c>
      <c r="D212" s="51">
        <f t="shared" si="28"/>
        <v>0</v>
      </c>
      <c r="E212" s="51">
        <f t="shared" si="30"/>
        <v>0</v>
      </c>
      <c r="F212" s="51">
        <f t="shared" si="31"/>
        <v>0</v>
      </c>
      <c r="G212" s="51">
        <f t="shared" si="29"/>
        <v>0</v>
      </c>
      <c r="H212" s="52" t="e">
        <f t="shared" si="32"/>
        <v>#DIV/0!</v>
      </c>
      <c r="I212" s="51">
        <f t="shared" si="33"/>
        <v>0</v>
      </c>
    </row>
    <row r="213" spans="1:9">
      <c r="A213" s="47">
        <v>200</v>
      </c>
      <c r="B213" s="50">
        <f t="shared" si="27"/>
        <v>0</v>
      </c>
      <c r="C213" s="51">
        <f t="shared" si="34"/>
        <v>0</v>
      </c>
      <c r="D213" s="51">
        <f t="shared" si="28"/>
        <v>0</v>
      </c>
      <c r="E213" s="51">
        <f t="shared" si="30"/>
        <v>0</v>
      </c>
      <c r="F213" s="51">
        <f t="shared" si="31"/>
        <v>0</v>
      </c>
      <c r="G213" s="51">
        <f t="shared" si="29"/>
        <v>0</v>
      </c>
      <c r="H213" s="52" t="e">
        <f t="shared" si="32"/>
        <v>#DIV/0!</v>
      </c>
      <c r="I213" s="51">
        <f t="shared" si="33"/>
        <v>0</v>
      </c>
    </row>
    <row r="214" spans="1:9">
      <c r="A214" s="47">
        <v>201</v>
      </c>
      <c r="B214" s="50">
        <f t="shared" si="27"/>
        <v>0</v>
      </c>
      <c r="C214" s="51">
        <f t="shared" si="34"/>
        <v>0</v>
      </c>
      <c r="D214" s="51">
        <f t="shared" si="28"/>
        <v>0</v>
      </c>
      <c r="E214" s="51">
        <f t="shared" si="30"/>
        <v>0</v>
      </c>
      <c r="F214" s="51">
        <f t="shared" si="31"/>
        <v>0</v>
      </c>
      <c r="G214" s="51">
        <f t="shared" si="29"/>
        <v>0</v>
      </c>
      <c r="H214" s="52" t="e">
        <f t="shared" si="32"/>
        <v>#DIV/0!</v>
      </c>
      <c r="I214" s="51">
        <f t="shared" si="33"/>
        <v>0</v>
      </c>
    </row>
    <row r="215" spans="1:9">
      <c r="A215" s="47">
        <v>202</v>
      </c>
      <c r="B215" s="50">
        <f t="shared" si="27"/>
        <v>0</v>
      </c>
      <c r="C215" s="51">
        <f t="shared" si="34"/>
        <v>0</v>
      </c>
      <c r="D215" s="51">
        <f t="shared" si="28"/>
        <v>0</v>
      </c>
      <c r="E215" s="51">
        <f t="shared" si="30"/>
        <v>0</v>
      </c>
      <c r="F215" s="51">
        <f t="shared" si="31"/>
        <v>0</v>
      </c>
      <c r="G215" s="51">
        <f t="shared" si="29"/>
        <v>0</v>
      </c>
      <c r="H215" s="52" t="e">
        <f t="shared" si="32"/>
        <v>#DIV/0!</v>
      </c>
      <c r="I215" s="51">
        <f t="shared" si="33"/>
        <v>0</v>
      </c>
    </row>
    <row r="216" spans="1:9">
      <c r="A216" s="47">
        <v>203</v>
      </c>
      <c r="B216" s="50">
        <f t="shared" si="27"/>
        <v>0</v>
      </c>
      <c r="C216" s="51">
        <f t="shared" si="34"/>
        <v>0</v>
      </c>
      <c r="D216" s="51">
        <f t="shared" si="28"/>
        <v>0</v>
      </c>
      <c r="E216" s="51">
        <f t="shared" si="30"/>
        <v>0</v>
      </c>
      <c r="F216" s="51">
        <f t="shared" si="31"/>
        <v>0</v>
      </c>
      <c r="G216" s="51">
        <f t="shared" si="29"/>
        <v>0</v>
      </c>
      <c r="H216" s="52" t="e">
        <f t="shared" si="32"/>
        <v>#DIV/0!</v>
      </c>
      <c r="I216" s="51">
        <f t="shared" si="33"/>
        <v>0</v>
      </c>
    </row>
    <row r="217" spans="1:9">
      <c r="A217" s="47">
        <v>204</v>
      </c>
      <c r="B217" s="50">
        <f t="shared" si="27"/>
        <v>0</v>
      </c>
      <c r="C217" s="51">
        <f t="shared" si="34"/>
        <v>0</v>
      </c>
      <c r="D217" s="51">
        <f t="shared" si="28"/>
        <v>0</v>
      </c>
      <c r="E217" s="51">
        <f t="shared" si="30"/>
        <v>0</v>
      </c>
      <c r="F217" s="51">
        <f t="shared" si="31"/>
        <v>0</v>
      </c>
      <c r="G217" s="51">
        <f t="shared" si="29"/>
        <v>0</v>
      </c>
      <c r="H217" s="52" t="e">
        <f t="shared" si="32"/>
        <v>#DIV/0!</v>
      </c>
      <c r="I217" s="51">
        <f t="shared" si="33"/>
        <v>0</v>
      </c>
    </row>
    <row r="218" spans="1:9">
      <c r="A218" s="47">
        <v>205</v>
      </c>
      <c r="B218" s="50">
        <f t="shared" si="27"/>
        <v>0</v>
      </c>
      <c r="C218" s="51">
        <f t="shared" si="34"/>
        <v>0</v>
      </c>
      <c r="D218" s="51">
        <f t="shared" si="28"/>
        <v>0</v>
      </c>
      <c r="E218" s="51">
        <f t="shared" si="30"/>
        <v>0</v>
      </c>
      <c r="F218" s="51">
        <f t="shared" si="31"/>
        <v>0</v>
      </c>
      <c r="G218" s="51">
        <f t="shared" si="29"/>
        <v>0</v>
      </c>
      <c r="H218" s="52" t="e">
        <f t="shared" si="32"/>
        <v>#DIV/0!</v>
      </c>
      <c r="I218" s="51">
        <f t="shared" si="33"/>
        <v>0</v>
      </c>
    </row>
    <row r="219" spans="1:9">
      <c r="A219" s="47">
        <v>206</v>
      </c>
      <c r="B219" s="50">
        <f t="shared" si="27"/>
        <v>0</v>
      </c>
      <c r="C219" s="51">
        <f t="shared" si="34"/>
        <v>0</v>
      </c>
      <c r="D219" s="51">
        <f t="shared" si="28"/>
        <v>0</v>
      </c>
      <c r="E219" s="51">
        <f t="shared" si="30"/>
        <v>0</v>
      </c>
      <c r="F219" s="51">
        <f t="shared" si="31"/>
        <v>0</v>
      </c>
      <c r="G219" s="51">
        <f t="shared" si="29"/>
        <v>0</v>
      </c>
      <c r="H219" s="52" t="e">
        <f t="shared" si="32"/>
        <v>#DIV/0!</v>
      </c>
      <c r="I219" s="51">
        <f t="shared" si="33"/>
        <v>0</v>
      </c>
    </row>
    <row r="220" spans="1:9">
      <c r="A220" s="47">
        <v>207</v>
      </c>
      <c r="B220" s="50">
        <f t="shared" si="27"/>
        <v>0</v>
      </c>
      <c r="C220" s="51">
        <f t="shared" si="34"/>
        <v>0</v>
      </c>
      <c r="D220" s="51">
        <f t="shared" si="28"/>
        <v>0</v>
      </c>
      <c r="E220" s="51">
        <f t="shared" si="30"/>
        <v>0</v>
      </c>
      <c r="F220" s="51">
        <f t="shared" si="31"/>
        <v>0</v>
      </c>
      <c r="G220" s="51">
        <f t="shared" si="29"/>
        <v>0</v>
      </c>
      <c r="H220" s="52" t="e">
        <f t="shared" si="32"/>
        <v>#DIV/0!</v>
      </c>
      <c r="I220" s="51">
        <f t="shared" si="33"/>
        <v>0</v>
      </c>
    </row>
    <row r="221" spans="1:9">
      <c r="A221" s="47">
        <v>208</v>
      </c>
      <c r="B221" s="50">
        <f t="shared" si="27"/>
        <v>0</v>
      </c>
      <c r="C221" s="51">
        <f t="shared" si="34"/>
        <v>0</v>
      </c>
      <c r="D221" s="51">
        <f t="shared" si="28"/>
        <v>0</v>
      </c>
      <c r="E221" s="51">
        <f t="shared" si="30"/>
        <v>0</v>
      </c>
      <c r="F221" s="51">
        <f t="shared" si="31"/>
        <v>0</v>
      </c>
      <c r="G221" s="51">
        <f t="shared" si="29"/>
        <v>0</v>
      </c>
      <c r="H221" s="52" t="e">
        <f t="shared" si="32"/>
        <v>#DIV/0!</v>
      </c>
      <c r="I221" s="51">
        <f t="shared" si="33"/>
        <v>0</v>
      </c>
    </row>
    <row r="222" spans="1:9">
      <c r="A222" s="47">
        <v>209</v>
      </c>
      <c r="B222" s="50">
        <f t="shared" si="27"/>
        <v>0</v>
      </c>
      <c r="C222" s="51">
        <f t="shared" si="34"/>
        <v>0</v>
      </c>
      <c r="D222" s="51">
        <f t="shared" si="28"/>
        <v>0</v>
      </c>
      <c r="E222" s="51">
        <f t="shared" si="30"/>
        <v>0</v>
      </c>
      <c r="F222" s="51">
        <f t="shared" si="31"/>
        <v>0</v>
      </c>
      <c r="G222" s="51">
        <f t="shared" si="29"/>
        <v>0</v>
      </c>
      <c r="H222" s="52" t="e">
        <f t="shared" si="32"/>
        <v>#DIV/0!</v>
      </c>
      <c r="I222" s="51">
        <f t="shared" si="33"/>
        <v>0</v>
      </c>
    </row>
    <row r="223" spans="1:9">
      <c r="A223" s="47">
        <v>210</v>
      </c>
      <c r="B223" s="50">
        <f t="shared" si="27"/>
        <v>0</v>
      </c>
      <c r="C223" s="51">
        <f t="shared" si="34"/>
        <v>0</v>
      </c>
      <c r="D223" s="51">
        <f t="shared" si="28"/>
        <v>0</v>
      </c>
      <c r="E223" s="51">
        <f t="shared" si="30"/>
        <v>0</v>
      </c>
      <c r="F223" s="51">
        <f t="shared" si="31"/>
        <v>0</v>
      </c>
      <c r="G223" s="51">
        <f t="shared" si="29"/>
        <v>0</v>
      </c>
      <c r="H223" s="52" t="e">
        <f t="shared" si="32"/>
        <v>#DIV/0!</v>
      </c>
      <c r="I223" s="51">
        <f t="shared" si="33"/>
        <v>0</v>
      </c>
    </row>
    <row r="224" spans="1:9">
      <c r="A224" s="47">
        <v>211</v>
      </c>
      <c r="B224" s="50">
        <f t="shared" si="27"/>
        <v>0</v>
      </c>
      <c r="C224" s="51">
        <f t="shared" si="34"/>
        <v>0</v>
      </c>
      <c r="D224" s="51">
        <f t="shared" si="28"/>
        <v>0</v>
      </c>
      <c r="E224" s="51">
        <f t="shared" si="30"/>
        <v>0</v>
      </c>
      <c r="F224" s="51">
        <f t="shared" si="31"/>
        <v>0</v>
      </c>
      <c r="G224" s="51">
        <f t="shared" si="29"/>
        <v>0</v>
      </c>
      <c r="H224" s="52" t="e">
        <f t="shared" si="32"/>
        <v>#DIV/0!</v>
      </c>
      <c r="I224" s="51">
        <f t="shared" si="33"/>
        <v>0</v>
      </c>
    </row>
    <row r="225" spans="1:9">
      <c r="A225" s="47">
        <v>212</v>
      </c>
      <c r="B225" s="50">
        <f t="shared" si="27"/>
        <v>0</v>
      </c>
      <c r="C225" s="51">
        <f t="shared" si="34"/>
        <v>0</v>
      </c>
      <c r="D225" s="51">
        <f t="shared" si="28"/>
        <v>0</v>
      </c>
      <c r="E225" s="51">
        <f t="shared" si="30"/>
        <v>0</v>
      </c>
      <c r="F225" s="51">
        <f t="shared" si="31"/>
        <v>0</v>
      </c>
      <c r="G225" s="51">
        <f t="shared" si="29"/>
        <v>0</v>
      </c>
      <c r="H225" s="52" t="e">
        <f t="shared" si="32"/>
        <v>#DIV/0!</v>
      </c>
      <c r="I225" s="51">
        <f t="shared" si="33"/>
        <v>0</v>
      </c>
    </row>
    <row r="226" spans="1:9">
      <c r="A226" s="47">
        <v>213</v>
      </c>
      <c r="B226" s="50">
        <f t="shared" si="27"/>
        <v>0</v>
      </c>
      <c r="C226" s="51">
        <f t="shared" si="34"/>
        <v>0</v>
      </c>
      <c r="D226" s="51">
        <f t="shared" si="28"/>
        <v>0</v>
      </c>
      <c r="E226" s="51">
        <f t="shared" si="30"/>
        <v>0</v>
      </c>
      <c r="F226" s="51">
        <f t="shared" si="31"/>
        <v>0</v>
      </c>
      <c r="G226" s="51">
        <f t="shared" si="29"/>
        <v>0</v>
      </c>
      <c r="H226" s="52" t="e">
        <f t="shared" si="32"/>
        <v>#DIV/0!</v>
      </c>
      <c r="I226" s="51">
        <f t="shared" si="33"/>
        <v>0</v>
      </c>
    </row>
    <row r="227" spans="1:9">
      <c r="A227" s="47">
        <v>214</v>
      </c>
      <c r="B227" s="50">
        <f t="shared" si="27"/>
        <v>0</v>
      </c>
      <c r="C227" s="51">
        <f t="shared" si="34"/>
        <v>0</v>
      </c>
      <c r="D227" s="51">
        <f t="shared" si="28"/>
        <v>0</v>
      </c>
      <c r="E227" s="51">
        <f t="shared" si="30"/>
        <v>0</v>
      </c>
      <c r="F227" s="51">
        <f t="shared" si="31"/>
        <v>0</v>
      </c>
      <c r="G227" s="51">
        <f t="shared" si="29"/>
        <v>0</v>
      </c>
      <c r="H227" s="52" t="e">
        <f t="shared" si="32"/>
        <v>#DIV/0!</v>
      </c>
      <c r="I227" s="51">
        <f t="shared" si="33"/>
        <v>0</v>
      </c>
    </row>
    <row r="228" spans="1:9">
      <c r="A228" s="47">
        <v>215</v>
      </c>
      <c r="B228" s="50">
        <f t="shared" si="27"/>
        <v>0</v>
      </c>
      <c r="C228" s="51">
        <f t="shared" si="34"/>
        <v>0</v>
      </c>
      <c r="D228" s="51">
        <f t="shared" si="28"/>
        <v>0</v>
      </c>
      <c r="E228" s="51">
        <f t="shared" si="30"/>
        <v>0</v>
      </c>
      <c r="F228" s="51">
        <f t="shared" si="31"/>
        <v>0</v>
      </c>
      <c r="G228" s="51">
        <f t="shared" si="29"/>
        <v>0</v>
      </c>
      <c r="H228" s="52" t="e">
        <f t="shared" si="32"/>
        <v>#DIV/0!</v>
      </c>
      <c r="I228" s="51">
        <f t="shared" si="33"/>
        <v>0</v>
      </c>
    </row>
    <row r="229" spans="1:9">
      <c r="A229" s="47">
        <v>216</v>
      </c>
      <c r="B229" s="50">
        <f t="shared" si="27"/>
        <v>0</v>
      </c>
      <c r="C229" s="51">
        <f t="shared" si="34"/>
        <v>0</v>
      </c>
      <c r="D229" s="51">
        <f t="shared" si="28"/>
        <v>0</v>
      </c>
      <c r="E229" s="51">
        <f t="shared" si="30"/>
        <v>0</v>
      </c>
      <c r="F229" s="51">
        <f t="shared" si="31"/>
        <v>0</v>
      </c>
      <c r="G229" s="51">
        <f t="shared" si="29"/>
        <v>0</v>
      </c>
      <c r="H229" s="52" t="e">
        <f t="shared" si="32"/>
        <v>#DIV/0!</v>
      </c>
      <c r="I229" s="51">
        <f t="shared" si="33"/>
        <v>0</v>
      </c>
    </row>
    <row r="230" spans="1:9">
      <c r="A230" s="47">
        <v>217</v>
      </c>
      <c r="B230" s="50">
        <f t="shared" si="27"/>
        <v>0</v>
      </c>
      <c r="C230" s="51">
        <f t="shared" si="34"/>
        <v>0</v>
      </c>
      <c r="D230" s="51">
        <f t="shared" si="28"/>
        <v>0</v>
      </c>
      <c r="E230" s="51">
        <f t="shared" si="30"/>
        <v>0</v>
      </c>
      <c r="F230" s="51">
        <f t="shared" si="31"/>
        <v>0</v>
      </c>
      <c r="G230" s="51">
        <f t="shared" si="29"/>
        <v>0</v>
      </c>
      <c r="H230" s="52" t="e">
        <f t="shared" si="32"/>
        <v>#DIV/0!</v>
      </c>
      <c r="I230" s="51">
        <f t="shared" si="33"/>
        <v>0</v>
      </c>
    </row>
    <row r="231" spans="1:9">
      <c r="A231" s="47">
        <v>218</v>
      </c>
      <c r="B231" s="50">
        <f t="shared" si="27"/>
        <v>0</v>
      </c>
      <c r="C231" s="51">
        <f t="shared" si="34"/>
        <v>0</v>
      </c>
      <c r="D231" s="51">
        <f t="shared" si="28"/>
        <v>0</v>
      </c>
      <c r="E231" s="51">
        <f t="shared" si="30"/>
        <v>0</v>
      </c>
      <c r="F231" s="51">
        <f t="shared" si="31"/>
        <v>0</v>
      </c>
      <c r="G231" s="51">
        <f t="shared" si="29"/>
        <v>0</v>
      </c>
      <c r="H231" s="52" t="e">
        <f t="shared" si="32"/>
        <v>#DIV/0!</v>
      </c>
      <c r="I231" s="51">
        <f t="shared" si="33"/>
        <v>0</v>
      </c>
    </row>
    <row r="232" spans="1:9">
      <c r="A232" s="47">
        <v>219</v>
      </c>
      <c r="B232" s="50">
        <f t="shared" si="27"/>
        <v>0</v>
      </c>
      <c r="C232" s="51">
        <f t="shared" si="34"/>
        <v>0</v>
      </c>
      <c r="D232" s="51">
        <f t="shared" si="28"/>
        <v>0</v>
      </c>
      <c r="E232" s="51">
        <f t="shared" si="30"/>
        <v>0</v>
      </c>
      <c r="F232" s="51">
        <f t="shared" si="31"/>
        <v>0</v>
      </c>
      <c r="G232" s="51">
        <f t="shared" si="29"/>
        <v>0</v>
      </c>
      <c r="H232" s="52" t="e">
        <f t="shared" si="32"/>
        <v>#DIV/0!</v>
      </c>
      <c r="I232" s="51">
        <f t="shared" si="33"/>
        <v>0</v>
      </c>
    </row>
    <row r="233" spans="1:9">
      <c r="A233" s="47">
        <v>220</v>
      </c>
      <c r="B233" s="50">
        <f t="shared" si="27"/>
        <v>0</v>
      </c>
      <c r="C233" s="51">
        <f t="shared" si="34"/>
        <v>0</v>
      </c>
      <c r="D233" s="51">
        <f t="shared" si="28"/>
        <v>0</v>
      </c>
      <c r="E233" s="51">
        <f t="shared" si="30"/>
        <v>0</v>
      </c>
      <c r="F233" s="51">
        <f t="shared" si="31"/>
        <v>0</v>
      </c>
      <c r="G233" s="51">
        <f t="shared" si="29"/>
        <v>0</v>
      </c>
      <c r="H233" s="52" t="e">
        <f t="shared" si="32"/>
        <v>#DIV/0!</v>
      </c>
      <c r="I233" s="51">
        <f t="shared" si="33"/>
        <v>0</v>
      </c>
    </row>
    <row r="234" spans="1:9">
      <c r="A234" s="47">
        <v>221</v>
      </c>
      <c r="B234" s="50">
        <f t="shared" si="27"/>
        <v>0</v>
      </c>
      <c r="C234" s="51">
        <f t="shared" si="34"/>
        <v>0</v>
      </c>
      <c r="D234" s="51">
        <f t="shared" si="28"/>
        <v>0</v>
      </c>
      <c r="E234" s="51">
        <f t="shared" si="30"/>
        <v>0</v>
      </c>
      <c r="F234" s="51">
        <f t="shared" si="31"/>
        <v>0</v>
      </c>
      <c r="G234" s="51">
        <f t="shared" si="29"/>
        <v>0</v>
      </c>
      <c r="H234" s="52" t="e">
        <f t="shared" si="32"/>
        <v>#DIV/0!</v>
      </c>
      <c r="I234" s="51">
        <f t="shared" si="33"/>
        <v>0</v>
      </c>
    </row>
    <row r="235" spans="1:9">
      <c r="A235" s="47">
        <v>222</v>
      </c>
      <c r="B235" s="50">
        <f t="shared" si="27"/>
        <v>0</v>
      </c>
      <c r="C235" s="51">
        <f t="shared" si="34"/>
        <v>0</v>
      </c>
      <c r="D235" s="51">
        <f t="shared" si="28"/>
        <v>0</v>
      </c>
      <c r="E235" s="51">
        <f t="shared" si="30"/>
        <v>0</v>
      </c>
      <c r="F235" s="51">
        <f t="shared" si="31"/>
        <v>0</v>
      </c>
      <c r="G235" s="51">
        <f t="shared" si="29"/>
        <v>0</v>
      </c>
      <c r="H235" s="52" t="e">
        <f t="shared" si="32"/>
        <v>#DIV/0!</v>
      </c>
      <c r="I235" s="51">
        <f t="shared" si="33"/>
        <v>0</v>
      </c>
    </row>
    <row r="236" spans="1:9">
      <c r="A236" s="47">
        <v>223</v>
      </c>
      <c r="B236" s="50">
        <f t="shared" si="27"/>
        <v>0</v>
      </c>
      <c r="C236" s="51">
        <f t="shared" si="34"/>
        <v>0</v>
      </c>
      <c r="D236" s="51">
        <f t="shared" si="28"/>
        <v>0</v>
      </c>
      <c r="E236" s="51">
        <f t="shared" si="30"/>
        <v>0</v>
      </c>
      <c r="F236" s="51">
        <f t="shared" si="31"/>
        <v>0</v>
      </c>
      <c r="G236" s="51">
        <f t="shared" si="29"/>
        <v>0</v>
      </c>
      <c r="H236" s="52" t="e">
        <f t="shared" si="32"/>
        <v>#DIV/0!</v>
      </c>
      <c r="I236" s="51">
        <f t="shared" si="33"/>
        <v>0</v>
      </c>
    </row>
    <row r="237" spans="1:9">
      <c r="A237" s="47">
        <v>224</v>
      </c>
      <c r="B237" s="50">
        <f t="shared" si="27"/>
        <v>0</v>
      </c>
      <c r="C237" s="51">
        <f t="shared" si="34"/>
        <v>0</v>
      </c>
      <c r="D237" s="51">
        <f t="shared" si="28"/>
        <v>0</v>
      </c>
      <c r="E237" s="51">
        <f t="shared" si="30"/>
        <v>0</v>
      </c>
      <c r="F237" s="51">
        <f t="shared" si="31"/>
        <v>0</v>
      </c>
      <c r="G237" s="51">
        <f t="shared" si="29"/>
        <v>0</v>
      </c>
      <c r="H237" s="52" t="e">
        <f t="shared" si="32"/>
        <v>#DIV/0!</v>
      </c>
      <c r="I237" s="51">
        <f t="shared" si="33"/>
        <v>0</v>
      </c>
    </row>
    <row r="238" spans="1:9">
      <c r="A238" s="47">
        <v>225</v>
      </c>
      <c r="B238" s="50">
        <f t="shared" si="27"/>
        <v>0</v>
      </c>
      <c r="C238" s="51">
        <f t="shared" si="34"/>
        <v>0</v>
      </c>
      <c r="D238" s="51">
        <f t="shared" si="28"/>
        <v>0</v>
      </c>
      <c r="E238" s="51">
        <f t="shared" si="30"/>
        <v>0</v>
      </c>
      <c r="F238" s="51">
        <f t="shared" si="31"/>
        <v>0</v>
      </c>
      <c r="G238" s="51">
        <f t="shared" si="29"/>
        <v>0</v>
      </c>
      <c r="H238" s="52" t="e">
        <f t="shared" si="32"/>
        <v>#DIV/0!</v>
      </c>
      <c r="I238" s="51">
        <f t="shared" si="33"/>
        <v>0</v>
      </c>
    </row>
    <row r="239" spans="1:9">
      <c r="A239" s="47">
        <v>226</v>
      </c>
      <c r="B239" s="50">
        <f t="shared" si="27"/>
        <v>0</v>
      </c>
      <c r="C239" s="51">
        <f t="shared" si="34"/>
        <v>0</v>
      </c>
      <c r="D239" s="51">
        <f t="shared" si="28"/>
        <v>0</v>
      </c>
      <c r="E239" s="51">
        <f t="shared" si="30"/>
        <v>0</v>
      </c>
      <c r="F239" s="51">
        <f t="shared" si="31"/>
        <v>0</v>
      </c>
      <c r="G239" s="51">
        <f t="shared" si="29"/>
        <v>0</v>
      </c>
      <c r="H239" s="52" t="e">
        <f t="shared" si="32"/>
        <v>#DIV/0!</v>
      </c>
      <c r="I239" s="51">
        <f t="shared" si="33"/>
        <v>0</v>
      </c>
    </row>
    <row r="240" spans="1:9">
      <c r="A240" s="47">
        <v>227</v>
      </c>
      <c r="B240" s="50">
        <f t="shared" si="27"/>
        <v>0</v>
      </c>
      <c r="C240" s="51">
        <f t="shared" si="34"/>
        <v>0</v>
      </c>
      <c r="D240" s="51">
        <f t="shared" si="28"/>
        <v>0</v>
      </c>
      <c r="E240" s="51">
        <f t="shared" si="30"/>
        <v>0</v>
      </c>
      <c r="F240" s="51">
        <f t="shared" si="31"/>
        <v>0</v>
      </c>
      <c r="G240" s="51">
        <f t="shared" si="29"/>
        <v>0</v>
      </c>
      <c r="H240" s="52" t="e">
        <f t="shared" si="32"/>
        <v>#DIV/0!</v>
      </c>
      <c r="I240" s="51">
        <f t="shared" si="33"/>
        <v>0</v>
      </c>
    </row>
    <row r="241" spans="1:9">
      <c r="A241" s="47">
        <v>228</v>
      </c>
      <c r="B241" s="50">
        <f t="shared" si="27"/>
        <v>0</v>
      </c>
      <c r="C241" s="51">
        <f t="shared" si="34"/>
        <v>0</v>
      </c>
      <c r="D241" s="51">
        <f t="shared" si="28"/>
        <v>0</v>
      </c>
      <c r="E241" s="51">
        <f t="shared" si="30"/>
        <v>0</v>
      </c>
      <c r="F241" s="51">
        <f t="shared" si="31"/>
        <v>0</v>
      </c>
      <c r="G241" s="51">
        <f t="shared" si="29"/>
        <v>0</v>
      </c>
      <c r="H241" s="52" t="e">
        <f t="shared" si="32"/>
        <v>#DIV/0!</v>
      </c>
      <c r="I241" s="51">
        <f t="shared" si="33"/>
        <v>0</v>
      </c>
    </row>
    <row r="242" spans="1:9">
      <c r="A242" s="47">
        <v>229</v>
      </c>
      <c r="B242" s="50">
        <f t="shared" si="27"/>
        <v>0</v>
      </c>
      <c r="C242" s="51">
        <f t="shared" si="34"/>
        <v>0</v>
      </c>
      <c r="D242" s="51">
        <f t="shared" si="28"/>
        <v>0</v>
      </c>
      <c r="E242" s="51">
        <f t="shared" si="30"/>
        <v>0</v>
      </c>
      <c r="F242" s="51">
        <f t="shared" si="31"/>
        <v>0</v>
      </c>
      <c r="G242" s="51">
        <f t="shared" si="29"/>
        <v>0</v>
      </c>
      <c r="H242" s="52" t="e">
        <f t="shared" si="32"/>
        <v>#DIV/0!</v>
      </c>
      <c r="I242" s="51">
        <f t="shared" si="33"/>
        <v>0</v>
      </c>
    </row>
    <row r="243" spans="1:9">
      <c r="A243" s="47">
        <v>230</v>
      </c>
      <c r="B243" s="50">
        <f t="shared" ref="B243:B306" si="35">$C$6</f>
        <v>0</v>
      </c>
      <c r="C243" s="51">
        <f t="shared" si="34"/>
        <v>0</v>
      </c>
      <c r="D243" s="51">
        <f t="shared" si="28"/>
        <v>0</v>
      </c>
      <c r="E243" s="51">
        <f t="shared" si="30"/>
        <v>0</v>
      </c>
      <c r="F243" s="51">
        <f t="shared" si="31"/>
        <v>0</v>
      </c>
      <c r="G243" s="51">
        <f t="shared" si="29"/>
        <v>0</v>
      </c>
      <c r="H243" s="52" t="e">
        <f t="shared" si="32"/>
        <v>#DIV/0!</v>
      </c>
      <c r="I243" s="51">
        <f t="shared" si="33"/>
        <v>0</v>
      </c>
    </row>
    <row r="244" spans="1:9">
      <c r="A244" s="47">
        <v>231</v>
      </c>
      <c r="B244" s="50">
        <f t="shared" si="35"/>
        <v>0</v>
      </c>
      <c r="C244" s="51">
        <f t="shared" si="34"/>
        <v>0</v>
      </c>
      <c r="D244" s="51">
        <f t="shared" si="28"/>
        <v>0</v>
      </c>
      <c r="E244" s="51">
        <f t="shared" si="30"/>
        <v>0</v>
      </c>
      <c r="F244" s="51">
        <f t="shared" si="31"/>
        <v>0</v>
      </c>
      <c r="G244" s="51">
        <f t="shared" si="29"/>
        <v>0</v>
      </c>
      <c r="H244" s="52" t="e">
        <f t="shared" si="32"/>
        <v>#DIV/0!</v>
      </c>
      <c r="I244" s="51">
        <f t="shared" si="33"/>
        <v>0</v>
      </c>
    </row>
    <row r="245" spans="1:9">
      <c r="A245" s="47">
        <v>232</v>
      </c>
      <c r="B245" s="50">
        <f t="shared" si="35"/>
        <v>0</v>
      </c>
      <c r="C245" s="51">
        <f t="shared" si="34"/>
        <v>0</v>
      </c>
      <c r="D245" s="51">
        <f t="shared" si="28"/>
        <v>0</v>
      </c>
      <c r="E245" s="51">
        <f t="shared" si="30"/>
        <v>0</v>
      </c>
      <c r="F245" s="51">
        <f t="shared" si="31"/>
        <v>0</v>
      </c>
      <c r="G245" s="51">
        <f t="shared" si="29"/>
        <v>0</v>
      </c>
      <c r="H245" s="52" t="e">
        <f t="shared" si="32"/>
        <v>#DIV/0!</v>
      </c>
      <c r="I245" s="51">
        <f t="shared" si="33"/>
        <v>0</v>
      </c>
    </row>
    <row r="246" spans="1:9">
      <c r="A246" s="47">
        <v>233</v>
      </c>
      <c r="B246" s="50">
        <f t="shared" si="35"/>
        <v>0</v>
      </c>
      <c r="C246" s="51">
        <f t="shared" si="34"/>
        <v>0</v>
      </c>
      <c r="D246" s="51">
        <f t="shared" si="28"/>
        <v>0</v>
      </c>
      <c r="E246" s="51">
        <f t="shared" si="30"/>
        <v>0</v>
      </c>
      <c r="F246" s="51">
        <f t="shared" si="31"/>
        <v>0</v>
      </c>
      <c r="G246" s="51">
        <f t="shared" si="29"/>
        <v>0</v>
      </c>
      <c r="H246" s="52" t="e">
        <f t="shared" si="32"/>
        <v>#DIV/0!</v>
      </c>
      <c r="I246" s="51">
        <f t="shared" si="33"/>
        <v>0</v>
      </c>
    </row>
    <row r="247" spans="1:9">
      <c r="A247" s="47">
        <v>234</v>
      </c>
      <c r="B247" s="50">
        <f t="shared" si="35"/>
        <v>0</v>
      </c>
      <c r="C247" s="51">
        <f t="shared" si="34"/>
        <v>0</v>
      </c>
      <c r="D247" s="51">
        <f t="shared" si="28"/>
        <v>0</v>
      </c>
      <c r="E247" s="51">
        <f t="shared" si="30"/>
        <v>0</v>
      </c>
      <c r="F247" s="51">
        <f t="shared" si="31"/>
        <v>0</v>
      </c>
      <c r="G247" s="51">
        <f t="shared" si="29"/>
        <v>0</v>
      </c>
      <c r="H247" s="52" t="e">
        <f t="shared" si="32"/>
        <v>#DIV/0!</v>
      </c>
      <c r="I247" s="51">
        <f t="shared" si="33"/>
        <v>0</v>
      </c>
    </row>
    <row r="248" spans="1:9">
      <c r="A248" s="47">
        <v>235</v>
      </c>
      <c r="B248" s="50">
        <f t="shared" si="35"/>
        <v>0</v>
      </c>
      <c r="C248" s="51">
        <f t="shared" si="34"/>
        <v>0</v>
      </c>
      <c r="D248" s="51">
        <f t="shared" si="28"/>
        <v>0</v>
      </c>
      <c r="E248" s="51">
        <f t="shared" si="30"/>
        <v>0</v>
      </c>
      <c r="F248" s="51">
        <f t="shared" si="31"/>
        <v>0</v>
      </c>
      <c r="G248" s="51">
        <f t="shared" si="29"/>
        <v>0</v>
      </c>
      <c r="H248" s="52" t="e">
        <f t="shared" si="32"/>
        <v>#DIV/0!</v>
      </c>
      <c r="I248" s="51">
        <f t="shared" si="33"/>
        <v>0</v>
      </c>
    </row>
    <row r="249" spans="1:9">
      <c r="A249" s="47">
        <v>236</v>
      </c>
      <c r="B249" s="50">
        <f t="shared" si="35"/>
        <v>0</v>
      </c>
      <c r="C249" s="51">
        <f t="shared" si="34"/>
        <v>0</v>
      </c>
      <c r="D249" s="51">
        <f t="shared" si="28"/>
        <v>0</v>
      </c>
      <c r="E249" s="51">
        <f t="shared" si="30"/>
        <v>0</v>
      </c>
      <c r="F249" s="51">
        <f t="shared" si="31"/>
        <v>0</v>
      </c>
      <c r="G249" s="51">
        <f t="shared" si="29"/>
        <v>0</v>
      </c>
      <c r="H249" s="52" t="e">
        <f t="shared" si="32"/>
        <v>#DIV/0!</v>
      </c>
      <c r="I249" s="51">
        <f t="shared" si="33"/>
        <v>0</v>
      </c>
    </row>
    <row r="250" spans="1:9">
      <c r="A250" s="47">
        <v>237</v>
      </c>
      <c r="B250" s="50">
        <f t="shared" si="35"/>
        <v>0</v>
      </c>
      <c r="C250" s="51">
        <f t="shared" si="34"/>
        <v>0</v>
      </c>
      <c r="D250" s="51">
        <f t="shared" si="28"/>
        <v>0</v>
      </c>
      <c r="E250" s="51">
        <f t="shared" si="30"/>
        <v>0</v>
      </c>
      <c r="F250" s="51">
        <f t="shared" si="31"/>
        <v>0</v>
      </c>
      <c r="G250" s="51">
        <f t="shared" si="29"/>
        <v>0</v>
      </c>
      <c r="H250" s="52" t="e">
        <f t="shared" si="32"/>
        <v>#DIV/0!</v>
      </c>
      <c r="I250" s="51">
        <f t="shared" si="33"/>
        <v>0</v>
      </c>
    </row>
    <row r="251" spans="1:9">
      <c r="A251" s="47">
        <v>238</v>
      </c>
      <c r="B251" s="50">
        <f t="shared" si="35"/>
        <v>0</v>
      </c>
      <c r="C251" s="51">
        <f t="shared" si="34"/>
        <v>0</v>
      </c>
      <c r="D251" s="51">
        <f t="shared" si="28"/>
        <v>0</v>
      </c>
      <c r="E251" s="51">
        <f t="shared" si="30"/>
        <v>0</v>
      </c>
      <c r="F251" s="51">
        <f t="shared" si="31"/>
        <v>0</v>
      </c>
      <c r="G251" s="51">
        <f t="shared" si="29"/>
        <v>0</v>
      </c>
      <c r="H251" s="52" t="e">
        <f t="shared" si="32"/>
        <v>#DIV/0!</v>
      </c>
      <c r="I251" s="51">
        <f t="shared" si="33"/>
        <v>0</v>
      </c>
    </row>
    <row r="252" spans="1:9">
      <c r="A252" s="47">
        <v>239</v>
      </c>
      <c r="B252" s="50">
        <f t="shared" si="35"/>
        <v>0</v>
      </c>
      <c r="C252" s="51">
        <f t="shared" si="34"/>
        <v>0</v>
      </c>
      <c r="D252" s="51">
        <f t="shared" si="28"/>
        <v>0</v>
      </c>
      <c r="E252" s="51">
        <f t="shared" si="30"/>
        <v>0</v>
      </c>
      <c r="F252" s="51">
        <f t="shared" si="31"/>
        <v>0</v>
      </c>
      <c r="G252" s="51">
        <f t="shared" si="29"/>
        <v>0</v>
      </c>
      <c r="H252" s="52" t="e">
        <f t="shared" si="32"/>
        <v>#DIV/0!</v>
      </c>
      <c r="I252" s="51">
        <f t="shared" si="33"/>
        <v>0</v>
      </c>
    </row>
    <row r="253" spans="1:9">
      <c r="A253" s="47">
        <v>240</v>
      </c>
      <c r="B253" s="50">
        <f t="shared" si="35"/>
        <v>0</v>
      </c>
      <c r="C253" s="51">
        <f t="shared" si="34"/>
        <v>0</v>
      </c>
      <c r="D253" s="51">
        <f t="shared" si="28"/>
        <v>0</v>
      </c>
      <c r="E253" s="51">
        <f t="shared" si="30"/>
        <v>0</v>
      </c>
      <c r="F253" s="51">
        <f t="shared" si="31"/>
        <v>0</v>
      </c>
      <c r="G253" s="51">
        <f t="shared" si="29"/>
        <v>0</v>
      </c>
      <c r="H253" s="52" t="e">
        <f t="shared" si="32"/>
        <v>#DIV/0!</v>
      </c>
      <c r="I253" s="51">
        <f t="shared" si="33"/>
        <v>0</v>
      </c>
    </row>
    <row r="254" spans="1:9">
      <c r="A254" s="47">
        <v>241</v>
      </c>
      <c r="B254" s="50">
        <f t="shared" si="35"/>
        <v>0</v>
      </c>
      <c r="C254" s="51">
        <f t="shared" si="34"/>
        <v>0</v>
      </c>
      <c r="D254" s="51">
        <f t="shared" si="28"/>
        <v>0</v>
      </c>
      <c r="E254" s="51">
        <f t="shared" si="30"/>
        <v>0</v>
      </c>
      <c r="F254" s="51">
        <f t="shared" si="31"/>
        <v>0</v>
      </c>
      <c r="G254" s="51">
        <f t="shared" si="29"/>
        <v>0</v>
      </c>
      <c r="H254" s="52" t="e">
        <f t="shared" si="32"/>
        <v>#DIV/0!</v>
      </c>
      <c r="I254" s="51">
        <f t="shared" si="33"/>
        <v>0</v>
      </c>
    </row>
    <row r="255" spans="1:9">
      <c r="A255" s="47">
        <v>242</v>
      </c>
      <c r="B255" s="50">
        <f t="shared" si="35"/>
        <v>0</v>
      </c>
      <c r="C255" s="51">
        <f t="shared" si="34"/>
        <v>0</v>
      </c>
      <c r="D255" s="51">
        <f t="shared" si="28"/>
        <v>0</v>
      </c>
      <c r="E255" s="51">
        <f t="shared" si="30"/>
        <v>0</v>
      </c>
      <c r="F255" s="51">
        <f t="shared" si="31"/>
        <v>0</v>
      </c>
      <c r="G255" s="51">
        <f t="shared" si="29"/>
        <v>0</v>
      </c>
      <c r="H255" s="52" t="e">
        <f t="shared" si="32"/>
        <v>#DIV/0!</v>
      </c>
      <c r="I255" s="51">
        <f t="shared" si="33"/>
        <v>0</v>
      </c>
    </row>
    <row r="256" spans="1:9">
      <c r="A256" s="47">
        <v>243</v>
      </c>
      <c r="B256" s="50">
        <f t="shared" si="35"/>
        <v>0</v>
      </c>
      <c r="C256" s="51">
        <f t="shared" si="34"/>
        <v>0</v>
      </c>
      <c r="D256" s="51">
        <f t="shared" si="28"/>
        <v>0</v>
      </c>
      <c r="E256" s="51">
        <f t="shared" si="30"/>
        <v>0</v>
      </c>
      <c r="F256" s="51">
        <f t="shared" si="31"/>
        <v>0</v>
      </c>
      <c r="G256" s="51">
        <f t="shared" si="29"/>
        <v>0</v>
      </c>
      <c r="H256" s="52" t="e">
        <f t="shared" si="32"/>
        <v>#DIV/0!</v>
      </c>
      <c r="I256" s="51">
        <f t="shared" si="33"/>
        <v>0</v>
      </c>
    </row>
    <row r="257" spans="1:9">
      <c r="A257" s="47">
        <v>244</v>
      </c>
      <c r="B257" s="50">
        <f t="shared" si="35"/>
        <v>0</v>
      </c>
      <c r="C257" s="51">
        <f t="shared" si="34"/>
        <v>0</v>
      </c>
      <c r="D257" s="51">
        <f t="shared" si="28"/>
        <v>0</v>
      </c>
      <c r="E257" s="51">
        <f t="shared" si="30"/>
        <v>0</v>
      </c>
      <c r="F257" s="51">
        <f t="shared" si="31"/>
        <v>0</v>
      </c>
      <c r="G257" s="51">
        <f t="shared" si="29"/>
        <v>0</v>
      </c>
      <c r="H257" s="52" t="e">
        <f t="shared" si="32"/>
        <v>#DIV/0!</v>
      </c>
      <c r="I257" s="51">
        <f t="shared" si="33"/>
        <v>0</v>
      </c>
    </row>
    <row r="258" spans="1:9">
      <c r="A258" s="47">
        <v>245</v>
      </c>
      <c r="B258" s="50">
        <f t="shared" si="35"/>
        <v>0</v>
      </c>
      <c r="C258" s="51">
        <f t="shared" si="34"/>
        <v>0</v>
      </c>
      <c r="D258" s="51">
        <f t="shared" si="28"/>
        <v>0</v>
      </c>
      <c r="E258" s="51">
        <f t="shared" si="30"/>
        <v>0</v>
      </c>
      <c r="F258" s="51">
        <f t="shared" si="31"/>
        <v>0</v>
      </c>
      <c r="G258" s="51">
        <f t="shared" si="29"/>
        <v>0</v>
      </c>
      <c r="H258" s="52" t="e">
        <f t="shared" si="32"/>
        <v>#DIV/0!</v>
      </c>
      <c r="I258" s="51">
        <f t="shared" si="33"/>
        <v>0</v>
      </c>
    </row>
    <row r="259" spans="1:9">
      <c r="A259" s="47">
        <v>246</v>
      </c>
      <c r="B259" s="50">
        <f t="shared" si="35"/>
        <v>0</v>
      </c>
      <c r="C259" s="51">
        <f t="shared" si="34"/>
        <v>0</v>
      </c>
      <c r="D259" s="51">
        <f t="shared" si="28"/>
        <v>0</v>
      </c>
      <c r="E259" s="51">
        <f t="shared" si="30"/>
        <v>0</v>
      </c>
      <c r="F259" s="51">
        <f t="shared" si="31"/>
        <v>0</v>
      </c>
      <c r="G259" s="51">
        <f t="shared" si="29"/>
        <v>0</v>
      </c>
      <c r="H259" s="52" t="e">
        <f t="shared" si="32"/>
        <v>#DIV/0!</v>
      </c>
      <c r="I259" s="51">
        <f t="shared" si="33"/>
        <v>0</v>
      </c>
    </row>
    <row r="260" spans="1:9">
      <c r="A260" s="47">
        <v>247</v>
      </c>
      <c r="B260" s="50">
        <f t="shared" si="35"/>
        <v>0</v>
      </c>
      <c r="C260" s="51">
        <f t="shared" si="34"/>
        <v>0</v>
      </c>
      <c r="D260" s="51">
        <f t="shared" si="28"/>
        <v>0</v>
      </c>
      <c r="E260" s="51">
        <f t="shared" si="30"/>
        <v>0</v>
      </c>
      <c r="F260" s="51">
        <f t="shared" si="31"/>
        <v>0</v>
      </c>
      <c r="G260" s="51">
        <f t="shared" si="29"/>
        <v>0</v>
      </c>
      <c r="H260" s="52" t="e">
        <f t="shared" si="32"/>
        <v>#DIV/0!</v>
      </c>
      <c r="I260" s="51">
        <f t="shared" si="33"/>
        <v>0</v>
      </c>
    </row>
    <row r="261" spans="1:9">
      <c r="A261" s="47">
        <v>248</v>
      </c>
      <c r="B261" s="50">
        <f t="shared" si="35"/>
        <v>0</v>
      </c>
      <c r="C261" s="51">
        <f t="shared" si="34"/>
        <v>0</v>
      </c>
      <c r="D261" s="51">
        <f t="shared" si="28"/>
        <v>0</v>
      </c>
      <c r="E261" s="51">
        <f t="shared" si="30"/>
        <v>0</v>
      </c>
      <c r="F261" s="51">
        <f t="shared" si="31"/>
        <v>0</v>
      </c>
      <c r="G261" s="51">
        <f t="shared" si="29"/>
        <v>0</v>
      </c>
      <c r="H261" s="52" t="e">
        <f t="shared" si="32"/>
        <v>#DIV/0!</v>
      </c>
      <c r="I261" s="51">
        <f t="shared" si="33"/>
        <v>0</v>
      </c>
    </row>
    <row r="262" spans="1:9">
      <c r="A262" s="47">
        <v>249</v>
      </c>
      <c r="B262" s="50">
        <f t="shared" si="35"/>
        <v>0</v>
      </c>
      <c r="C262" s="51">
        <f t="shared" si="34"/>
        <v>0</v>
      </c>
      <c r="D262" s="51">
        <f t="shared" si="28"/>
        <v>0</v>
      </c>
      <c r="E262" s="51">
        <f t="shared" si="30"/>
        <v>0</v>
      </c>
      <c r="F262" s="51">
        <f t="shared" si="31"/>
        <v>0</v>
      </c>
      <c r="G262" s="51">
        <f t="shared" si="29"/>
        <v>0</v>
      </c>
      <c r="H262" s="52" t="e">
        <f t="shared" si="32"/>
        <v>#DIV/0!</v>
      </c>
      <c r="I262" s="51">
        <f t="shared" si="33"/>
        <v>0</v>
      </c>
    </row>
    <row r="263" spans="1:9">
      <c r="A263" s="47">
        <v>250</v>
      </c>
      <c r="B263" s="50">
        <f t="shared" si="35"/>
        <v>0</v>
      </c>
      <c r="C263" s="51">
        <f t="shared" si="34"/>
        <v>0</v>
      </c>
      <c r="D263" s="51">
        <f t="shared" si="28"/>
        <v>0</v>
      </c>
      <c r="E263" s="51">
        <f t="shared" si="30"/>
        <v>0</v>
      </c>
      <c r="F263" s="51">
        <f t="shared" si="31"/>
        <v>0</v>
      </c>
      <c r="G263" s="51">
        <f t="shared" si="29"/>
        <v>0</v>
      </c>
      <c r="H263" s="52" t="e">
        <f t="shared" si="32"/>
        <v>#DIV/0!</v>
      </c>
      <c r="I263" s="51">
        <f t="shared" si="33"/>
        <v>0</v>
      </c>
    </row>
    <row r="264" spans="1:9">
      <c r="A264" s="47">
        <v>251</v>
      </c>
      <c r="B264" s="50">
        <f t="shared" si="35"/>
        <v>0</v>
      </c>
      <c r="C264" s="51">
        <f t="shared" si="34"/>
        <v>0</v>
      </c>
      <c r="D264" s="51">
        <f t="shared" si="28"/>
        <v>0</v>
      </c>
      <c r="E264" s="51">
        <f t="shared" si="30"/>
        <v>0</v>
      </c>
      <c r="F264" s="51">
        <f t="shared" si="31"/>
        <v>0</v>
      </c>
      <c r="G264" s="51">
        <f t="shared" si="29"/>
        <v>0</v>
      </c>
      <c r="H264" s="52" t="e">
        <f t="shared" si="32"/>
        <v>#DIV/0!</v>
      </c>
      <c r="I264" s="51">
        <f t="shared" si="33"/>
        <v>0</v>
      </c>
    </row>
    <row r="265" spans="1:9">
      <c r="A265" s="47">
        <v>252</v>
      </c>
      <c r="B265" s="50">
        <f t="shared" si="35"/>
        <v>0</v>
      </c>
      <c r="C265" s="51">
        <f t="shared" si="34"/>
        <v>0</v>
      </c>
      <c r="D265" s="51">
        <f t="shared" si="28"/>
        <v>0</v>
      </c>
      <c r="E265" s="51">
        <f t="shared" si="30"/>
        <v>0</v>
      </c>
      <c r="F265" s="51">
        <f t="shared" si="31"/>
        <v>0</v>
      </c>
      <c r="G265" s="51">
        <f t="shared" si="29"/>
        <v>0</v>
      </c>
      <c r="H265" s="52" t="e">
        <f t="shared" si="32"/>
        <v>#DIV/0!</v>
      </c>
      <c r="I265" s="51">
        <f t="shared" si="33"/>
        <v>0</v>
      </c>
    </row>
    <row r="266" spans="1:9">
      <c r="A266" s="47">
        <v>253</v>
      </c>
      <c r="B266" s="50">
        <f t="shared" si="35"/>
        <v>0</v>
      </c>
      <c r="C266" s="51">
        <f t="shared" si="34"/>
        <v>0</v>
      </c>
      <c r="D266" s="51">
        <f t="shared" si="28"/>
        <v>0</v>
      </c>
      <c r="E266" s="51">
        <f t="shared" si="30"/>
        <v>0</v>
      </c>
      <c r="F266" s="51">
        <f t="shared" si="31"/>
        <v>0</v>
      </c>
      <c r="G266" s="51">
        <f t="shared" si="29"/>
        <v>0</v>
      </c>
      <c r="H266" s="52" t="e">
        <f t="shared" si="32"/>
        <v>#DIV/0!</v>
      </c>
      <c r="I266" s="51">
        <f t="shared" si="33"/>
        <v>0</v>
      </c>
    </row>
    <row r="267" spans="1:9">
      <c r="A267" s="47">
        <v>254</v>
      </c>
      <c r="B267" s="50">
        <f t="shared" si="35"/>
        <v>0</v>
      </c>
      <c r="C267" s="51">
        <f t="shared" si="34"/>
        <v>0</v>
      </c>
      <c r="D267" s="51">
        <f t="shared" si="28"/>
        <v>0</v>
      </c>
      <c r="E267" s="51">
        <f t="shared" si="30"/>
        <v>0</v>
      </c>
      <c r="F267" s="51">
        <f t="shared" si="31"/>
        <v>0</v>
      </c>
      <c r="G267" s="51">
        <f t="shared" si="29"/>
        <v>0</v>
      </c>
      <c r="H267" s="52" t="e">
        <f t="shared" si="32"/>
        <v>#DIV/0!</v>
      </c>
      <c r="I267" s="51">
        <f t="shared" si="33"/>
        <v>0</v>
      </c>
    </row>
    <row r="268" spans="1:9">
      <c r="A268" s="47">
        <v>255</v>
      </c>
      <c r="B268" s="50">
        <f t="shared" si="35"/>
        <v>0</v>
      </c>
      <c r="C268" s="51">
        <f t="shared" si="34"/>
        <v>0</v>
      </c>
      <c r="D268" s="51">
        <f t="shared" si="28"/>
        <v>0</v>
      </c>
      <c r="E268" s="51">
        <f t="shared" si="30"/>
        <v>0</v>
      </c>
      <c r="F268" s="51">
        <f t="shared" si="31"/>
        <v>0</v>
      </c>
      <c r="G268" s="51">
        <f t="shared" si="29"/>
        <v>0</v>
      </c>
      <c r="H268" s="52" t="e">
        <f t="shared" si="32"/>
        <v>#DIV/0!</v>
      </c>
      <c r="I268" s="51">
        <f t="shared" si="33"/>
        <v>0</v>
      </c>
    </row>
    <row r="269" spans="1:9">
      <c r="A269" s="47">
        <v>256</v>
      </c>
      <c r="B269" s="50">
        <f t="shared" si="35"/>
        <v>0</v>
      </c>
      <c r="C269" s="51">
        <f t="shared" si="34"/>
        <v>0</v>
      </c>
      <c r="D269" s="51">
        <f t="shared" si="28"/>
        <v>0</v>
      </c>
      <c r="E269" s="51">
        <f t="shared" si="30"/>
        <v>0</v>
      </c>
      <c r="F269" s="51">
        <f t="shared" si="31"/>
        <v>0</v>
      </c>
      <c r="G269" s="51">
        <f t="shared" si="29"/>
        <v>0</v>
      </c>
      <c r="H269" s="52" t="e">
        <f t="shared" si="32"/>
        <v>#DIV/0!</v>
      </c>
      <c r="I269" s="51">
        <f t="shared" si="33"/>
        <v>0</v>
      </c>
    </row>
    <row r="270" spans="1:9">
      <c r="A270" s="47">
        <v>257</v>
      </c>
      <c r="B270" s="50">
        <f t="shared" si="35"/>
        <v>0</v>
      </c>
      <c r="C270" s="51">
        <f t="shared" si="34"/>
        <v>0</v>
      </c>
      <c r="D270" s="51">
        <f t="shared" ref="D270:D333" si="36">IF(C270+E270&gt;$C$10,$C$10,C270+E270)</f>
        <v>0</v>
      </c>
      <c r="E270" s="51">
        <f t="shared" si="30"/>
        <v>0</v>
      </c>
      <c r="F270" s="51">
        <f t="shared" si="31"/>
        <v>0</v>
      </c>
      <c r="G270" s="51">
        <f t="shared" ref="G270:G333" si="37">C270-F270</f>
        <v>0</v>
      </c>
      <c r="H270" s="52" t="e">
        <f t="shared" si="32"/>
        <v>#DIV/0!</v>
      </c>
      <c r="I270" s="51">
        <f t="shared" si="33"/>
        <v>0</v>
      </c>
    </row>
    <row r="271" spans="1:9">
      <c r="A271" s="47">
        <v>258</v>
      </c>
      <c r="B271" s="50">
        <f t="shared" si="35"/>
        <v>0</v>
      </c>
      <c r="C271" s="51">
        <f t="shared" si="34"/>
        <v>0</v>
      </c>
      <c r="D271" s="51">
        <f t="shared" si="36"/>
        <v>0</v>
      </c>
      <c r="E271" s="51">
        <f t="shared" ref="E271:E334" si="38">C271*(B271/12)</f>
        <v>0</v>
      </c>
      <c r="F271" s="51">
        <f t="shared" ref="F271:F334" si="39">IF(C271&lt;$C$10,C271,D271-E271)</f>
        <v>0</v>
      </c>
      <c r="G271" s="51">
        <f t="shared" si="37"/>
        <v>0</v>
      </c>
      <c r="H271" s="52" t="e">
        <f t="shared" ref="H271:H334" si="40">G271/$C$1</f>
        <v>#DIV/0!</v>
      </c>
      <c r="I271" s="51">
        <f t="shared" ref="I271:I334" si="41">C271*$I$10/12</f>
        <v>0</v>
      </c>
    </row>
    <row r="272" spans="1:9">
      <c r="A272" s="47">
        <v>259</v>
      </c>
      <c r="B272" s="50">
        <f t="shared" si="35"/>
        <v>0</v>
      </c>
      <c r="C272" s="51">
        <f t="shared" ref="C272:C335" si="42">G271</f>
        <v>0</v>
      </c>
      <c r="D272" s="51">
        <f t="shared" si="36"/>
        <v>0</v>
      </c>
      <c r="E272" s="51">
        <f t="shared" si="38"/>
        <v>0</v>
      </c>
      <c r="F272" s="51">
        <f t="shared" si="39"/>
        <v>0</v>
      </c>
      <c r="G272" s="51">
        <f t="shared" si="37"/>
        <v>0</v>
      </c>
      <c r="H272" s="52" t="e">
        <f t="shared" si="40"/>
        <v>#DIV/0!</v>
      </c>
      <c r="I272" s="51">
        <f t="shared" si="41"/>
        <v>0</v>
      </c>
    </row>
    <row r="273" spans="1:9">
      <c r="A273" s="47">
        <v>260</v>
      </c>
      <c r="B273" s="50">
        <f t="shared" si="35"/>
        <v>0</v>
      </c>
      <c r="C273" s="51">
        <f t="shared" si="42"/>
        <v>0</v>
      </c>
      <c r="D273" s="51">
        <f t="shared" si="36"/>
        <v>0</v>
      </c>
      <c r="E273" s="51">
        <f t="shared" si="38"/>
        <v>0</v>
      </c>
      <c r="F273" s="51">
        <f t="shared" si="39"/>
        <v>0</v>
      </c>
      <c r="G273" s="51">
        <f t="shared" si="37"/>
        <v>0</v>
      </c>
      <c r="H273" s="52" t="e">
        <f t="shared" si="40"/>
        <v>#DIV/0!</v>
      </c>
      <c r="I273" s="51">
        <f t="shared" si="41"/>
        <v>0</v>
      </c>
    </row>
    <row r="274" spans="1:9">
      <c r="A274" s="47">
        <v>261</v>
      </c>
      <c r="B274" s="50">
        <f t="shared" si="35"/>
        <v>0</v>
      </c>
      <c r="C274" s="51">
        <f t="shared" si="42"/>
        <v>0</v>
      </c>
      <c r="D274" s="51">
        <f t="shared" si="36"/>
        <v>0</v>
      </c>
      <c r="E274" s="51">
        <f t="shared" si="38"/>
        <v>0</v>
      </c>
      <c r="F274" s="51">
        <f t="shared" si="39"/>
        <v>0</v>
      </c>
      <c r="G274" s="51">
        <f t="shared" si="37"/>
        <v>0</v>
      </c>
      <c r="H274" s="52" t="e">
        <f t="shared" si="40"/>
        <v>#DIV/0!</v>
      </c>
      <c r="I274" s="51">
        <f t="shared" si="41"/>
        <v>0</v>
      </c>
    </row>
    <row r="275" spans="1:9">
      <c r="A275" s="47">
        <v>262</v>
      </c>
      <c r="B275" s="50">
        <f t="shared" si="35"/>
        <v>0</v>
      </c>
      <c r="C275" s="51">
        <f t="shared" si="42"/>
        <v>0</v>
      </c>
      <c r="D275" s="51">
        <f t="shared" si="36"/>
        <v>0</v>
      </c>
      <c r="E275" s="51">
        <f t="shared" si="38"/>
        <v>0</v>
      </c>
      <c r="F275" s="51">
        <f t="shared" si="39"/>
        <v>0</v>
      </c>
      <c r="G275" s="51">
        <f t="shared" si="37"/>
        <v>0</v>
      </c>
      <c r="H275" s="52" t="e">
        <f t="shared" si="40"/>
        <v>#DIV/0!</v>
      </c>
      <c r="I275" s="51">
        <f t="shared" si="41"/>
        <v>0</v>
      </c>
    </row>
    <row r="276" spans="1:9">
      <c r="A276" s="47">
        <v>263</v>
      </c>
      <c r="B276" s="50">
        <f t="shared" si="35"/>
        <v>0</v>
      </c>
      <c r="C276" s="51">
        <f t="shared" si="42"/>
        <v>0</v>
      </c>
      <c r="D276" s="51">
        <f t="shared" si="36"/>
        <v>0</v>
      </c>
      <c r="E276" s="51">
        <f t="shared" si="38"/>
        <v>0</v>
      </c>
      <c r="F276" s="51">
        <f t="shared" si="39"/>
        <v>0</v>
      </c>
      <c r="G276" s="51">
        <f t="shared" si="37"/>
        <v>0</v>
      </c>
      <c r="H276" s="52" t="e">
        <f t="shared" si="40"/>
        <v>#DIV/0!</v>
      </c>
      <c r="I276" s="51">
        <f t="shared" si="41"/>
        <v>0</v>
      </c>
    </row>
    <row r="277" spans="1:9">
      <c r="A277" s="47">
        <v>264</v>
      </c>
      <c r="B277" s="50">
        <f t="shared" si="35"/>
        <v>0</v>
      </c>
      <c r="C277" s="51">
        <f t="shared" si="42"/>
        <v>0</v>
      </c>
      <c r="D277" s="51">
        <f t="shared" si="36"/>
        <v>0</v>
      </c>
      <c r="E277" s="51">
        <f t="shared" si="38"/>
        <v>0</v>
      </c>
      <c r="F277" s="51">
        <f t="shared" si="39"/>
        <v>0</v>
      </c>
      <c r="G277" s="51">
        <f t="shared" si="37"/>
        <v>0</v>
      </c>
      <c r="H277" s="52" t="e">
        <f t="shared" si="40"/>
        <v>#DIV/0!</v>
      </c>
      <c r="I277" s="51">
        <f t="shared" si="41"/>
        <v>0</v>
      </c>
    </row>
    <row r="278" spans="1:9">
      <c r="A278" s="47">
        <v>265</v>
      </c>
      <c r="B278" s="50">
        <f t="shared" si="35"/>
        <v>0</v>
      </c>
      <c r="C278" s="51">
        <f t="shared" si="42"/>
        <v>0</v>
      </c>
      <c r="D278" s="51">
        <f t="shared" si="36"/>
        <v>0</v>
      </c>
      <c r="E278" s="51">
        <f t="shared" si="38"/>
        <v>0</v>
      </c>
      <c r="F278" s="51">
        <f t="shared" si="39"/>
        <v>0</v>
      </c>
      <c r="G278" s="51">
        <f t="shared" si="37"/>
        <v>0</v>
      </c>
      <c r="H278" s="52" t="e">
        <f t="shared" si="40"/>
        <v>#DIV/0!</v>
      </c>
      <c r="I278" s="51">
        <f t="shared" si="41"/>
        <v>0</v>
      </c>
    </row>
    <row r="279" spans="1:9">
      <c r="A279" s="47">
        <v>266</v>
      </c>
      <c r="B279" s="50">
        <f t="shared" si="35"/>
        <v>0</v>
      </c>
      <c r="C279" s="51">
        <f t="shared" si="42"/>
        <v>0</v>
      </c>
      <c r="D279" s="51">
        <f t="shared" si="36"/>
        <v>0</v>
      </c>
      <c r="E279" s="51">
        <f t="shared" si="38"/>
        <v>0</v>
      </c>
      <c r="F279" s="51">
        <f t="shared" si="39"/>
        <v>0</v>
      </c>
      <c r="G279" s="51">
        <f t="shared" si="37"/>
        <v>0</v>
      </c>
      <c r="H279" s="52" t="e">
        <f t="shared" si="40"/>
        <v>#DIV/0!</v>
      </c>
      <c r="I279" s="51">
        <f t="shared" si="41"/>
        <v>0</v>
      </c>
    </row>
    <row r="280" spans="1:9">
      <c r="A280" s="47">
        <v>267</v>
      </c>
      <c r="B280" s="50">
        <f t="shared" si="35"/>
        <v>0</v>
      </c>
      <c r="C280" s="51">
        <f t="shared" si="42"/>
        <v>0</v>
      </c>
      <c r="D280" s="51">
        <f t="shared" si="36"/>
        <v>0</v>
      </c>
      <c r="E280" s="51">
        <f t="shared" si="38"/>
        <v>0</v>
      </c>
      <c r="F280" s="51">
        <f t="shared" si="39"/>
        <v>0</v>
      </c>
      <c r="G280" s="51">
        <f t="shared" si="37"/>
        <v>0</v>
      </c>
      <c r="H280" s="52" t="e">
        <f t="shared" si="40"/>
        <v>#DIV/0!</v>
      </c>
      <c r="I280" s="51">
        <f t="shared" si="41"/>
        <v>0</v>
      </c>
    </row>
    <row r="281" spans="1:9">
      <c r="A281" s="47">
        <v>268</v>
      </c>
      <c r="B281" s="50">
        <f t="shared" si="35"/>
        <v>0</v>
      </c>
      <c r="C281" s="51">
        <f t="shared" si="42"/>
        <v>0</v>
      </c>
      <c r="D281" s="51">
        <f t="shared" si="36"/>
        <v>0</v>
      </c>
      <c r="E281" s="51">
        <f t="shared" si="38"/>
        <v>0</v>
      </c>
      <c r="F281" s="51">
        <f t="shared" si="39"/>
        <v>0</v>
      </c>
      <c r="G281" s="51">
        <f t="shared" si="37"/>
        <v>0</v>
      </c>
      <c r="H281" s="52" t="e">
        <f t="shared" si="40"/>
        <v>#DIV/0!</v>
      </c>
      <c r="I281" s="51">
        <f t="shared" si="41"/>
        <v>0</v>
      </c>
    </row>
    <row r="282" spans="1:9">
      <c r="A282" s="47">
        <v>269</v>
      </c>
      <c r="B282" s="50">
        <f t="shared" si="35"/>
        <v>0</v>
      </c>
      <c r="C282" s="51">
        <f t="shared" si="42"/>
        <v>0</v>
      </c>
      <c r="D282" s="51">
        <f t="shared" si="36"/>
        <v>0</v>
      </c>
      <c r="E282" s="51">
        <f t="shared" si="38"/>
        <v>0</v>
      </c>
      <c r="F282" s="51">
        <f t="shared" si="39"/>
        <v>0</v>
      </c>
      <c r="G282" s="51">
        <f t="shared" si="37"/>
        <v>0</v>
      </c>
      <c r="H282" s="52" t="e">
        <f t="shared" si="40"/>
        <v>#DIV/0!</v>
      </c>
      <c r="I282" s="51">
        <f t="shared" si="41"/>
        <v>0</v>
      </c>
    </row>
    <row r="283" spans="1:9">
      <c r="A283" s="47">
        <v>270</v>
      </c>
      <c r="B283" s="50">
        <f t="shared" si="35"/>
        <v>0</v>
      </c>
      <c r="C283" s="51">
        <f t="shared" si="42"/>
        <v>0</v>
      </c>
      <c r="D283" s="51">
        <f t="shared" si="36"/>
        <v>0</v>
      </c>
      <c r="E283" s="51">
        <f t="shared" si="38"/>
        <v>0</v>
      </c>
      <c r="F283" s="51">
        <f t="shared" si="39"/>
        <v>0</v>
      </c>
      <c r="G283" s="51">
        <f t="shared" si="37"/>
        <v>0</v>
      </c>
      <c r="H283" s="52" t="e">
        <f t="shared" si="40"/>
        <v>#DIV/0!</v>
      </c>
      <c r="I283" s="51">
        <f t="shared" si="41"/>
        <v>0</v>
      </c>
    </row>
    <row r="284" spans="1:9">
      <c r="A284" s="47">
        <v>271</v>
      </c>
      <c r="B284" s="50">
        <f t="shared" si="35"/>
        <v>0</v>
      </c>
      <c r="C284" s="51">
        <f t="shared" si="42"/>
        <v>0</v>
      </c>
      <c r="D284" s="51">
        <f t="shared" si="36"/>
        <v>0</v>
      </c>
      <c r="E284" s="51">
        <f t="shared" si="38"/>
        <v>0</v>
      </c>
      <c r="F284" s="51">
        <f t="shared" si="39"/>
        <v>0</v>
      </c>
      <c r="G284" s="51">
        <f t="shared" si="37"/>
        <v>0</v>
      </c>
      <c r="H284" s="52" t="e">
        <f t="shared" si="40"/>
        <v>#DIV/0!</v>
      </c>
      <c r="I284" s="51">
        <f t="shared" si="41"/>
        <v>0</v>
      </c>
    </row>
    <row r="285" spans="1:9">
      <c r="A285" s="47">
        <v>272</v>
      </c>
      <c r="B285" s="50">
        <f t="shared" si="35"/>
        <v>0</v>
      </c>
      <c r="C285" s="51">
        <f t="shared" si="42"/>
        <v>0</v>
      </c>
      <c r="D285" s="51">
        <f t="shared" si="36"/>
        <v>0</v>
      </c>
      <c r="E285" s="51">
        <f t="shared" si="38"/>
        <v>0</v>
      </c>
      <c r="F285" s="51">
        <f t="shared" si="39"/>
        <v>0</v>
      </c>
      <c r="G285" s="51">
        <f t="shared" si="37"/>
        <v>0</v>
      </c>
      <c r="H285" s="52" t="e">
        <f t="shared" si="40"/>
        <v>#DIV/0!</v>
      </c>
      <c r="I285" s="51">
        <f t="shared" si="41"/>
        <v>0</v>
      </c>
    </row>
    <row r="286" spans="1:9">
      <c r="A286" s="47">
        <v>273</v>
      </c>
      <c r="B286" s="50">
        <f t="shared" si="35"/>
        <v>0</v>
      </c>
      <c r="C286" s="51">
        <f t="shared" si="42"/>
        <v>0</v>
      </c>
      <c r="D286" s="51">
        <f t="shared" si="36"/>
        <v>0</v>
      </c>
      <c r="E286" s="51">
        <f t="shared" si="38"/>
        <v>0</v>
      </c>
      <c r="F286" s="51">
        <f t="shared" si="39"/>
        <v>0</v>
      </c>
      <c r="G286" s="51">
        <f t="shared" si="37"/>
        <v>0</v>
      </c>
      <c r="H286" s="52" t="e">
        <f t="shared" si="40"/>
        <v>#DIV/0!</v>
      </c>
      <c r="I286" s="51">
        <f t="shared" si="41"/>
        <v>0</v>
      </c>
    </row>
    <row r="287" spans="1:9">
      <c r="A287" s="47">
        <v>274</v>
      </c>
      <c r="B287" s="50">
        <f t="shared" si="35"/>
        <v>0</v>
      </c>
      <c r="C287" s="51">
        <f t="shared" si="42"/>
        <v>0</v>
      </c>
      <c r="D287" s="51">
        <f t="shared" si="36"/>
        <v>0</v>
      </c>
      <c r="E287" s="51">
        <f t="shared" si="38"/>
        <v>0</v>
      </c>
      <c r="F287" s="51">
        <f t="shared" si="39"/>
        <v>0</v>
      </c>
      <c r="G287" s="51">
        <f t="shared" si="37"/>
        <v>0</v>
      </c>
      <c r="H287" s="52" t="e">
        <f t="shared" si="40"/>
        <v>#DIV/0!</v>
      </c>
      <c r="I287" s="51">
        <f t="shared" si="41"/>
        <v>0</v>
      </c>
    </row>
    <row r="288" spans="1:9">
      <c r="A288" s="47">
        <v>275</v>
      </c>
      <c r="B288" s="50">
        <f t="shared" si="35"/>
        <v>0</v>
      </c>
      <c r="C288" s="51">
        <f t="shared" si="42"/>
        <v>0</v>
      </c>
      <c r="D288" s="51">
        <f t="shared" si="36"/>
        <v>0</v>
      </c>
      <c r="E288" s="51">
        <f t="shared" si="38"/>
        <v>0</v>
      </c>
      <c r="F288" s="51">
        <f t="shared" si="39"/>
        <v>0</v>
      </c>
      <c r="G288" s="51">
        <f t="shared" si="37"/>
        <v>0</v>
      </c>
      <c r="H288" s="52" t="e">
        <f t="shared" si="40"/>
        <v>#DIV/0!</v>
      </c>
      <c r="I288" s="51">
        <f t="shared" si="41"/>
        <v>0</v>
      </c>
    </row>
    <row r="289" spans="1:9">
      <c r="A289" s="47">
        <v>276</v>
      </c>
      <c r="B289" s="50">
        <f t="shared" si="35"/>
        <v>0</v>
      </c>
      <c r="C289" s="51">
        <f t="shared" si="42"/>
        <v>0</v>
      </c>
      <c r="D289" s="51">
        <f t="shared" si="36"/>
        <v>0</v>
      </c>
      <c r="E289" s="51">
        <f t="shared" si="38"/>
        <v>0</v>
      </c>
      <c r="F289" s="51">
        <f t="shared" si="39"/>
        <v>0</v>
      </c>
      <c r="G289" s="51">
        <f t="shared" si="37"/>
        <v>0</v>
      </c>
      <c r="H289" s="52" t="e">
        <f t="shared" si="40"/>
        <v>#DIV/0!</v>
      </c>
      <c r="I289" s="51">
        <f t="shared" si="41"/>
        <v>0</v>
      </c>
    </row>
    <row r="290" spans="1:9">
      <c r="A290" s="47">
        <v>277</v>
      </c>
      <c r="B290" s="50">
        <f t="shared" si="35"/>
        <v>0</v>
      </c>
      <c r="C290" s="51">
        <f t="shared" si="42"/>
        <v>0</v>
      </c>
      <c r="D290" s="51">
        <f t="shared" si="36"/>
        <v>0</v>
      </c>
      <c r="E290" s="51">
        <f t="shared" si="38"/>
        <v>0</v>
      </c>
      <c r="F290" s="51">
        <f t="shared" si="39"/>
        <v>0</v>
      </c>
      <c r="G290" s="51">
        <f t="shared" si="37"/>
        <v>0</v>
      </c>
      <c r="H290" s="52" t="e">
        <f t="shared" si="40"/>
        <v>#DIV/0!</v>
      </c>
      <c r="I290" s="51">
        <f t="shared" si="41"/>
        <v>0</v>
      </c>
    </row>
    <row r="291" spans="1:9">
      <c r="A291" s="47">
        <v>278</v>
      </c>
      <c r="B291" s="50">
        <f t="shared" si="35"/>
        <v>0</v>
      </c>
      <c r="C291" s="51">
        <f t="shared" si="42"/>
        <v>0</v>
      </c>
      <c r="D291" s="51">
        <f t="shared" si="36"/>
        <v>0</v>
      </c>
      <c r="E291" s="51">
        <f t="shared" si="38"/>
        <v>0</v>
      </c>
      <c r="F291" s="51">
        <f t="shared" si="39"/>
        <v>0</v>
      </c>
      <c r="G291" s="51">
        <f t="shared" si="37"/>
        <v>0</v>
      </c>
      <c r="H291" s="52" t="e">
        <f t="shared" si="40"/>
        <v>#DIV/0!</v>
      </c>
      <c r="I291" s="51">
        <f t="shared" si="41"/>
        <v>0</v>
      </c>
    </row>
    <row r="292" spans="1:9">
      <c r="A292" s="47">
        <v>279</v>
      </c>
      <c r="B292" s="50">
        <f t="shared" si="35"/>
        <v>0</v>
      </c>
      <c r="C292" s="51">
        <f t="shared" si="42"/>
        <v>0</v>
      </c>
      <c r="D292" s="51">
        <f t="shared" si="36"/>
        <v>0</v>
      </c>
      <c r="E292" s="51">
        <f t="shared" si="38"/>
        <v>0</v>
      </c>
      <c r="F292" s="51">
        <f t="shared" si="39"/>
        <v>0</v>
      </c>
      <c r="G292" s="51">
        <f t="shared" si="37"/>
        <v>0</v>
      </c>
      <c r="H292" s="52" t="e">
        <f t="shared" si="40"/>
        <v>#DIV/0!</v>
      </c>
      <c r="I292" s="51">
        <f t="shared" si="41"/>
        <v>0</v>
      </c>
    </row>
    <row r="293" spans="1:9">
      <c r="A293" s="47">
        <v>280</v>
      </c>
      <c r="B293" s="50">
        <f t="shared" si="35"/>
        <v>0</v>
      </c>
      <c r="C293" s="51">
        <f t="shared" si="42"/>
        <v>0</v>
      </c>
      <c r="D293" s="51">
        <f t="shared" si="36"/>
        <v>0</v>
      </c>
      <c r="E293" s="51">
        <f t="shared" si="38"/>
        <v>0</v>
      </c>
      <c r="F293" s="51">
        <f t="shared" si="39"/>
        <v>0</v>
      </c>
      <c r="G293" s="51">
        <f t="shared" si="37"/>
        <v>0</v>
      </c>
      <c r="H293" s="52" t="e">
        <f t="shared" si="40"/>
        <v>#DIV/0!</v>
      </c>
      <c r="I293" s="51">
        <f t="shared" si="41"/>
        <v>0</v>
      </c>
    </row>
    <row r="294" spans="1:9">
      <c r="A294" s="47">
        <v>281</v>
      </c>
      <c r="B294" s="50">
        <f t="shared" si="35"/>
        <v>0</v>
      </c>
      <c r="C294" s="51">
        <f t="shared" si="42"/>
        <v>0</v>
      </c>
      <c r="D294" s="51">
        <f t="shared" si="36"/>
        <v>0</v>
      </c>
      <c r="E294" s="51">
        <f t="shared" si="38"/>
        <v>0</v>
      </c>
      <c r="F294" s="51">
        <f t="shared" si="39"/>
        <v>0</v>
      </c>
      <c r="G294" s="51">
        <f t="shared" si="37"/>
        <v>0</v>
      </c>
      <c r="H294" s="52" t="e">
        <f t="shared" si="40"/>
        <v>#DIV/0!</v>
      </c>
      <c r="I294" s="51">
        <f t="shared" si="41"/>
        <v>0</v>
      </c>
    </row>
    <row r="295" spans="1:9">
      <c r="A295" s="47">
        <v>282</v>
      </c>
      <c r="B295" s="50">
        <f t="shared" si="35"/>
        <v>0</v>
      </c>
      <c r="C295" s="51">
        <f t="shared" si="42"/>
        <v>0</v>
      </c>
      <c r="D295" s="51">
        <f t="shared" si="36"/>
        <v>0</v>
      </c>
      <c r="E295" s="51">
        <f t="shared" si="38"/>
        <v>0</v>
      </c>
      <c r="F295" s="51">
        <f t="shared" si="39"/>
        <v>0</v>
      </c>
      <c r="G295" s="51">
        <f t="shared" si="37"/>
        <v>0</v>
      </c>
      <c r="H295" s="52" t="e">
        <f t="shared" si="40"/>
        <v>#DIV/0!</v>
      </c>
      <c r="I295" s="51">
        <f t="shared" si="41"/>
        <v>0</v>
      </c>
    </row>
    <row r="296" spans="1:9">
      <c r="A296" s="47">
        <v>283</v>
      </c>
      <c r="B296" s="50">
        <f t="shared" si="35"/>
        <v>0</v>
      </c>
      <c r="C296" s="51">
        <f t="shared" si="42"/>
        <v>0</v>
      </c>
      <c r="D296" s="51">
        <f t="shared" si="36"/>
        <v>0</v>
      </c>
      <c r="E296" s="51">
        <f t="shared" si="38"/>
        <v>0</v>
      </c>
      <c r="F296" s="51">
        <f t="shared" si="39"/>
        <v>0</v>
      </c>
      <c r="G296" s="51">
        <f t="shared" si="37"/>
        <v>0</v>
      </c>
      <c r="H296" s="52" t="e">
        <f t="shared" si="40"/>
        <v>#DIV/0!</v>
      </c>
      <c r="I296" s="51">
        <f t="shared" si="41"/>
        <v>0</v>
      </c>
    </row>
    <row r="297" spans="1:9">
      <c r="A297" s="47">
        <v>284</v>
      </c>
      <c r="B297" s="50">
        <f t="shared" si="35"/>
        <v>0</v>
      </c>
      <c r="C297" s="51">
        <f t="shared" si="42"/>
        <v>0</v>
      </c>
      <c r="D297" s="51">
        <f t="shared" si="36"/>
        <v>0</v>
      </c>
      <c r="E297" s="51">
        <f t="shared" si="38"/>
        <v>0</v>
      </c>
      <c r="F297" s="51">
        <f t="shared" si="39"/>
        <v>0</v>
      </c>
      <c r="G297" s="51">
        <f t="shared" si="37"/>
        <v>0</v>
      </c>
      <c r="H297" s="52" t="e">
        <f t="shared" si="40"/>
        <v>#DIV/0!</v>
      </c>
      <c r="I297" s="51">
        <f t="shared" si="41"/>
        <v>0</v>
      </c>
    </row>
    <row r="298" spans="1:9">
      <c r="A298" s="47">
        <v>285</v>
      </c>
      <c r="B298" s="50">
        <f t="shared" si="35"/>
        <v>0</v>
      </c>
      <c r="C298" s="51">
        <f t="shared" si="42"/>
        <v>0</v>
      </c>
      <c r="D298" s="51">
        <f t="shared" si="36"/>
        <v>0</v>
      </c>
      <c r="E298" s="51">
        <f t="shared" si="38"/>
        <v>0</v>
      </c>
      <c r="F298" s="51">
        <f t="shared" si="39"/>
        <v>0</v>
      </c>
      <c r="G298" s="51">
        <f t="shared" si="37"/>
        <v>0</v>
      </c>
      <c r="H298" s="52" t="e">
        <f t="shared" si="40"/>
        <v>#DIV/0!</v>
      </c>
      <c r="I298" s="51">
        <f t="shared" si="41"/>
        <v>0</v>
      </c>
    </row>
    <row r="299" spans="1:9">
      <c r="A299" s="47">
        <v>286</v>
      </c>
      <c r="B299" s="50">
        <f t="shared" si="35"/>
        <v>0</v>
      </c>
      <c r="C299" s="51">
        <f t="shared" si="42"/>
        <v>0</v>
      </c>
      <c r="D299" s="51">
        <f t="shared" si="36"/>
        <v>0</v>
      </c>
      <c r="E299" s="51">
        <f t="shared" si="38"/>
        <v>0</v>
      </c>
      <c r="F299" s="51">
        <f t="shared" si="39"/>
        <v>0</v>
      </c>
      <c r="G299" s="51">
        <f t="shared" si="37"/>
        <v>0</v>
      </c>
      <c r="H299" s="52" t="e">
        <f t="shared" si="40"/>
        <v>#DIV/0!</v>
      </c>
      <c r="I299" s="51">
        <f t="shared" si="41"/>
        <v>0</v>
      </c>
    </row>
    <row r="300" spans="1:9">
      <c r="A300" s="47">
        <v>287</v>
      </c>
      <c r="B300" s="50">
        <f t="shared" si="35"/>
        <v>0</v>
      </c>
      <c r="C300" s="51">
        <f t="shared" si="42"/>
        <v>0</v>
      </c>
      <c r="D300" s="51">
        <f t="shared" si="36"/>
        <v>0</v>
      </c>
      <c r="E300" s="51">
        <f t="shared" si="38"/>
        <v>0</v>
      </c>
      <c r="F300" s="51">
        <f t="shared" si="39"/>
        <v>0</v>
      </c>
      <c r="G300" s="51">
        <f t="shared" si="37"/>
        <v>0</v>
      </c>
      <c r="H300" s="52" t="e">
        <f t="shared" si="40"/>
        <v>#DIV/0!</v>
      </c>
      <c r="I300" s="51">
        <f t="shared" si="41"/>
        <v>0</v>
      </c>
    </row>
    <row r="301" spans="1:9">
      <c r="A301" s="47">
        <v>288</v>
      </c>
      <c r="B301" s="50">
        <f t="shared" si="35"/>
        <v>0</v>
      </c>
      <c r="C301" s="51">
        <f t="shared" si="42"/>
        <v>0</v>
      </c>
      <c r="D301" s="51">
        <f t="shared" si="36"/>
        <v>0</v>
      </c>
      <c r="E301" s="51">
        <f t="shared" si="38"/>
        <v>0</v>
      </c>
      <c r="F301" s="51">
        <f t="shared" si="39"/>
        <v>0</v>
      </c>
      <c r="G301" s="51">
        <f t="shared" si="37"/>
        <v>0</v>
      </c>
      <c r="H301" s="52" t="e">
        <f t="shared" si="40"/>
        <v>#DIV/0!</v>
      </c>
      <c r="I301" s="51">
        <f t="shared" si="41"/>
        <v>0</v>
      </c>
    </row>
    <row r="302" spans="1:9">
      <c r="A302" s="47">
        <v>289</v>
      </c>
      <c r="B302" s="50">
        <f t="shared" si="35"/>
        <v>0</v>
      </c>
      <c r="C302" s="51">
        <f t="shared" si="42"/>
        <v>0</v>
      </c>
      <c r="D302" s="51">
        <f t="shared" si="36"/>
        <v>0</v>
      </c>
      <c r="E302" s="51">
        <f t="shared" si="38"/>
        <v>0</v>
      </c>
      <c r="F302" s="51">
        <f t="shared" si="39"/>
        <v>0</v>
      </c>
      <c r="G302" s="51">
        <f t="shared" si="37"/>
        <v>0</v>
      </c>
      <c r="H302" s="52" t="e">
        <f t="shared" si="40"/>
        <v>#DIV/0!</v>
      </c>
      <c r="I302" s="51">
        <f t="shared" si="41"/>
        <v>0</v>
      </c>
    </row>
    <row r="303" spans="1:9">
      <c r="A303" s="47">
        <v>290</v>
      </c>
      <c r="B303" s="50">
        <f t="shared" si="35"/>
        <v>0</v>
      </c>
      <c r="C303" s="51">
        <f t="shared" si="42"/>
        <v>0</v>
      </c>
      <c r="D303" s="51">
        <f t="shared" si="36"/>
        <v>0</v>
      </c>
      <c r="E303" s="51">
        <f t="shared" si="38"/>
        <v>0</v>
      </c>
      <c r="F303" s="51">
        <f t="shared" si="39"/>
        <v>0</v>
      </c>
      <c r="G303" s="51">
        <f t="shared" si="37"/>
        <v>0</v>
      </c>
      <c r="H303" s="52" t="e">
        <f t="shared" si="40"/>
        <v>#DIV/0!</v>
      </c>
      <c r="I303" s="51">
        <f t="shared" si="41"/>
        <v>0</v>
      </c>
    </row>
    <row r="304" spans="1:9">
      <c r="A304" s="47">
        <v>291</v>
      </c>
      <c r="B304" s="50">
        <f t="shared" si="35"/>
        <v>0</v>
      </c>
      <c r="C304" s="51">
        <f t="shared" si="42"/>
        <v>0</v>
      </c>
      <c r="D304" s="51">
        <f t="shared" si="36"/>
        <v>0</v>
      </c>
      <c r="E304" s="51">
        <f t="shared" si="38"/>
        <v>0</v>
      </c>
      <c r="F304" s="51">
        <f t="shared" si="39"/>
        <v>0</v>
      </c>
      <c r="G304" s="51">
        <f t="shared" si="37"/>
        <v>0</v>
      </c>
      <c r="H304" s="52" t="e">
        <f t="shared" si="40"/>
        <v>#DIV/0!</v>
      </c>
      <c r="I304" s="51">
        <f t="shared" si="41"/>
        <v>0</v>
      </c>
    </row>
    <row r="305" spans="1:9">
      <c r="A305" s="47">
        <v>292</v>
      </c>
      <c r="B305" s="50">
        <f t="shared" si="35"/>
        <v>0</v>
      </c>
      <c r="C305" s="51">
        <f t="shared" si="42"/>
        <v>0</v>
      </c>
      <c r="D305" s="51">
        <f t="shared" si="36"/>
        <v>0</v>
      </c>
      <c r="E305" s="51">
        <f t="shared" si="38"/>
        <v>0</v>
      </c>
      <c r="F305" s="51">
        <f t="shared" si="39"/>
        <v>0</v>
      </c>
      <c r="G305" s="51">
        <f t="shared" si="37"/>
        <v>0</v>
      </c>
      <c r="H305" s="52" t="e">
        <f t="shared" si="40"/>
        <v>#DIV/0!</v>
      </c>
      <c r="I305" s="51">
        <f t="shared" si="41"/>
        <v>0</v>
      </c>
    </row>
    <row r="306" spans="1:9">
      <c r="A306" s="47">
        <v>293</v>
      </c>
      <c r="B306" s="50">
        <f t="shared" si="35"/>
        <v>0</v>
      </c>
      <c r="C306" s="51">
        <f t="shared" si="42"/>
        <v>0</v>
      </c>
      <c r="D306" s="51">
        <f t="shared" si="36"/>
        <v>0</v>
      </c>
      <c r="E306" s="51">
        <f t="shared" si="38"/>
        <v>0</v>
      </c>
      <c r="F306" s="51">
        <f t="shared" si="39"/>
        <v>0</v>
      </c>
      <c r="G306" s="51">
        <f t="shared" si="37"/>
        <v>0</v>
      </c>
      <c r="H306" s="52" t="e">
        <f t="shared" si="40"/>
        <v>#DIV/0!</v>
      </c>
      <c r="I306" s="51">
        <f t="shared" si="41"/>
        <v>0</v>
      </c>
    </row>
    <row r="307" spans="1:9">
      <c r="A307" s="47">
        <v>294</v>
      </c>
      <c r="B307" s="50">
        <f t="shared" ref="B307:B370" si="43">$C$6</f>
        <v>0</v>
      </c>
      <c r="C307" s="51">
        <f t="shared" si="42"/>
        <v>0</v>
      </c>
      <c r="D307" s="51">
        <f t="shared" si="36"/>
        <v>0</v>
      </c>
      <c r="E307" s="51">
        <f t="shared" si="38"/>
        <v>0</v>
      </c>
      <c r="F307" s="51">
        <f t="shared" si="39"/>
        <v>0</v>
      </c>
      <c r="G307" s="51">
        <f t="shared" si="37"/>
        <v>0</v>
      </c>
      <c r="H307" s="52" t="e">
        <f t="shared" si="40"/>
        <v>#DIV/0!</v>
      </c>
      <c r="I307" s="51">
        <f t="shared" si="41"/>
        <v>0</v>
      </c>
    </row>
    <row r="308" spans="1:9">
      <c r="A308" s="47">
        <v>295</v>
      </c>
      <c r="B308" s="50">
        <f t="shared" si="43"/>
        <v>0</v>
      </c>
      <c r="C308" s="51">
        <f t="shared" si="42"/>
        <v>0</v>
      </c>
      <c r="D308" s="51">
        <f t="shared" si="36"/>
        <v>0</v>
      </c>
      <c r="E308" s="51">
        <f t="shared" si="38"/>
        <v>0</v>
      </c>
      <c r="F308" s="51">
        <f t="shared" si="39"/>
        <v>0</v>
      </c>
      <c r="G308" s="51">
        <f t="shared" si="37"/>
        <v>0</v>
      </c>
      <c r="H308" s="52" t="e">
        <f t="shared" si="40"/>
        <v>#DIV/0!</v>
      </c>
      <c r="I308" s="51">
        <f t="shared" si="41"/>
        <v>0</v>
      </c>
    </row>
    <row r="309" spans="1:9">
      <c r="A309" s="47">
        <v>296</v>
      </c>
      <c r="B309" s="50">
        <f t="shared" si="43"/>
        <v>0</v>
      </c>
      <c r="C309" s="51">
        <f t="shared" si="42"/>
        <v>0</v>
      </c>
      <c r="D309" s="51">
        <f t="shared" si="36"/>
        <v>0</v>
      </c>
      <c r="E309" s="51">
        <f t="shared" si="38"/>
        <v>0</v>
      </c>
      <c r="F309" s="51">
        <f t="shared" si="39"/>
        <v>0</v>
      </c>
      <c r="G309" s="51">
        <f t="shared" si="37"/>
        <v>0</v>
      </c>
      <c r="H309" s="52" t="e">
        <f t="shared" si="40"/>
        <v>#DIV/0!</v>
      </c>
      <c r="I309" s="51">
        <f t="shared" si="41"/>
        <v>0</v>
      </c>
    </row>
    <row r="310" spans="1:9">
      <c r="A310" s="47">
        <v>297</v>
      </c>
      <c r="B310" s="50">
        <f t="shared" si="43"/>
        <v>0</v>
      </c>
      <c r="C310" s="51">
        <f t="shared" si="42"/>
        <v>0</v>
      </c>
      <c r="D310" s="51">
        <f t="shared" si="36"/>
        <v>0</v>
      </c>
      <c r="E310" s="51">
        <f t="shared" si="38"/>
        <v>0</v>
      </c>
      <c r="F310" s="51">
        <f t="shared" si="39"/>
        <v>0</v>
      </c>
      <c r="G310" s="51">
        <f t="shared" si="37"/>
        <v>0</v>
      </c>
      <c r="H310" s="52" t="e">
        <f t="shared" si="40"/>
        <v>#DIV/0!</v>
      </c>
      <c r="I310" s="51">
        <f t="shared" si="41"/>
        <v>0</v>
      </c>
    </row>
    <row r="311" spans="1:9">
      <c r="A311" s="47">
        <v>298</v>
      </c>
      <c r="B311" s="50">
        <f t="shared" si="43"/>
        <v>0</v>
      </c>
      <c r="C311" s="51">
        <f t="shared" si="42"/>
        <v>0</v>
      </c>
      <c r="D311" s="51">
        <f t="shared" si="36"/>
        <v>0</v>
      </c>
      <c r="E311" s="51">
        <f t="shared" si="38"/>
        <v>0</v>
      </c>
      <c r="F311" s="51">
        <f t="shared" si="39"/>
        <v>0</v>
      </c>
      <c r="G311" s="51">
        <f t="shared" si="37"/>
        <v>0</v>
      </c>
      <c r="H311" s="52" t="e">
        <f t="shared" si="40"/>
        <v>#DIV/0!</v>
      </c>
      <c r="I311" s="51">
        <f t="shared" si="41"/>
        <v>0</v>
      </c>
    </row>
    <row r="312" spans="1:9">
      <c r="A312" s="47">
        <v>299</v>
      </c>
      <c r="B312" s="50">
        <f t="shared" si="43"/>
        <v>0</v>
      </c>
      <c r="C312" s="51">
        <f t="shared" si="42"/>
        <v>0</v>
      </c>
      <c r="D312" s="51">
        <f t="shared" si="36"/>
        <v>0</v>
      </c>
      <c r="E312" s="51">
        <f t="shared" si="38"/>
        <v>0</v>
      </c>
      <c r="F312" s="51">
        <f t="shared" si="39"/>
        <v>0</v>
      </c>
      <c r="G312" s="51">
        <f t="shared" si="37"/>
        <v>0</v>
      </c>
      <c r="H312" s="52" t="e">
        <f t="shared" si="40"/>
        <v>#DIV/0!</v>
      </c>
      <c r="I312" s="51">
        <f t="shared" si="41"/>
        <v>0</v>
      </c>
    </row>
    <row r="313" spans="1:9">
      <c r="A313" s="47">
        <v>300</v>
      </c>
      <c r="B313" s="50">
        <f t="shared" si="43"/>
        <v>0</v>
      </c>
      <c r="C313" s="51">
        <f t="shared" si="42"/>
        <v>0</v>
      </c>
      <c r="D313" s="51">
        <f t="shared" si="36"/>
        <v>0</v>
      </c>
      <c r="E313" s="51">
        <f t="shared" si="38"/>
        <v>0</v>
      </c>
      <c r="F313" s="51">
        <f t="shared" si="39"/>
        <v>0</v>
      </c>
      <c r="G313" s="51">
        <f t="shared" si="37"/>
        <v>0</v>
      </c>
      <c r="H313" s="52" t="e">
        <f t="shared" si="40"/>
        <v>#DIV/0!</v>
      </c>
      <c r="I313" s="51">
        <f t="shared" si="41"/>
        <v>0</v>
      </c>
    </row>
    <row r="314" spans="1:9">
      <c r="A314" s="47">
        <v>301</v>
      </c>
      <c r="B314" s="50">
        <f t="shared" si="43"/>
        <v>0</v>
      </c>
      <c r="C314" s="51">
        <f t="shared" si="42"/>
        <v>0</v>
      </c>
      <c r="D314" s="51">
        <f t="shared" si="36"/>
        <v>0</v>
      </c>
      <c r="E314" s="51">
        <f t="shared" si="38"/>
        <v>0</v>
      </c>
      <c r="F314" s="51">
        <f t="shared" si="39"/>
        <v>0</v>
      </c>
      <c r="G314" s="51">
        <f t="shared" si="37"/>
        <v>0</v>
      </c>
      <c r="H314" s="52" t="e">
        <f t="shared" si="40"/>
        <v>#DIV/0!</v>
      </c>
      <c r="I314" s="51">
        <f t="shared" si="41"/>
        <v>0</v>
      </c>
    </row>
    <row r="315" spans="1:9">
      <c r="A315" s="47">
        <v>302</v>
      </c>
      <c r="B315" s="50">
        <f t="shared" si="43"/>
        <v>0</v>
      </c>
      <c r="C315" s="51">
        <f t="shared" si="42"/>
        <v>0</v>
      </c>
      <c r="D315" s="51">
        <f t="shared" si="36"/>
        <v>0</v>
      </c>
      <c r="E315" s="51">
        <f t="shared" si="38"/>
        <v>0</v>
      </c>
      <c r="F315" s="51">
        <f t="shared" si="39"/>
        <v>0</v>
      </c>
      <c r="G315" s="51">
        <f t="shared" si="37"/>
        <v>0</v>
      </c>
      <c r="H315" s="52" t="e">
        <f t="shared" si="40"/>
        <v>#DIV/0!</v>
      </c>
      <c r="I315" s="51">
        <f t="shared" si="41"/>
        <v>0</v>
      </c>
    </row>
    <row r="316" spans="1:9">
      <c r="A316" s="47">
        <v>303</v>
      </c>
      <c r="B316" s="50">
        <f t="shared" si="43"/>
        <v>0</v>
      </c>
      <c r="C316" s="51">
        <f t="shared" si="42"/>
        <v>0</v>
      </c>
      <c r="D316" s="51">
        <f t="shared" si="36"/>
        <v>0</v>
      </c>
      <c r="E316" s="51">
        <f t="shared" si="38"/>
        <v>0</v>
      </c>
      <c r="F316" s="51">
        <f t="shared" si="39"/>
        <v>0</v>
      </c>
      <c r="G316" s="51">
        <f t="shared" si="37"/>
        <v>0</v>
      </c>
      <c r="H316" s="52" t="e">
        <f t="shared" si="40"/>
        <v>#DIV/0!</v>
      </c>
      <c r="I316" s="51">
        <f t="shared" si="41"/>
        <v>0</v>
      </c>
    </row>
    <row r="317" spans="1:9">
      <c r="A317" s="47">
        <v>304</v>
      </c>
      <c r="B317" s="50">
        <f t="shared" si="43"/>
        <v>0</v>
      </c>
      <c r="C317" s="51">
        <f t="shared" si="42"/>
        <v>0</v>
      </c>
      <c r="D317" s="51">
        <f t="shared" si="36"/>
        <v>0</v>
      </c>
      <c r="E317" s="51">
        <f t="shared" si="38"/>
        <v>0</v>
      </c>
      <c r="F317" s="51">
        <f t="shared" si="39"/>
        <v>0</v>
      </c>
      <c r="G317" s="51">
        <f t="shared" si="37"/>
        <v>0</v>
      </c>
      <c r="H317" s="52" t="e">
        <f t="shared" si="40"/>
        <v>#DIV/0!</v>
      </c>
      <c r="I317" s="51">
        <f t="shared" si="41"/>
        <v>0</v>
      </c>
    </row>
    <row r="318" spans="1:9">
      <c r="A318" s="47">
        <v>305</v>
      </c>
      <c r="B318" s="50">
        <f t="shared" si="43"/>
        <v>0</v>
      </c>
      <c r="C318" s="51">
        <f t="shared" si="42"/>
        <v>0</v>
      </c>
      <c r="D318" s="51">
        <f t="shared" si="36"/>
        <v>0</v>
      </c>
      <c r="E318" s="51">
        <f t="shared" si="38"/>
        <v>0</v>
      </c>
      <c r="F318" s="51">
        <f t="shared" si="39"/>
        <v>0</v>
      </c>
      <c r="G318" s="51">
        <f t="shared" si="37"/>
        <v>0</v>
      </c>
      <c r="H318" s="52" t="e">
        <f t="shared" si="40"/>
        <v>#DIV/0!</v>
      </c>
      <c r="I318" s="51">
        <f t="shared" si="41"/>
        <v>0</v>
      </c>
    </row>
    <row r="319" spans="1:9">
      <c r="A319" s="47">
        <v>306</v>
      </c>
      <c r="B319" s="50">
        <f t="shared" si="43"/>
        <v>0</v>
      </c>
      <c r="C319" s="51">
        <f t="shared" si="42"/>
        <v>0</v>
      </c>
      <c r="D319" s="51">
        <f t="shared" si="36"/>
        <v>0</v>
      </c>
      <c r="E319" s="51">
        <f t="shared" si="38"/>
        <v>0</v>
      </c>
      <c r="F319" s="51">
        <f t="shared" si="39"/>
        <v>0</v>
      </c>
      <c r="G319" s="51">
        <f t="shared" si="37"/>
        <v>0</v>
      </c>
      <c r="H319" s="52" t="e">
        <f t="shared" si="40"/>
        <v>#DIV/0!</v>
      </c>
      <c r="I319" s="51">
        <f t="shared" si="41"/>
        <v>0</v>
      </c>
    </row>
    <row r="320" spans="1:9">
      <c r="A320" s="47">
        <v>307</v>
      </c>
      <c r="B320" s="50">
        <f t="shared" si="43"/>
        <v>0</v>
      </c>
      <c r="C320" s="51">
        <f t="shared" si="42"/>
        <v>0</v>
      </c>
      <c r="D320" s="51">
        <f t="shared" si="36"/>
        <v>0</v>
      </c>
      <c r="E320" s="51">
        <f t="shared" si="38"/>
        <v>0</v>
      </c>
      <c r="F320" s="51">
        <f t="shared" si="39"/>
        <v>0</v>
      </c>
      <c r="G320" s="51">
        <f t="shared" si="37"/>
        <v>0</v>
      </c>
      <c r="H320" s="52" t="e">
        <f t="shared" si="40"/>
        <v>#DIV/0!</v>
      </c>
      <c r="I320" s="51">
        <f t="shared" si="41"/>
        <v>0</v>
      </c>
    </row>
    <row r="321" spans="1:9">
      <c r="A321" s="47">
        <v>308</v>
      </c>
      <c r="B321" s="50">
        <f t="shared" si="43"/>
        <v>0</v>
      </c>
      <c r="C321" s="51">
        <f t="shared" si="42"/>
        <v>0</v>
      </c>
      <c r="D321" s="51">
        <f t="shared" si="36"/>
        <v>0</v>
      </c>
      <c r="E321" s="51">
        <f t="shared" si="38"/>
        <v>0</v>
      </c>
      <c r="F321" s="51">
        <f t="shared" si="39"/>
        <v>0</v>
      </c>
      <c r="G321" s="51">
        <f t="shared" si="37"/>
        <v>0</v>
      </c>
      <c r="H321" s="52" t="e">
        <f t="shared" si="40"/>
        <v>#DIV/0!</v>
      </c>
      <c r="I321" s="51">
        <f t="shared" si="41"/>
        <v>0</v>
      </c>
    </row>
    <row r="322" spans="1:9">
      <c r="A322" s="47">
        <v>309</v>
      </c>
      <c r="B322" s="50">
        <f t="shared" si="43"/>
        <v>0</v>
      </c>
      <c r="C322" s="51">
        <f t="shared" si="42"/>
        <v>0</v>
      </c>
      <c r="D322" s="51">
        <f t="shared" si="36"/>
        <v>0</v>
      </c>
      <c r="E322" s="51">
        <f t="shared" si="38"/>
        <v>0</v>
      </c>
      <c r="F322" s="51">
        <f t="shared" si="39"/>
        <v>0</v>
      </c>
      <c r="G322" s="51">
        <f t="shared" si="37"/>
        <v>0</v>
      </c>
      <c r="H322" s="52" t="e">
        <f t="shared" si="40"/>
        <v>#DIV/0!</v>
      </c>
      <c r="I322" s="51">
        <f t="shared" si="41"/>
        <v>0</v>
      </c>
    </row>
    <row r="323" spans="1:9">
      <c r="A323" s="47">
        <v>310</v>
      </c>
      <c r="B323" s="50">
        <f t="shared" si="43"/>
        <v>0</v>
      </c>
      <c r="C323" s="51">
        <f t="shared" si="42"/>
        <v>0</v>
      </c>
      <c r="D323" s="51">
        <f t="shared" si="36"/>
        <v>0</v>
      </c>
      <c r="E323" s="51">
        <f t="shared" si="38"/>
        <v>0</v>
      </c>
      <c r="F323" s="51">
        <f t="shared" si="39"/>
        <v>0</v>
      </c>
      <c r="G323" s="51">
        <f t="shared" si="37"/>
        <v>0</v>
      </c>
      <c r="H323" s="52" t="e">
        <f t="shared" si="40"/>
        <v>#DIV/0!</v>
      </c>
      <c r="I323" s="51">
        <f t="shared" si="41"/>
        <v>0</v>
      </c>
    </row>
    <row r="324" spans="1:9">
      <c r="A324" s="47">
        <v>311</v>
      </c>
      <c r="B324" s="50">
        <f t="shared" si="43"/>
        <v>0</v>
      </c>
      <c r="C324" s="51">
        <f t="shared" si="42"/>
        <v>0</v>
      </c>
      <c r="D324" s="51">
        <f t="shared" si="36"/>
        <v>0</v>
      </c>
      <c r="E324" s="51">
        <f t="shared" si="38"/>
        <v>0</v>
      </c>
      <c r="F324" s="51">
        <f t="shared" si="39"/>
        <v>0</v>
      </c>
      <c r="G324" s="51">
        <f t="shared" si="37"/>
        <v>0</v>
      </c>
      <c r="H324" s="52" t="e">
        <f t="shared" si="40"/>
        <v>#DIV/0!</v>
      </c>
      <c r="I324" s="51">
        <f t="shared" si="41"/>
        <v>0</v>
      </c>
    </row>
    <row r="325" spans="1:9">
      <c r="A325" s="47">
        <v>312</v>
      </c>
      <c r="B325" s="50">
        <f t="shared" si="43"/>
        <v>0</v>
      </c>
      <c r="C325" s="51">
        <f t="shared" si="42"/>
        <v>0</v>
      </c>
      <c r="D325" s="51">
        <f t="shared" si="36"/>
        <v>0</v>
      </c>
      <c r="E325" s="51">
        <f t="shared" si="38"/>
        <v>0</v>
      </c>
      <c r="F325" s="51">
        <f t="shared" si="39"/>
        <v>0</v>
      </c>
      <c r="G325" s="51">
        <f t="shared" si="37"/>
        <v>0</v>
      </c>
      <c r="H325" s="52" t="e">
        <f t="shared" si="40"/>
        <v>#DIV/0!</v>
      </c>
      <c r="I325" s="51">
        <f t="shared" si="41"/>
        <v>0</v>
      </c>
    </row>
    <row r="326" spans="1:9">
      <c r="A326" s="47">
        <v>313</v>
      </c>
      <c r="B326" s="50">
        <f t="shared" si="43"/>
        <v>0</v>
      </c>
      <c r="C326" s="51">
        <f t="shared" si="42"/>
        <v>0</v>
      </c>
      <c r="D326" s="51">
        <f t="shared" si="36"/>
        <v>0</v>
      </c>
      <c r="E326" s="51">
        <f t="shared" si="38"/>
        <v>0</v>
      </c>
      <c r="F326" s="51">
        <f t="shared" si="39"/>
        <v>0</v>
      </c>
      <c r="G326" s="51">
        <f t="shared" si="37"/>
        <v>0</v>
      </c>
      <c r="H326" s="52" t="e">
        <f t="shared" si="40"/>
        <v>#DIV/0!</v>
      </c>
      <c r="I326" s="51">
        <f t="shared" si="41"/>
        <v>0</v>
      </c>
    </row>
    <row r="327" spans="1:9">
      <c r="A327" s="47">
        <v>314</v>
      </c>
      <c r="B327" s="50">
        <f t="shared" si="43"/>
        <v>0</v>
      </c>
      <c r="C327" s="51">
        <f t="shared" si="42"/>
        <v>0</v>
      </c>
      <c r="D327" s="51">
        <f t="shared" si="36"/>
        <v>0</v>
      </c>
      <c r="E327" s="51">
        <f t="shared" si="38"/>
        <v>0</v>
      </c>
      <c r="F327" s="51">
        <f t="shared" si="39"/>
        <v>0</v>
      </c>
      <c r="G327" s="51">
        <f t="shared" si="37"/>
        <v>0</v>
      </c>
      <c r="H327" s="52" t="e">
        <f t="shared" si="40"/>
        <v>#DIV/0!</v>
      </c>
      <c r="I327" s="51">
        <f t="shared" si="41"/>
        <v>0</v>
      </c>
    </row>
    <row r="328" spans="1:9">
      <c r="A328" s="47">
        <v>315</v>
      </c>
      <c r="B328" s="50">
        <f t="shared" si="43"/>
        <v>0</v>
      </c>
      <c r="C328" s="51">
        <f t="shared" si="42"/>
        <v>0</v>
      </c>
      <c r="D328" s="51">
        <f t="shared" si="36"/>
        <v>0</v>
      </c>
      <c r="E328" s="51">
        <f t="shared" si="38"/>
        <v>0</v>
      </c>
      <c r="F328" s="51">
        <f t="shared" si="39"/>
        <v>0</v>
      </c>
      <c r="G328" s="51">
        <f t="shared" si="37"/>
        <v>0</v>
      </c>
      <c r="H328" s="52" t="e">
        <f t="shared" si="40"/>
        <v>#DIV/0!</v>
      </c>
      <c r="I328" s="51">
        <f t="shared" si="41"/>
        <v>0</v>
      </c>
    </row>
    <row r="329" spans="1:9">
      <c r="A329" s="47">
        <v>316</v>
      </c>
      <c r="B329" s="50">
        <f t="shared" si="43"/>
        <v>0</v>
      </c>
      <c r="C329" s="51">
        <f t="shared" si="42"/>
        <v>0</v>
      </c>
      <c r="D329" s="51">
        <f t="shared" si="36"/>
        <v>0</v>
      </c>
      <c r="E329" s="51">
        <f t="shared" si="38"/>
        <v>0</v>
      </c>
      <c r="F329" s="51">
        <f t="shared" si="39"/>
        <v>0</v>
      </c>
      <c r="G329" s="51">
        <f t="shared" si="37"/>
        <v>0</v>
      </c>
      <c r="H329" s="52" t="e">
        <f t="shared" si="40"/>
        <v>#DIV/0!</v>
      </c>
      <c r="I329" s="51">
        <f t="shared" si="41"/>
        <v>0</v>
      </c>
    </row>
    <row r="330" spans="1:9">
      <c r="A330" s="47">
        <v>317</v>
      </c>
      <c r="B330" s="50">
        <f t="shared" si="43"/>
        <v>0</v>
      </c>
      <c r="C330" s="51">
        <f t="shared" si="42"/>
        <v>0</v>
      </c>
      <c r="D330" s="51">
        <f t="shared" si="36"/>
        <v>0</v>
      </c>
      <c r="E330" s="51">
        <f t="shared" si="38"/>
        <v>0</v>
      </c>
      <c r="F330" s="51">
        <f t="shared" si="39"/>
        <v>0</v>
      </c>
      <c r="G330" s="51">
        <f t="shared" si="37"/>
        <v>0</v>
      </c>
      <c r="H330" s="52" t="e">
        <f t="shared" si="40"/>
        <v>#DIV/0!</v>
      </c>
      <c r="I330" s="51">
        <f t="shared" si="41"/>
        <v>0</v>
      </c>
    </row>
    <row r="331" spans="1:9">
      <c r="A331" s="47">
        <v>318</v>
      </c>
      <c r="B331" s="50">
        <f t="shared" si="43"/>
        <v>0</v>
      </c>
      <c r="C331" s="51">
        <f t="shared" si="42"/>
        <v>0</v>
      </c>
      <c r="D331" s="51">
        <f t="shared" si="36"/>
        <v>0</v>
      </c>
      <c r="E331" s="51">
        <f t="shared" si="38"/>
        <v>0</v>
      </c>
      <c r="F331" s="51">
        <f t="shared" si="39"/>
        <v>0</v>
      </c>
      <c r="G331" s="51">
        <f t="shared" si="37"/>
        <v>0</v>
      </c>
      <c r="H331" s="52" t="e">
        <f t="shared" si="40"/>
        <v>#DIV/0!</v>
      </c>
      <c r="I331" s="51">
        <f t="shared" si="41"/>
        <v>0</v>
      </c>
    </row>
    <row r="332" spans="1:9">
      <c r="A332" s="47">
        <v>319</v>
      </c>
      <c r="B332" s="50">
        <f t="shared" si="43"/>
        <v>0</v>
      </c>
      <c r="C332" s="51">
        <f t="shared" si="42"/>
        <v>0</v>
      </c>
      <c r="D332" s="51">
        <f t="shared" si="36"/>
        <v>0</v>
      </c>
      <c r="E332" s="51">
        <f t="shared" si="38"/>
        <v>0</v>
      </c>
      <c r="F332" s="51">
        <f t="shared" si="39"/>
        <v>0</v>
      </c>
      <c r="G332" s="51">
        <f t="shared" si="37"/>
        <v>0</v>
      </c>
      <c r="H332" s="52" t="e">
        <f t="shared" si="40"/>
        <v>#DIV/0!</v>
      </c>
      <c r="I332" s="51">
        <f t="shared" si="41"/>
        <v>0</v>
      </c>
    </row>
    <row r="333" spans="1:9">
      <c r="A333" s="47">
        <v>320</v>
      </c>
      <c r="B333" s="50">
        <f t="shared" si="43"/>
        <v>0</v>
      </c>
      <c r="C333" s="51">
        <f t="shared" si="42"/>
        <v>0</v>
      </c>
      <c r="D333" s="51">
        <f t="shared" si="36"/>
        <v>0</v>
      </c>
      <c r="E333" s="51">
        <f t="shared" si="38"/>
        <v>0</v>
      </c>
      <c r="F333" s="51">
        <f t="shared" si="39"/>
        <v>0</v>
      </c>
      <c r="G333" s="51">
        <f t="shared" si="37"/>
        <v>0</v>
      </c>
      <c r="H333" s="52" t="e">
        <f t="shared" si="40"/>
        <v>#DIV/0!</v>
      </c>
      <c r="I333" s="51">
        <f t="shared" si="41"/>
        <v>0</v>
      </c>
    </row>
    <row r="334" spans="1:9">
      <c r="A334" s="47">
        <v>321</v>
      </c>
      <c r="B334" s="50">
        <f t="shared" si="43"/>
        <v>0</v>
      </c>
      <c r="C334" s="51">
        <f t="shared" si="42"/>
        <v>0</v>
      </c>
      <c r="D334" s="51">
        <f t="shared" ref="D334:D397" si="44">IF(C334+E334&gt;$C$10,$C$10,C334+E334)</f>
        <v>0</v>
      </c>
      <c r="E334" s="51">
        <f t="shared" si="38"/>
        <v>0</v>
      </c>
      <c r="F334" s="51">
        <f t="shared" si="39"/>
        <v>0</v>
      </c>
      <c r="G334" s="51">
        <f t="shared" ref="G334:G397" si="45">C334-F334</f>
        <v>0</v>
      </c>
      <c r="H334" s="52" t="e">
        <f t="shared" si="40"/>
        <v>#DIV/0!</v>
      </c>
      <c r="I334" s="51">
        <f t="shared" si="41"/>
        <v>0</v>
      </c>
    </row>
    <row r="335" spans="1:9">
      <c r="A335" s="47">
        <v>322</v>
      </c>
      <c r="B335" s="50">
        <f t="shared" si="43"/>
        <v>0</v>
      </c>
      <c r="C335" s="51">
        <f t="shared" si="42"/>
        <v>0</v>
      </c>
      <c r="D335" s="51">
        <f t="shared" si="44"/>
        <v>0</v>
      </c>
      <c r="E335" s="51">
        <f t="shared" ref="E335:E398" si="46">C335*(B335/12)</f>
        <v>0</v>
      </c>
      <c r="F335" s="51">
        <f t="shared" ref="F335:F398" si="47">IF(C335&lt;$C$10,C335,D335-E335)</f>
        <v>0</v>
      </c>
      <c r="G335" s="51">
        <f t="shared" si="45"/>
        <v>0</v>
      </c>
      <c r="H335" s="52" t="e">
        <f t="shared" ref="H335:H398" si="48">G335/$C$1</f>
        <v>#DIV/0!</v>
      </c>
      <c r="I335" s="51">
        <f t="shared" ref="I335:I398" si="49">C335*$I$10/12</f>
        <v>0</v>
      </c>
    </row>
    <row r="336" spans="1:9">
      <c r="A336" s="47">
        <v>323</v>
      </c>
      <c r="B336" s="50">
        <f t="shared" si="43"/>
        <v>0</v>
      </c>
      <c r="C336" s="51">
        <f t="shared" ref="C336:C399" si="50">G335</f>
        <v>0</v>
      </c>
      <c r="D336" s="51">
        <f t="shared" si="44"/>
        <v>0</v>
      </c>
      <c r="E336" s="51">
        <f t="shared" si="46"/>
        <v>0</v>
      </c>
      <c r="F336" s="51">
        <f t="shared" si="47"/>
        <v>0</v>
      </c>
      <c r="G336" s="51">
        <f t="shared" si="45"/>
        <v>0</v>
      </c>
      <c r="H336" s="52" t="e">
        <f t="shared" si="48"/>
        <v>#DIV/0!</v>
      </c>
      <c r="I336" s="51">
        <f t="shared" si="49"/>
        <v>0</v>
      </c>
    </row>
    <row r="337" spans="1:9">
      <c r="A337" s="47">
        <v>324</v>
      </c>
      <c r="B337" s="50">
        <f t="shared" si="43"/>
        <v>0</v>
      </c>
      <c r="C337" s="51">
        <f t="shared" si="50"/>
        <v>0</v>
      </c>
      <c r="D337" s="51">
        <f t="shared" si="44"/>
        <v>0</v>
      </c>
      <c r="E337" s="51">
        <f t="shared" si="46"/>
        <v>0</v>
      </c>
      <c r="F337" s="51">
        <f t="shared" si="47"/>
        <v>0</v>
      </c>
      <c r="G337" s="51">
        <f t="shared" si="45"/>
        <v>0</v>
      </c>
      <c r="H337" s="52" t="e">
        <f t="shared" si="48"/>
        <v>#DIV/0!</v>
      </c>
      <c r="I337" s="51">
        <f t="shared" si="49"/>
        <v>0</v>
      </c>
    </row>
    <row r="338" spans="1:9">
      <c r="A338" s="47">
        <v>325</v>
      </c>
      <c r="B338" s="50">
        <f t="shared" si="43"/>
        <v>0</v>
      </c>
      <c r="C338" s="51">
        <f t="shared" si="50"/>
        <v>0</v>
      </c>
      <c r="D338" s="51">
        <f t="shared" si="44"/>
        <v>0</v>
      </c>
      <c r="E338" s="51">
        <f t="shared" si="46"/>
        <v>0</v>
      </c>
      <c r="F338" s="51">
        <f t="shared" si="47"/>
        <v>0</v>
      </c>
      <c r="G338" s="51">
        <f t="shared" si="45"/>
        <v>0</v>
      </c>
      <c r="H338" s="52" t="e">
        <f t="shared" si="48"/>
        <v>#DIV/0!</v>
      </c>
      <c r="I338" s="51">
        <f t="shared" si="49"/>
        <v>0</v>
      </c>
    </row>
    <row r="339" spans="1:9">
      <c r="A339" s="47">
        <v>326</v>
      </c>
      <c r="B339" s="50">
        <f t="shared" si="43"/>
        <v>0</v>
      </c>
      <c r="C339" s="51">
        <f t="shared" si="50"/>
        <v>0</v>
      </c>
      <c r="D339" s="51">
        <f t="shared" si="44"/>
        <v>0</v>
      </c>
      <c r="E339" s="51">
        <f t="shared" si="46"/>
        <v>0</v>
      </c>
      <c r="F339" s="51">
        <f t="shared" si="47"/>
        <v>0</v>
      </c>
      <c r="G339" s="51">
        <f t="shared" si="45"/>
        <v>0</v>
      </c>
      <c r="H339" s="52" t="e">
        <f t="shared" si="48"/>
        <v>#DIV/0!</v>
      </c>
      <c r="I339" s="51">
        <f t="shared" si="49"/>
        <v>0</v>
      </c>
    </row>
    <row r="340" spans="1:9">
      <c r="A340" s="47">
        <v>327</v>
      </c>
      <c r="B340" s="50">
        <f t="shared" si="43"/>
        <v>0</v>
      </c>
      <c r="C340" s="51">
        <f t="shared" si="50"/>
        <v>0</v>
      </c>
      <c r="D340" s="51">
        <f t="shared" si="44"/>
        <v>0</v>
      </c>
      <c r="E340" s="51">
        <f t="shared" si="46"/>
        <v>0</v>
      </c>
      <c r="F340" s="51">
        <f t="shared" si="47"/>
        <v>0</v>
      </c>
      <c r="G340" s="51">
        <f t="shared" si="45"/>
        <v>0</v>
      </c>
      <c r="H340" s="52" t="e">
        <f t="shared" si="48"/>
        <v>#DIV/0!</v>
      </c>
      <c r="I340" s="51">
        <f t="shared" si="49"/>
        <v>0</v>
      </c>
    </row>
    <row r="341" spans="1:9">
      <c r="A341" s="47">
        <v>328</v>
      </c>
      <c r="B341" s="50">
        <f t="shared" si="43"/>
        <v>0</v>
      </c>
      <c r="C341" s="51">
        <f t="shared" si="50"/>
        <v>0</v>
      </c>
      <c r="D341" s="51">
        <f t="shared" si="44"/>
        <v>0</v>
      </c>
      <c r="E341" s="51">
        <f t="shared" si="46"/>
        <v>0</v>
      </c>
      <c r="F341" s="51">
        <f t="shared" si="47"/>
        <v>0</v>
      </c>
      <c r="G341" s="51">
        <f t="shared" si="45"/>
        <v>0</v>
      </c>
      <c r="H341" s="52" t="e">
        <f t="shared" si="48"/>
        <v>#DIV/0!</v>
      </c>
      <c r="I341" s="51">
        <f t="shared" si="49"/>
        <v>0</v>
      </c>
    </row>
    <row r="342" spans="1:9">
      <c r="A342" s="47">
        <v>329</v>
      </c>
      <c r="B342" s="50">
        <f t="shared" si="43"/>
        <v>0</v>
      </c>
      <c r="C342" s="51">
        <f t="shared" si="50"/>
        <v>0</v>
      </c>
      <c r="D342" s="51">
        <f t="shared" si="44"/>
        <v>0</v>
      </c>
      <c r="E342" s="51">
        <f t="shared" si="46"/>
        <v>0</v>
      </c>
      <c r="F342" s="51">
        <f t="shared" si="47"/>
        <v>0</v>
      </c>
      <c r="G342" s="51">
        <f t="shared" si="45"/>
        <v>0</v>
      </c>
      <c r="H342" s="52" t="e">
        <f t="shared" si="48"/>
        <v>#DIV/0!</v>
      </c>
      <c r="I342" s="51">
        <f t="shared" si="49"/>
        <v>0</v>
      </c>
    </row>
    <row r="343" spans="1:9">
      <c r="A343" s="47">
        <v>330</v>
      </c>
      <c r="B343" s="50">
        <f t="shared" si="43"/>
        <v>0</v>
      </c>
      <c r="C343" s="51">
        <f t="shared" si="50"/>
        <v>0</v>
      </c>
      <c r="D343" s="51">
        <f t="shared" si="44"/>
        <v>0</v>
      </c>
      <c r="E343" s="51">
        <f t="shared" si="46"/>
        <v>0</v>
      </c>
      <c r="F343" s="51">
        <f t="shared" si="47"/>
        <v>0</v>
      </c>
      <c r="G343" s="51">
        <f t="shared" si="45"/>
        <v>0</v>
      </c>
      <c r="H343" s="52" t="e">
        <f t="shared" si="48"/>
        <v>#DIV/0!</v>
      </c>
      <c r="I343" s="51">
        <f t="shared" si="49"/>
        <v>0</v>
      </c>
    </row>
    <row r="344" spans="1:9">
      <c r="A344" s="47">
        <v>331</v>
      </c>
      <c r="B344" s="50">
        <f t="shared" si="43"/>
        <v>0</v>
      </c>
      <c r="C344" s="51">
        <f t="shared" si="50"/>
        <v>0</v>
      </c>
      <c r="D344" s="51">
        <f t="shared" si="44"/>
        <v>0</v>
      </c>
      <c r="E344" s="51">
        <f t="shared" si="46"/>
        <v>0</v>
      </c>
      <c r="F344" s="51">
        <f t="shared" si="47"/>
        <v>0</v>
      </c>
      <c r="G344" s="51">
        <f t="shared" si="45"/>
        <v>0</v>
      </c>
      <c r="H344" s="52" t="e">
        <f t="shared" si="48"/>
        <v>#DIV/0!</v>
      </c>
      <c r="I344" s="51">
        <f t="shared" si="49"/>
        <v>0</v>
      </c>
    </row>
    <row r="345" spans="1:9">
      <c r="A345" s="47">
        <v>332</v>
      </c>
      <c r="B345" s="50">
        <f t="shared" si="43"/>
        <v>0</v>
      </c>
      <c r="C345" s="51">
        <f t="shared" si="50"/>
        <v>0</v>
      </c>
      <c r="D345" s="51">
        <f t="shared" si="44"/>
        <v>0</v>
      </c>
      <c r="E345" s="51">
        <f t="shared" si="46"/>
        <v>0</v>
      </c>
      <c r="F345" s="51">
        <f t="shared" si="47"/>
        <v>0</v>
      </c>
      <c r="G345" s="51">
        <f t="shared" si="45"/>
        <v>0</v>
      </c>
      <c r="H345" s="52" t="e">
        <f t="shared" si="48"/>
        <v>#DIV/0!</v>
      </c>
      <c r="I345" s="51">
        <f t="shared" si="49"/>
        <v>0</v>
      </c>
    </row>
    <row r="346" spans="1:9">
      <c r="A346" s="47">
        <v>333</v>
      </c>
      <c r="B346" s="50">
        <f t="shared" si="43"/>
        <v>0</v>
      </c>
      <c r="C346" s="51">
        <f t="shared" si="50"/>
        <v>0</v>
      </c>
      <c r="D346" s="51">
        <f t="shared" si="44"/>
        <v>0</v>
      </c>
      <c r="E346" s="51">
        <f t="shared" si="46"/>
        <v>0</v>
      </c>
      <c r="F346" s="51">
        <f t="shared" si="47"/>
        <v>0</v>
      </c>
      <c r="G346" s="51">
        <f t="shared" si="45"/>
        <v>0</v>
      </c>
      <c r="H346" s="52" t="e">
        <f t="shared" si="48"/>
        <v>#DIV/0!</v>
      </c>
      <c r="I346" s="51">
        <f t="shared" si="49"/>
        <v>0</v>
      </c>
    </row>
    <row r="347" spans="1:9">
      <c r="A347" s="47">
        <v>334</v>
      </c>
      <c r="B347" s="50">
        <f t="shared" si="43"/>
        <v>0</v>
      </c>
      <c r="C347" s="51">
        <f t="shared" si="50"/>
        <v>0</v>
      </c>
      <c r="D347" s="51">
        <f t="shared" si="44"/>
        <v>0</v>
      </c>
      <c r="E347" s="51">
        <f t="shared" si="46"/>
        <v>0</v>
      </c>
      <c r="F347" s="51">
        <f t="shared" si="47"/>
        <v>0</v>
      </c>
      <c r="G347" s="51">
        <f t="shared" si="45"/>
        <v>0</v>
      </c>
      <c r="H347" s="52" t="e">
        <f t="shared" si="48"/>
        <v>#DIV/0!</v>
      </c>
      <c r="I347" s="51">
        <f t="shared" si="49"/>
        <v>0</v>
      </c>
    </row>
    <row r="348" spans="1:9">
      <c r="A348" s="47">
        <v>335</v>
      </c>
      <c r="B348" s="50">
        <f t="shared" si="43"/>
        <v>0</v>
      </c>
      <c r="C348" s="51">
        <f t="shared" si="50"/>
        <v>0</v>
      </c>
      <c r="D348" s="51">
        <f t="shared" si="44"/>
        <v>0</v>
      </c>
      <c r="E348" s="51">
        <f t="shared" si="46"/>
        <v>0</v>
      </c>
      <c r="F348" s="51">
        <f t="shared" si="47"/>
        <v>0</v>
      </c>
      <c r="G348" s="51">
        <f t="shared" si="45"/>
        <v>0</v>
      </c>
      <c r="H348" s="52" t="e">
        <f t="shared" si="48"/>
        <v>#DIV/0!</v>
      </c>
      <c r="I348" s="51">
        <f t="shared" si="49"/>
        <v>0</v>
      </c>
    </row>
    <row r="349" spans="1:9">
      <c r="A349" s="47">
        <v>336</v>
      </c>
      <c r="B349" s="50">
        <f t="shared" si="43"/>
        <v>0</v>
      </c>
      <c r="C349" s="51">
        <f t="shared" si="50"/>
        <v>0</v>
      </c>
      <c r="D349" s="51">
        <f t="shared" si="44"/>
        <v>0</v>
      </c>
      <c r="E349" s="51">
        <f t="shared" si="46"/>
        <v>0</v>
      </c>
      <c r="F349" s="51">
        <f t="shared" si="47"/>
        <v>0</v>
      </c>
      <c r="G349" s="51">
        <f t="shared" si="45"/>
        <v>0</v>
      </c>
      <c r="H349" s="52" t="e">
        <f t="shared" si="48"/>
        <v>#DIV/0!</v>
      </c>
      <c r="I349" s="51">
        <f t="shared" si="49"/>
        <v>0</v>
      </c>
    </row>
    <row r="350" spans="1:9">
      <c r="A350" s="47">
        <v>337</v>
      </c>
      <c r="B350" s="50">
        <f t="shared" si="43"/>
        <v>0</v>
      </c>
      <c r="C350" s="51">
        <f t="shared" si="50"/>
        <v>0</v>
      </c>
      <c r="D350" s="51">
        <f t="shared" si="44"/>
        <v>0</v>
      </c>
      <c r="E350" s="51">
        <f t="shared" si="46"/>
        <v>0</v>
      </c>
      <c r="F350" s="51">
        <f t="shared" si="47"/>
        <v>0</v>
      </c>
      <c r="G350" s="51">
        <f t="shared" si="45"/>
        <v>0</v>
      </c>
      <c r="H350" s="52" t="e">
        <f t="shared" si="48"/>
        <v>#DIV/0!</v>
      </c>
      <c r="I350" s="51">
        <f t="shared" si="49"/>
        <v>0</v>
      </c>
    </row>
    <row r="351" spans="1:9">
      <c r="A351" s="47">
        <v>338</v>
      </c>
      <c r="B351" s="50">
        <f t="shared" si="43"/>
        <v>0</v>
      </c>
      <c r="C351" s="51">
        <f t="shared" si="50"/>
        <v>0</v>
      </c>
      <c r="D351" s="51">
        <f t="shared" si="44"/>
        <v>0</v>
      </c>
      <c r="E351" s="51">
        <f t="shared" si="46"/>
        <v>0</v>
      </c>
      <c r="F351" s="51">
        <f t="shared" si="47"/>
        <v>0</v>
      </c>
      <c r="G351" s="51">
        <f t="shared" si="45"/>
        <v>0</v>
      </c>
      <c r="H351" s="52" t="e">
        <f t="shared" si="48"/>
        <v>#DIV/0!</v>
      </c>
      <c r="I351" s="51">
        <f t="shared" si="49"/>
        <v>0</v>
      </c>
    </row>
    <row r="352" spans="1:9">
      <c r="A352" s="47">
        <v>339</v>
      </c>
      <c r="B352" s="50">
        <f t="shared" si="43"/>
        <v>0</v>
      </c>
      <c r="C352" s="51">
        <f t="shared" si="50"/>
        <v>0</v>
      </c>
      <c r="D352" s="51">
        <f t="shared" si="44"/>
        <v>0</v>
      </c>
      <c r="E352" s="51">
        <f t="shared" si="46"/>
        <v>0</v>
      </c>
      <c r="F352" s="51">
        <f t="shared" si="47"/>
        <v>0</v>
      </c>
      <c r="G352" s="51">
        <f t="shared" si="45"/>
        <v>0</v>
      </c>
      <c r="H352" s="52" t="e">
        <f t="shared" si="48"/>
        <v>#DIV/0!</v>
      </c>
      <c r="I352" s="51">
        <f t="shared" si="49"/>
        <v>0</v>
      </c>
    </row>
    <row r="353" spans="1:9">
      <c r="A353" s="47">
        <v>340</v>
      </c>
      <c r="B353" s="50">
        <f t="shared" si="43"/>
        <v>0</v>
      </c>
      <c r="C353" s="51">
        <f t="shared" si="50"/>
        <v>0</v>
      </c>
      <c r="D353" s="51">
        <f t="shared" si="44"/>
        <v>0</v>
      </c>
      <c r="E353" s="51">
        <f t="shared" si="46"/>
        <v>0</v>
      </c>
      <c r="F353" s="51">
        <f t="shared" si="47"/>
        <v>0</v>
      </c>
      <c r="G353" s="51">
        <f t="shared" si="45"/>
        <v>0</v>
      </c>
      <c r="H353" s="52" t="e">
        <f t="shared" si="48"/>
        <v>#DIV/0!</v>
      </c>
      <c r="I353" s="51">
        <f t="shared" si="49"/>
        <v>0</v>
      </c>
    </row>
    <row r="354" spans="1:9">
      <c r="A354" s="47">
        <v>341</v>
      </c>
      <c r="B354" s="50">
        <f t="shared" si="43"/>
        <v>0</v>
      </c>
      <c r="C354" s="51">
        <f t="shared" si="50"/>
        <v>0</v>
      </c>
      <c r="D354" s="51">
        <f t="shared" si="44"/>
        <v>0</v>
      </c>
      <c r="E354" s="51">
        <f t="shared" si="46"/>
        <v>0</v>
      </c>
      <c r="F354" s="51">
        <f t="shared" si="47"/>
        <v>0</v>
      </c>
      <c r="G354" s="51">
        <f t="shared" si="45"/>
        <v>0</v>
      </c>
      <c r="H354" s="52" t="e">
        <f t="shared" si="48"/>
        <v>#DIV/0!</v>
      </c>
      <c r="I354" s="51">
        <f t="shared" si="49"/>
        <v>0</v>
      </c>
    </row>
    <row r="355" spans="1:9">
      <c r="A355" s="47">
        <v>342</v>
      </c>
      <c r="B355" s="50">
        <f t="shared" si="43"/>
        <v>0</v>
      </c>
      <c r="C355" s="51">
        <f t="shared" si="50"/>
        <v>0</v>
      </c>
      <c r="D355" s="51">
        <f t="shared" si="44"/>
        <v>0</v>
      </c>
      <c r="E355" s="51">
        <f t="shared" si="46"/>
        <v>0</v>
      </c>
      <c r="F355" s="51">
        <f t="shared" si="47"/>
        <v>0</v>
      </c>
      <c r="G355" s="51">
        <f t="shared" si="45"/>
        <v>0</v>
      </c>
      <c r="H355" s="52" t="e">
        <f t="shared" si="48"/>
        <v>#DIV/0!</v>
      </c>
      <c r="I355" s="51">
        <f t="shared" si="49"/>
        <v>0</v>
      </c>
    </row>
    <row r="356" spans="1:9">
      <c r="A356" s="47">
        <v>343</v>
      </c>
      <c r="B356" s="50">
        <f t="shared" si="43"/>
        <v>0</v>
      </c>
      <c r="C356" s="51">
        <f t="shared" si="50"/>
        <v>0</v>
      </c>
      <c r="D356" s="51">
        <f t="shared" si="44"/>
        <v>0</v>
      </c>
      <c r="E356" s="51">
        <f t="shared" si="46"/>
        <v>0</v>
      </c>
      <c r="F356" s="51">
        <f t="shared" si="47"/>
        <v>0</v>
      </c>
      <c r="G356" s="51">
        <f t="shared" si="45"/>
        <v>0</v>
      </c>
      <c r="H356" s="52" t="e">
        <f t="shared" si="48"/>
        <v>#DIV/0!</v>
      </c>
      <c r="I356" s="51">
        <f t="shared" si="49"/>
        <v>0</v>
      </c>
    </row>
    <row r="357" spans="1:9">
      <c r="A357" s="47">
        <v>344</v>
      </c>
      <c r="B357" s="50">
        <f t="shared" si="43"/>
        <v>0</v>
      </c>
      <c r="C357" s="51">
        <f t="shared" si="50"/>
        <v>0</v>
      </c>
      <c r="D357" s="51">
        <f t="shared" si="44"/>
        <v>0</v>
      </c>
      <c r="E357" s="51">
        <f t="shared" si="46"/>
        <v>0</v>
      </c>
      <c r="F357" s="51">
        <f t="shared" si="47"/>
        <v>0</v>
      </c>
      <c r="G357" s="51">
        <f t="shared" si="45"/>
        <v>0</v>
      </c>
      <c r="H357" s="52" t="e">
        <f t="shared" si="48"/>
        <v>#DIV/0!</v>
      </c>
      <c r="I357" s="51">
        <f t="shared" si="49"/>
        <v>0</v>
      </c>
    </row>
    <row r="358" spans="1:9">
      <c r="A358" s="47">
        <v>345</v>
      </c>
      <c r="B358" s="50">
        <f t="shared" si="43"/>
        <v>0</v>
      </c>
      <c r="C358" s="51">
        <f t="shared" si="50"/>
        <v>0</v>
      </c>
      <c r="D358" s="51">
        <f t="shared" si="44"/>
        <v>0</v>
      </c>
      <c r="E358" s="51">
        <f t="shared" si="46"/>
        <v>0</v>
      </c>
      <c r="F358" s="51">
        <f t="shared" si="47"/>
        <v>0</v>
      </c>
      <c r="G358" s="51">
        <f t="shared" si="45"/>
        <v>0</v>
      </c>
      <c r="H358" s="52" t="e">
        <f t="shared" si="48"/>
        <v>#DIV/0!</v>
      </c>
      <c r="I358" s="51">
        <f t="shared" si="49"/>
        <v>0</v>
      </c>
    </row>
    <row r="359" spans="1:9">
      <c r="A359" s="47">
        <v>346</v>
      </c>
      <c r="B359" s="50">
        <f t="shared" si="43"/>
        <v>0</v>
      </c>
      <c r="C359" s="51">
        <f t="shared" si="50"/>
        <v>0</v>
      </c>
      <c r="D359" s="51">
        <f t="shared" si="44"/>
        <v>0</v>
      </c>
      <c r="E359" s="51">
        <f t="shared" si="46"/>
        <v>0</v>
      </c>
      <c r="F359" s="51">
        <f t="shared" si="47"/>
        <v>0</v>
      </c>
      <c r="G359" s="51">
        <f t="shared" si="45"/>
        <v>0</v>
      </c>
      <c r="H359" s="52" t="e">
        <f t="shared" si="48"/>
        <v>#DIV/0!</v>
      </c>
      <c r="I359" s="51">
        <f t="shared" si="49"/>
        <v>0</v>
      </c>
    </row>
    <row r="360" spans="1:9">
      <c r="A360" s="47">
        <v>347</v>
      </c>
      <c r="B360" s="50">
        <f t="shared" si="43"/>
        <v>0</v>
      </c>
      <c r="C360" s="51">
        <f t="shared" si="50"/>
        <v>0</v>
      </c>
      <c r="D360" s="51">
        <f t="shared" si="44"/>
        <v>0</v>
      </c>
      <c r="E360" s="51">
        <f t="shared" si="46"/>
        <v>0</v>
      </c>
      <c r="F360" s="51">
        <f t="shared" si="47"/>
        <v>0</v>
      </c>
      <c r="G360" s="51">
        <f t="shared" si="45"/>
        <v>0</v>
      </c>
      <c r="H360" s="52" t="e">
        <f t="shared" si="48"/>
        <v>#DIV/0!</v>
      </c>
      <c r="I360" s="51">
        <f t="shared" si="49"/>
        <v>0</v>
      </c>
    </row>
    <row r="361" spans="1:9">
      <c r="A361" s="47">
        <v>348</v>
      </c>
      <c r="B361" s="50">
        <f t="shared" si="43"/>
        <v>0</v>
      </c>
      <c r="C361" s="51">
        <f t="shared" si="50"/>
        <v>0</v>
      </c>
      <c r="D361" s="51">
        <f t="shared" si="44"/>
        <v>0</v>
      </c>
      <c r="E361" s="51">
        <f t="shared" si="46"/>
        <v>0</v>
      </c>
      <c r="F361" s="51">
        <f t="shared" si="47"/>
        <v>0</v>
      </c>
      <c r="G361" s="51">
        <f t="shared" si="45"/>
        <v>0</v>
      </c>
      <c r="H361" s="52" t="e">
        <f t="shared" si="48"/>
        <v>#DIV/0!</v>
      </c>
      <c r="I361" s="51">
        <f t="shared" si="49"/>
        <v>0</v>
      </c>
    </row>
    <row r="362" spans="1:9">
      <c r="A362" s="47">
        <v>349</v>
      </c>
      <c r="B362" s="50">
        <f t="shared" si="43"/>
        <v>0</v>
      </c>
      <c r="C362" s="51">
        <f t="shared" si="50"/>
        <v>0</v>
      </c>
      <c r="D362" s="51">
        <f t="shared" si="44"/>
        <v>0</v>
      </c>
      <c r="E362" s="51">
        <f t="shared" si="46"/>
        <v>0</v>
      </c>
      <c r="F362" s="51">
        <f t="shared" si="47"/>
        <v>0</v>
      </c>
      <c r="G362" s="51">
        <f t="shared" si="45"/>
        <v>0</v>
      </c>
      <c r="H362" s="52" t="e">
        <f t="shared" si="48"/>
        <v>#DIV/0!</v>
      </c>
      <c r="I362" s="51">
        <f t="shared" si="49"/>
        <v>0</v>
      </c>
    </row>
    <row r="363" spans="1:9">
      <c r="A363" s="47">
        <v>350</v>
      </c>
      <c r="B363" s="50">
        <f t="shared" si="43"/>
        <v>0</v>
      </c>
      <c r="C363" s="51">
        <f t="shared" si="50"/>
        <v>0</v>
      </c>
      <c r="D363" s="51">
        <f t="shared" si="44"/>
        <v>0</v>
      </c>
      <c r="E363" s="51">
        <f t="shared" si="46"/>
        <v>0</v>
      </c>
      <c r="F363" s="51">
        <f t="shared" si="47"/>
        <v>0</v>
      </c>
      <c r="G363" s="51">
        <f t="shared" si="45"/>
        <v>0</v>
      </c>
      <c r="H363" s="52" t="e">
        <f t="shared" si="48"/>
        <v>#DIV/0!</v>
      </c>
      <c r="I363" s="51">
        <f t="shared" si="49"/>
        <v>0</v>
      </c>
    </row>
    <row r="364" spans="1:9">
      <c r="A364" s="47">
        <v>351</v>
      </c>
      <c r="B364" s="50">
        <f t="shared" si="43"/>
        <v>0</v>
      </c>
      <c r="C364" s="51">
        <f t="shared" si="50"/>
        <v>0</v>
      </c>
      <c r="D364" s="51">
        <f t="shared" si="44"/>
        <v>0</v>
      </c>
      <c r="E364" s="51">
        <f t="shared" si="46"/>
        <v>0</v>
      </c>
      <c r="F364" s="51">
        <f t="shared" si="47"/>
        <v>0</v>
      </c>
      <c r="G364" s="51">
        <f t="shared" si="45"/>
        <v>0</v>
      </c>
      <c r="H364" s="52" t="e">
        <f t="shared" si="48"/>
        <v>#DIV/0!</v>
      </c>
      <c r="I364" s="51">
        <f t="shared" si="49"/>
        <v>0</v>
      </c>
    </row>
    <row r="365" spans="1:9">
      <c r="A365" s="47">
        <v>352</v>
      </c>
      <c r="B365" s="50">
        <f t="shared" si="43"/>
        <v>0</v>
      </c>
      <c r="C365" s="51">
        <f t="shared" si="50"/>
        <v>0</v>
      </c>
      <c r="D365" s="51">
        <f t="shared" si="44"/>
        <v>0</v>
      </c>
      <c r="E365" s="51">
        <f t="shared" si="46"/>
        <v>0</v>
      </c>
      <c r="F365" s="51">
        <f t="shared" si="47"/>
        <v>0</v>
      </c>
      <c r="G365" s="51">
        <f t="shared" si="45"/>
        <v>0</v>
      </c>
      <c r="H365" s="52" t="e">
        <f t="shared" si="48"/>
        <v>#DIV/0!</v>
      </c>
      <c r="I365" s="51">
        <f t="shared" si="49"/>
        <v>0</v>
      </c>
    </row>
    <row r="366" spans="1:9">
      <c r="A366" s="47">
        <v>353</v>
      </c>
      <c r="B366" s="50">
        <f t="shared" si="43"/>
        <v>0</v>
      </c>
      <c r="C366" s="51">
        <f t="shared" si="50"/>
        <v>0</v>
      </c>
      <c r="D366" s="51">
        <f t="shared" si="44"/>
        <v>0</v>
      </c>
      <c r="E366" s="51">
        <f t="shared" si="46"/>
        <v>0</v>
      </c>
      <c r="F366" s="51">
        <f t="shared" si="47"/>
        <v>0</v>
      </c>
      <c r="G366" s="51">
        <f t="shared" si="45"/>
        <v>0</v>
      </c>
      <c r="H366" s="52" t="e">
        <f t="shared" si="48"/>
        <v>#DIV/0!</v>
      </c>
      <c r="I366" s="51">
        <f t="shared" si="49"/>
        <v>0</v>
      </c>
    </row>
    <row r="367" spans="1:9">
      <c r="A367" s="47">
        <v>354</v>
      </c>
      <c r="B367" s="50">
        <f t="shared" si="43"/>
        <v>0</v>
      </c>
      <c r="C367" s="51">
        <f t="shared" si="50"/>
        <v>0</v>
      </c>
      <c r="D367" s="51">
        <f t="shared" si="44"/>
        <v>0</v>
      </c>
      <c r="E367" s="51">
        <f t="shared" si="46"/>
        <v>0</v>
      </c>
      <c r="F367" s="51">
        <f t="shared" si="47"/>
        <v>0</v>
      </c>
      <c r="G367" s="51">
        <f t="shared" si="45"/>
        <v>0</v>
      </c>
      <c r="H367" s="52" t="e">
        <f t="shared" si="48"/>
        <v>#DIV/0!</v>
      </c>
      <c r="I367" s="51">
        <f t="shared" si="49"/>
        <v>0</v>
      </c>
    </row>
    <row r="368" spans="1:9">
      <c r="A368" s="47">
        <v>355</v>
      </c>
      <c r="B368" s="50">
        <f t="shared" si="43"/>
        <v>0</v>
      </c>
      <c r="C368" s="51">
        <f t="shared" si="50"/>
        <v>0</v>
      </c>
      <c r="D368" s="51">
        <f t="shared" si="44"/>
        <v>0</v>
      </c>
      <c r="E368" s="51">
        <f t="shared" si="46"/>
        <v>0</v>
      </c>
      <c r="F368" s="51">
        <f t="shared" si="47"/>
        <v>0</v>
      </c>
      <c r="G368" s="51">
        <f t="shared" si="45"/>
        <v>0</v>
      </c>
      <c r="H368" s="52" t="e">
        <f t="shared" si="48"/>
        <v>#DIV/0!</v>
      </c>
      <c r="I368" s="51">
        <f t="shared" si="49"/>
        <v>0</v>
      </c>
    </row>
    <row r="369" spans="1:9">
      <c r="A369" s="47">
        <v>356</v>
      </c>
      <c r="B369" s="50">
        <f t="shared" si="43"/>
        <v>0</v>
      </c>
      <c r="C369" s="51">
        <f t="shared" si="50"/>
        <v>0</v>
      </c>
      <c r="D369" s="51">
        <f t="shared" si="44"/>
        <v>0</v>
      </c>
      <c r="E369" s="51">
        <f t="shared" si="46"/>
        <v>0</v>
      </c>
      <c r="F369" s="51">
        <f t="shared" si="47"/>
        <v>0</v>
      </c>
      <c r="G369" s="51">
        <f t="shared" si="45"/>
        <v>0</v>
      </c>
      <c r="H369" s="52" t="e">
        <f t="shared" si="48"/>
        <v>#DIV/0!</v>
      </c>
      <c r="I369" s="51">
        <f t="shared" si="49"/>
        <v>0</v>
      </c>
    </row>
    <row r="370" spans="1:9">
      <c r="A370" s="47">
        <v>357</v>
      </c>
      <c r="B370" s="50">
        <f t="shared" si="43"/>
        <v>0</v>
      </c>
      <c r="C370" s="51">
        <f t="shared" si="50"/>
        <v>0</v>
      </c>
      <c r="D370" s="51">
        <f t="shared" si="44"/>
        <v>0</v>
      </c>
      <c r="E370" s="51">
        <f t="shared" si="46"/>
        <v>0</v>
      </c>
      <c r="F370" s="51">
        <f t="shared" si="47"/>
        <v>0</v>
      </c>
      <c r="G370" s="51">
        <f t="shared" si="45"/>
        <v>0</v>
      </c>
      <c r="H370" s="52" t="e">
        <f t="shared" si="48"/>
        <v>#DIV/0!</v>
      </c>
      <c r="I370" s="51">
        <f t="shared" si="49"/>
        <v>0</v>
      </c>
    </row>
    <row r="371" spans="1:9">
      <c r="A371" s="47">
        <v>358</v>
      </c>
      <c r="B371" s="50">
        <f t="shared" ref="B371:B434" si="51">$C$6</f>
        <v>0</v>
      </c>
      <c r="C371" s="51">
        <f t="shared" si="50"/>
        <v>0</v>
      </c>
      <c r="D371" s="51">
        <f t="shared" si="44"/>
        <v>0</v>
      </c>
      <c r="E371" s="51">
        <f t="shared" si="46"/>
        <v>0</v>
      </c>
      <c r="F371" s="51">
        <f t="shared" si="47"/>
        <v>0</v>
      </c>
      <c r="G371" s="51">
        <f t="shared" si="45"/>
        <v>0</v>
      </c>
      <c r="H371" s="52" t="e">
        <f t="shared" si="48"/>
        <v>#DIV/0!</v>
      </c>
      <c r="I371" s="51">
        <f t="shared" si="49"/>
        <v>0</v>
      </c>
    </row>
    <row r="372" spans="1:9">
      <c r="A372" s="47">
        <v>359</v>
      </c>
      <c r="B372" s="50">
        <f t="shared" si="51"/>
        <v>0</v>
      </c>
      <c r="C372" s="51">
        <f t="shared" si="50"/>
        <v>0</v>
      </c>
      <c r="D372" s="51">
        <f t="shared" si="44"/>
        <v>0</v>
      </c>
      <c r="E372" s="51">
        <f t="shared" si="46"/>
        <v>0</v>
      </c>
      <c r="F372" s="51">
        <f t="shared" si="47"/>
        <v>0</v>
      </c>
      <c r="G372" s="51">
        <f t="shared" si="45"/>
        <v>0</v>
      </c>
      <c r="H372" s="52" t="e">
        <f t="shared" si="48"/>
        <v>#DIV/0!</v>
      </c>
      <c r="I372" s="51">
        <f t="shared" si="49"/>
        <v>0</v>
      </c>
    </row>
    <row r="373" spans="1:9">
      <c r="A373" s="47">
        <v>360</v>
      </c>
      <c r="B373" s="50">
        <f t="shared" si="51"/>
        <v>0</v>
      </c>
      <c r="C373" s="51">
        <f t="shared" si="50"/>
        <v>0</v>
      </c>
      <c r="D373" s="51">
        <f t="shared" si="44"/>
        <v>0</v>
      </c>
      <c r="E373" s="51">
        <f t="shared" si="46"/>
        <v>0</v>
      </c>
      <c r="F373" s="51">
        <f t="shared" si="47"/>
        <v>0</v>
      </c>
      <c r="G373" s="51">
        <f t="shared" si="45"/>
        <v>0</v>
      </c>
      <c r="H373" s="52" t="e">
        <f t="shared" si="48"/>
        <v>#DIV/0!</v>
      </c>
      <c r="I373" s="51">
        <f t="shared" si="49"/>
        <v>0</v>
      </c>
    </row>
    <row r="374" spans="1:9">
      <c r="A374" s="47">
        <v>361</v>
      </c>
      <c r="B374" s="50">
        <f t="shared" si="51"/>
        <v>0</v>
      </c>
      <c r="C374" s="51">
        <f t="shared" si="50"/>
        <v>0</v>
      </c>
      <c r="D374" s="51">
        <f t="shared" si="44"/>
        <v>0</v>
      </c>
      <c r="E374" s="51">
        <f t="shared" si="46"/>
        <v>0</v>
      </c>
      <c r="F374" s="51">
        <f t="shared" si="47"/>
        <v>0</v>
      </c>
      <c r="G374" s="51">
        <f t="shared" si="45"/>
        <v>0</v>
      </c>
      <c r="H374" s="52" t="e">
        <f t="shared" si="48"/>
        <v>#DIV/0!</v>
      </c>
      <c r="I374" s="51">
        <f t="shared" si="49"/>
        <v>0</v>
      </c>
    </row>
    <row r="375" spans="1:9">
      <c r="A375" s="47">
        <v>362</v>
      </c>
      <c r="B375" s="50">
        <f t="shared" si="51"/>
        <v>0</v>
      </c>
      <c r="C375" s="51">
        <f t="shared" si="50"/>
        <v>0</v>
      </c>
      <c r="D375" s="51">
        <f t="shared" si="44"/>
        <v>0</v>
      </c>
      <c r="E375" s="51">
        <f t="shared" si="46"/>
        <v>0</v>
      </c>
      <c r="F375" s="51">
        <f t="shared" si="47"/>
        <v>0</v>
      </c>
      <c r="G375" s="51">
        <f t="shared" si="45"/>
        <v>0</v>
      </c>
      <c r="H375" s="52" t="e">
        <f t="shared" si="48"/>
        <v>#DIV/0!</v>
      </c>
      <c r="I375" s="51">
        <f t="shared" si="49"/>
        <v>0</v>
      </c>
    </row>
    <row r="376" spans="1:9">
      <c r="A376" s="47">
        <v>363</v>
      </c>
      <c r="B376" s="50">
        <f t="shared" si="51"/>
        <v>0</v>
      </c>
      <c r="C376" s="51">
        <f t="shared" si="50"/>
        <v>0</v>
      </c>
      <c r="D376" s="51">
        <f t="shared" si="44"/>
        <v>0</v>
      </c>
      <c r="E376" s="51">
        <f t="shared" si="46"/>
        <v>0</v>
      </c>
      <c r="F376" s="51">
        <f t="shared" si="47"/>
        <v>0</v>
      </c>
      <c r="G376" s="51">
        <f t="shared" si="45"/>
        <v>0</v>
      </c>
      <c r="H376" s="52" t="e">
        <f t="shared" si="48"/>
        <v>#DIV/0!</v>
      </c>
      <c r="I376" s="51">
        <f t="shared" si="49"/>
        <v>0</v>
      </c>
    </row>
    <row r="377" spans="1:9">
      <c r="A377" s="47">
        <v>364</v>
      </c>
      <c r="B377" s="50">
        <f t="shared" si="51"/>
        <v>0</v>
      </c>
      <c r="C377" s="51">
        <f t="shared" si="50"/>
        <v>0</v>
      </c>
      <c r="D377" s="51">
        <f t="shared" si="44"/>
        <v>0</v>
      </c>
      <c r="E377" s="51">
        <f t="shared" si="46"/>
        <v>0</v>
      </c>
      <c r="F377" s="51">
        <f t="shared" si="47"/>
        <v>0</v>
      </c>
      <c r="G377" s="51">
        <f t="shared" si="45"/>
        <v>0</v>
      </c>
      <c r="H377" s="52" t="e">
        <f t="shared" si="48"/>
        <v>#DIV/0!</v>
      </c>
      <c r="I377" s="51">
        <f t="shared" si="49"/>
        <v>0</v>
      </c>
    </row>
    <row r="378" spans="1:9">
      <c r="A378" s="47">
        <v>365</v>
      </c>
      <c r="B378" s="50">
        <f t="shared" si="51"/>
        <v>0</v>
      </c>
      <c r="C378" s="51">
        <f t="shared" si="50"/>
        <v>0</v>
      </c>
      <c r="D378" s="51">
        <f t="shared" si="44"/>
        <v>0</v>
      </c>
      <c r="E378" s="51">
        <f t="shared" si="46"/>
        <v>0</v>
      </c>
      <c r="F378" s="51">
        <f t="shared" si="47"/>
        <v>0</v>
      </c>
      <c r="G378" s="51">
        <f t="shared" si="45"/>
        <v>0</v>
      </c>
      <c r="H378" s="52" t="e">
        <f t="shared" si="48"/>
        <v>#DIV/0!</v>
      </c>
      <c r="I378" s="51">
        <f t="shared" si="49"/>
        <v>0</v>
      </c>
    </row>
    <row r="379" spans="1:9">
      <c r="A379" s="47">
        <v>366</v>
      </c>
      <c r="B379" s="50">
        <f t="shared" si="51"/>
        <v>0</v>
      </c>
      <c r="C379" s="51">
        <f t="shared" si="50"/>
        <v>0</v>
      </c>
      <c r="D379" s="51">
        <f t="shared" si="44"/>
        <v>0</v>
      </c>
      <c r="E379" s="51">
        <f t="shared" si="46"/>
        <v>0</v>
      </c>
      <c r="F379" s="51">
        <f t="shared" si="47"/>
        <v>0</v>
      </c>
      <c r="G379" s="51">
        <f t="shared" si="45"/>
        <v>0</v>
      </c>
      <c r="H379" s="52" t="e">
        <f t="shared" si="48"/>
        <v>#DIV/0!</v>
      </c>
      <c r="I379" s="51">
        <f t="shared" si="49"/>
        <v>0</v>
      </c>
    </row>
    <row r="380" spans="1:9">
      <c r="A380" s="47">
        <v>367</v>
      </c>
      <c r="B380" s="50">
        <f t="shared" si="51"/>
        <v>0</v>
      </c>
      <c r="C380" s="51">
        <f t="shared" si="50"/>
        <v>0</v>
      </c>
      <c r="D380" s="51">
        <f t="shared" si="44"/>
        <v>0</v>
      </c>
      <c r="E380" s="51">
        <f t="shared" si="46"/>
        <v>0</v>
      </c>
      <c r="F380" s="51">
        <f t="shared" si="47"/>
        <v>0</v>
      </c>
      <c r="G380" s="51">
        <f t="shared" si="45"/>
        <v>0</v>
      </c>
      <c r="H380" s="52" t="e">
        <f t="shared" si="48"/>
        <v>#DIV/0!</v>
      </c>
      <c r="I380" s="51">
        <f t="shared" si="49"/>
        <v>0</v>
      </c>
    </row>
    <row r="381" spans="1:9">
      <c r="A381" s="47">
        <v>368</v>
      </c>
      <c r="B381" s="50">
        <f t="shared" si="51"/>
        <v>0</v>
      </c>
      <c r="C381" s="51">
        <f t="shared" si="50"/>
        <v>0</v>
      </c>
      <c r="D381" s="51">
        <f t="shared" si="44"/>
        <v>0</v>
      </c>
      <c r="E381" s="51">
        <f t="shared" si="46"/>
        <v>0</v>
      </c>
      <c r="F381" s="51">
        <f t="shared" si="47"/>
        <v>0</v>
      </c>
      <c r="G381" s="51">
        <f t="shared" si="45"/>
        <v>0</v>
      </c>
      <c r="H381" s="52" t="e">
        <f t="shared" si="48"/>
        <v>#DIV/0!</v>
      </c>
      <c r="I381" s="51">
        <f t="shared" si="49"/>
        <v>0</v>
      </c>
    </row>
    <row r="382" spans="1:9">
      <c r="A382" s="47">
        <v>369</v>
      </c>
      <c r="B382" s="50">
        <f t="shared" si="51"/>
        <v>0</v>
      </c>
      <c r="C382" s="51">
        <f t="shared" si="50"/>
        <v>0</v>
      </c>
      <c r="D382" s="51">
        <f t="shared" si="44"/>
        <v>0</v>
      </c>
      <c r="E382" s="51">
        <f t="shared" si="46"/>
        <v>0</v>
      </c>
      <c r="F382" s="51">
        <f t="shared" si="47"/>
        <v>0</v>
      </c>
      <c r="G382" s="51">
        <f t="shared" si="45"/>
        <v>0</v>
      </c>
      <c r="H382" s="52" t="e">
        <f t="shared" si="48"/>
        <v>#DIV/0!</v>
      </c>
      <c r="I382" s="51">
        <f t="shared" si="49"/>
        <v>0</v>
      </c>
    </row>
    <row r="383" spans="1:9">
      <c r="A383" s="47">
        <v>370</v>
      </c>
      <c r="B383" s="50">
        <f t="shared" si="51"/>
        <v>0</v>
      </c>
      <c r="C383" s="51">
        <f t="shared" si="50"/>
        <v>0</v>
      </c>
      <c r="D383" s="51">
        <f t="shared" si="44"/>
        <v>0</v>
      </c>
      <c r="E383" s="51">
        <f t="shared" si="46"/>
        <v>0</v>
      </c>
      <c r="F383" s="51">
        <f t="shared" si="47"/>
        <v>0</v>
      </c>
      <c r="G383" s="51">
        <f t="shared" si="45"/>
        <v>0</v>
      </c>
      <c r="H383" s="52" t="e">
        <f t="shared" si="48"/>
        <v>#DIV/0!</v>
      </c>
      <c r="I383" s="51">
        <f t="shared" si="49"/>
        <v>0</v>
      </c>
    </row>
    <row r="384" spans="1:9">
      <c r="A384" s="47">
        <v>371</v>
      </c>
      <c r="B384" s="50">
        <f t="shared" si="51"/>
        <v>0</v>
      </c>
      <c r="C384" s="51">
        <f t="shared" si="50"/>
        <v>0</v>
      </c>
      <c r="D384" s="51">
        <f t="shared" si="44"/>
        <v>0</v>
      </c>
      <c r="E384" s="51">
        <f t="shared" si="46"/>
        <v>0</v>
      </c>
      <c r="F384" s="51">
        <f t="shared" si="47"/>
        <v>0</v>
      </c>
      <c r="G384" s="51">
        <f t="shared" si="45"/>
        <v>0</v>
      </c>
      <c r="H384" s="52" t="e">
        <f t="shared" si="48"/>
        <v>#DIV/0!</v>
      </c>
      <c r="I384" s="51">
        <f t="shared" si="49"/>
        <v>0</v>
      </c>
    </row>
    <row r="385" spans="1:9">
      <c r="A385" s="47">
        <v>372</v>
      </c>
      <c r="B385" s="50">
        <f t="shared" si="51"/>
        <v>0</v>
      </c>
      <c r="C385" s="51">
        <f t="shared" si="50"/>
        <v>0</v>
      </c>
      <c r="D385" s="51">
        <f t="shared" si="44"/>
        <v>0</v>
      </c>
      <c r="E385" s="51">
        <f t="shared" si="46"/>
        <v>0</v>
      </c>
      <c r="F385" s="51">
        <f t="shared" si="47"/>
        <v>0</v>
      </c>
      <c r="G385" s="51">
        <f t="shared" si="45"/>
        <v>0</v>
      </c>
      <c r="H385" s="52" t="e">
        <f t="shared" si="48"/>
        <v>#DIV/0!</v>
      </c>
      <c r="I385" s="51">
        <f t="shared" si="49"/>
        <v>0</v>
      </c>
    </row>
    <row r="386" spans="1:9">
      <c r="A386" s="47">
        <v>373</v>
      </c>
      <c r="B386" s="50">
        <f t="shared" si="51"/>
        <v>0</v>
      </c>
      <c r="C386" s="51">
        <f t="shared" si="50"/>
        <v>0</v>
      </c>
      <c r="D386" s="51">
        <f t="shared" si="44"/>
        <v>0</v>
      </c>
      <c r="E386" s="51">
        <f t="shared" si="46"/>
        <v>0</v>
      </c>
      <c r="F386" s="51">
        <f t="shared" si="47"/>
        <v>0</v>
      </c>
      <c r="G386" s="51">
        <f t="shared" si="45"/>
        <v>0</v>
      </c>
      <c r="H386" s="52" t="e">
        <f t="shared" si="48"/>
        <v>#DIV/0!</v>
      </c>
      <c r="I386" s="51">
        <f t="shared" si="49"/>
        <v>0</v>
      </c>
    </row>
    <row r="387" spans="1:9">
      <c r="A387" s="47">
        <v>374</v>
      </c>
      <c r="B387" s="50">
        <f t="shared" si="51"/>
        <v>0</v>
      </c>
      <c r="C387" s="51">
        <f t="shared" si="50"/>
        <v>0</v>
      </c>
      <c r="D387" s="51">
        <f t="shared" si="44"/>
        <v>0</v>
      </c>
      <c r="E387" s="51">
        <f t="shared" si="46"/>
        <v>0</v>
      </c>
      <c r="F387" s="51">
        <f t="shared" si="47"/>
        <v>0</v>
      </c>
      <c r="G387" s="51">
        <f t="shared" si="45"/>
        <v>0</v>
      </c>
      <c r="H387" s="52" t="e">
        <f t="shared" si="48"/>
        <v>#DIV/0!</v>
      </c>
      <c r="I387" s="51">
        <f t="shared" si="49"/>
        <v>0</v>
      </c>
    </row>
    <row r="388" spans="1:9">
      <c r="A388" s="47">
        <v>375</v>
      </c>
      <c r="B388" s="50">
        <f t="shared" si="51"/>
        <v>0</v>
      </c>
      <c r="C388" s="51">
        <f t="shared" si="50"/>
        <v>0</v>
      </c>
      <c r="D388" s="51">
        <f t="shared" si="44"/>
        <v>0</v>
      </c>
      <c r="E388" s="51">
        <f t="shared" si="46"/>
        <v>0</v>
      </c>
      <c r="F388" s="51">
        <f t="shared" si="47"/>
        <v>0</v>
      </c>
      <c r="G388" s="51">
        <f t="shared" si="45"/>
        <v>0</v>
      </c>
      <c r="H388" s="52" t="e">
        <f t="shared" si="48"/>
        <v>#DIV/0!</v>
      </c>
      <c r="I388" s="51">
        <f t="shared" si="49"/>
        <v>0</v>
      </c>
    </row>
    <row r="389" spans="1:9">
      <c r="A389" s="47">
        <v>376</v>
      </c>
      <c r="B389" s="50">
        <f t="shared" si="51"/>
        <v>0</v>
      </c>
      <c r="C389" s="51">
        <f t="shared" si="50"/>
        <v>0</v>
      </c>
      <c r="D389" s="51">
        <f t="shared" si="44"/>
        <v>0</v>
      </c>
      <c r="E389" s="51">
        <f t="shared" si="46"/>
        <v>0</v>
      </c>
      <c r="F389" s="51">
        <f t="shared" si="47"/>
        <v>0</v>
      </c>
      <c r="G389" s="51">
        <f t="shared" si="45"/>
        <v>0</v>
      </c>
      <c r="H389" s="52" t="e">
        <f t="shared" si="48"/>
        <v>#DIV/0!</v>
      </c>
      <c r="I389" s="51">
        <f t="shared" si="49"/>
        <v>0</v>
      </c>
    </row>
    <row r="390" spans="1:9">
      <c r="A390" s="47">
        <v>377</v>
      </c>
      <c r="B390" s="50">
        <f t="shared" si="51"/>
        <v>0</v>
      </c>
      <c r="C390" s="51">
        <f t="shared" si="50"/>
        <v>0</v>
      </c>
      <c r="D390" s="51">
        <f t="shared" si="44"/>
        <v>0</v>
      </c>
      <c r="E390" s="51">
        <f t="shared" si="46"/>
        <v>0</v>
      </c>
      <c r="F390" s="51">
        <f t="shared" si="47"/>
        <v>0</v>
      </c>
      <c r="G390" s="51">
        <f t="shared" si="45"/>
        <v>0</v>
      </c>
      <c r="H390" s="52" t="e">
        <f t="shared" si="48"/>
        <v>#DIV/0!</v>
      </c>
      <c r="I390" s="51">
        <f t="shared" si="49"/>
        <v>0</v>
      </c>
    </row>
    <row r="391" spans="1:9">
      <c r="A391" s="47">
        <v>378</v>
      </c>
      <c r="B391" s="50">
        <f t="shared" si="51"/>
        <v>0</v>
      </c>
      <c r="C391" s="51">
        <f t="shared" si="50"/>
        <v>0</v>
      </c>
      <c r="D391" s="51">
        <f t="shared" si="44"/>
        <v>0</v>
      </c>
      <c r="E391" s="51">
        <f t="shared" si="46"/>
        <v>0</v>
      </c>
      <c r="F391" s="51">
        <f t="shared" si="47"/>
        <v>0</v>
      </c>
      <c r="G391" s="51">
        <f t="shared" si="45"/>
        <v>0</v>
      </c>
      <c r="H391" s="52" t="e">
        <f t="shared" si="48"/>
        <v>#DIV/0!</v>
      </c>
      <c r="I391" s="51">
        <f t="shared" si="49"/>
        <v>0</v>
      </c>
    </row>
    <row r="392" spans="1:9">
      <c r="A392" s="47">
        <v>379</v>
      </c>
      <c r="B392" s="50">
        <f t="shared" si="51"/>
        <v>0</v>
      </c>
      <c r="C392" s="51">
        <f t="shared" si="50"/>
        <v>0</v>
      </c>
      <c r="D392" s="51">
        <f t="shared" si="44"/>
        <v>0</v>
      </c>
      <c r="E392" s="51">
        <f t="shared" si="46"/>
        <v>0</v>
      </c>
      <c r="F392" s="51">
        <f t="shared" si="47"/>
        <v>0</v>
      </c>
      <c r="G392" s="51">
        <f t="shared" si="45"/>
        <v>0</v>
      </c>
      <c r="H392" s="52" t="e">
        <f t="shared" si="48"/>
        <v>#DIV/0!</v>
      </c>
      <c r="I392" s="51">
        <f t="shared" si="49"/>
        <v>0</v>
      </c>
    </row>
    <row r="393" spans="1:9">
      <c r="A393" s="47">
        <v>380</v>
      </c>
      <c r="B393" s="50">
        <f t="shared" si="51"/>
        <v>0</v>
      </c>
      <c r="C393" s="51">
        <f t="shared" si="50"/>
        <v>0</v>
      </c>
      <c r="D393" s="51">
        <f t="shared" si="44"/>
        <v>0</v>
      </c>
      <c r="E393" s="51">
        <f t="shared" si="46"/>
        <v>0</v>
      </c>
      <c r="F393" s="51">
        <f t="shared" si="47"/>
        <v>0</v>
      </c>
      <c r="G393" s="51">
        <f t="shared" si="45"/>
        <v>0</v>
      </c>
      <c r="H393" s="52" t="e">
        <f t="shared" si="48"/>
        <v>#DIV/0!</v>
      </c>
      <c r="I393" s="51">
        <f t="shared" si="49"/>
        <v>0</v>
      </c>
    </row>
    <row r="394" spans="1:9">
      <c r="A394" s="47">
        <v>381</v>
      </c>
      <c r="B394" s="50">
        <f t="shared" si="51"/>
        <v>0</v>
      </c>
      <c r="C394" s="51">
        <f t="shared" si="50"/>
        <v>0</v>
      </c>
      <c r="D394" s="51">
        <f t="shared" si="44"/>
        <v>0</v>
      </c>
      <c r="E394" s="51">
        <f t="shared" si="46"/>
        <v>0</v>
      </c>
      <c r="F394" s="51">
        <f t="shared" si="47"/>
        <v>0</v>
      </c>
      <c r="G394" s="51">
        <f t="shared" si="45"/>
        <v>0</v>
      </c>
      <c r="H394" s="52" t="e">
        <f t="shared" si="48"/>
        <v>#DIV/0!</v>
      </c>
      <c r="I394" s="51">
        <f t="shared" si="49"/>
        <v>0</v>
      </c>
    </row>
    <row r="395" spans="1:9">
      <c r="A395" s="47">
        <v>382</v>
      </c>
      <c r="B395" s="50">
        <f t="shared" si="51"/>
        <v>0</v>
      </c>
      <c r="C395" s="51">
        <f t="shared" si="50"/>
        <v>0</v>
      </c>
      <c r="D395" s="51">
        <f t="shared" si="44"/>
        <v>0</v>
      </c>
      <c r="E395" s="51">
        <f t="shared" si="46"/>
        <v>0</v>
      </c>
      <c r="F395" s="51">
        <f t="shared" si="47"/>
        <v>0</v>
      </c>
      <c r="G395" s="51">
        <f t="shared" si="45"/>
        <v>0</v>
      </c>
      <c r="H395" s="52" t="e">
        <f t="shared" si="48"/>
        <v>#DIV/0!</v>
      </c>
      <c r="I395" s="51">
        <f t="shared" si="49"/>
        <v>0</v>
      </c>
    </row>
    <row r="396" spans="1:9">
      <c r="A396" s="47">
        <v>383</v>
      </c>
      <c r="B396" s="50">
        <f t="shared" si="51"/>
        <v>0</v>
      </c>
      <c r="C396" s="51">
        <f t="shared" si="50"/>
        <v>0</v>
      </c>
      <c r="D396" s="51">
        <f t="shared" si="44"/>
        <v>0</v>
      </c>
      <c r="E396" s="51">
        <f t="shared" si="46"/>
        <v>0</v>
      </c>
      <c r="F396" s="51">
        <f t="shared" si="47"/>
        <v>0</v>
      </c>
      <c r="G396" s="51">
        <f t="shared" si="45"/>
        <v>0</v>
      </c>
      <c r="H396" s="52" t="e">
        <f t="shared" si="48"/>
        <v>#DIV/0!</v>
      </c>
      <c r="I396" s="51">
        <f t="shared" si="49"/>
        <v>0</v>
      </c>
    </row>
    <row r="397" spans="1:9">
      <c r="A397" s="47">
        <v>384</v>
      </c>
      <c r="B397" s="50">
        <f t="shared" si="51"/>
        <v>0</v>
      </c>
      <c r="C397" s="51">
        <f t="shared" si="50"/>
        <v>0</v>
      </c>
      <c r="D397" s="51">
        <f t="shared" si="44"/>
        <v>0</v>
      </c>
      <c r="E397" s="51">
        <f t="shared" si="46"/>
        <v>0</v>
      </c>
      <c r="F397" s="51">
        <f t="shared" si="47"/>
        <v>0</v>
      </c>
      <c r="G397" s="51">
        <f t="shared" si="45"/>
        <v>0</v>
      </c>
      <c r="H397" s="52" t="e">
        <f t="shared" si="48"/>
        <v>#DIV/0!</v>
      </c>
      <c r="I397" s="51">
        <f t="shared" si="49"/>
        <v>0</v>
      </c>
    </row>
    <row r="398" spans="1:9">
      <c r="A398" s="47">
        <v>385</v>
      </c>
      <c r="B398" s="50">
        <f t="shared" si="51"/>
        <v>0</v>
      </c>
      <c r="C398" s="51">
        <f t="shared" si="50"/>
        <v>0</v>
      </c>
      <c r="D398" s="51">
        <f t="shared" ref="D398:D461" si="52">IF(C398+E398&gt;$C$10,$C$10,C398+E398)</f>
        <v>0</v>
      </c>
      <c r="E398" s="51">
        <f t="shared" si="46"/>
        <v>0</v>
      </c>
      <c r="F398" s="51">
        <f t="shared" si="47"/>
        <v>0</v>
      </c>
      <c r="G398" s="51">
        <f t="shared" ref="G398:G461" si="53">C398-F398</f>
        <v>0</v>
      </c>
      <c r="H398" s="52" t="e">
        <f t="shared" si="48"/>
        <v>#DIV/0!</v>
      </c>
      <c r="I398" s="51">
        <f t="shared" si="49"/>
        <v>0</v>
      </c>
    </row>
    <row r="399" spans="1:9">
      <c r="A399" s="47">
        <v>386</v>
      </c>
      <c r="B399" s="50">
        <f t="shared" si="51"/>
        <v>0</v>
      </c>
      <c r="C399" s="51">
        <f t="shared" si="50"/>
        <v>0</v>
      </c>
      <c r="D399" s="51">
        <f t="shared" si="52"/>
        <v>0</v>
      </c>
      <c r="E399" s="51">
        <f t="shared" ref="E399:E462" si="54">C399*(B399/12)</f>
        <v>0</v>
      </c>
      <c r="F399" s="51">
        <f t="shared" ref="F399:F462" si="55">IF(C399&lt;$C$10,C399,D399-E399)</f>
        <v>0</v>
      </c>
      <c r="G399" s="51">
        <f t="shared" si="53"/>
        <v>0</v>
      </c>
      <c r="H399" s="52" t="e">
        <f t="shared" ref="H399:H462" si="56">G399/$C$1</f>
        <v>#DIV/0!</v>
      </c>
      <c r="I399" s="51">
        <f t="shared" ref="I399:I462" si="57">C399*$I$10/12</f>
        <v>0</v>
      </c>
    </row>
    <row r="400" spans="1:9">
      <c r="A400" s="47">
        <v>387</v>
      </c>
      <c r="B400" s="50">
        <f t="shared" si="51"/>
        <v>0</v>
      </c>
      <c r="C400" s="51">
        <f t="shared" ref="C400:C463" si="58">G399</f>
        <v>0</v>
      </c>
      <c r="D400" s="51">
        <f t="shared" si="52"/>
        <v>0</v>
      </c>
      <c r="E400" s="51">
        <f t="shared" si="54"/>
        <v>0</v>
      </c>
      <c r="F400" s="51">
        <f t="shared" si="55"/>
        <v>0</v>
      </c>
      <c r="G400" s="51">
        <f t="shared" si="53"/>
        <v>0</v>
      </c>
      <c r="H400" s="52" t="e">
        <f t="shared" si="56"/>
        <v>#DIV/0!</v>
      </c>
      <c r="I400" s="51">
        <f t="shared" si="57"/>
        <v>0</v>
      </c>
    </row>
    <row r="401" spans="1:9">
      <c r="A401" s="47">
        <v>388</v>
      </c>
      <c r="B401" s="50">
        <f t="shared" si="51"/>
        <v>0</v>
      </c>
      <c r="C401" s="51">
        <f t="shared" si="58"/>
        <v>0</v>
      </c>
      <c r="D401" s="51">
        <f t="shared" si="52"/>
        <v>0</v>
      </c>
      <c r="E401" s="51">
        <f t="shared" si="54"/>
        <v>0</v>
      </c>
      <c r="F401" s="51">
        <f t="shared" si="55"/>
        <v>0</v>
      </c>
      <c r="G401" s="51">
        <f t="shared" si="53"/>
        <v>0</v>
      </c>
      <c r="H401" s="52" t="e">
        <f t="shared" si="56"/>
        <v>#DIV/0!</v>
      </c>
      <c r="I401" s="51">
        <f t="shared" si="57"/>
        <v>0</v>
      </c>
    </row>
    <row r="402" spans="1:9">
      <c r="A402" s="47">
        <v>389</v>
      </c>
      <c r="B402" s="50">
        <f t="shared" si="51"/>
        <v>0</v>
      </c>
      <c r="C402" s="51">
        <f t="shared" si="58"/>
        <v>0</v>
      </c>
      <c r="D402" s="51">
        <f t="shared" si="52"/>
        <v>0</v>
      </c>
      <c r="E402" s="51">
        <f t="shared" si="54"/>
        <v>0</v>
      </c>
      <c r="F402" s="51">
        <f t="shared" si="55"/>
        <v>0</v>
      </c>
      <c r="G402" s="51">
        <f t="shared" si="53"/>
        <v>0</v>
      </c>
      <c r="H402" s="52" t="e">
        <f t="shared" si="56"/>
        <v>#DIV/0!</v>
      </c>
      <c r="I402" s="51">
        <f t="shared" si="57"/>
        <v>0</v>
      </c>
    </row>
    <row r="403" spans="1:9">
      <c r="A403" s="47">
        <v>390</v>
      </c>
      <c r="B403" s="50">
        <f t="shared" si="51"/>
        <v>0</v>
      </c>
      <c r="C403" s="51">
        <f t="shared" si="58"/>
        <v>0</v>
      </c>
      <c r="D403" s="51">
        <f t="shared" si="52"/>
        <v>0</v>
      </c>
      <c r="E403" s="51">
        <f t="shared" si="54"/>
        <v>0</v>
      </c>
      <c r="F403" s="51">
        <f t="shared" si="55"/>
        <v>0</v>
      </c>
      <c r="G403" s="51">
        <f t="shared" si="53"/>
        <v>0</v>
      </c>
      <c r="H403" s="52" t="e">
        <f t="shared" si="56"/>
        <v>#DIV/0!</v>
      </c>
      <c r="I403" s="51">
        <f t="shared" si="57"/>
        <v>0</v>
      </c>
    </row>
    <row r="404" spans="1:9">
      <c r="A404" s="47">
        <v>391</v>
      </c>
      <c r="B404" s="50">
        <f t="shared" si="51"/>
        <v>0</v>
      </c>
      <c r="C404" s="51">
        <f t="shared" si="58"/>
        <v>0</v>
      </c>
      <c r="D404" s="51">
        <f t="shared" si="52"/>
        <v>0</v>
      </c>
      <c r="E404" s="51">
        <f t="shared" si="54"/>
        <v>0</v>
      </c>
      <c r="F404" s="51">
        <f t="shared" si="55"/>
        <v>0</v>
      </c>
      <c r="G404" s="51">
        <f t="shared" si="53"/>
        <v>0</v>
      </c>
      <c r="H404" s="52" t="e">
        <f t="shared" si="56"/>
        <v>#DIV/0!</v>
      </c>
      <c r="I404" s="51">
        <f t="shared" si="57"/>
        <v>0</v>
      </c>
    </row>
    <row r="405" spans="1:9">
      <c r="A405" s="47">
        <v>392</v>
      </c>
      <c r="B405" s="50">
        <f t="shared" si="51"/>
        <v>0</v>
      </c>
      <c r="C405" s="51">
        <f t="shared" si="58"/>
        <v>0</v>
      </c>
      <c r="D405" s="51">
        <f t="shared" si="52"/>
        <v>0</v>
      </c>
      <c r="E405" s="51">
        <f t="shared" si="54"/>
        <v>0</v>
      </c>
      <c r="F405" s="51">
        <f t="shared" si="55"/>
        <v>0</v>
      </c>
      <c r="G405" s="51">
        <f t="shared" si="53"/>
        <v>0</v>
      </c>
      <c r="H405" s="52" t="e">
        <f t="shared" si="56"/>
        <v>#DIV/0!</v>
      </c>
      <c r="I405" s="51">
        <f t="shared" si="57"/>
        <v>0</v>
      </c>
    </row>
    <row r="406" spans="1:9">
      <c r="A406" s="47">
        <v>393</v>
      </c>
      <c r="B406" s="50">
        <f t="shared" si="51"/>
        <v>0</v>
      </c>
      <c r="C406" s="51">
        <f t="shared" si="58"/>
        <v>0</v>
      </c>
      <c r="D406" s="51">
        <f t="shared" si="52"/>
        <v>0</v>
      </c>
      <c r="E406" s="51">
        <f t="shared" si="54"/>
        <v>0</v>
      </c>
      <c r="F406" s="51">
        <f t="shared" si="55"/>
        <v>0</v>
      </c>
      <c r="G406" s="51">
        <f t="shared" si="53"/>
        <v>0</v>
      </c>
      <c r="H406" s="52" t="e">
        <f t="shared" si="56"/>
        <v>#DIV/0!</v>
      </c>
      <c r="I406" s="51">
        <f t="shared" si="57"/>
        <v>0</v>
      </c>
    </row>
    <row r="407" spans="1:9">
      <c r="A407" s="47">
        <v>394</v>
      </c>
      <c r="B407" s="50">
        <f t="shared" si="51"/>
        <v>0</v>
      </c>
      <c r="C407" s="51">
        <f t="shared" si="58"/>
        <v>0</v>
      </c>
      <c r="D407" s="51">
        <f t="shared" si="52"/>
        <v>0</v>
      </c>
      <c r="E407" s="51">
        <f t="shared" si="54"/>
        <v>0</v>
      </c>
      <c r="F407" s="51">
        <f t="shared" si="55"/>
        <v>0</v>
      </c>
      <c r="G407" s="51">
        <f t="shared" si="53"/>
        <v>0</v>
      </c>
      <c r="H407" s="52" t="e">
        <f t="shared" si="56"/>
        <v>#DIV/0!</v>
      </c>
      <c r="I407" s="51">
        <f t="shared" si="57"/>
        <v>0</v>
      </c>
    </row>
    <row r="408" spans="1:9">
      <c r="A408" s="47">
        <v>395</v>
      </c>
      <c r="B408" s="50">
        <f t="shared" si="51"/>
        <v>0</v>
      </c>
      <c r="C408" s="51">
        <f t="shared" si="58"/>
        <v>0</v>
      </c>
      <c r="D408" s="51">
        <f t="shared" si="52"/>
        <v>0</v>
      </c>
      <c r="E408" s="51">
        <f t="shared" si="54"/>
        <v>0</v>
      </c>
      <c r="F408" s="51">
        <f t="shared" si="55"/>
        <v>0</v>
      </c>
      <c r="G408" s="51">
        <f t="shared" si="53"/>
        <v>0</v>
      </c>
      <c r="H408" s="52" t="e">
        <f t="shared" si="56"/>
        <v>#DIV/0!</v>
      </c>
      <c r="I408" s="51">
        <f t="shared" si="57"/>
        <v>0</v>
      </c>
    </row>
    <row r="409" spans="1:9">
      <c r="A409" s="47">
        <v>396</v>
      </c>
      <c r="B409" s="50">
        <f t="shared" si="51"/>
        <v>0</v>
      </c>
      <c r="C409" s="51">
        <f t="shared" si="58"/>
        <v>0</v>
      </c>
      <c r="D409" s="51">
        <f t="shared" si="52"/>
        <v>0</v>
      </c>
      <c r="E409" s="51">
        <f t="shared" si="54"/>
        <v>0</v>
      </c>
      <c r="F409" s="51">
        <f t="shared" si="55"/>
        <v>0</v>
      </c>
      <c r="G409" s="51">
        <f t="shared" si="53"/>
        <v>0</v>
      </c>
      <c r="H409" s="52" t="e">
        <f t="shared" si="56"/>
        <v>#DIV/0!</v>
      </c>
      <c r="I409" s="51">
        <f t="shared" si="57"/>
        <v>0</v>
      </c>
    </row>
    <row r="410" spans="1:9">
      <c r="A410" s="47">
        <v>397</v>
      </c>
      <c r="B410" s="50">
        <f t="shared" si="51"/>
        <v>0</v>
      </c>
      <c r="C410" s="51">
        <f t="shared" si="58"/>
        <v>0</v>
      </c>
      <c r="D410" s="51">
        <f t="shared" si="52"/>
        <v>0</v>
      </c>
      <c r="E410" s="51">
        <f t="shared" si="54"/>
        <v>0</v>
      </c>
      <c r="F410" s="51">
        <f t="shared" si="55"/>
        <v>0</v>
      </c>
      <c r="G410" s="51">
        <f t="shared" si="53"/>
        <v>0</v>
      </c>
      <c r="H410" s="52" t="e">
        <f t="shared" si="56"/>
        <v>#DIV/0!</v>
      </c>
      <c r="I410" s="51">
        <f t="shared" si="57"/>
        <v>0</v>
      </c>
    </row>
    <row r="411" spans="1:9">
      <c r="A411" s="47">
        <v>398</v>
      </c>
      <c r="B411" s="50">
        <f t="shared" si="51"/>
        <v>0</v>
      </c>
      <c r="C411" s="51">
        <f t="shared" si="58"/>
        <v>0</v>
      </c>
      <c r="D411" s="51">
        <f t="shared" si="52"/>
        <v>0</v>
      </c>
      <c r="E411" s="51">
        <f t="shared" si="54"/>
        <v>0</v>
      </c>
      <c r="F411" s="51">
        <f t="shared" si="55"/>
        <v>0</v>
      </c>
      <c r="G411" s="51">
        <f t="shared" si="53"/>
        <v>0</v>
      </c>
      <c r="H411" s="52" t="e">
        <f t="shared" si="56"/>
        <v>#DIV/0!</v>
      </c>
      <c r="I411" s="51">
        <f t="shared" si="57"/>
        <v>0</v>
      </c>
    </row>
    <row r="412" spans="1:9">
      <c r="A412" s="47">
        <v>399</v>
      </c>
      <c r="B412" s="50">
        <f t="shared" si="51"/>
        <v>0</v>
      </c>
      <c r="C412" s="51">
        <f t="shared" si="58"/>
        <v>0</v>
      </c>
      <c r="D412" s="51">
        <f t="shared" si="52"/>
        <v>0</v>
      </c>
      <c r="E412" s="51">
        <f t="shared" si="54"/>
        <v>0</v>
      </c>
      <c r="F412" s="51">
        <f t="shared" si="55"/>
        <v>0</v>
      </c>
      <c r="G412" s="51">
        <f t="shared" si="53"/>
        <v>0</v>
      </c>
      <c r="H412" s="52" t="e">
        <f t="shared" si="56"/>
        <v>#DIV/0!</v>
      </c>
      <c r="I412" s="51">
        <f t="shared" si="57"/>
        <v>0</v>
      </c>
    </row>
    <row r="413" spans="1:9">
      <c r="A413" s="47">
        <v>400</v>
      </c>
      <c r="B413" s="50">
        <f t="shared" si="51"/>
        <v>0</v>
      </c>
      <c r="C413" s="51">
        <f t="shared" si="58"/>
        <v>0</v>
      </c>
      <c r="D413" s="51">
        <f t="shared" si="52"/>
        <v>0</v>
      </c>
      <c r="E413" s="51">
        <f t="shared" si="54"/>
        <v>0</v>
      </c>
      <c r="F413" s="51">
        <f t="shared" si="55"/>
        <v>0</v>
      </c>
      <c r="G413" s="51">
        <f t="shared" si="53"/>
        <v>0</v>
      </c>
      <c r="H413" s="52" t="e">
        <f t="shared" si="56"/>
        <v>#DIV/0!</v>
      </c>
      <c r="I413" s="51">
        <f t="shared" si="57"/>
        <v>0</v>
      </c>
    </row>
    <row r="414" spans="1:9">
      <c r="A414" s="47">
        <v>401</v>
      </c>
      <c r="B414" s="50">
        <f t="shared" si="51"/>
        <v>0</v>
      </c>
      <c r="C414" s="51">
        <f t="shared" si="58"/>
        <v>0</v>
      </c>
      <c r="D414" s="51">
        <f t="shared" si="52"/>
        <v>0</v>
      </c>
      <c r="E414" s="51">
        <f t="shared" si="54"/>
        <v>0</v>
      </c>
      <c r="F414" s="51">
        <f t="shared" si="55"/>
        <v>0</v>
      </c>
      <c r="G414" s="51">
        <f t="shared" si="53"/>
        <v>0</v>
      </c>
      <c r="H414" s="52" t="e">
        <f t="shared" si="56"/>
        <v>#DIV/0!</v>
      </c>
      <c r="I414" s="51">
        <f t="shared" si="57"/>
        <v>0</v>
      </c>
    </row>
    <row r="415" spans="1:9">
      <c r="A415" s="47">
        <v>402</v>
      </c>
      <c r="B415" s="50">
        <f t="shared" si="51"/>
        <v>0</v>
      </c>
      <c r="C415" s="51">
        <f t="shared" si="58"/>
        <v>0</v>
      </c>
      <c r="D415" s="51">
        <f t="shared" si="52"/>
        <v>0</v>
      </c>
      <c r="E415" s="51">
        <f t="shared" si="54"/>
        <v>0</v>
      </c>
      <c r="F415" s="51">
        <f t="shared" si="55"/>
        <v>0</v>
      </c>
      <c r="G415" s="51">
        <f t="shared" si="53"/>
        <v>0</v>
      </c>
      <c r="H415" s="52" t="e">
        <f t="shared" si="56"/>
        <v>#DIV/0!</v>
      </c>
      <c r="I415" s="51">
        <f t="shared" si="57"/>
        <v>0</v>
      </c>
    </row>
    <row r="416" spans="1:9">
      <c r="A416" s="47">
        <v>403</v>
      </c>
      <c r="B416" s="50">
        <f t="shared" si="51"/>
        <v>0</v>
      </c>
      <c r="C416" s="51">
        <f t="shared" si="58"/>
        <v>0</v>
      </c>
      <c r="D416" s="51">
        <f t="shared" si="52"/>
        <v>0</v>
      </c>
      <c r="E416" s="51">
        <f t="shared" si="54"/>
        <v>0</v>
      </c>
      <c r="F416" s="51">
        <f t="shared" si="55"/>
        <v>0</v>
      </c>
      <c r="G416" s="51">
        <f t="shared" si="53"/>
        <v>0</v>
      </c>
      <c r="H416" s="52" t="e">
        <f t="shared" si="56"/>
        <v>#DIV/0!</v>
      </c>
      <c r="I416" s="51">
        <f t="shared" si="57"/>
        <v>0</v>
      </c>
    </row>
    <row r="417" spans="1:9">
      <c r="A417" s="47">
        <v>404</v>
      </c>
      <c r="B417" s="50">
        <f t="shared" si="51"/>
        <v>0</v>
      </c>
      <c r="C417" s="51">
        <f t="shared" si="58"/>
        <v>0</v>
      </c>
      <c r="D417" s="51">
        <f t="shared" si="52"/>
        <v>0</v>
      </c>
      <c r="E417" s="51">
        <f t="shared" si="54"/>
        <v>0</v>
      </c>
      <c r="F417" s="51">
        <f t="shared" si="55"/>
        <v>0</v>
      </c>
      <c r="G417" s="51">
        <f t="shared" si="53"/>
        <v>0</v>
      </c>
      <c r="H417" s="52" t="e">
        <f t="shared" si="56"/>
        <v>#DIV/0!</v>
      </c>
      <c r="I417" s="51">
        <f t="shared" si="57"/>
        <v>0</v>
      </c>
    </row>
    <row r="418" spans="1:9">
      <c r="A418" s="47">
        <v>405</v>
      </c>
      <c r="B418" s="50">
        <f t="shared" si="51"/>
        <v>0</v>
      </c>
      <c r="C418" s="51">
        <f t="shared" si="58"/>
        <v>0</v>
      </c>
      <c r="D418" s="51">
        <f t="shared" si="52"/>
        <v>0</v>
      </c>
      <c r="E418" s="51">
        <f t="shared" si="54"/>
        <v>0</v>
      </c>
      <c r="F418" s="51">
        <f t="shared" si="55"/>
        <v>0</v>
      </c>
      <c r="G418" s="51">
        <f t="shared" si="53"/>
        <v>0</v>
      </c>
      <c r="H418" s="52" t="e">
        <f t="shared" si="56"/>
        <v>#DIV/0!</v>
      </c>
      <c r="I418" s="51">
        <f t="shared" si="57"/>
        <v>0</v>
      </c>
    </row>
    <row r="419" spans="1:9">
      <c r="A419" s="47">
        <v>406</v>
      </c>
      <c r="B419" s="50">
        <f t="shared" si="51"/>
        <v>0</v>
      </c>
      <c r="C419" s="51">
        <f t="shared" si="58"/>
        <v>0</v>
      </c>
      <c r="D419" s="51">
        <f t="shared" si="52"/>
        <v>0</v>
      </c>
      <c r="E419" s="51">
        <f t="shared" si="54"/>
        <v>0</v>
      </c>
      <c r="F419" s="51">
        <f t="shared" si="55"/>
        <v>0</v>
      </c>
      <c r="G419" s="51">
        <f t="shared" si="53"/>
        <v>0</v>
      </c>
      <c r="H419" s="52" t="e">
        <f t="shared" si="56"/>
        <v>#DIV/0!</v>
      </c>
      <c r="I419" s="51">
        <f t="shared" si="57"/>
        <v>0</v>
      </c>
    </row>
    <row r="420" spans="1:9">
      <c r="A420" s="47">
        <v>407</v>
      </c>
      <c r="B420" s="50">
        <f t="shared" si="51"/>
        <v>0</v>
      </c>
      <c r="C420" s="51">
        <f t="shared" si="58"/>
        <v>0</v>
      </c>
      <c r="D420" s="51">
        <f t="shared" si="52"/>
        <v>0</v>
      </c>
      <c r="E420" s="51">
        <f t="shared" si="54"/>
        <v>0</v>
      </c>
      <c r="F420" s="51">
        <f t="shared" si="55"/>
        <v>0</v>
      </c>
      <c r="G420" s="51">
        <f t="shared" si="53"/>
        <v>0</v>
      </c>
      <c r="H420" s="52" t="e">
        <f t="shared" si="56"/>
        <v>#DIV/0!</v>
      </c>
      <c r="I420" s="51">
        <f t="shared" si="57"/>
        <v>0</v>
      </c>
    </row>
    <row r="421" spans="1:9">
      <c r="A421" s="47">
        <v>408</v>
      </c>
      <c r="B421" s="50">
        <f t="shared" si="51"/>
        <v>0</v>
      </c>
      <c r="C421" s="51">
        <f t="shared" si="58"/>
        <v>0</v>
      </c>
      <c r="D421" s="51">
        <f t="shared" si="52"/>
        <v>0</v>
      </c>
      <c r="E421" s="51">
        <f t="shared" si="54"/>
        <v>0</v>
      </c>
      <c r="F421" s="51">
        <f t="shared" si="55"/>
        <v>0</v>
      </c>
      <c r="G421" s="51">
        <f t="shared" si="53"/>
        <v>0</v>
      </c>
      <c r="H421" s="52" t="e">
        <f t="shared" si="56"/>
        <v>#DIV/0!</v>
      </c>
      <c r="I421" s="51">
        <f t="shared" si="57"/>
        <v>0</v>
      </c>
    </row>
    <row r="422" spans="1:9">
      <c r="A422" s="47">
        <v>409</v>
      </c>
      <c r="B422" s="50">
        <f t="shared" si="51"/>
        <v>0</v>
      </c>
      <c r="C422" s="51">
        <f t="shared" si="58"/>
        <v>0</v>
      </c>
      <c r="D422" s="51">
        <f t="shared" si="52"/>
        <v>0</v>
      </c>
      <c r="E422" s="51">
        <f t="shared" si="54"/>
        <v>0</v>
      </c>
      <c r="F422" s="51">
        <f t="shared" si="55"/>
        <v>0</v>
      </c>
      <c r="G422" s="51">
        <f t="shared" si="53"/>
        <v>0</v>
      </c>
      <c r="H422" s="52" t="e">
        <f t="shared" si="56"/>
        <v>#DIV/0!</v>
      </c>
      <c r="I422" s="51">
        <f t="shared" si="57"/>
        <v>0</v>
      </c>
    </row>
    <row r="423" spans="1:9">
      <c r="A423" s="47">
        <v>410</v>
      </c>
      <c r="B423" s="50">
        <f t="shared" si="51"/>
        <v>0</v>
      </c>
      <c r="C423" s="51">
        <f t="shared" si="58"/>
        <v>0</v>
      </c>
      <c r="D423" s="51">
        <f t="shared" si="52"/>
        <v>0</v>
      </c>
      <c r="E423" s="51">
        <f t="shared" si="54"/>
        <v>0</v>
      </c>
      <c r="F423" s="51">
        <f t="shared" si="55"/>
        <v>0</v>
      </c>
      <c r="G423" s="51">
        <f t="shared" si="53"/>
        <v>0</v>
      </c>
      <c r="H423" s="52" t="e">
        <f t="shared" si="56"/>
        <v>#DIV/0!</v>
      </c>
      <c r="I423" s="51">
        <f t="shared" si="57"/>
        <v>0</v>
      </c>
    </row>
    <row r="424" spans="1:9">
      <c r="A424" s="47">
        <v>411</v>
      </c>
      <c r="B424" s="50">
        <f t="shared" si="51"/>
        <v>0</v>
      </c>
      <c r="C424" s="51">
        <f t="shared" si="58"/>
        <v>0</v>
      </c>
      <c r="D424" s="51">
        <f t="shared" si="52"/>
        <v>0</v>
      </c>
      <c r="E424" s="51">
        <f t="shared" si="54"/>
        <v>0</v>
      </c>
      <c r="F424" s="51">
        <f t="shared" si="55"/>
        <v>0</v>
      </c>
      <c r="G424" s="51">
        <f t="shared" si="53"/>
        <v>0</v>
      </c>
      <c r="H424" s="52" t="e">
        <f t="shared" si="56"/>
        <v>#DIV/0!</v>
      </c>
      <c r="I424" s="51">
        <f t="shared" si="57"/>
        <v>0</v>
      </c>
    </row>
    <row r="425" spans="1:9">
      <c r="A425" s="47">
        <v>412</v>
      </c>
      <c r="B425" s="50">
        <f t="shared" si="51"/>
        <v>0</v>
      </c>
      <c r="C425" s="51">
        <f t="shared" si="58"/>
        <v>0</v>
      </c>
      <c r="D425" s="51">
        <f t="shared" si="52"/>
        <v>0</v>
      </c>
      <c r="E425" s="51">
        <f t="shared" si="54"/>
        <v>0</v>
      </c>
      <c r="F425" s="51">
        <f t="shared" si="55"/>
        <v>0</v>
      </c>
      <c r="G425" s="51">
        <f t="shared" si="53"/>
        <v>0</v>
      </c>
      <c r="H425" s="52" t="e">
        <f t="shared" si="56"/>
        <v>#DIV/0!</v>
      </c>
      <c r="I425" s="51">
        <f t="shared" si="57"/>
        <v>0</v>
      </c>
    </row>
    <row r="426" spans="1:9">
      <c r="A426" s="47">
        <v>413</v>
      </c>
      <c r="B426" s="50">
        <f t="shared" si="51"/>
        <v>0</v>
      </c>
      <c r="C426" s="51">
        <f t="shared" si="58"/>
        <v>0</v>
      </c>
      <c r="D426" s="51">
        <f t="shared" si="52"/>
        <v>0</v>
      </c>
      <c r="E426" s="51">
        <f t="shared" si="54"/>
        <v>0</v>
      </c>
      <c r="F426" s="51">
        <f t="shared" si="55"/>
        <v>0</v>
      </c>
      <c r="G426" s="51">
        <f t="shared" si="53"/>
        <v>0</v>
      </c>
      <c r="H426" s="52" t="e">
        <f t="shared" si="56"/>
        <v>#DIV/0!</v>
      </c>
      <c r="I426" s="51">
        <f t="shared" si="57"/>
        <v>0</v>
      </c>
    </row>
    <row r="427" spans="1:9">
      <c r="A427" s="47">
        <v>414</v>
      </c>
      <c r="B427" s="50">
        <f t="shared" si="51"/>
        <v>0</v>
      </c>
      <c r="C427" s="51">
        <f t="shared" si="58"/>
        <v>0</v>
      </c>
      <c r="D427" s="51">
        <f t="shared" si="52"/>
        <v>0</v>
      </c>
      <c r="E427" s="51">
        <f t="shared" si="54"/>
        <v>0</v>
      </c>
      <c r="F427" s="51">
        <f t="shared" si="55"/>
        <v>0</v>
      </c>
      <c r="G427" s="51">
        <f t="shared" si="53"/>
        <v>0</v>
      </c>
      <c r="H427" s="52" t="e">
        <f t="shared" si="56"/>
        <v>#DIV/0!</v>
      </c>
      <c r="I427" s="51">
        <f t="shared" si="57"/>
        <v>0</v>
      </c>
    </row>
    <row r="428" spans="1:9">
      <c r="A428" s="47">
        <v>415</v>
      </c>
      <c r="B428" s="50">
        <f t="shared" si="51"/>
        <v>0</v>
      </c>
      <c r="C428" s="51">
        <f t="shared" si="58"/>
        <v>0</v>
      </c>
      <c r="D428" s="51">
        <f t="shared" si="52"/>
        <v>0</v>
      </c>
      <c r="E428" s="51">
        <f t="shared" si="54"/>
        <v>0</v>
      </c>
      <c r="F428" s="51">
        <f t="shared" si="55"/>
        <v>0</v>
      </c>
      <c r="G428" s="51">
        <f t="shared" si="53"/>
        <v>0</v>
      </c>
      <c r="H428" s="52" t="e">
        <f t="shared" si="56"/>
        <v>#DIV/0!</v>
      </c>
      <c r="I428" s="51">
        <f t="shared" si="57"/>
        <v>0</v>
      </c>
    </row>
    <row r="429" spans="1:9">
      <c r="A429" s="47">
        <v>416</v>
      </c>
      <c r="B429" s="50">
        <f t="shared" si="51"/>
        <v>0</v>
      </c>
      <c r="C429" s="51">
        <f t="shared" si="58"/>
        <v>0</v>
      </c>
      <c r="D429" s="51">
        <f t="shared" si="52"/>
        <v>0</v>
      </c>
      <c r="E429" s="51">
        <f t="shared" si="54"/>
        <v>0</v>
      </c>
      <c r="F429" s="51">
        <f t="shared" si="55"/>
        <v>0</v>
      </c>
      <c r="G429" s="51">
        <f t="shared" si="53"/>
        <v>0</v>
      </c>
      <c r="H429" s="52" t="e">
        <f t="shared" si="56"/>
        <v>#DIV/0!</v>
      </c>
      <c r="I429" s="51">
        <f t="shared" si="57"/>
        <v>0</v>
      </c>
    </row>
    <row r="430" spans="1:9">
      <c r="A430" s="47">
        <v>417</v>
      </c>
      <c r="B430" s="50">
        <f t="shared" si="51"/>
        <v>0</v>
      </c>
      <c r="C430" s="51">
        <f t="shared" si="58"/>
        <v>0</v>
      </c>
      <c r="D430" s="51">
        <f t="shared" si="52"/>
        <v>0</v>
      </c>
      <c r="E430" s="51">
        <f t="shared" si="54"/>
        <v>0</v>
      </c>
      <c r="F430" s="51">
        <f t="shared" si="55"/>
        <v>0</v>
      </c>
      <c r="G430" s="51">
        <f t="shared" si="53"/>
        <v>0</v>
      </c>
      <c r="H430" s="52" t="e">
        <f t="shared" si="56"/>
        <v>#DIV/0!</v>
      </c>
      <c r="I430" s="51">
        <f t="shared" si="57"/>
        <v>0</v>
      </c>
    </row>
    <row r="431" spans="1:9">
      <c r="A431" s="47">
        <v>418</v>
      </c>
      <c r="B431" s="50">
        <f t="shared" si="51"/>
        <v>0</v>
      </c>
      <c r="C431" s="51">
        <f t="shared" si="58"/>
        <v>0</v>
      </c>
      <c r="D431" s="51">
        <f t="shared" si="52"/>
        <v>0</v>
      </c>
      <c r="E431" s="51">
        <f t="shared" si="54"/>
        <v>0</v>
      </c>
      <c r="F431" s="51">
        <f t="shared" si="55"/>
        <v>0</v>
      </c>
      <c r="G431" s="51">
        <f t="shared" si="53"/>
        <v>0</v>
      </c>
      <c r="H431" s="52" t="e">
        <f t="shared" si="56"/>
        <v>#DIV/0!</v>
      </c>
      <c r="I431" s="51">
        <f t="shared" si="57"/>
        <v>0</v>
      </c>
    </row>
    <row r="432" spans="1:9">
      <c r="A432" s="47">
        <v>419</v>
      </c>
      <c r="B432" s="50">
        <f t="shared" si="51"/>
        <v>0</v>
      </c>
      <c r="C432" s="51">
        <f t="shared" si="58"/>
        <v>0</v>
      </c>
      <c r="D432" s="51">
        <f t="shared" si="52"/>
        <v>0</v>
      </c>
      <c r="E432" s="51">
        <f t="shared" si="54"/>
        <v>0</v>
      </c>
      <c r="F432" s="51">
        <f t="shared" si="55"/>
        <v>0</v>
      </c>
      <c r="G432" s="51">
        <f t="shared" si="53"/>
        <v>0</v>
      </c>
      <c r="H432" s="52" t="e">
        <f t="shared" si="56"/>
        <v>#DIV/0!</v>
      </c>
      <c r="I432" s="51">
        <f t="shared" si="57"/>
        <v>0</v>
      </c>
    </row>
    <row r="433" spans="1:9">
      <c r="A433" s="47">
        <v>420</v>
      </c>
      <c r="B433" s="50">
        <f t="shared" si="51"/>
        <v>0</v>
      </c>
      <c r="C433" s="51">
        <f t="shared" si="58"/>
        <v>0</v>
      </c>
      <c r="D433" s="51">
        <f t="shared" si="52"/>
        <v>0</v>
      </c>
      <c r="E433" s="51">
        <f t="shared" si="54"/>
        <v>0</v>
      </c>
      <c r="F433" s="51">
        <f t="shared" si="55"/>
        <v>0</v>
      </c>
      <c r="G433" s="51">
        <f t="shared" si="53"/>
        <v>0</v>
      </c>
      <c r="H433" s="52" t="e">
        <f t="shared" si="56"/>
        <v>#DIV/0!</v>
      </c>
      <c r="I433" s="51">
        <f t="shared" si="57"/>
        <v>0</v>
      </c>
    </row>
    <row r="434" spans="1:9">
      <c r="A434" s="47">
        <v>421</v>
      </c>
      <c r="B434" s="50">
        <f t="shared" si="51"/>
        <v>0</v>
      </c>
      <c r="C434" s="51">
        <f t="shared" si="58"/>
        <v>0</v>
      </c>
      <c r="D434" s="51">
        <f t="shared" si="52"/>
        <v>0</v>
      </c>
      <c r="E434" s="51">
        <f t="shared" si="54"/>
        <v>0</v>
      </c>
      <c r="F434" s="51">
        <f t="shared" si="55"/>
        <v>0</v>
      </c>
      <c r="G434" s="51">
        <f t="shared" si="53"/>
        <v>0</v>
      </c>
      <c r="H434" s="52" t="e">
        <f t="shared" si="56"/>
        <v>#DIV/0!</v>
      </c>
      <c r="I434" s="51">
        <f t="shared" si="57"/>
        <v>0</v>
      </c>
    </row>
    <row r="435" spans="1:9">
      <c r="A435" s="47">
        <v>422</v>
      </c>
      <c r="B435" s="50">
        <f t="shared" ref="B435:B493" si="59">$C$6</f>
        <v>0</v>
      </c>
      <c r="C435" s="51">
        <f t="shared" si="58"/>
        <v>0</v>
      </c>
      <c r="D435" s="51">
        <f t="shared" si="52"/>
        <v>0</v>
      </c>
      <c r="E435" s="51">
        <f t="shared" si="54"/>
        <v>0</v>
      </c>
      <c r="F435" s="51">
        <f t="shared" si="55"/>
        <v>0</v>
      </c>
      <c r="G435" s="51">
        <f t="shared" si="53"/>
        <v>0</v>
      </c>
      <c r="H435" s="52" t="e">
        <f t="shared" si="56"/>
        <v>#DIV/0!</v>
      </c>
      <c r="I435" s="51">
        <f t="shared" si="57"/>
        <v>0</v>
      </c>
    </row>
    <row r="436" spans="1:9">
      <c r="A436" s="47">
        <v>423</v>
      </c>
      <c r="B436" s="50">
        <f t="shared" si="59"/>
        <v>0</v>
      </c>
      <c r="C436" s="51">
        <f t="shared" si="58"/>
        <v>0</v>
      </c>
      <c r="D436" s="51">
        <f t="shared" si="52"/>
        <v>0</v>
      </c>
      <c r="E436" s="51">
        <f t="shared" si="54"/>
        <v>0</v>
      </c>
      <c r="F436" s="51">
        <f t="shared" si="55"/>
        <v>0</v>
      </c>
      <c r="G436" s="51">
        <f t="shared" si="53"/>
        <v>0</v>
      </c>
      <c r="H436" s="52" t="e">
        <f t="shared" si="56"/>
        <v>#DIV/0!</v>
      </c>
      <c r="I436" s="51">
        <f t="shared" si="57"/>
        <v>0</v>
      </c>
    </row>
    <row r="437" spans="1:9">
      <c r="A437" s="47">
        <v>424</v>
      </c>
      <c r="B437" s="50">
        <f t="shared" si="59"/>
        <v>0</v>
      </c>
      <c r="C437" s="51">
        <f t="shared" si="58"/>
        <v>0</v>
      </c>
      <c r="D437" s="51">
        <f t="shared" si="52"/>
        <v>0</v>
      </c>
      <c r="E437" s="51">
        <f t="shared" si="54"/>
        <v>0</v>
      </c>
      <c r="F437" s="51">
        <f t="shared" si="55"/>
        <v>0</v>
      </c>
      <c r="G437" s="51">
        <f t="shared" si="53"/>
        <v>0</v>
      </c>
      <c r="H437" s="52" t="e">
        <f t="shared" si="56"/>
        <v>#DIV/0!</v>
      </c>
      <c r="I437" s="51">
        <f t="shared" si="57"/>
        <v>0</v>
      </c>
    </row>
    <row r="438" spans="1:9">
      <c r="A438" s="47">
        <v>425</v>
      </c>
      <c r="B438" s="50">
        <f t="shared" si="59"/>
        <v>0</v>
      </c>
      <c r="C438" s="51">
        <f t="shared" si="58"/>
        <v>0</v>
      </c>
      <c r="D438" s="51">
        <f t="shared" si="52"/>
        <v>0</v>
      </c>
      <c r="E438" s="51">
        <f t="shared" si="54"/>
        <v>0</v>
      </c>
      <c r="F438" s="51">
        <f t="shared" si="55"/>
        <v>0</v>
      </c>
      <c r="G438" s="51">
        <f t="shared" si="53"/>
        <v>0</v>
      </c>
      <c r="H438" s="52" t="e">
        <f t="shared" si="56"/>
        <v>#DIV/0!</v>
      </c>
      <c r="I438" s="51">
        <f t="shared" si="57"/>
        <v>0</v>
      </c>
    </row>
    <row r="439" spans="1:9">
      <c r="A439" s="47">
        <v>426</v>
      </c>
      <c r="B439" s="50">
        <f t="shared" si="59"/>
        <v>0</v>
      </c>
      <c r="C439" s="51">
        <f t="shared" si="58"/>
        <v>0</v>
      </c>
      <c r="D439" s="51">
        <f t="shared" si="52"/>
        <v>0</v>
      </c>
      <c r="E439" s="51">
        <f t="shared" si="54"/>
        <v>0</v>
      </c>
      <c r="F439" s="51">
        <f t="shared" si="55"/>
        <v>0</v>
      </c>
      <c r="G439" s="51">
        <f t="shared" si="53"/>
        <v>0</v>
      </c>
      <c r="H439" s="52" t="e">
        <f t="shared" si="56"/>
        <v>#DIV/0!</v>
      </c>
      <c r="I439" s="51">
        <f t="shared" si="57"/>
        <v>0</v>
      </c>
    </row>
    <row r="440" spans="1:9">
      <c r="A440" s="47">
        <v>427</v>
      </c>
      <c r="B440" s="50">
        <f t="shared" si="59"/>
        <v>0</v>
      </c>
      <c r="C440" s="51">
        <f t="shared" si="58"/>
        <v>0</v>
      </c>
      <c r="D440" s="51">
        <f t="shared" si="52"/>
        <v>0</v>
      </c>
      <c r="E440" s="51">
        <f t="shared" si="54"/>
        <v>0</v>
      </c>
      <c r="F440" s="51">
        <f t="shared" si="55"/>
        <v>0</v>
      </c>
      <c r="G440" s="51">
        <f t="shared" si="53"/>
        <v>0</v>
      </c>
      <c r="H440" s="52" t="e">
        <f t="shared" si="56"/>
        <v>#DIV/0!</v>
      </c>
      <c r="I440" s="51">
        <f t="shared" si="57"/>
        <v>0</v>
      </c>
    </row>
    <row r="441" spans="1:9">
      <c r="A441" s="47">
        <v>428</v>
      </c>
      <c r="B441" s="50">
        <f t="shared" si="59"/>
        <v>0</v>
      </c>
      <c r="C441" s="51">
        <f t="shared" si="58"/>
        <v>0</v>
      </c>
      <c r="D441" s="51">
        <f t="shared" si="52"/>
        <v>0</v>
      </c>
      <c r="E441" s="51">
        <f t="shared" si="54"/>
        <v>0</v>
      </c>
      <c r="F441" s="51">
        <f t="shared" si="55"/>
        <v>0</v>
      </c>
      <c r="G441" s="51">
        <f t="shared" si="53"/>
        <v>0</v>
      </c>
      <c r="H441" s="52" t="e">
        <f t="shared" si="56"/>
        <v>#DIV/0!</v>
      </c>
      <c r="I441" s="51">
        <f t="shared" si="57"/>
        <v>0</v>
      </c>
    </row>
    <row r="442" spans="1:9">
      <c r="A442" s="47">
        <v>429</v>
      </c>
      <c r="B442" s="50">
        <f t="shared" si="59"/>
        <v>0</v>
      </c>
      <c r="C442" s="51">
        <f t="shared" si="58"/>
        <v>0</v>
      </c>
      <c r="D442" s="51">
        <f t="shared" si="52"/>
        <v>0</v>
      </c>
      <c r="E442" s="51">
        <f t="shared" si="54"/>
        <v>0</v>
      </c>
      <c r="F442" s="51">
        <f t="shared" si="55"/>
        <v>0</v>
      </c>
      <c r="G442" s="51">
        <f t="shared" si="53"/>
        <v>0</v>
      </c>
      <c r="H442" s="52" t="e">
        <f t="shared" si="56"/>
        <v>#DIV/0!</v>
      </c>
      <c r="I442" s="51">
        <f t="shared" si="57"/>
        <v>0</v>
      </c>
    </row>
    <row r="443" spans="1:9">
      <c r="A443" s="47">
        <v>430</v>
      </c>
      <c r="B443" s="50">
        <f t="shared" si="59"/>
        <v>0</v>
      </c>
      <c r="C443" s="51">
        <f t="shared" si="58"/>
        <v>0</v>
      </c>
      <c r="D443" s="51">
        <f t="shared" si="52"/>
        <v>0</v>
      </c>
      <c r="E443" s="51">
        <f t="shared" si="54"/>
        <v>0</v>
      </c>
      <c r="F443" s="51">
        <f t="shared" si="55"/>
        <v>0</v>
      </c>
      <c r="G443" s="51">
        <f t="shared" si="53"/>
        <v>0</v>
      </c>
      <c r="H443" s="52" t="e">
        <f t="shared" si="56"/>
        <v>#DIV/0!</v>
      </c>
      <c r="I443" s="51">
        <f t="shared" si="57"/>
        <v>0</v>
      </c>
    </row>
    <row r="444" spans="1:9">
      <c r="A444" s="47">
        <v>431</v>
      </c>
      <c r="B444" s="50">
        <f t="shared" si="59"/>
        <v>0</v>
      </c>
      <c r="C444" s="51">
        <f t="shared" si="58"/>
        <v>0</v>
      </c>
      <c r="D444" s="51">
        <f t="shared" si="52"/>
        <v>0</v>
      </c>
      <c r="E444" s="51">
        <f t="shared" si="54"/>
        <v>0</v>
      </c>
      <c r="F444" s="51">
        <f t="shared" si="55"/>
        <v>0</v>
      </c>
      <c r="G444" s="51">
        <f t="shared" si="53"/>
        <v>0</v>
      </c>
      <c r="H444" s="52" t="e">
        <f t="shared" si="56"/>
        <v>#DIV/0!</v>
      </c>
      <c r="I444" s="51">
        <f t="shared" si="57"/>
        <v>0</v>
      </c>
    </row>
    <row r="445" spans="1:9">
      <c r="A445" s="47">
        <v>432</v>
      </c>
      <c r="B445" s="50">
        <f t="shared" si="59"/>
        <v>0</v>
      </c>
      <c r="C445" s="51">
        <f t="shared" si="58"/>
        <v>0</v>
      </c>
      <c r="D445" s="51">
        <f t="shared" si="52"/>
        <v>0</v>
      </c>
      <c r="E445" s="51">
        <f t="shared" si="54"/>
        <v>0</v>
      </c>
      <c r="F445" s="51">
        <f t="shared" si="55"/>
        <v>0</v>
      </c>
      <c r="G445" s="51">
        <f t="shared" si="53"/>
        <v>0</v>
      </c>
      <c r="H445" s="52" t="e">
        <f t="shared" si="56"/>
        <v>#DIV/0!</v>
      </c>
      <c r="I445" s="51">
        <f t="shared" si="57"/>
        <v>0</v>
      </c>
    </row>
    <row r="446" spans="1:9">
      <c r="A446" s="47">
        <v>433</v>
      </c>
      <c r="B446" s="50">
        <f t="shared" si="59"/>
        <v>0</v>
      </c>
      <c r="C446" s="51">
        <f t="shared" si="58"/>
        <v>0</v>
      </c>
      <c r="D446" s="51">
        <f t="shared" si="52"/>
        <v>0</v>
      </c>
      <c r="E446" s="51">
        <f t="shared" si="54"/>
        <v>0</v>
      </c>
      <c r="F446" s="51">
        <f t="shared" si="55"/>
        <v>0</v>
      </c>
      <c r="G446" s="51">
        <f t="shared" si="53"/>
        <v>0</v>
      </c>
      <c r="H446" s="52" t="e">
        <f t="shared" si="56"/>
        <v>#DIV/0!</v>
      </c>
      <c r="I446" s="51">
        <f t="shared" si="57"/>
        <v>0</v>
      </c>
    </row>
    <row r="447" spans="1:9">
      <c r="A447" s="47">
        <v>434</v>
      </c>
      <c r="B447" s="50">
        <f t="shared" si="59"/>
        <v>0</v>
      </c>
      <c r="C447" s="51">
        <f t="shared" si="58"/>
        <v>0</v>
      </c>
      <c r="D447" s="51">
        <f t="shared" si="52"/>
        <v>0</v>
      </c>
      <c r="E447" s="51">
        <f t="shared" si="54"/>
        <v>0</v>
      </c>
      <c r="F447" s="51">
        <f t="shared" si="55"/>
        <v>0</v>
      </c>
      <c r="G447" s="51">
        <f t="shared" si="53"/>
        <v>0</v>
      </c>
      <c r="H447" s="52" t="e">
        <f t="shared" si="56"/>
        <v>#DIV/0!</v>
      </c>
      <c r="I447" s="51">
        <f t="shared" si="57"/>
        <v>0</v>
      </c>
    </row>
    <row r="448" spans="1:9">
      <c r="A448" s="47">
        <v>435</v>
      </c>
      <c r="B448" s="50">
        <f t="shared" si="59"/>
        <v>0</v>
      </c>
      <c r="C448" s="51">
        <f t="shared" si="58"/>
        <v>0</v>
      </c>
      <c r="D448" s="51">
        <f t="shared" si="52"/>
        <v>0</v>
      </c>
      <c r="E448" s="51">
        <f t="shared" si="54"/>
        <v>0</v>
      </c>
      <c r="F448" s="51">
        <f t="shared" si="55"/>
        <v>0</v>
      </c>
      <c r="G448" s="51">
        <f t="shared" si="53"/>
        <v>0</v>
      </c>
      <c r="H448" s="52" t="e">
        <f t="shared" si="56"/>
        <v>#DIV/0!</v>
      </c>
      <c r="I448" s="51">
        <f t="shared" si="57"/>
        <v>0</v>
      </c>
    </row>
    <row r="449" spans="1:9">
      <c r="A449" s="47">
        <v>436</v>
      </c>
      <c r="B449" s="50">
        <f t="shared" si="59"/>
        <v>0</v>
      </c>
      <c r="C449" s="51">
        <f t="shared" si="58"/>
        <v>0</v>
      </c>
      <c r="D449" s="51">
        <f t="shared" si="52"/>
        <v>0</v>
      </c>
      <c r="E449" s="51">
        <f t="shared" si="54"/>
        <v>0</v>
      </c>
      <c r="F449" s="51">
        <f t="shared" si="55"/>
        <v>0</v>
      </c>
      <c r="G449" s="51">
        <f t="shared" si="53"/>
        <v>0</v>
      </c>
      <c r="H449" s="52" t="e">
        <f t="shared" si="56"/>
        <v>#DIV/0!</v>
      </c>
      <c r="I449" s="51">
        <f t="shared" si="57"/>
        <v>0</v>
      </c>
    </row>
    <row r="450" spans="1:9">
      <c r="A450" s="47">
        <v>437</v>
      </c>
      <c r="B450" s="50">
        <f t="shared" si="59"/>
        <v>0</v>
      </c>
      <c r="C450" s="51">
        <f t="shared" si="58"/>
        <v>0</v>
      </c>
      <c r="D450" s="51">
        <f t="shared" si="52"/>
        <v>0</v>
      </c>
      <c r="E450" s="51">
        <f t="shared" si="54"/>
        <v>0</v>
      </c>
      <c r="F450" s="51">
        <f t="shared" si="55"/>
        <v>0</v>
      </c>
      <c r="G450" s="51">
        <f t="shared" si="53"/>
        <v>0</v>
      </c>
      <c r="H450" s="52" t="e">
        <f t="shared" si="56"/>
        <v>#DIV/0!</v>
      </c>
      <c r="I450" s="51">
        <f t="shared" si="57"/>
        <v>0</v>
      </c>
    </row>
    <row r="451" spans="1:9">
      <c r="A451" s="47">
        <v>438</v>
      </c>
      <c r="B451" s="50">
        <f t="shared" si="59"/>
        <v>0</v>
      </c>
      <c r="C451" s="51">
        <f t="shared" si="58"/>
        <v>0</v>
      </c>
      <c r="D451" s="51">
        <f t="shared" si="52"/>
        <v>0</v>
      </c>
      <c r="E451" s="51">
        <f t="shared" si="54"/>
        <v>0</v>
      </c>
      <c r="F451" s="51">
        <f t="shared" si="55"/>
        <v>0</v>
      </c>
      <c r="G451" s="51">
        <f t="shared" si="53"/>
        <v>0</v>
      </c>
      <c r="H451" s="52" t="e">
        <f t="shared" si="56"/>
        <v>#DIV/0!</v>
      </c>
      <c r="I451" s="51">
        <f t="shared" si="57"/>
        <v>0</v>
      </c>
    </row>
    <row r="452" spans="1:9">
      <c r="A452" s="47">
        <v>439</v>
      </c>
      <c r="B452" s="50">
        <f t="shared" si="59"/>
        <v>0</v>
      </c>
      <c r="C452" s="51">
        <f t="shared" si="58"/>
        <v>0</v>
      </c>
      <c r="D452" s="51">
        <f t="shared" si="52"/>
        <v>0</v>
      </c>
      <c r="E452" s="51">
        <f t="shared" si="54"/>
        <v>0</v>
      </c>
      <c r="F452" s="51">
        <f t="shared" si="55"/>
        <v>0</v>
      </c>
      <c r="G452" s="51">
        <f t="shared" si="53"/>
        <v>0</v>
      </c>
      <c r="H452" s="52" t="e">
        <f t="shared" si="56"/>
        <v>#DIV/0!</v>
      </c>
      <c r="I452" s="51">
        <f t="shared" si="57"/>
        <v>0</v>
      </c>
    </row>
    <row r="453" spans="1:9">
      <c r="A453" s="47">
        <v>440</v>
      </c>
      <c r="B453" s="50">
        <f t="shared" si="59"/>
        <v>0</v>
      </c>
      <c r="C453" s="51">
        <f t="shared" si="58"/>
        <v>0</v>
      </c>
      <c r="D453" s="51">
        <f t="shared" si="52"/>
        <v>0</v>
      </c>
      <c r="E453" s="51">
        <f t="shared" si="54"/>
        <v>0</v>
      </c>
      <c r="F453" s="51">
        <f t="shared" si="55"/>
        <v>0</v>
      </c>
      <c r="G453" s="51">
        <f t="shared" si="53"/>
        <v>0</v>
      </c>
      <c r="H453" s="52" t="e">
        <f t="shared" si="56"/>
        <v>#DIV/0!</v>
      </c>
      <c r="I453" s="51">
        <f t="shared" si="57"/>
        <v>0</v>
      </c>
    </row>
    <row r="454" spans="1:9">
      <c r="A454" s="47">
        <v>441</v>
      </c>
      <c r="B454" s="50">
        <f t="shared" si="59"/>
        <v>0</v>
      </c>
      <c r="C454" s="51">
        <f t="shared" si="58"/>
        <v>0</v>
      </c>
      <c r="D454" s="51">
        <f t="shared" si="52"/>
        <v>0</v>
      </c>
      <c r="E454" s="51">
        <f t="shared" si="54"/>
        <v>0</v>
      </c>
      <c r="F454" s="51">
        <f t="shared" si="55"/>
        <v>0</v>
      </c>
      <c r="G454" s="51">
        <f t="shared" si="53"/>
        <v>0</v>
      </c>
      <c r="H454" s="52" t="e">
        <f t="shared" si="56"/>
        <v>#DIV/0!</v>
      </c>
      <c r="I454" s="51">
        <f t="shared" si="57"/>
        <v>0</v>
      </c>
    </row>
    <row r="455" spans="1:9">
      <c r="A455" s="47">
        <v>442</v>
      </c>
      <c r="B455" s="50">
        <f t="shared" si="59"/>
        <v>0</v>
      </c>
      <c r="C455" s="51">
        <f t="shared" si="58"/>
        <v>0</v>
      </c>
      <c r="D455" s="51">
        <f t="shared" si="52"/>
        <v>0</v>
      </c>
      <c r="E455" s="51">
        <f t="shared" si="54"/>
        <v>0</v>
      </c>
      <c r="F455" s="51">
        <f t="shared" si="55"/>
        <v>0</v>
      </c>
      <c r="G455" s="51">
        <f t="shared" si="53"/>
        <v>0</v>
      </c>
      <c r="H455" s="52" t="e">
        <f t="shared" si="56"/>
        <v>#DIV/0!</v>
      </c>
      <c r="I455" s="51">
        <f t="shared" si="57"/>
        <v>0</v>
      </c>
    </row>
    <row r="456" spans="1:9">
      <c r="A456" s="47">
        <v>443</v>
      </c>
      <c r="B456" s="50">
        <f t="shared" si="59"/>
        <v>0</v>
      </c>
      <c r="C456" s="51">
        <f t="shared" si="58"/>
        <v>0</v>
      </c>
      <c r="D456" s="51">
        <f t="shared" si="52"/>
        <v>0</v>
      </c>
      <c r="E456" s="51">
        <f t="shared" si="54"/>
        <v>0</v>
      </c>
      <c r="F456" s="51">
        <f t="shared" si="55"/>
        <v>0</v>
      </c>
      <c r="G456" s="51">
        <f t="shared" si="53"/>
        <v>0</v>
      </c>
      <c r="H456" s="52" t="e">
        <f t="shared" si="56"/>
        <v>#DIV/0!</v>
      </c>
      <c r="I456" s="51">
        <f t="shared" si="57"/>
        <v>0</v>
      </c>
    </row>
    <row r="457" spans="1:9">
      <c r="A457" s="47">
        <v>444</v>
      </c>
      <c r="B457" s="50">
        <f t="shared" si="59"/>
        <v>0</v>
      </c>
      <c r="C457" s="51">
        <f t="shared" si="58"/>
        <v>0</v>
      </c>
      <c r="D457" s="51">
        <f t="shared" si="52"/>
        <v>0</v>
      </c>
      <c r="E457" s="51">
        <f t="shared" si="54"/>
        <v>0</v>
      </c>
      <c r="F457" s="51">
        <f t="shared" si="55"/>
        <v>0</v>
      </c>
      <c r="G457" s="51">
        <f t="shared" si="53"/>
        <v>0</v>
      </c>
      <c r="H457" s="52" t="e">
        <f t="shared" si="56"/>
        <v>#DIV/0!</v>
      </c>
      <c r="I457" s="51">
        <f t="shared" si="57"/>
        <v>0</v>
      </c>
    </row>
    <row r="458" spans="1:9">
      <c r="A458" s="47">
        <v>445</v>
      </c>
      <c r="B458" s="50">
        <f t="shared" si="59"/>
        <v>0</v>
      </c>
      <c r="C458" s="51">
        <f t="shared" si="58"/>
        <v>0</v>
      </c>
      <c r="D458" s="51">
        <f t="shared" si="52"/>
        <v>0</v>
      </c>
      <c r="E458" s="51">
        <f t="shared" si="54"/>
        <v>0</v>
      </c>
      <c r="F458" s="51">
        <f t="shared" si="55"/>
        <v>0</v>
      </c>
      <c r="G458" s="51">
        <f t="shared" si="53"/>
        <v>0</v>
      </c>
      <c r="H458" s="52" t="e">
        <f t="shared" si="56"/>
        <v>#DIV/0!</v>
      </c>
      <c r="I458" s="51">
        <f t="shared" si="57"/>
        <v>0</v>
      </c>
    </row>
    <row r="459" spans="1:9">
      <c r="A459" s="47">
        <v>446</v>
      </c>
      <c r="B459" s="50">
        <f t="shared" si="59"/>
        <v>0</v>
      </c>
      <c r="C459" s="51">
        <f t="shared" si="58"/>
        <v>0</v>
      </c>
      <c r="D459" s="51">
        <f t="shared" si="52"/>
        <v>0</v>
      </c>
      <c r="E459" s="51">
        <f t="shared" si="54"/>
        <v>0</v>
      </c>
      <c r="F459" s="51">
        <f t="shared" si="55"/>
        <v>0</v>
      </c>
      <c r="G459" s="51">
        <f t="shared" si="53"/>
        <v>0</v>
      </c>
      <c r="H459" s="52" t="e">
        <f t="shared" si="56"/>
        <v>#DIV/0!</v>
      </c>
      <c r="I459" s="51">
        <f t="shared" si="57"/>
        <v>0</v>
      </c>
    </row>
    <row r="460" spans="1:9">
      <c r="A460" s="47">
        <v>447</v>
      </c>
      <c r="B460" s="50">
        <f t="shared" si="59"/>
        <v>0</v>
      </c>
      <c r="C460" s="51">
        <f t="shared" si="58"/>
        <v>0</v>
      </c>
      <c r="D460" s="51">
        <f t="shared" si="52"/>
        <v>0</v>
      </c>
      <c r="E460" s="51">
        <f t="shared" si="54"/>
        <v>0</v>
      </c>
      <c r="F460" s="51">
        <f t="shared" si="55"/>
        <v>0</v>
      </c>
      <c r="G460" s="51">
        <f t="shared" si="53"/>
        <v>0</v>
      </c>
      <c r="H460" s="52" t="e">
        <f t="shared" si="56"/>
        <v>#DIV/0!</v>
      </c>
      <c r="I460" s="51">
        <f t="shared" si="57"/>
        <v>0</v>
      </c>
    </row>
    <row r="461" spans="1:9">
      <c r="A461" s="47">
        <v>448</v>
      </c>
      <c r="B461" s="50">
        <f t="shared" si="59"/>
        <v>0</v>
      </c>
      <c r="C461" s="51">
        <f t="shared" si="58"/>
        <v>0</v>
      </c>
      <c r="D461" s="51">
        <f t="shared" si="52"/>
        <v>0</v>
      </c>
      <c r="E461" s="51">
        <f t="shared" si="54"/>
        <v>0</v>
      </c>
      <c r="F461" s="51">
        <f t="shared" si="55"/>
        <v>0</v>
      </c>
      <c r="G461" s="51">
        <f t="shared" si="53"/>
        <v>0</v>
      </c>
      <c r="H461" s="52" t="e">
        <f t="shared" si="56"/>
        <v>#DIV/0!</v>
      </c>
      <c r="I461" s="51">
        <f t="shared" si="57"/>
        <v>0</v>
      </c>
    </row>
    <row r="462" spans="1:9">
      <c r="A462" s="47">
        <v>449</v>
      </c>
      <c r="B462" s="50">
        <f t="shared" si="59"/>
        <v>0</v>
      </c>
      <c r="C462" s="51">
        <f t="shared" si="58"/>
        <v>0</v>
      </c>
      <c r="D462" s="51">
        <f t="shared" ref="D462:D493" si="60">IF(C462+E462&gt;$C$10,$C$10,C462+E462)</f>
        <v>0</v>
      </c>
      <c r="E462" s="51">
        <f t="shared" si="54"/>
        <v>0</v>
      </c>
      <c r="F462" s="51">
        <f t="shared" si="55"/>
        <v>0</v>
      </c>
      <c r="G462" s="51">
        <f t="shared" ref="G462:G493" si="61">C462-F462</f>
        <v>0</v>
      </c>
      <c r="H462" s="52" t="e">
        <f t="shared" si="56"/>
        <v>#DIV/0!</v>
      </c>
      <c r="I462" s="51">
        <f t="shared" si="57"/>
        <v>0</v>
      </c>
    </row>
    <row r="463" spans="1:9">
      <c r="A463" s="47">
        <v>450</v>
      </c>
      <c r="B463" s="50">
        <f t="shared" si="59"/>
        <v>0</v>
      </c>
      <c r="C463" s="51">
        <f t="shared" si="58"/>
        <v>0</v>
      </c>
      <c r="D463" s="51">
        <f t="shared" si="60"/>
        <v>0</v>
      </c>
      <c r="E463" s="51">
        <f t="shared" ref="E463:E493" si="62">C463*(B463/12)</f>
        <v>0</v>
      </c>
      <c r="F463" s="51">
        <f t="shared" ref="F463:F493" si="63">IF(C463&lt;$C$10,C463,D463-E463)</f>
        <v>0</v>
      </c>
      <c r="G463" s="51">
        <f t="shared" si="61"/>
        <v>0</v>
      </c>
      <c r="H463" s="52" t="e">
        <f t="shared" ref="H463:H493" si="64">G463/$C$1</f>
        <v>#DIV/0!</v>
      </c>
      <c r="I463" s="51">
        <f t="shared" ref="I463:I493" si="65">C463*$I$10/12</f>
        <v>0</v>
      </c>
    </row>
    <row r="464" spans="1:9">
      <c r="A464" s="47">
        <v>451</v>
      </c>
      <c r="B464" s="50">
        <f t="shared" si="59"/>
        <v>0</v>
      </c>
      <c r="C464" s="51">
        <f t="shared" ref="C464:C493" si="66">G463</f>
        <v>0</v>
      </c>
      <c r="D464" s="51">
        <f t="shared" si="60"/>
        <v>0</v>
      </c>
      <c r="E464" s="51">
        <f t="shared" si="62"/>
        <v>0</v>
      </c>
      <c r="F464" s="51">
        <f t="shared" si="63"/>
        <v>0</v>
      </c>
      <c r="G464" s="51">
        <f t="shared" si="61"/>
        <v>0</v>
      </c>
      <c r="H464" s="52" t="e">
        <f t="shared" si="64"/>
        <v>#DIV/0!</v>
      </c>
      <c r="I464" s="51">
        <f t="shared" si="65"/>
        <v>0</v>
      </c>
    </row>
    <row r="465" spans="1:9">
      <c r="A465" s="47">
        <v>452</v>
      </c>
      <c r="B465" s="50">
        <f t="shared" si="59"/>
        <v>0</v>
      </c>
      <c r="C465" s="51">
        <f t="shared" si="66"/>
        <v>0</v>
      </c>
      <c r="D465" s="51">
        <f t="shared" si="60"/>
        <v>0</v>
      </c>
      <c r="E465" s="51">
        <f t="shared" si="62"/>
        <v>0</v>
      </c>
      <c r="F465" s="51">
        <f t="shared" si="63"/>
        <v>0</v>
      </c>
      <c r="G465" s="51">
        <f t="shared" si="61"/>
        <v>0</v>
      </c>
      <c r="H465" s="52" t="e">
        <f t="shared" si="64"/>
        <v>#DIV/0!</v>
      </c>
      <c r="I465" s="51">
        <f t="shared" si="65"/>
        <v>0</v>
      </c>
    </row>
    <row r="466" spans="1:9">
      <c r="A466" s="47">
        <v>453</v>
      </c>
      <c r="B466" s="50">
        <f t="shared" si="59"/>
        <v>0</v>
      </c>
      <c r="C466" s="51">
        <f t="shared" si="66"/>
        <v>0</v>
      </c>
      <c r="D466" s="51">
        <f t="shared" si="60"/>
        <v>0</v>
      </c>
      <c r="E466" s="51">
        <f t="shared" si="62"/>
        <v>0</v>
      </c>
      <c r="F466" s="51">
        <f t="shared" si="63"/>
        <v>0</v>
      </c>
      <c r="G466" s="51">
        <f t="shared" si="61"/>
        <v>0</v>
      </c>
      <c r="H466" s="52" t="e">
        <f t="shared" si="64"/>
        <v>#DIV/0!</v>
      </c>
      <c r="I466" s="51">
        <f t="shared" si="65"/>
        <v>0</v>
      </c>
    </row>
    <row r="467" spans="1:9">
      <c r="A467" s="47">
        <v>454</v>
      </c>
      <c r="B467" s="50">
        <f t="shared" si="59"/>
        <v>0</v>
      </c>
      <c r="C467" s="51">
        <f t="shared" si="66"/>
        <v>0</v>
      </c>
      <c r="D467" s="51">
        <f t="shared" si="60"/>
        <v>0</v>
      </c>
      <c r="E467" s="51">
        <f t="shared" si="62"/>
        <v>0</v>
      </c>
      <c r="F467" s="51">
        <f t="shared" si="63"/>
        <v>0</v>
      </c>
      <c r="G467" s="51">
        <f t="shared" si="61"/>
        <v>0</v>
      </c>
      <c r="H467" s="52" t="e">
        <f t="shared" si="64"/>
        <v>#DIV/0!</v>
      </c>
      <c r="I467" s="51">
        <f t="shared" si="65"/>
        <v>0</v>
      </c>
    </row>
    <row r="468" spans="1:9">
      <c r="A468" s="47">
        <v>455</v>
      </c>
      <c r="B468" s="50">
        <f t="shared" si="59"/>
        <v>0</v>
      </c>
      <c r="C468" s="51">
        <f t="shared" si="66"/>
        <v>0</v>
      </c>
      <c r="D468" s="51">
        <f t="shared" si="60"/>
        <v>0</v>
      </c>
      <c r="E468" s="51">
        <f t="shared" si="62"/>
        <v>0</v>
      </c>
      <c r="F468" s="51">
        <f t="shared" si="63"/>
        <v>0</v>
      </c>
      <c r="G468" s="51">
        <f t="shared" si="61"/>
        <v>0</v>
      </c>
      <c r="H468" s="52" t="e">
        <f t="shared" si="64"/>
        <v>#DIV/0!</v>
      </c>
      <c r="I468" s="51">
        <f t="shared" si="65"/>
        <v>0</v>
      </c>
    </row>
    <row r="469" spans="1:9">
      <c r="A469" s="47">
        <v>456</v>
      </c>
      <c r="B469" s="50">
        <f t="shared" si="59"/>
        <v>0</v>
      </c>
      <c r="C469" s="51">
        <f t="shared" si="66"/>
        <v>0</v>
      </c>
      <c r="D469" s="51">
        <f t="shared" si="60"/>
        <v>0</v>
      </c>
      <c r="E469" s="51">
        <f t="shared" si="62"/>
        <v>0</v>
      </c>
      <c r="F469" s="51">
        <f t="shared" si="63"/>
        <v>0</v>
      </c>
      <c r="G469" s="51">
        <f t="shared" si="61"/>
        <v>0</v>
      </c>
      <c r="H469" s="52" t="e">
        <f t="shared" si="64"/>
        <v>#DIV/0!</v>
      </c>
      <c r="I469" s="51">
        <f t="shared" si="65"/>
        <v>0</v>
      </c>
    </row>
    <row r="470" spans="1:9">
      <c r="A470" s="47">
        <v>457</v>
      </c>
      <c r="B470" s="50">
        <f t="shared" si="59"/>
        <v>0</v>
      </c>
      <c r="C470" s="51">
        <f t="shared" si="66"/>
        <v>0</v>
      </c>
      <c r="D470" s="51">
        <f t="shared" si="60"/>
        <v>0</v>
      </c>
      <c r="E470" s="51">
        <f t="shared" si="62"/>
        <v>0</v>
      </c>
      <c r="F470" s="51">
        <f t="shared" si="63"/>
        <v>0</v>
      </c>
      <c r="G470" s="51">
        <f t="shared" si="61"/>
        <v>0</v>
      </c>
      <c r="H470" s="52" t="e">
        <f t="shared" si="64"/>
        <v>#DIV/0!</v>
      </c>
      <c r="I470" s="51">
        <f t="shared" si="65"/>
        <v>0</v>
      </c>
    </row>
    <row r="471" spans="1:9">
      <c r="A471" s="47">
        <v>458</v>
      </c>
      <c r="B471" s="50">
        <f t="shared" si="59"/>
        <v>0</v>
      </c>
      <c r="C471" s="51">
        <f t="shared" si="66"/>
        <v>0</v>
      </c>
      <c r="D471" s="51">
        <f t="shared" si="60"/>
        <v>0</v>
      </c>
      <c r="E471" s="51">
        <f t="shared" si="62"/>
        <v>0</v>
      </c>
      <c r="F471" s="51">
        <f t="shared" si="63"/>
        <v>0</v>
      </c>
      <c r="G471" s="51">
        <f t="shared" si="61"/>
        <v>0</v>
      </c>
      <c r="H471" s="52" t="e">
        <f t="shared" si="64"/>
        <v>#DIV/0!</v>
      </c>
      <c r="I471" s="51">
        <f t="shared" si="65"/>
        <v>0</v>
      </c>
    </row>
    <row r="472" spans="1:9">
      <c r="A472" s="47">
        <v>459</v>
      </c>
      <c r="B472" s="50">
        <f t="shared" si="59"/>
        <v>0</v>
      </c>
      <c r="C472" s="51">
        <f t="shared" si="66"/>
        <v>0</v>
      </c>
      <c r="D472" s="51">
        <f t="shared" si="60"/>
        <v>0</v>
      </c>
      <c r="E472" s="51">
        <f t="shared" si="62"/>
        <v>0</v>
      </c>
      <c r="F472" s="51">
        <f t="shared" si="63"/>
        <v>0</v>
      </c>
      <c r="G472" s="51">
        <f t="shared" si="61"/>
        <v>0</v>
      </c>
      <c r="H472" s="52" t="e">
        <f t="shared" si="64"/>
        <v>#DIV/0!</v>
      </c>
      <c r="I472" s="51">
        <f t="shared" si="65"/>
        <v>0</v>
      </c>
    </row>
    <row r="473" spans="1:9">
      <c r="A473" s="47">
        <v>460</v>
      </c>
      <c r="B473" s="50">
        <f t="shared" si="59"/>
        <v>0</v>
      </c>
      <c r="C473" s="51">
        <f t="shared" si="66"/>
        <v>0</v>
      </c>
      <c r="D473" s="51">
        <f t="shared" si="60"/>
        <v>0</v>
      </c>
      <c r="E473" s="51">
        <f t="shared" si="62"/>
        <v>0</v>
      </c>
      <c r="F473" s="51">
        <f t="shared" si="63"/>
        <v>0</v>
      </c>
      <c r="G473" s="51">
        <f t="shared" si="61"/>
        <v>0</v>
      </c>
      <c r="H473" s="52" t="e">
        <f t="shared" si="64"/>
        <v>#DIV/0!</v>
      </c>
      <c r="I473" s="51">
        <f t="shared" si="65"/>
        <v>0</v>
      </c>
    </row>
    <row r="474" spans="1:9">
      <c r="A474" s="47">
        <v>461</v>
      </c>
      <c r="B474" s="50">
        <f t="shared" si="59"/>
        <v>0</v>
      </c>
      <c r="C474" s="51">
        <f t="shared" si="66"/>
        <v>0</v>
      </c>
      <c r="D474" s="51">
        <f t="shared" si="60"/>
        <v>0</v>
      </c>
      <c r="E474" s="51">
        <f t="shared" si="62"/>
        <v>0</v>
      </c>
      <c r="F474" s="51">
        <f t="shared" si="63"/>
        <v>0</v>
      </c>
      <c r="G474" s="51">
        <f t="shared" si="61"/>
        <v>0</v>
      </c>
      <c r="H474" s="52" t="e">
        <f t="shared" si="64"/>
        <v>#DIV/0!</v>
      </c>
      <c r="I474" s="51">
        <f t="shared" si="65"/>
        <v>0</v>
      </c>
    </row>
    <row r="475" spans="1:9">
      <c r="A475" s="47">
        <v>462</v>
      </c>
      <c r="B475" s="50">
        <f t="shared" si="59"/>
        <v>0</v>
      </c>
      <c r="C475" s="51">
        <f t="shared" si="66"/>
        <v>0</v>
      </c>
      <c r="D475" s="51">
        <f t="shared" si="60"/>
        <v>0</v>
      </c>
      <c r="E475" s="51">
        <f t="shared" si="62"/>
        <v>0</v>
      </c>
      <c r="F475" s="51">
        <f t="shared" si="63"/>
        <v>0</v>
      </c>
      <c r="G475" s="51">
        <f t="shared" si="61"/>
        <v>0</v>
      </c>
      <c r="H475" s="52" t="e">
        <f t="shared" si="64"/>
        <v>#DIV/0!</v>
      </c>
      <c r="I475" s="51">
        <f t="shared" si="65"/>
        <v>0</v>
      </c>
    </row>
    <row r="476" spans="1:9">
      <c r="A476" s="47">
        <v>463</v>
      </c>
      <c r="B476" s="50">
        <f t="shared" si="59"/>
        <v>0</v>
      </c>
      <c r="C476" s="51">
        <f t="shared" si="66"/>
        <v>0</v>
      </c>
      <c r="D476" s="51">
        <f t="shared" si="60"/>
        <v>0</v>
      </c>
      <c r="E476" s="51">
        <f t="shared" si="62"/>
        <v>0</v>
      </c>
      <c r="F476" s="51">
        <f t="shared" si="63"/>
        <v>0</v>
      </c>
      <c r="G476" s="51">
        <f t="shared" si="61"/>
        <v>0</v>
      </c>
      <c r="H476" s="52" t="e">
        <f t="shared" si="64"/>
        <v>#DIV/0!</v>
      </c>
      <c r="I476" s="51">
        <f t="shared" si="65"/>
        <v>0</v>
      </c>
    </row>
    <row r="477" spans="1:9">
      <c r="A477" s="47">
        <v>464</v>
      </c>
      <c r="B477" s="50">
        <f t="shared" si="59"/>
        <v>0</v>
      </c>
      <c r="C477" s="51">
        <f t="shared" si="66"/>
        <v>0</v>
      </c>
      <c r="D477" s="51">
        <f t="shared" si="60"/>
        <v>0</v>
      </c>
      <c r="E477" s="51">
        <f t="shared" si="62"/>
        <v>0</v>
      </c>
      <c r="F477" s="51">
        <f t="shared" si="63"/>
        <v>0</v>
      </c>
      <c r="G477" s="51">
        <f t="shared" si="61"/>
        <v>0</v>
      </c>
      <c r="H477" s="52" t="e">
        <f t="shared" si="64"/>
        <v>#DIV/0!</v>
      </c>
      <c r="I477" s="51">
        <f t="shared" si="65"/>
        <v>0</v>
      </c>
    </row>
    <row r="478" spans="1:9">
      <c r="A478" s="47">
        <v>465</v>
      </c>
      <c r="B478" s="50">
        <f t="shared" si="59"/>
        <v>0</v>
      </c>
      <c r="C478" s="51">
        <f t="shared" si="66"/>
        <v>0</v>
      </c>
      <c r="D478" s="51">
        <f t="shared" si="60"/>
        <v>0</v>
      </c>
      <c r="E478" s="51">
        <f t="shared" si="62"/>
        <v>0</v>
      </c>
      <c r="F478" s="51">
        <f t="shared" si="63"/>
        <v>0</v>
      </c>
      <c r="G478" s="51">
        <f t="shared" si="61"/>
        <v>0</v>
      </c>
      <c r="H478" s="52" t="e">
        <f t="shared" si="64"/>
        <v>#DIV/0!</v>
      </c>
      <c r="I478" s="51">
        <f t="shared" si="65"/>
        <v>0</v>
      </c>
    </row>
    <row r="479" spans="1:9">
      <c r="A479" s="47">
        <v>466</v>
      </c>
      <c r="B479" s="50">
        <f t="shared" si="59"/>
        <v>0</v>
      </c>
      <c r="C479" s="51">
        <f t="shared" si="66"/>
        <v>0</v>
      </c>
      <c r="D479" s="51">
        <f t="shared" si="60"/>
        <v>0</v>
      </c>
      <c r="E479" s="51">
        <f t="shared" si="62"/>
        <v>0</v>
      </c>
      <c r="F479" s="51">
        <f t="shared" si="63"/>
        <v>0</v>
      </c>
      <c r="G479" s="51">
        <f t="shared" si="61"/>
        <v>0</v>
      </c>
      <c r="H479" s="52" t="e">
        <f t="shared" si="64"/>
        <v>#DIV/0!</v>
      </c>
      <c r="I479" s="51">
        <f t="shared" si="65"/>
        <v>0</v>
      </c>
    </row>
    <row r="480" spans="1:9">
      <c r="A480" s="47">
        <v>467</v>
      </c>
      <c r="B480" s="50">
        <f t="shared" si="59"/>
        <v>0</v>
      </c>
      <c r="C480" s="51">
        <f t="shared" si="66"/>
        <v>0</v>
      </c>
      <c r="D480" s="51">
        <f t="shared" si="60"/>
        <v>0</v>
      </c>
      <c r="E480" s="51">
        <f t="shared" si="62"/>
        <v>0</v>
      </c>
      <c r="F480" s="51">
        <f t="shared" si="63"/>
        <v>0</v>
      </c>
      <c r="G480" s="51">
        <f t="shared" si="61"/>
        <v>0</v>
      </c>
      <c r="H480" s="52" t="e">
        <f t="shared" si="64"/>
        <v>#DIV/0!</v>
      </c>
      <c r="I480" s="51">
        <f t="shared" si="65"/>
        <v>0</v>
      </c>
    </row>
    <row r="481" spans="1:9">
      <c r="A481" s="47">
        <v>468</v>
      </c>
      <c r="B481" s="50">
        <f t="shared" si="59"/>
        <v>0</v>
      </c>
      <c r="C481" s="51">
        <f t="shared" si="66"/>
        <v>0</v>
      </c>
      <c r="D481" s="51">
        <f t="shared" si="60"/>
        <v>0</v>
      </c>
      <c r="E481" s="51">
        <f t="shared" si="62"/>
        <v>0</v>
      </c>
      <c r="F481" s="51">
        <f t="shared" si="63"/>
        <v>0</v>
      </c>
      <c r="G481" s="51">
        <f t="shared" si="61"/>
        <v>0</v>
      </c>
      <c r="H481" s="52" t="e">
        <f t="shared" si="64"/>
        <v>#DIV/0!</v>
      </c>
      <c r="I481" s="51">
        <f t="shared" si="65"/>
        <v>0</v>
      </c>
    </row>
    <row r="482" spans="1:9">
      <c r="A482" s="47">
        <v>469</v>
      </c>
      <c r="B482" s="50">
        <f t="shared" si="59"/>
        <v>0</v>
      </c>
      <c r="C482" s="51">
        <f t="shared" si="66"/>
        <v>0</v>
      </c>
      <c r="D482" s="51">
        <f t="shared" si="60"/>
        <v>0</v>
      </c>
      <c r="E482" s="51">
        <f t="shared" si="62"/>
        <v>0</v>
      </c>
      <c r="F482" s="51">
        <f t="shared" si="63"/>
        <v>0</v>
      </c>
      <c r="G482" s="51">
        <f t="shared" si="61"/>
        <v>0</v>
      </c>
      <c r="H482" s="52" t="e">
        <f t="shared" si="64"/>
        <v>#DIV/0!</v>
      </c>
      <c r="I482" s="51">
        <f t="shared" si="65"/>
        <v>0</v>
      </c>
    </row>
    <row r="483" spans="1:9">
      <c r="A483" s="47">
        <v>470</v>
      </c>
      <c r="B483" s="50">
        <f t="shared" si="59"/>
        <v>0</v>
      </c>
      <c r="C483" s="51">
        <f t="shared" si="66"/>
        <v>0</v>
      </c>
      <c r="D483" s="51">
        <f t="shared" si="60"/>
        <v>0</v>
      </c>
      <c r="E483" s="51">
        <f t="shared" si="62"/>
        <v>0</v>
      </c>
      <c r="F483" s="51">
        <f t="shared" si="63"/>
        <v>0</v>
      </c>
      <c r="G483" s="51">
        <f t="shared" si="61"/>
        <v>0</v>
      </c>
      <c r="H483" s="52" t="e">
        <f t="shared" si="64"/>
        <v>#DIV/0!</v>
      </c>
      <c r="I483" s="51">
        <f t="shared" si="65"/>
        <v>0</v>
      </c>
    </row>
    <row r="484" spans="1:9">
      <c r="A484" s="47">
        <v>471</v>
      </c>
      <c r="B484" s="50">
        <f t="shared" si="59"/>
        <v>0</v>
      </c>
      <c r="C484" s="51">
        <f t="shared" si="66"/>
        <v>0</v>
      </c>
      <c r="D484" s="51">
        <f t="shared" si="60"/>
        <v>0</v>
      </c>
      <c r="E484" s="51">
        <f t="shared" si="62"/>
        <v>0</v>
      </c>
      <c r="F484" s="51">
        <f t="shared" si="63"/>
        <v>0</v>
      </c>
      <c r="G484" s="51">
        <f t="shared" si="61"/>
        <v>0</v>
      </c>
      <c r="H484" s="52" t="e">
        <f t="shared" si="64"/>
        <v>#DIV/0!</v>
      </c>
      <c r="I484" s="51">
        <f t="shared" si="65"/>
        <v>0</v>
      </c>
    </row>
    <row r="485" spans="1:9">
      <c r="A485" s="47">
        <v>472</v>
      </c>
      <c r="B485" s="50">
        <f t="shared" si="59"/>
        <v>0</v>
      </c>
      <c r="C485" s="51">
        <f t="shared" si="66"/>
        <v>0</v>
      </c>
      <c r="D485" s="51">
        <f t="shared" si="60"/>
        <v>0</v>
      </c>
      <c r="E485" s="51">
        <f t="shared" si="62"/>
        <v>0</v>
      </c>
      <c r="F485" s="51">
        <f t="shared" si="63"/>
        <v>0</v>
      </c>
      <c r="G485" s="51">
        <f t="shared" si="61"/>
        <v>0</v>
      </c>
      <c r="H485" s="52" t="e">
        <f t="shared" si="64"/>
        <v>#DIV/0!</v>
      </c>
      <c r="I485" s="51">
        <f t="shared" si="65"/>
        <v>0</v>
      </c>
    </row>
    <row r="486" spans="1:9">
      <c r="A486" s="47">
        <v>473</v>
      </c>
      <c r="B486" s="50">
        <f t="shared" si="59"/>
        <v>0</v>
      </c>
      <c r="C486" s="51">
        <f t="shared" si="66"/>
        <v>0</v>
      </c>
      <c r="D486" s="51">
        <f t="shared" si="60"/>
        <v>0</v>
      </c>
      <c r="E486" s="51">
        <f t="shared" si="62"/>
        <v>0</v>
      </c>
      <c r="F486" s="51">
        <f t="shared" si="63"/>
        <v>0</v>
      </c>
      <c r="G486" s="51">
        <f t="shared" si="61"/>
        <v>0</v>
      </c>
      <c r="H486" s="52" t="e">
        <f t="shared" si="64"/>
        <v>#DIV/0!</v>
      </c>
      <c r="I486" s="51">
        <f t="shared" si="65"/>
        <v>0</v>
      </c>
    </row>
    <row r="487" spans="1:9">
      <c r="A487" s="47">
        <v>474</v>
      </c>
      <c r="B487" s="50">
        <f t="shared" si="59"/>
        <v>0</v>
      </c>
      <c r="C487" s="51">
        <f t="shared" si="66"/>
        <v>0</v>
      </c>
      <c r="D487" s="51">
        <f t="shared" si="60"/>
        <v>0</v>
      </c>
      <c r="E487" s="51">
        <f t="shared" si="62"/>
        <v>0</v>
      </c>
      <c r="F487" s="51">
        <f t="shared" si="63"/>
        <v>0</v>
      </c>
      <c r="G487" s="51">
        <f t="shared" si="61"/>
        <v>0</v>
      </c>
      <c r="H487" s="52" t="e">
        <f t="shared" si="64"/>
        <v>#DIV/0!</v>
      </c>
      <c r="I487" s="51">
        <f t="shared" si="65"/>
        <v>0</v>
      </c>
    </row>
    <row r="488" spans="1:9">
      <c r="A488" s="47">
        <v>475</v>
      </c>
      <c r="B488" s="50">
        <f t="shared" si="59"/>
        <v>0</v>
      </c>
      <c r="C488" s="51">
        <f t="shared" si="66"/>
        <v>0</v>
      </c>
      <c r="D488" s="51">
        <f t="shared" si="60"/>
        <v>0</v>
      </c>
      <c r="E488" s="51">
        <f t="shared" si="62"/>
        <v>0</v>
      </c>
      <c r="F488" s="51">
        <f t="shared" si="63"/>
        <v>0</v>
      </c>
      <c r="G488" s="51">
        <f t="shared" si="61"/>
        <v>0</v>
      </c>
      <c r="H488" s="52" t="e">
        <f t="shared" si="64"/>
        <v>#DIV/0!</v>
      </c>
      <c r="I488" s="51">
        <f t="shared" si="65"/>
        <v>0</v>
      </c>
    </row>
    <row r="489" spans="1:9">
      <c r="A489" s="47">
        <v>476</v>
      </c>
      <c r="B489" s="50">
        <f t="shared" si="59"/>
        <v>0</v>
      </c>
      <c r="C489" s="51">
        <f t="shared" si="66"/>
        <v>0</v>
      </c>
      <c r="D489" s="51">
        <f t="shared" si="60"/>
        <v>0</v>
      </c>
      <c r="E489" s="51">
        <f t="shared" si="62"/>
        <v>0</v>
      </c>
      <c r="F489" s="51">
        <f t="shared" si="63"/>
        <v>0</v>
      </c>
      <c r="G489" s="51">
        <f t="shared" si="61"/>
        <v>0</v>
      </c>
      <c r="H489" s="52" t="e">
        <f t="shared" si="64"/>
        <v>#DIV/0!</v>
      </c>
      <c r="I489" s="51">
        <f t="shared" si="65"/>
        <v>0</v>
      </c>
    </row>
    <row r="490" spans="1:9">
      <c r="A490" s="47">
        <v>477</v>
      </c>
      <c r="B490" s="50">
        <f t="shared" si="59"/>
        <v>0</v>
      </c>
      <c r="C490" s="51">
        <f t="shared" si="66"/>
        <v>0</v>
      </c>
      <c r="D490" s="51">
        <f t="shared" si="60"/>
        <v>0</v>
      </c>
      <c r="E490" s="51">
        <f t="shared" si="62"/>
        <v>0</v>
      </c>
      <c r="F490" s="51">
        <f t="shared" si="63"/>
        <v>0</v>
      </c>
      <c r="G490" s="51">
        <f t="shared" si="61"/>
        <v>0</v>
      </c>
      <c r="H490" s="52" t="e">
        <f t="shared" si="64"/>
        <v>#DIV/0!</v>
      </c>
      <c r="I490" s="51">
        <f t="shared" si="65"/>
        <v>0</v>
      </c>
    </row>
    <row r="491" spans="1:9">
      <c r="A491" s="47">
        <v>478</v>
      </c>
      <c r="B491" s="50">
        <f t="shared" si="59"/>
        <v>0</v>
      </c>
      <c r="C491" s="51">
        <f t="shared" si="66"/>
        <v>0</v>
      </c>
      <c r="D491" s="51">
        <f t="shared" si="60"/>
        <v>0</v>
      </c>
      <c r="E491" s="51">
        <f t="shared" si="62"/>
        <v>0</v>
      </c>
      <c r="F491" s="51">
        <f t="shared" si="63"/>
        <v>0</v>
      </c>
      <c r="G491" s="51">
        <f t="shared" si="61"/>
        <v>0</v>
      </c>
      <c r="H491" s="52" t="e">
        <f t="shared" si="64"/>
        <v>#DIV/0!</v>
      </c>
      <c r="I491" s="51">
        <f t="shared" si="65"/>
        <v>0</v>
      </c>
    </row>
    <row r="492" spans="1:9">
      <c r="A492" s="47">
        <v>479</v>
      </c>
      <c r="B492" s="50">
        <f t="shared" si="59"/>
        <v>0</v>
      </c>
      <c r="C492" s="51">
        <f t="shared" si="66"/>
        <v>0</v>
      </c>
      <c r="D492" s="51">
        <f t="shared" si="60"/>
        <v>0</v>
      </c>
      <c r="E492" s="51">
        <f t="shared" si="62"/>
        <v>0</v>
      </c>
      <c r="F492" s="51">
        <f t="shared" si="63"/>
        <v>0</v>
      </c>
      <c r="G492" s="51">
        <f t="shared" si="61"/>
        <v>0</v>
      </c>
      <c r="H492" s="52" t="e">
        <f t="shared" si="64"/>
        <v>#DIV/0!</v>
      </c>
      <c r="I492" s="51">
        <f t="shared" si="65"/>
        <v>0</v>
      </c>
    </row>
    <row r="493" spans="1:9">
      <c r="A493" s="47">
        <v>480</v>
      </c>
      <c r="B493" s="50">
        <f t="shared" si="59"/>
        <v>0</v>
      </c>
      <c r="C493" s="51">
        <f t="shared" si="66"/>
        <v>0</v>
      </c>
      <c r="D493" s="51">
        <f t="shared" si="60"/>
        <v>0</v>
      </c>
      <c r="E493" s="51">
        <f t="shared" si="62"/>
        <v>0</v>
      </c>
      <c r="F493" s="51">
        <f t="shared" si="63"/>
        <v>0</v>
      </c>
      <c r="G493" s="51">
        <f t="shared" si="61"/>
        <v>0</v>
      </c>
      <c r="H493" s="52" t="e">
        <f t="shared" si="64"/>
        <v>#DIV/0!</v>
      </c>
      <c r="I493" s="51">
        <f t="shared" si="65"/>
        <v>0</v>
      </c>
    </row>
  </sheetData>
  <sheetProtection algorithmName="SHA-512" hashValue="65xPF3sMnS/MssP+RwUolUnP0r1aAyzBIt9mIUR0ENTamrQp/NDfuZs/4aKVEtdBfUeLXbDTLv2VKMwXbBlCSg==" saltValue="ILdBEHvj2oocGM3jo9HWMw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C2E-3D8E-4633-88BD-FEA9CF4C4ACD}">
  <sheetPr codeName="Sheet4"/>
  <dimension ref="A1:K493"/>
  <sheetViews>
    <sheetView showGridLines="0" topLeftCell="L1" zoomScale="85" zoomScaleNormal="85" workbookViewId="0">
      <pane ySplit="12" topLeftCell="A13" activePane="bottomLeft" state="frozen"/>
      <selection sqref="A1:K1048576"/>
      <selection pane="bottomLeft" sqref="A1:K1048576"/>
    </sheetView>
  </sheetViews>
  <sheetFormatPr defaultColWidth="10.28515625" defaultRowHeight="15"/>
  <cols>
    <col min="1" max="1" width="4.7109375" style="24" hidden="1" customWidth="1"/>
    <col min="2" max="2" width="12.7109375" style="24" hidden="1" customWidth="1"/>
    <col min="3" max="3" width="13.5703125" style="24" hidden="1" customWidth="1"/>
    <col min="4" max="4" width="15" style="24" hidden="1" customWidth="1"/>
    <col min="5" max="6" width="11.5703125" style="24" hidden="1" customWidth="1"/>
    <col min="7" max="7" width="10.42578125" style="24" hidden="1" customWidth="1"/>
    <col min="8" max="8" width="10" style="24" hidden="1" customWidth="1"/>
    <col min="9" max="9" width="12.5703125" style="24" hidden="1" customWidth="1"/>
    <col min="10" max="10" width="8.7109375" style="24" hidden="1" customWidth="1"/>
    <col min="11" max="11" width="10.28515625" style="24" hidden="1" customWidth="1"/>
    <col min="12" max="12" width="10.28515625" style="24" customWidth="1"/>
    <col min="13" max="16384" width="10.28515625" style="24"/>
  </cols>
  <sheetData>
    <row r="1" spans="1:11">
      <c r="B1" s="25" t="s">
        <v>95</v>
      </c>
      <c r="C1" s="26">
        <f>'1.ลดดอกเบี้ย'!E8</f>
        <v>0</v>
      </c>
      <c r="G1" s="27" t="str">
        <f>[2]ตาราง!T25</f>
        <v>No Insurance</v>
      </c>
      <c r="H1" s="17" t="s">
        <v>1</v>
      </c>
      <c r="I1" s="17" t="s">
        <v>2</v>
      </c>
      <c r="J1" s="17" t="s">
        <v>3</v>
      </c>
      <c r="K1" s="17" t="s">
        <v>96</v>
      </c>
    </row>
    <row r="2" spans="1:11">
      <c r="B2" s="28" t="s">
        <v>97</v>
      </c>
      <c r="C2" s="29">
        <f>'1.ลดดอกเบี้ย'!E9</f>
        <v>0</v>
      </c>
      <c r="G2" t="s">
        <v>98</v>
      </c>
      <c r="H2" s="30">
        <v>5.5E-2</v>
      </c>
      <c r="I2" s="30">
        <v>5.5E-2</v>
      </c>
      <c r="J2" s="30">
        <v>5.5E-2</v>
      </c>
      <c r="K2" s="30">
        <v>7.7249999999999999E-2</v>
      </c>
    </row>
    <row r="3" spans="1:11">
      <c r="B3" s="28" t="s">
        <v>99</v>
      </c>
      <c r="C3" s="31">
        <f>'1.ลดดอกเบี้ย'!F11</f>
        <v>0</v>
      </c>
      <c r="D3" s="24">
        <v>12</v>
      </c>
      <c r="E3" s="32">
        <f>C3*D3</f>
        <v>0</v>
      </c>
      <c r="G3" t="s">
        <v>100</v>
      </c>
      <c r="H3" s="30">
        <v>5.7000000000000002E-2</v>
      </c>
      <c r="I3" s="30">
        <v>5.7000000000000002E-2</v>
      </c>
      <c r="J3" s="30">
        <v>5.7000000000000002E-2</v>
      </c>
      <c r="K3" s="30">
        <v>7.7249999999999999E-2</v>
      </c>
    </row>
    <row r="4" spans="1:11">
      <c r="B4" s="28" t="s">
        <v>101</v>
      </c>
      <c r="C4" s="31">
        <f>'1.ลดดอกเบี้ย'!F12</f>
        <v>0</v>
      </c>
      <c r="D4" s="24">
        <v>12</v>
      </c>
      <c r="E4" s="32">
        <f t="shared" ref="E4:E6" si="0">C4*D4</f>
        <v>0</v>
      </c>
    </row>
    <row r="5" spans="1:11">
      <c r="B5" s="28" t="s">
        <v>102</v>
      </c>
      <c r="C5" s="31">
        <f>'1.ลดดอกเบี้ย'!F13</f>
        <v>0</v>
      </c>
      <c r="D5" s="24">
        <v>12</v>
      </c>
      <c r="E5" s="32">
        <f t="shared" si="0"/>
        <v>0</v>
      </c>
    </row>
    <row r="6" spans="1:11">
      <c r="B6" s="28" t="s">
        <v>103</v>
      </c>
      <c r="C6" s="31">
        <f>'1.ลดดอกเบี้ย'!F14</f>
        <v>0</v>
      </c>
      <c r="D6" s="24">
        <f>(C2*12)-SUM(D3:D5)</f>
        <v>-36</v>
      </c>
      <c r="E6" s="32">
        <f t="shared" si="0"/>
        <v>0</v>
      </c>
    </row>
    <row r="7" spans="1:11">
      <c r="B7" s="33"/>
      <c r="C7" s="34"/>
      <c r="D7" s="35"/>
      <c r="E7" s="36" t="e">
        <f>SUM(E3:E6)/(C2*12)</f>
        <v>#DIV/0!</v>
      </c>
    </row>
    <row r="8" spans="1:11" ht="15.75" thickBot="1">
      <c r="B8" s="37"/>
      <c r="C8" s="38"/>
    </row>
    <row r="9" spans="1:11" ht="15.75" thickBot="1">
      <c r="B9" s="39" t="s">
        <v>104</v>
      </c>
      <c r="C9" s="40" t="e">
        <f>E7+0.75%</f>
        <v>#DIV/0!</v>
      </c>
      <c r="D9" s="41" t="s">
        <v>105</v>
      </c>
      <c r="E9" s="42" cm="1">
        <f t="array" aca="1" ref="E9" ca="1">CELL("row",INDEX(C14:C493,MATCH(MIN(C14:C493),C14:C493,0)))-ROW(C14)+1</f>
        <v>1</v>
      </c>
      <c r="I9" s="43" t="s">
        <v>106</v>
      </c>
    </row>
    <row r="10" spans="1:11">
      <c r="B10" s="37" t="s">
        <v>107</v>
      </c>
      <c r="C10" s="44">
        <f>IFERROR(ROUNDUP(PMT(C9/12,C2*12,-C1),-1),0)</f>
        <v>0</v>
      </c>
      <c r="I10" s="45">
        <v>2.8000000000000001E-2</v>
      </c>
    </row>
    <row r="11" spans="1:11" ht="12.75" customHeight="1"/>
    <row r="12" spans="1:11" s="47" customFormat="1">
      <c r="A12" s="46" t="s">
        <v>108</v>
      </c>
      <c r="B12" s="46" t="s">
        <v>109</v>
      </c>
      <c r="C12" s="46" t="s">
        <v>110</v>
      </c>
      <c r="D12" s="46" t="s">
        <v>111</v>
      </c>
      <c r="E12" s="46" t="s">
        <v>112</v>
      </c>
      <c r="F12" s="46" t="s">
        <v>113</v>
      </c>
      <c r="G12" s="46" t="s">
        <v>114</v>
      </c>
      <c r="H12" s="46" t="s">
        <v>115</v>
      </c>
      <c r="I12" s="46" t="s">
        <v>0</v>
      </c>
    </row>
    <row r="13" spans="1:11" s="47" customFormat="1">
      <c r="A13" s="48"/>
      <c r="B13" s="48"/>
      <c r="C13" s="48"/>
      <c r="D13" s="49">
        <f>-C14</f>
        <v>0</v>
      </c>
      <c r="E13" s="48"/>
      <c r="F13" s="48"/>
      <c r="G13" s="48"/>
      <c r="H13" s="48"/>
      <c r="I13" s="48"/>
    </row>
    <row r="14" spans="1:11" ht="17.25" customHeight="1">
      <c r="A14" s="47">
        <v>1</v>
      </c>
      <c r="B14" s="50">
        <f>$C$3</f>
        <v>0</v>
      </c>
      <c r="C14" s="51">
        <f>C1</f>
        <v>0</v>
      </c>
      <c r="D14" s="51">
        <f t="shared" ref="D14:D77" si="1">IF(C14+E14&gt;$C$10,$C$10,C14+E14)</f>
        <v>0</v>
      </c>
      <c r="E14" s="51">
        <f>C14*(B14/12)</f>
        <v>0</v>
      </c>
      <c r="F14" s="51">
        <f>IF(C14&lt;$C$10,C14,D14-E14)</f>
        <v>0</v>
      </c>
      <c r="G14" s="51">
        <f t="shared" ref="G14:G77" si="2">C14-F14</f>
        <v>0</v>
      </c>
      <c r="H14" s="52" t="e">
        <f>G14/$C$1</f>
        <v>#DIV/0!</v>
      </c>
      <c r="I14" s="51">
        <f>C14*$I$10/12</f>
        <v>0</v>
      </c>
    </row>
    <row r="15" spans="1:11">
      <c r="A15" s="47">
        <v>2</v>
      </c>
      <c r="B15" s="50">
        <f t="shared" ref="B15:B25" si="3">$C$3</f>
        <v>0</v>
      </c>
      <c r="C15" s="51">
        <f>G14</f>
        <v>0</v>
      </c>
      <c r="D15" s="51">
        <f t="shared" si="1"/>
        <v>0</v>
      </c>
      <c r="E15" s="51">
        <f t="shared" ref="E15:E78" si="4">C15*(B15/12)</f>
        <v>0</v>
      </c>
      <c r="F15" s="51">
        <f t="shared" ref="F15:F78" si="5">IF(C15&lt;$C$10,C15,D15-E15)</f>
        <v>0</v>
      </c>
      <c r="G15" s="51">
        <f t="shared" si="2"/>
        <v>0</v>
      </c>
      <c r="H15" s="52" t="e">
        <f t="shared" ref="H15:H78" si="6">G15/$C$1</f>
        <v>#DIV/0!</v>
      </c>
      <c r="I15" s="51">
        <f t="shared" ref="I15:I78" si="7">C15*$I$10/12</f>
        <v>0</v>
      </c>
    </row>
    <row r="16" spans="1:11">
      <c r="A16" s="47">
        <v>3</v>
      </c>
      <c r="B16" s="50">
        <f t="shared" si="3"/>
        <v>0</v>
      </c>
      <c r="C16" s="51">
        <f t="shared" ref="C16:C79" si="8">G15</f>
        <v>0</v>
      </c>
      <c r="D16" s="51">
        <f t="shared" si="1"/>
        <v>0</v>
      </c>
      <c r="E16" s="51">
        <f>C16*(B16/12)</f>
        <v>0</v>
      </c>
      <c r="F16" s="51">
        <f t="shared" si="5"/>
        <v>0</v>
      </c>
      <c r="G16" s="51">
        <f t="shared" si="2"/>
        <v>0</v>
      </c>
      <c r="H16" s="52" t="e">
        <f t="shared" si="6"/>
        <v>#DIV/0!</v>
      </c>
      <c r="I16" s="51">
        <f t="shared" si="7"/>
        <v>0</v>
      </c>
    </row>
    <row r="17" spans="1:10">
      <c r="A17" s="47">
        <v>4</v>
      </c>
      <c r="B17" s="50">
        <f t="shared" si="3"/>
        <v>0</v>
      </c>
      <c r="C17" s="51">
        <f t="shared" si="8"/>
        <v>0</v>
      </c>
      <c r="D17" s="51">
        <f t="shared" si="1"/>
        <v>0</v>
      </c>
      <c r="E17" s="51">
        <f t="shared" si="4"/>
        <v>0</v>
      </c>
      <c r="F17" s="51">
        <f t="shared" si="5"/>
        <v>0</v>
      </c>
      <c r="G17" s="51">
        <f t="shared" si="2"/>
        <v>0</v>
      </c>
      <c r="H17" s="52" t="e">
        <f t="shared" si="6"/>
        <v>#DIV/0!</v>
      </c>
      <c r="I17" s="51">
        <f t="shared" si="7"/>
        <v>0</v>
      </c>
    </row>
    <row r="18" spans="1:10">
      <c r="A18" s="47">
        <v>5</v>
      </c>
      <c r="B18" s="50">
        <f t="shared" si="3"/>
        <v>0</v>
      </c>
      <c r="C18" s="51">
        <f t="shared" si="8"/>
        <v>0</v>
      </c>
      <c r="D18" s="51">
        <f t="shared" si="1"/>
        <v>0</v>
      </c>
      <c r="E18" s="51">
        <f t="shared" si="4"/>
        <v>0</v>
      </c>
      <c r="F18" s="51">
        <f t="shared" si="5"/>
        <v>0</v>
      </c>
      <c r="G18" s="51">
        <f t="shared" si="2"/>
        <v>0</v>
      </c>
      <c r="H18" s="52" t="e">
        <f t="shared" si="6"/>
        <v>#DIV/0!</v>
      </c>
      <c r="I18" s="51">
        <f t="shared" si="7"/>
        <v>0</v>
      </c>
    </row>
    <row r="19" spans="1:10">
      <c r="A19" s="47">
        <v>6</v>
      </c>
      <c r="B19" s="50">
        <f t="shared" si="3"/>
        <v>0</v>
      </c>
      <c r="C19" s="51">
        <f t="shared" si="8"/>
        <v>0</v>
      </c>
      <c r="D19" s="51">
        <f t="shared" si="1"/>
        <v>0</v>
      </c>
      <c r="E19" s="51">
        <f t="shared" si="4"/>
        <v>0</v>
      </c>
      <c r="F19" s="51">
        <f t="shared" si="5"/>
        <v>0</v>
      </c>
      <c r="G19" s="51">
        <f t="shared" si="2"/>
        <v>0</v>
      </c>
      <c r="H19" s="52" t="e">
        <f t="shared" si="6"/>
        <v>#DIV/0!</v>
      </c>
      <c r="I19" s="51">
        <f t="shared" si="7"/>
        <v>0</v>
      </c>
    </row>
    <row r="20" spans="1:10">
      <c r="A20" s="47">
        <v>7</v>
      </c>
      <c r="B20" s="50">
        <f t="shared" si="3"/>
        <v>0</v>
      </c>
      <c r="C20" s="51">
        <f t="shared" si="8"/>
        <v>0</v>
      </c>
      <c r="D20" s="51">
        <f t="shared" si="1"/>
        <v>0</v>
      </c>
      <c r="E20" s="51">
        <f t="shared" si="4"/>
        <v>0</v>
      </c>
      <c r="F20" s="51">
        <f t="shared" si="5"/>
        <v>0</v>
      </c>
      <c r="G20" s="51">
        <f t="shared" si="2"/>
        <v>0</v>
      </c>
      <c r="H20" s="52" t="e">
        <f t="shared" si="6"/>
        <v>#DIV/0!</v>
      </c>
      <c r="I20" s="51">
        <f t="shared" si="7"/>
        <v>0</v>
      </c>
    </row>
    <row r="21" spans="1:10">
      <c r="A21" s="47">
        <v>8</v>
      </c>
      <c r="B21" s="50">
        <f t="shared" si="3"/>
        <v>0</v>
      </c>
      <c r="C21" s="51">
        <f t="shared" si="8"/>
        <v>0</v>
      </c>
      <c r="D21" s="51">
        <f t="shared" si="1"/>
        <v>0</v>
      </c>
      <c r="E21" s="51">
        <f t="shared" si="4"/>
        <v>0</v>
      </c>
      <c r="F21" s="51">
        <f t="shared" si="5"/>
        <v>0</v>
      </c>
      <c r="G21" s="51">
        <f t="shared" si="2"/>
        <v>0</v>
      </c>
      <c r="H21" s="52" t="e">
        <f t="shared" si="6"/>
        <v>#DIV/0!</v>
      </c>
      <c r="I21" s="51">
        <f t="shared" si="7"/>
        <v>0</v>
      </c>
    </row>
    <row r="22" spans="1:10">
      <c r="A22" s="47">
        <v>9</v>
      </c>
      <c r="B22" s="50">
        <f t="shared" si="3"/>
        <v>0</v>
      </c>
      <c r="C22" s="51">
        <f t="shared" si="8"/>
        <v>0</v>
      </c>
      <c r="D22" s="51">
        <f t="shared" si="1"/>
        <v>0</v>
      </c>
      <c r="E22" s="51">
        <f t="shared" si="4"/>
        <v>0</v>
      </c>
      <c r="F22" s="51">
        <f t="shared" si="5"/>
        <v>0</v>
      </c>
      <c r="G22" s="51">
        <f t="shared" si="2"/>
        <v>0</v>
      </c>
      <c r="H22" s="52" t="e">
        <f t="shared" si="6"/>
        <v>#DIV/0!</v>
      </c>
      <c r="I22" s="51">
        <f t="shared" si="7"/>
        <v>0</v>
      </c>
    </row>
    <row r="23" spans="1:10">
      <c r="A23" s="47">
        <v>10</v>
      </c>
      <c r="B23" s="50">
        <f t="shared" si="3"/>
        <v>0</v>
      </c>
      <c r="C23" s="51">
        <f t="shared" si="8"/>
        <v>0</v>
      </c>
      <c r="D23" s="51">
        <f t="shared" si="1"/>
        <v>0</v>
      </c>
      <c r="E23" s="51">
        <f t="shared" si="4"/>
        <v>0</v>
      </c>
      <c r="F23" s="51">
        <f t="shared" si="5"/>
        <v>0</v>
      </c>
      <c r="G23" s="51">
        <f t="shared" si="2"/>
        <v>0</v>
      </c>
      <c r="H23" s="52" t="e">
        <f t="shared" si="6"/>
        <v>#DIV/0!</v>
      </c>
      <c r="I23" s="51">
        <f t="shared" si="7"/>
        <v>0</v>
      </c>
    </row>
    <row r="24" spans="1:10">
      <c r="A24" s="47">
        <v>11</v>
      </c>
      <c r="B24" s="50">
        <f t="shared" si="3"/>
        <v>0</v>
      </c>
      <c r="C24" s="51">
        <f t="shared" si="8"/>
        <v>0</v>
      </c>
      <c r="D24" s="51">
        <f t="shared" si="1"/>
        <v>0</v>
      </c>
      <c r="E24" s="51">
        <f t="shared" si="4"/>
        <v>0</v>
      </c>
      <c r="F24" s="51">
        <f t="shared" si="5"/>
        <v>0</v>
      </c>
      <c r="G24" s="51">
        <f t="shared" si="2"/>
        <v>0</v>
      </c>
      <c r="H24" s="52" t="e">
        <f t="shared" si="6"/>
        <v>#DIV/0!</v>
      </c>
      <c r="I24" s="51">
        <f t="shared" si="7"/>
        <v>0</v>
      </c>
    </row>
    <row r="25" spans="1:10">
      <c r="A25" s="53">
        <v>12</v>
      </c>
      <c r="B25" s="54">
        <f t="shared" si="3"/>
        <v>0</v>
      </c>
      <c r="C25" s="55">
        <f t="shared" si="8"/>
        <v>0</v>
      </c>
      <c r="D25" s="55">
        <f t="shared" si="1"/>
        <v>0</v>
      </c>
      <c r="E25" s="55">
        <f t="shared" si="4"/>
        <v>0</v>
      </c>
      <c r="F25" s="55">
        <f t="shared" si="5"/>
        <v>0</v>
      </c>
      <c r="G25" s="55">
        <f t="shared" si="2"/>
        <v>0</v>
      </c>
      <c r="H25" s="56" t="e">
        <f t="shared" si="6"/>
        <v>#DIV/0!</v>
      </c>
      <c r="I25" s="55">
        <f t="shared" si="7"/>
        <v>0</v>
      </c>
      <c r="J25" s="57"/>
    </row>
    <row r="26" spans="1:10">
      <c r="A26" s="47">
        <v>13</v>
      </c>
      <c r="B26" s="50">
        <f>$C$4</f>
        <v>0</v>
      </c>
      <c r="C26" s="51">
        <f t="shared" si="8"/>
        <v>0</v>
      </c>
      <c r="D26" s="51">
        <f t="shared" si="1"/>
        <v>0</v>
      </c>
      <c r="E26" s="51">
        <f t="shared" si="4"/>
        <v>0</v>
      </c>
      <c r="F26" s="51">
        <f t="shared" si="5"/>
        <v>0</v>
      </c>
      <c r="G26" s="51">
        <f t="shared" si="2"/>
        <v>0</v>
      </c>
      <c r="H26" s="52" t="e">
        <f t="shared" si="6"/>
        <v>#DIV/0!</v>
      </c>
      <c r="I26" s="51">
        <f t="shared" si="7"/>
        <v>0</v>
      </c>
    </row>
    <row r="27" spans="1:10">
      <c r="A27" s="47">
        <v>14</v>
      </c>
      <c r="B27" s="50">
        <f t="shared" ref="B27:B37" si="9">$C$4</f>
        <v>0</v>
      </c>
      <c r="C27" s="51">
        <f t="shared" si="8"/>
        <v>0</v>
      </c>
      <c r="D27" s="51">
        <f t="shared" si="1"/>
        <v>0</v>
      </c>
      <c r="E27" s="51">
        <f t="shared" si="4"/>
        <v>0</v>
      </c>
      <c r="F27" s="51">
        <f t="shared" si="5"/>
        <v>0</v>
      </c>
      <c r="G27" s="51">
        <f t="shared" si="2"/>
        <v>0</v>
      </c>
      <c r="H27" s="52" t="e">
        <f t="shared" si="6"/>
        <v>#DIV/0!</v>
      </c>
      <c r="I27" s="51">
        <f t="shared" si="7"/>
        <v>0</v>
      </c>
    </row>
    <row r="28" spans="1:10">
      <c r="A28" s="47">
        <v>15</v>
      </c>
      <c r="B28" s="50">
        <f t="shared" si="9"/>
        <v>0</v>
      </c>
      <c r="C28" s="51">
        <f t="shared" si="8"/>
        <v>0</v>
      </c>
      <c r="D28" s="51">
        <f t="shared" si="1"/>
        <v>0</v>
      </c>
      <c r="E28" s="51">
        <f t="shared" si="4"/>
        <v>0</v>
      </c>
      <c r="F28" s="51">
        <f t="shared" si="5"/>
        <v>0</v>
      </c>
      <c r="G28" s="51">
        <f t="shared" si="2"/>
        <v>0</v>
      </c>
      <c r="H28" s="52" t="e">
        <f t="shared" si="6"/>
        <v>#DIV/0!</v>
      </c>
      <c r="I28" s="51">
        <f t="shared" si="7"/>
        <v>0</v>
      </c>
    </row>
    <row r="29" spans="1:10">
      <c r="A29" s="47">
        <v>16</v>
      </c>
      <c r="B29" s="50">
        <f t="shared" si="9"/>
        <v>0</v>
      </c>
      <c r="C29" s="51">
        <f t="shared" si="8"/>
        <v>0</v>
      </c>
      <c r="D29" s="51">
        <f t="shared" si="1"/>
        <v>0</v>
      </c>
      <c r="E29" s="51">
        <f t="shared" si="4"/>
        <v>0</v>
      </c>
      <c r="F29" s="51">
        <f t="shared" si="5"/>
        <v>0</v>
      </c>
      <c r="G29" s="51">
        <f t="shared" si="2"/>
        <v>0</v>
      </c>
      <c r="H29" s="52" t="e">
        <f t="shared" si="6"/>
        <v>#DIV/0!</v>
      </c>
      <c r="I29" s="51">
        <f t="shared" si="7"/>
        <v>0</v>
      </c>
    </row>
    <row r="30" spans="1:10">
      <c r="A30" s="47">
        <v>17</v>
      </c>
      <c r="B30" s="50">
        <f t="shared" si="9"/>
        <v>0</v>
      </c>
      <c r="C30" s="51">
        <f t="shared" si="8"/>
        <v>0</v>
      </c>
      <c r="D30" s="51">
        <f t="shared" si="1"/>
        <v>0</v>
      </c>
      <c r="E30" s="51">
        <f t="shared" si="4"/>
        <v>0</v>
      </c>
      <c r="F30" s="51">
        <f t="shared" si="5"/>
        <v>0</v>
      </c>
      <c r="G30" s="51">
        <f t="shared" si="2"/>
        <v>0</v>
      </c>
      <c r="H30" s="52" t="e">
        <f t="shared" si="6"/>
        <v>#DIV/0!</v>
      </c>
      <c r="I30" s="51">
        <f t="shared" si="7"/>
        <v>0</v>
      </c>
    </row>
    <row r="31" spans="1:10">
      <c r="A31" s="47">
        <v>18</v>
      </c>
      <c r="B31" s="50">
        <f t="shared" si="9"/>
        <v>0</v>
      </c>
      <c r="C31" s="51">
        <f t="shared" si="8"/>
        <v>0</v>
      </c>
      <c r="D31" s="51">
        <f t="shared" si="1"/>
        <v>0</v>
      </c>
      <c r="E31" s="51">
        <f t="shared" si="4"/>
        <v>0</v>
      </c>
      <c r="F31" s="51">
        <f t="shared" si="5"/>
        <v>0</v>
      </c>
      <c r="G31" s="51">
        <f t="shared" si="2"/>
        <v>0</v>
      </c>
      <c r="H31" s="52" t="e">
        <f t="shared" si="6"/>
        <v>#DIV/0!</v>
      </c>
      <c r="I31" s="51">
        <f t="shared" si="7"/>
        <v>0</v>
      </c>
    </row>
    <row r="32" spans="1:10">
      <c r="A32" s="47">
        <v>19</v>
      </c>
      <c r="B32" s="50">
        <f t="shared" si="9"/>
        <v>0</v>
      </c>
      <c r="C32" s="51">
        <f t="shared" si="8"/>
        <v>0</v>
      </c>
      <c r="D32" s="51">
        <f t="shared" si="1"/>
        <v>0</v>
      </c>
      <c r="E32" s="51">
        <f t="shared" si="4"/>
        <v>0</v>
      </c>
      <c r="F32" s="51">
        <f t="shared" si="5"/>
        <v>0</v>
      </c>
      <c r="G32" s="51">
        <f t="shared" si="2"/>
        <v>0</v>
      </c>
      <c r="H32" s="52" t="e">
        <f t="shared" si="6"/>
        <v>#DIV/0!</v>
      </c>
      <c r="I32" s="51">
        <f t="shared" si="7"/>
        <v>0</v>
      </c>
    </row>
    <row r="33" spans="1:10">
      <c r="A33" s="47">
        <v>20</v>
      </c>
      <c r="B33" s="50">
        <f t="shared" si="9"/>
        <v>0</v>
      </c>
      <c r="C33" s="51">
        <f t="shared" si="8"/>
        <v>0</v>
      </c>
      <c r="D33" s="51">
        <f t="shared" si="1"/>
        <v>0</v>
      </c>
      <c r="E33" s="51">
        <f t="shared" si="4"/>
        <v>0</v>
      </c>
      <c r="F33" s="51">
        <f t="shared" si="5"/>
        <v>0</v>
      </c>
      <c r="G33" s="51">
        <f t="shared" si="2"/>
        <v>0</v>
      </c>
      <c r="H33" s="52" t="e">
        <f t="shared" si="6"/>
        <v>#DIV/0!</v>
      </c>
      <c r="I33" s="51">
        <f t="shared" si="7"/>
        <v>0</v>
      </c>
    </row>
    <row r="34" spans="1:10">
      <c r="A34" s="47">
        <v>21</v>
      </c>
      <c r="B34" s="50">
        <f t="shared" si="9"/>
        <v>0</v>
      </c>
      <c r="C34" s="51">
        <f t="shared" si="8"/>
        <v>0</v>
      </c>
      <c r="D34" s="51">
        <f t="shared" si="1"/>
        <v>0</v>
      </c>
      <c r="E34" s="51">
        <f t="shared" si="4"/>
        <v>0</v>
      </c>
      <c r="F34" s="51">
        <f t="shared" si="5"/>
        <v>0</v>
      </c>
      <c r="G34" s="51">
        <f t="shared" si="2"/>
        <v>0</v>
      </c>
      <c r="H34" s="52" t="e">
        <f t="shared" si="6"/>
        <v>#DIV/0!</v>
      </c>
      <c r="I34" s="51">
        <f t="shared" si="7"/>
        <v>0</v>
      </c>
    </row>
    <row r="35" spans="1:10">
      <c r="A35" s="47">
        <v>22</v>
      </c>
      <c r="B35" s="50">
        <f t="shared" si="9"/>
        <v>0</v>
      </c>
      <c r="C35" s="51">
        <f t="shared" si="8"/>
        <v>0</v>
      </c>
      <c r="D35" s="51">
        <f t="shared" si="1"/>
        <v>0</v>
      </c>
      <c r="E35" s="51">
        <f t="shared" si="4"/>
        <v>0</v>
      </c>
      <c r="F35" s="51">
        <f t="shared" si="5"/>
        <v>0</v>
      </c>
      <c r="G35" s="51">
        <f t="shared" si="2"/>
        <v>0</v>
      </c>
      <c r="H35" s="52" t="e">
        <f t="shared" si="6"/>
        <v>#DIV/0!</v>
      </c>
      <c r="I35" s="51">
        <f t="shared" si="7"/>
        <v>0</v>
      </c>
    </row>
    <row r="36" spans="1:10">
      <c r="A36" s="47">
        <v>23</v>
      </c>
      <c r="B36" s="50">
        <f t="shared" si="9"/>
        <v>0</v>
      </c>
      <c r="C36" s="51">
        <f t="shared" si="8"/>
        <v>0</v>
      </c>
      <c r="D36" s="51">
        <f t="shared" si="1"/>
        <v>0</v>
      </c>
      <c r="E36" s="51">
        <f t="shared" si="4"/>
        <v>0</v>
      </c>
      <c r="F36" s="51">
        <f t="shared" si="5"/>
        <v>0</v>
      </c>
      <c r="G36" s="51">
        <f t="shared" si="2"/>
        <v>0</v>
      </c>
      <c r="H36" s="52" t="e">
        <f t="shared" si="6"/>
        <v>#DIV/0!</v>
      </c>
      <c r="I36" s="51">
        <f t="shared" si="7"/>
        <v>0</v>
      </c>
    </row>
    <row r="37" spans="1:10">
      <c r="A37" s="53">
        <v>24</v>
      </c>
      <c r="B37" s="54">
        <f t="shared" si="9"/>
        <v>0</v>
      </c>
      <c r="C37" s="55">
        <f t="shared" si="8"/>
        <v>0</v>
      </c>
      <c r="D37" s="55">
        <f t="shared" si="1"/>
        <v>0</v>
      </c>
      <c r="E37" s="55">
        <f t="shared" si="4"/>
        <v>0</v>
      </c>
      <c r="F37" s="55">
        <f t="shared" si="5"/>
        <v>0</v>
      </c>
      <c r="G37" s="55">
        <f t="shared" si="2"/>
        <v>0</v>
      </c>
      <c r="H37" s="56" t="e">
        <f t="shared" si="6"/>
        <v>#DIV/0!</v>
      </c>
      <c r="I37" s="55">
        <f t="shared" si="7"/>
        <v>0</v>
      </c>
      <c r="J37" s="57"/>
    </row>
    <row r="38" spans="1:10">
      <c r="A38" s="47">
        <v>25</v>
      </c>
      <c r="B38" s="50">
        <f>$C$5</f>
        <v>0</v>
      </c>
      <c r="C38" s="51">
        <f t="shared" si="8"/>
        <v>0</v>
      </c>
      <c r="D38" s="51">
        <f t="shared" si="1"/>
        <v>0</v>
      </c>
      <c r="E38" s="51">
        <f t="shared" si="4"/>
        <v>0</v>
      </c>
      <c r="F38" s="51">
        <f t="shared" si="5"/>
        <v>0</v>
      </c>
      <c r="G38" s="51">
        <f t="shared" si="2"/>
        <v>0</v>
      </c>
      <c r="H38" s="52" t="e">
        <f t="shared" si="6"/>
        <v>#DIV/0!</v>
      </c>
      <c r="I38" s="51">
        <f t="shared" si="7"/>
        <v>0</v>
      </c>
    </row>
    <row r="39" spans="1:10">
      <c r="A39" s="47">
        <v>26</v>
      </c>
      <c r="B39" s="50">
        <f t="shared" ref="B39:B49" si="10">$C$5</f>
        <v>0</v>
      </c>
      <c r="C39" s="51">
        <f t="shared" si="8"/>
        <v>0</v>
      </c>
      <c r="D39" s="51">
        <f t="shared" si="1"/>
        <v>0</v>
      </c>
      <c r="E39" s="51">
        <f t="shared" si="4"/>
        <v>0</v>
      </c>
      <c r="F39" s="51">
        <f t="shared" si="5"/>
        <v>0</v>
      </c>
      <c r="G39" s="51">
        <f t="shared" si="2"/>
        <v>0</v>
      </c>
      <c r="H39" s="52" t="e">
        <f t="shared" si="6"/>
        <v>#DIV/0!</v>
      </c>
      <c r="I39" s="51">
        <f t="shared" si="7"/>
        <v>0</v>
      </c>
    </row>
    <row r="40" spans="1:10">
      <c r="A40" s="47">
        <v>27</v>
      </c>
      <c r="B40" s="50">
        <f t="shared" si="10"/>
        <v>0</v>
      </c>
      <c r="C40" s="51">
        <f t="shared" si="8"/>
        <v>0</v>
      </c>
      <c r="D40" s="51">
        <f t="shared" si="1"/>
        <v>0</v>
      </c>
      <c r="E40" s="51">
        <f t="shared" si="4"/>
        <v>0</v>
      </c>
      <c r="F40" s="51">
        <f t="shared" si="5"/>
        <v>0</v>
      </c>
      <c r="G40" s="51">
        <f t="shared" si="2"/>
        <v>0</v>
      </c>
      <c r="H40" s="52" t="e">
        <f t="shared" si="6"/>
        <v>#DIV/0!</v>
      </c>
      <c r="I40" s="51">
        <f t="shared" si="7"/>
        <v>0</v>
      </c>
    </row>
    <row r="41" spans="1:10">
      <c r="A41" s="47">
        <v>28</v>
      </c>
      <c r="B41" s="50">
        <f t="shared" si="10"/>
        <v>0</v>
      </c>
      <c r="C41" s="51">
        <f t="shared" si="8"/>
        <v>0</v>
      </c>
      <c r="D41" s="51">
        <f t="shared" si="1"/>
        <v>0</v>
      </c>
      <c r="E41" s="51">
        <f t="shared" si="4"/>
        <v>0</v>
      </c>
      <c r="F41" s="51">
        <f t="shared" si="5"/>
        <v>0</v>
      </c>
      <c r="G41" s="51">
        <f t="shared" si="2"/>
        <v>0</v>
      </c>
      <c r="H41" s="52" t="e">
        <f t="shared" si="6"/>
        <v>#DIV/0!</v>
      </c>
      <c r="I41" s="51">
        <f t="shared" si="7"/>
        <v>0</v>
      </c>
    </row>
    <row r="42" spans="1:10">
      <c r="A42" s="47">
        <v>29</v>
      </c>
      <c r="B42" s="50">
        <f t="shared" si="10"/>
        <v>0</v>
      </c>
      <c r="C42" s="51">
        <f t="shared" si="8"/>
        <v>0</v>
      </c>
      <c r="D42" s="51">
        <f t="shared" si="1"/>
        <v>0</v>
      </c>
      <c r="E42" s="51">
        <f t="shared" si="4"/>
        <v>0</v>
      </c>
      <c r="F42" s="51">
        <f t="shared" si="5"/>
        <v>0</v>
      </c>
      <c r="G42" s="51">
        <f t="shared" si="2"/>
        <v>0</v>
      </c>
      <c r="H42" s="52" t="e">
        <f t="shared" si="6"/>
        <v>#DIV/0!</v>
      </c>
      <c r="I42" s="51">
        <f t="shared" si="7"/>
        <v>0</v>
      </c>
    </row>
    <row r="43" spans="1:10">
      <c r="A43" s="47">
        <v>30</v>
      </c>
      <c r="B43" s="50">
        <f t="shared" si="10"/>
        <v>0</v>
      </c>
      <c r="C43" s="51">
        <f t="shared" si="8"/>
        <v>0</v>
      </c>
      <c r="D43" s="51">
        <f t="shared" si="1"/>
        <v>0</v>
      </c>
      <c r="E43" s="51">
        <f t="shared" si="4"/>
        <v>0</v>
      </c>
      <c r="F43" s="51">
        <f t="shared" si="5"/>
        <v>0</v>
      </c>
      <c r="G43" s="51">
        <f t="shared" si="2"/>
        <v>0</v>
      </c>
      <c r="H43" s="52" t="e">
        <f t="shared" si="6"/>
        <v>#DIV/0!</v>
      </c>
      <c r="I43" s="51">
        <f t="shared" si="7"/>
        <v>0</v>
      </c>
    </row>
    <row r="44" spans="1:10">
      <c r="A44" s="47">
        <v>31</v>
      </c>
      <c r="B44" s="50">
        <f t="shared" si="10"/>
        <v>0</v>
      </c>
      <c r="C44" s="51">
        <f t="shared" si="8"/>
        <v>0</v>
      </c>
      <c r="D44" s="51">
        <f t="shared" si="1"/>
        <v>0</v>
      </c>
      <c r="E44" s="51">
        <f t="shared" si="4"/>
        <v>0</v>
      </c>
      <c r="F44" s="51">
        <f t="shared" si="5"/>
        <v>0</v>
      </c>
      <c r="G44" s="51">
        <f t="shared" si="2"/>
        <v>0</v>
      </c>
      <c r="H44" s="52" t="e">
        <f t="shared" si="6"/>
        <v>#DIV/0!</v>
      </c>
      <c r="I44" s="51">
        <f t="shared" si="7"/>
        <v>0</v>
      </c>
    </row>
    <row r="45" spans="1:10">
      <c r="A45" s="47">
        <v>32</v>
      </c>
      <c r="B45" s="50">
        <f t="shared" si="10"/>
        <v>0</v>
      </c>
      <c r="C45" s="51">
        <f t="shared" si="8"/>
        <v>0</v>
      </c>
      <c r="D45" s="51">
        <f t="shared" si="1"/>
        <v>0</v>
      </c>
      <c r="E45" s="51">
        <f t="shared" si="4"/>
        <v>0</v>
      </c>
      <c r="F45" s="51">
        <f t="shared" si="5"/>
        <v>0</v>
      </c>
      <c r="G45" s="51">
        <f t="shared" si="2"/>
        <v>0</v>
      </c>
      <c r="H45" s="52" t="e">
        <f t="shared" si="6"/>
        <v>#DIV/0!</v>
      </c>
      <c r="I45" s="51">
        <f t="shared" si="7"/>
        <v>0</v>
      </c>
    </row>
    <row r="46" spans="1:10">
      <c r="A46" s="47">
        <v>33</v>
      </c>
      <c r="B46" s="50">
        <f t="shared" si="10"/>
        <v>0</v>
      </c>
      <c r="C46" s="51">
        <f t="shared" si="8"/>
        <v>0</v>
      </c>
      <c r="D46" s="51">
        <f t="shared" si="1"/>
        <v>0</v>
      </c>
      <c r="E46" s="51">
        <f t="shared" si="4"/>
        <v>0</v>
      </c>
      <c r="F46" s="51">
        <f t="shared" si="5"/>
        <v>0</v>
      </c>
      <c r="G46" s="51">
        <f t="shared" si="2"/>
        <v>0</v>
      </c>
      <c r="H46" s="52" t="e">
        <f t="shared" si="6"/>
        <v>#DIV/0!</v>
      </c>
      <c r="I46" s="51">
        <f t="shared" si="7"/>
        <v>0</v>
      </c>
    </row>
    <row r="47" spans="1:10">
      <c r="A47" s="47">
        <v>34</v>
      </c>
      <c r="B47" s="50">
        <f t="shared" si="10"/>
        <v>0</v>
      </c>
      <c r="C47" s="51">
        <f t="shared" si="8"/>
        <v>0</v>
      </c>
      <c r="D47" s="51">
        <f t="shared" si="1"/>
        <v>0</v>
      </c>
      <c r="E47" s="51">
        <f t="shared" si="4"/>
        <v>0</v>
      </c>
      <c r="F47" s="51">
        <f t="shared" si="5"/>
        <v>0</v>
      </c>
      <c r="G47" s="51">
        <f t="shared" si="2"/>
        <v>0</v>
      </c>
      <c r="H47" s="52" t="e">
        <f t="shared" si="6"/>
        <v>#DIV/0!</v>
      </c>
      <c r="I47" s="51">
        <f t="shared" si="7"/>
        <v>0</v>
      </c>
    </row>
    <row r="48" spans="1:10">
      <c r="A48" s="47">
        <v>35</v>
      </c>
      <c r="B48" s="50">
        <f t="shared" si="10"/>
        <v>0</v>
      </c>
      <c r="C48" s="51">
        <f t="shared" si="8"/>
        <v>0</v>
      </c>
      <c r="D48" s="51">
        <f t="shared" si="1"/>
        <v>0</v>
      </c>
      <c r="E48" s="51">
        <f t="shared" si="4"/>
        <v>0</v>
      </c>
      <c r="F48" s="51">
        <f t="shared" si="5"/>
        <v>0</v>
      </c>
      <c r="G48" s="51">
        <f t="shared" si="2"/>
        <v>0</v>
      </c>
      <c r="H48" s="52" t="e">
        <f t="shared" si="6"/>
        <v>#DIV/0!</v>
      </c>
      <c r="I48" s="51">
        <f t="shared" si="7"/>
        <v>0</v>
      </c>
    </row>
    <row r="49" spans="1:10">
      <c r="A49" s="53">
        <v>36</v>
      </c>
      <c r="B49" s="54">
        <f t="shared" si="10"/>
        <v>0</v>
      </c>
      <c r="C49" s="55">
        <f t="shared" si="8"/>
        <v>0</v>
      </c>
      <c r="D49" s="55">
        <f t="shared" si="1"/>
        <v>0</v>
      </c>
      <c r="E49" s="55">
        <f t="shared" si="4"/>
        <v>0</v>
      </c>
      <c r="F49" s="55">
        <f t="shared" si="5"/>
        <v>0</v>
      </c>
      <c r="G49" s="55">
        <f t="shared" si="2"/>
        <v>0</v>
      </c>
      <c r="H49" s="56" t="e">
        <f t="shared" si="6"/>
        <v>#DIV/0!</v>
      </c>
      <c r="I49" s="55">
        <f t="shared" si="7"/>
        <v>0</v>
      </c>
      <c r="J49" s="57"/>
    </row>
    <row r="50" spans="1:10">
      <c r="A50" s="47">
        <v>37</v>
      </c>
      <c r="B50" s="50">
        <f>$C$6</f>
        <v>0</v>
      </c>
      <c r="C50" s="51">
        <f t="shared" si="8"/>
        <v>0</v>
      </c>
      <c r="D50" s="51">
        <f t="shared" si="1"/>
        <v>0</v>
      </c>
      <c r="E50" s="51">
        <f t="shared" si="4"/>
        <v>0</v>
      </c>
      <c r="F50" s="51">
        <f t="shared" si="5"/>
        <v>0</v>
      </c>
      <c r="G50" s="51">
        <f t="shared" si="2"/>
        <v>0</v>
      </c>
      <c r="H50" s="52" t="e">
        <f t="shared" si="6"/>
        <v>#DIV/0!</v>
      </c>
      <c r="I50" s="51">
        <f t="shared" si="7"/>
        <v>0</v>
      </c>
    </row>
    <row r="51" spans="1:10">
      <c r="A51" s="47">
        <v>38</v>
      </c>
      <c r="B51" s="50">
        <f t="shared" ref="B51:B114" si="11">$C$6</f>
        <v>0</v>
      </c>
      <c r="C51" s="51">
        <f t="shared" si="8"/>
        <v>0</v>
      </c>
      <c r="D51" s="51">
        <f t="shared" si="1"/>
        <v>0</v>
      </c>
      <c r="E51" s="51">
        <f t="shared" si="4"/>
        <v>0</v>
      </c>
      <c r="F51" s="51">
        <f t="shared" si="5"/>
        <v>0</v>
      </c>
      <c r="G51" s="51">
        <f t="shared" si="2"/>
        <v>0</v>
      </c>
      <c r="H51" s="52" t="e">
        <f t="shared" si="6"/>
        <v>#DIV/0!</v>
      </c>
      <c r="I51" s="51">
        <f t="shared" si="7"/>
        <v>0</v>
      </c>
    </row>
    <row r="52" spans="1:10">
      <c r="A52" s="47">
        <v>39</v>
      </c>
      <c r="B52" s="50">
        <f t="shared" si="11"/>
        <v>0</v>
      </c>
      <c r="C52" s="51">
        <f t="shared" si="8"/>
        <v>0</v>
      </c>
      <c r="D52" s="51">
        <f t="shared" si="1"/>
        <v>0</v>
      </c>
      <c r="E52" s="51">
        <f t="shared" si="4"/>
        <v>0</v>
      </c>
      <c r="F52" s="51">
        <f t="shared" si="5"/>
        <v>0</v>
      </c>
      <c r="G52" s="51">
        <f t="shared" si="2"/>
        <v>0</v>
      </c>
      <c r="H52" s="52" t="e">
        <f t="shared" si="6"/>
        <v>#DIV/0!</v>
      </c>
      <c r="I52" s="51">
        <f t="shared" si="7"/>
        <v>0</v>
      </c>
    </row>
    <row r="53" spans="1:10">
      <c r="A53" s="47">
        <v>40</v>
      </c>
      <c r="B53" s="50">
        <f t="shared" si="11"/>
        <v>0</v>
      </c>
      <c r="C53" s="51">
        <f t="shared" si="8"/>
        <v>0</v>
      </c>
      <c r="D53" s="51">
        <f t="shared" si="1"/>
        <v>0</v>
      </c>
      <c r="E53" s="51">
        <f t="shared" si="4"/>
        <v>0</v>
      </c>
      <c r="F53" s="51">
        <f t="shared" si="5"/>
        <v>0</v>
      </c>
      <c r="G53" s="51">
        <f t="shared" si="2"/>
        <v>0</v>
      </c>
      <c r="H53" s="52" t="e">
        <f t="shared" si="6"/>
        <v>#DIV/0!</v>
      </c>
      <c r="I53" s="51">
        <f t="shared" si="7"/>
        <v>0</v>
      </c>
    </row>
    <row r="54" spans="1:10">
      <c r="A54" s="47">
        <v>41</v>
      </c>
      <c r="B54" s="50">
        <f t="shared" si="11"/>
        <v>0</v>
      </c>
      <c r="C54" s="51">
        <f t="shared" si="8"/>
        <v>0</v>
      </c>
      <c r="D54" s="51">
        <f t="shared" si="1"/>
        <v>0</v>
      </c>
      <c r="E54" s="51">
        <f t="shared" si="4"/>
        <v>0</v>
      </c>
      <c r="F54" s="51">
        <f t="shared" si="5"/>
        <v>0</v>
      </c>
      <c r="G54" s="51">
        <f t="shared" si="2"/>
        <v>0</v>
      </c>
      <c r="H54" s="52" t="e">
        <f t="shared" si="6"/>
        <v>#DIV/0!</v>
      </c>
      <c r="I54" s="51">
        <f t="shared" si="7"/>
        <v>0</v>
      </c>
    </row>
    <row r="55" spans="1:10">
      <c r="A55" s="47">
        <v>42</v>
      </c>
      <c r="B55" s="50">
        <f t="shared" si="11"/>
        <v>0</v>
      </c>
      <c r="C55" s="51">
        <f t="shared" si="8"/>
        <v>0</v>
      </c>
      <c r="D55" s="51">
        <f t="shared" si="1"/>
        <v>0</v>
      </c>
      <c r="E55" s="51">
        <f t="shared" si="4"/>
        <v>0</v>
      </c>
      <c r="F55" s="51">
        <f t="shared" si="5"/>
        <v>0</v>
      </c>
      <c r="G55" s="51">
        <f t="shared" si="2"/>
        <v>0</v>
      </c>
      <c r="H55" s="52" t="e">
        <f t="shared" si="6"/>
        <v>#DIV/0!</v>
      </c>
      <c r="I55" s="51">
        <f t="shared" si="7"/>
        <v>0</v>
      </c>
    </row>
    <row r="56" spans="1:10">
      <c r="A56" s="47">
        <v>43</v>
      </c>
      <c r="B56" s="50">
        <f t="shared" si="11"/>
        <v>0</v>
      </c>
      <c r="C56" s="51">
        <f t="shared" si="8"/>
        <v>0</v>
      </c>
      <c r="D56" s="51">
        <f t="shared" si="1"/>
        <v>0</v>
      </c>
      <c r="E56" s="51">
        <f t="shared" si="4"/>
        <v>0</v>
      </c>
      <c r="F56" s="51">
        <f t="shared" si="5"/>
        <v>0</v>
      </c>
      <c r="G56" s="51">
        <f t="shared" si="2"/>
        <v>0</v>
      </c>
      <c r="H56" s="52" t="e">
        <f t="shared" si="6"/>
        <v>#DIV/0!</v>
      </c>
      <c r="I56" s="51">
        <f t="shared" si="7"/>
        <v>0</v>
      </c>
    </row>
    <row r="57" spans="1:10">
      <c r="A57" s="47">
        <v>44</v>
      </c>
      <c r="B57" s="50">
        <f t="shared" si="11"/>
        <v>0</v>
      </c>
      <c r="C57" s="51">
        <f t="shared" si="8"/>
        <v>0</v>
      </c>
      <c r="D57" s="51">
        <f t="shared" si="1"/>
        <v>0</v>
      </c>
      <c r="E57" s="51">
        <f t="shared" si="4"/>
        <v>0</v>
      </c>
      <c r="F57" s="51">
        <f t="shared" si="5"/>
        <v>0</v>
      </c>
      <c r="G57" s="51">
        <f t="shared" si="2"/>
        <v>0</v>
      </c>
      <c r="H57" s="52" t="e">
        <f t="shared" si="6"/>
        <v>#DIV/0!</v>
      </c>
      <c r="I57" s="51">
        <f t="shared" si="7"/>
        <v>0</v>
      </c>
    </row>
    <row r="58" spans="1:10">
      <c r="A58" s="47">
        <v>45</v>
      </c>
      <c r="B58" s="50">
        <f t="shared" si="11"/>
        <v>0</v>
      </c>
      <c r="C58" s="51">
        <f t="shared" si="8"/>
        <v>0</v>
      </c>
      <c r="D58" s="51">
        <f t="shared" si="1"/>
        <v>0</v>
      </c>
      <c r="E58" s="51">
        <f t="shared" si="4"/>
        <v>0</v>
      </c>
      <c r="F58" s="51">
        <f t="shared" si="5"/>
        <v>0</v>
      </c>
      <c r="G58" s="51">
        <f t="shared" si="2"/>
        <v>0</v>
      </c>
      <c r="H58" s="52" t="e">
        <f t="shared" si="6"/>
        <v>#DIV/0!</v>
      </c>
      <c r="I58" s="51">
        <f t="shared" si="7"/>
        <v>0</v>
      </c>
    </row>
    <row r="59" spans="1:10">
      <c r="A59" s="47">
        <v>46</v>
      </c>
      <c r="B59" s="50">
        <f t="shared" si="11"/>
        <v>0</v>
      </c>
      <c r="C59" s="51">
        <f t="shared" si="8"/>
        <v>0</v>
      </c>
      <c r="D59" s="51">
        <f t="shared" si="1"/>
        <v>0</v>
      </c>
      <c r="E59" s="51">
        <f t="shared" si="4"/>
        <v>0</v>
      </c>
      <c r="F59" s="51">
        <f t="shared" si="5"/>
        <v>0</v>
      </c>
      <c r="G59" s="51">
        <f t="shared" si="2"/>
        <v>0</v>
      </c>
      <c r="H59" s="52" t="e">
        <f t="shared" si="6"/>
        <v>#DIV/0!</v>
      </c>
      <c r="I59" s="51">
        <f t="shared" si="7"/>
        <v>0</v>
      </c>
    </row>
    <row r="60" spans="1:10">
      <c r="A60" s="47">
        <v>47</v>
      </c>
      <c r="B60" s="50">
        <f t="shared" si="11"/>
        <v>0</v>
      </c>
      <c r="C60" s="51">
        <f t="shared" si="8"/>
        <v>0</v>
      </c>
      <c r="D60" s="51">
        <f t="shared" si="1"/>
        <v>0</v>
      </c>
      <c r="E60" s="51">
        <f t="shared" si="4"/>
        <v>0</v>
      </c>
      <c r="F60" s="51">
        <f t="shared" si="5"/>
        <v>0</v>
      </c>
      <c r="G60" s="51">
        <f t="shared" si="2"/>
        <v>0</v>
      </c>
      <c r="H60" s="52" t="e">
        <f t="shared" si="6"/>
        <v>#DIV/0!</v>
      </c>
      <c r="I60" s="51">
        <f t="shared" si="7"/>
        <v>0</v>
      </c>
    </row>
    <row r="61" spans="1:10">
      <c r="A61" s="53">
        <v>48</v>
      </c>
      <c r="B61" s="54">
        <f t="shared" si="11"/>
        <v>0</v>
      </c>
      <c r="C61" s="55">
        <f t="shared" si="8"/>
        <v>0</v>
      </c>
      <c r="D61" s="55">
        <f t="shared" si="1"/>
        <v>0</v>
      </c>
      <c r="E61" s="55">
        <f t="shared" si="4"/>
        <v>0</v>
      </c>
      <c r="F61" s="55">
        <f t="shared" si="5"/>
        <v>0</v>
      </c>
      <c r="G61" s="55">
        <f t="shared" si="2"/>
        <v>0</v>
      </c>
      <c r="H61" s="56" t="e">
        <f t="shared" si="6"/>
        <v>#DIV/0!</v>
      </c>
      <c r="I61" s="55">
        <f t="shared" si="7"/>
        <v>0</v>
      </c>
    </row>
    <row r="62" spans="1:10">
      <c r="A62" s="47">
        <v>49</v>
      </c>
      <c r="B62" s="50">
        <f t="shared" si="11"/>
        <v>0</v>
      </c>
      <c r="C62" s="51">
        <f t="shared" si="8"/>
        <v>0</v>
      </c>
      <c r="D62" s="51">
        <f t="shared" si="1"/>
        <v>0</v>
      </c>
      <c r="E62" s="51">
        <f t="shared" si="4"/>
        <v>0</v>
      </c>
      <c r="F62" s="51">
        <f t="shared" si="5"/>
        <v>0</v>
      </c>
      <c r="G62" s="51">
        <f t="shared" si="2"/>
        <v>0</v>
      </c>
      <c r="H62" s="52" t="e">
        <f t="shared" si="6"/>
        <v>#DIV/0!</v>
      </c>
      <c r="I62" s="51">
        <f t="shared" si="7"/>
        <v>0</v>
      </c>
    </row>
    <row r="63" spans="1:10">
      <c r="A63" s="47">
        <v>50</v>
      </c>
      <c r="B63" s="50">
        <f t="shared" si="11"/>
        <v>0</v>
      </c>
      <c r="C63" s="51">
        <f t="shared" si="8"/>
        <v>0</v>
      </c>
      <c r="D63" s="51">
        <f t="shared" si="1"/>
        <v>0</v>
      </c>
      <c r="E63" s="51">
        <f t="shared" si="4"/>
        <v>0</v>
      </c>
      <c r="F63" s="51">
        <f t="shared" si="5"/>
        <v>0</v>
      </c>
      <c r="G63" s="51">
        <f t="shared" si="2"/>
        <v>0</v>
      </c>
      <c r="H63" s="52" t="e">
        <f t="shared" si="6"/>
        <v>#DIV/0!</v>
      </c>
      <c r="I63" s="51">
        <f t="shared" si="7"/>
        <v>0</v>
      </c>
    </row>
    <row r="64" spans="1:10">
      <c r="A64" s="47">
        <v>51</v>
      </c>
      <c r="B64" s="50">
        <f t="shared" si="11"/>
        <v>0</v>
      </c>
      <c r="C64" s="51">
        <f t="shared" si="8"/>
        <v>0</v>
      </c>
      <c r="D64" s="51">
        <f t="shared" si="1"/>
        <v>0</v>
      </c>
      <c r="E64" s="51">
        <f t="shared" si="4"/>
        <v>0</v>
      </c>
      <c r="F64" s="51">
        <f t="shared" si="5"/>
        <v>0</v>
      </c>
      <c r="G64" s="51">
        <f t="shared" si="2"/>
        <v>0</v>
      </c>
      <c r="H64" s="52" t="e">
        <f t="shared" si="6"/>
        <v>#DIV/0!</v>
      </c>
      <c r="I64" s="51">
        <f t="shared" si="7"/>
        <v>0</v>
      </c>
    </row>
    <row r="65" spans="1:9">
      <c r="A65" s="47">
        <v>52</v>
      </c>
      <c r="B65" s="50">
        <f t="shared" si="11"/>
        <v>0</v>
      </c>
      <c r="C65" s="51">
        <f t="shared" si="8"/>
        <v>0</v>
      </c>
      <c r="D65" s="51">
        <f t="shared" si="1"/>
        <v>0</v>
      </c>
      <c r="E65" s="51">
        <f t="shared" si="4"/>
        <v>0</v>
      </c>
      <c r="F65" s="51">
        <f t="shared" si="5"/>
        <v>0</v>
      </c>
      <c r="G65" s="51">
        <f t="shared" si="2"/>
        <v>0</v>
      </c>
      <c r="H65" s="52" t="e">
        <f t="shared" si="6"/>
        <v>#DIV/0!</v>
      </c>
      <c r="I65" s="51">
        <f t="shared" si="7"/>
        <v>0</v>
      </c>
    </row>
    <row r="66" spans="1:9">
      <c r="A66" s="47">
        <v>53</v>
      </c>
      <c r="B66" s="50">
        <f t="shared" si="11"/>
        <v>0</v>
      </c>
      <c r="C66" s="51">
        <f t="shared" si="8"/>
        <v>0</v>
      </c>
      <c r="D66" s="51">
        <f t="shared" si="1"/>
        <v>0</v>
      </c>
      <c r="E66" s="51">
        <f t="shared" si="4"/>
        <v>0</v>
      </c>
      <c r="F66" s="51">
        <f t="shared" si="5"/>
        <v>0</v>
      </c>
      <c r="G66" s="51">
        <f t="shared" si="2"/>
        <v>0</v>
      </c>
      <c r="H66" s="52" t="e">
        <f t="shared" si="6"/>
        <v>#DIV/0!</v>
      </c>
      <c r="I66" s="51">
        <f t="shared" si="7"/>
        <v>0</v>
      </c>
    </row>
    <row r="67" spans="1:9">
      <c r="A67" s="47">
        <v>54</v>
      </c>
      <c r="B67" s="50">
        <f t="shared" si="11"/>
        <v>0</v>
      </c>
      <c r="C67" s="51">
        <f t="shared" si="8"/>
        <v>0</v>
      </c>
      <c r="D67" s="51">
        <f t="shared" si="1"/>
        <v>0</v>
      </c>
      <c r="E67" s="51">
        <f t="shared" si="4"/>
        <v>0</v>
      </c>
      <c r="F67" s="51">
        <f t="shared" si="5"/>
        <v>0</v>
      </c>
      <c r="G67" s="51">
        <f t="shared" si="2"/>
        <v>0</v>
      </c>
      <c r="H67" s="52" t="e">
        <f t="shared" si="6"/>
        <v>#DIV/0!</v>
      </c>
      <c r="I67" s="51">
        <f t="shared" si="7"/>
        <v>0</v>
      </c>
    </row>
    <row r="68" spans="1:9">
      <c r="A68" s="47">
        <v>55</v>
      </c>
      <c r="B68" s="50">
        <f t="shared" si="11"/>
        <v>0</v>
      </c>
      <c r="C68" s="51">
        <f t="shared" si="8"/>
        <v>0</v>
      </c>
      <c r="D68" s="51">
        <f t="shared" si="1"/>
        <v>0</v>
      </c>
      <c r="E68" s="51">
        <f t="shared" si="4"/>
        <v>0</v>
      </c>
      <c r="F68" s="51">
        <f t="shared" si="5"/>
        <v>0</v>
      </c>
      <c r="G68" s="51">
        <f t="shared" si="2"/>
        <v>0</v>
      </c>
      <c r="H68" s="52" t="e">
        <f t="shared" si="6"/>
        <v>#DIV/0!</v>
      </c>
      <c r="I68" s="51">
        <f t="shared" si="7"/>
        <v>0</v>
      </c>
    </row>
    <row r="69" spans="1:9">
      <c r="A69" s="47">
        <v>56</v>
      </c>
      <c r="B69" s="50">
        <f t="shared" si="11"/>
        <v>0</v>
      </c>
      <c r="C69" s="51">
        <f t="shared" si="8"/>
        <v>0</v>
      </c>
      <c r="D69" s="51">
        <f t="shared" si="1"/>
        <v>0</v>
      </c>
      <c r="E69" s="51">
        <f t="shared" si="4"/>
        <v>0</v>
      </c>
      <c r="F69" s="51">
        <f t="shared" si="5"/>
        <v>0</v>
      </c>
      <c r="G69" s="51">
        <f t="shared" si="2"/>
        <v>0</v>
      </c>
      <c r="H69" s="52" t="e">
        <f t="shared" si="6"/>
        <v>#DIV/0!</v>
      </c>
      <c r="I69" s="51">
        <f t="shared" si="7"/>
        <v>0</v>
      </c>
    </row>
    <row r="70" spans="1:9">
      <c r="A70" s="47">
        <v>57</v>
      </c>
      <c r="B70" s="50">
        <f t="shared" si="11"/>
        <v>0</v>
      </c>
      <c r="C70" s="51">
        <f t="shared" si="8"/>
        <v>0</v>
      </c>
      <c r="D70" s="51">
        <f t="shared" si="1"/>
        <v>0</v>
      </c>
      <c r="E70" s="51">
        <f t="shared" si="4"/>
        <v>0</v>
      </c>
      <c r="F70" s="51">
        <f t="shared" si="5"/>
        <v>0</v>
      </c>
      <c r="G70" s="51">
        <f t="shared" si="2"/>
        <v>0</v>
      </c>
      <c r="H70" s="52" t="e">
        <f t="shared" si="6"/>
        <v>#DIV/0!</v>
      </c>
      <c r="I70" s="51">
        <f t="shared" si="7"/>
        <v>0</v>
      </c>
    </row>
    <row r="71" spans="1:9">
      <c r="A71" s="47">
        <v>58</v>
      </c>
      <c r="B71" s="50">
        <f t="shared" si="11"/>
        <v>0</v>
      </c>
      <c r="C71" s="51">
        <f t="shared" si="8"/>
        <v>0</v>
      </c>
      <c r="D71" s="51">
        <f t="shared" si="1"/>
        <v>0</v>
      </c>
      <c r="E71" s="51">
        <f t="shared" si="4"/>
        <v>0</v>
      </c>
      <c r="F71" s="51">
        <f t="shared" si="5"/>
        <v>0</v>
      </c>
      <c r="G71" s="51">
        <f t="shared" si="2"/>
        <v>0</v>
      </c>
      <c r="H71" s="52" t="e">
        <f t="shared" si="6"/>
        <v>#DIV/0!</v>
      </c>
      <c r="I71" s="51">
        <f t="shared" si="7"/>
        <v>0</v>
      </c>
    </row>
    <row r="72" spans="1:9">
      <c r="A72" s="47">
        <v>59</v>
      </c>
      <c r="B72" s="50">
        <f t="shared" si="11"/>
        <v>0</v>
      </c>
      <c r="C72" s="51">
        <f t="shared" si="8"/>
        <v>0</v>
      </c>
      <c r="D72" s="51">
        <f t="shared" si="1"/>
        <v>0</v>
      </c>
      <c r="E72" s="51">
        <f t="shared" si="4"/>
        <v>0</v>
      </c>
      <c r="F72" s="51">
        <f t="shared" si="5"/>
        <v>0</v>
      </c>
      <c r="G72" s="51">
        <f t="shared" si="2"/>
        <v>0</v>
      </c>
      <c r="H72" s="52" t="e">
        <f t="shared" si="6"/>
        <v>#DIV/0!</v>
      </c>
      <c r="I72" s="51">
        <f t="shared" si="7"/>
        <v>0</v>
      </c>
    </row>
    <row r="73" spans="1:9">
      <c r="A73" s="53">
        <v>60</v>
      </c>
      <c r="B73" s="54">
        <f t="shared" si="11"/>
        <v>0</v>
      </c>
      <c r="C73" s="55">
        <f t="shared" si="8"/>
        <v>0</v>
      </c>
      <c r="D73" s="55">
        <f t="shared" si="1"/>
        <v>0</v>
      </c>
      <c r="E73" s="55">
        <f t="shared" si="4"/>
        <v>0</v>
      </c>
      <c r="F73" s="55">
        <f t="shared" si="5"/>
        <v>0</v>
      </c>
      <c r="G73" s="55">
        <f t="shared" si="2"/>
        <v>0</v>
      </c>
      <c r="H73" s="56" t="e">
        <f t="shared" si="6"/>
        <v>#DIV/0!</v>
      </c>
      <c r="I73" s="55">
        <f t="shared" si="7"/>
        <v>0</v>
      </c>
    </row>
    <row r="74" spans="1:9">
      <c r="A74" s="47">
        <v>61</v>
      </c>
      <c r="B74" s="50">
        <f t="shared" si="11"/>
        <v>0</v>
      </c>
      <c r="C74" s="51">
        <f t="shared" si="8"/>
        <v>0</v>
      </c>
      <c r="D74" s="51">
        <f t="shared" si="1"/>
        <v>0</v>
      </c>
      <c r="E74" s="51">
        <f t="shared" si="4"/>
        <v>0</v>
      </c>
      <c r="F74" s="51">
        <f t="shared" si="5"/>
        <v>0</v>
      </c>
      <c r="G74" s="51">
        <f t="shared" si="2"/>
        <v>0</v>
      </c>
      <c r="H74" s="52" t="e">
        <f t="shared" si="6"/>
        <v>#DIV/0!</v>
      </c>
      <c r="I74" s="51">
        <f t="shared" si="7"/>
        <v>0</v>
      </c>
    </row>
    <row r="75" spans="1:9">
      <c r="A75" s="47">
        <v>62</v>
      </c>
      <c r="B75" s="50">
        <f t="shared" si="11"/>
        <v>0</v>
      </c>
      <c r="C75" s="51">
        <f t="shared" si="8"/>
        <v>0</v>
      </c>
      <c r="D75" s="51">
        <f t="shared" si="1"/>
        <v>0</v>
      </c>
      <c r="E75" s="51">
        <f t="shared" si="4"/>
        <v>0</v>
      </c>
      <c r="F75" s="51">
        <f t="shared" si="5"/>
        <v>0</v>
      </c>
      <c r="G75" s="51">
        <f t="shared" si="2"/>
        <v>0</v>
      </c>
      <c r="H75" s="52" t="e">
        <f t="shared" si="6"/>
        <v>#DIV/0!</v>
      </c>
      <c r="I75" s="51">
        <f t="shared" si="7"/>
        <v>0</v>
      </c>
    </row>
    <row r="76" spans="1:9">
      <c r="A76" s="47">
        <v>63</v>
      </c>
      <c r="B76" s="50">
        <f t="shared" si="11"/>
        <v>0</v>
      </c>
      <c r="C76" s="51">
        <f t="shared" si="8"/>
        <v>0</v>
      </c>
      <c r="D76" s="51">
        <f t="shared" si="1"/>
        <v>0</v>
      </c>
      <c r="E76" s="51">
        <f t="shared" si="4"/>
        <v>0</v>
      </c>
      <c r="F76" s="51">
        <f t="shared" si="5"/>
        <v>0</v>
      </c>
      <c r="G76" s="51">
        <f t="shared" si="2"/>
        <v>0</v>
      </c>
      <c r="H76" s="52" t="e">
        <f t="shared" si="6"/>
        <v>#DIV/0!</v>
      </c>
      <c r="I76" s="51">
        <f t="shared" si="7"/>
        <v>0</v>
      </c>
    </row>
    <row r="77" spans="1:9">
      <c r="A77" s="47">
        <v>64</v>
      </c>
      <c r="B77" s="50">
        <f t="shared" si="11"/>
        <v>0</v>
      </c>
      <c r="C77" s="51">
        <f t="shared" si="8"/>
        <v>0</v>
      </c>
      <c r="D77" s="51">
        <f t="shared" si="1"/>
        <v>0</v>
      </c>
      <c r="E77" s="51">
        <f t="shared" si="4"/>
        <v>0</v>
      </c>
      <c r="F77" s="51">
        <f t="shared" si="5"/>
        <v>0</v>
      </c>
      <c r="G77" s="51">
        <f t="shared" si="2"/>
        <v>0</v>
      </c>
      <c r="H77" s="52" t="e">
        <f t="shared" si="6"/>
        <v>#DIV/0!</v>
      </c>
      <c r="I77" s="51">
        <f t="shared" si="7"/>
        <v>0</v>
      </c>
    </row>
    <row r="78" spans="1:9">
      <c r="A78" s="47">
        <v>65</v>
      </c>
      <c r="B78" s="50">
        <f t="shared" si="11"/>
        <v>0</v>
      </c>
      <c r="C78" s="51">
        <f t="shared" si="8"/>
        <v>0</v>
      </c>
      <c r="D78" s="51">
        <f t="shared" ref="D78:D141" si="12">IF(C78+E78&gt;$C$10,$C$10,C78+E78)</f>
        <v>0</v>
      </c>
      <c r="E78" s="51">
        <f t="shared" si="4"/>
        <v>0</v>
      </c>
      <c r="F78" s="51">
        <f t="shared" si="5"/>
        <v>0</v>
      </c>
      <c r="G78" s="51">
        <f t="shared" ref="G78:G141" si="13">C78-F78</f>
        <v>0</v>
      </c>
      <c r="H78" s="52" t="e">
        <f t="shared" si="6"/>
        <v>#DIV/0!</v>
      </c>
      <c r="I78" s="51">
        <f t="shared" si="7"/>
        <v>0</v>
      </c>
    </row>
    <row r="79" spans="1:9">
      <c r="A79" s="47">
        <v>66</v>
      </c>
      <c r="B79" s="50">
        <f t="shared" si="11"/>
        <v>0</v>
      </c>
      <c r="C79" s="51">
        <f t="shared" si="8"/>
        <v>0</v>
      </c>
      <c r="D79" s="51">
        <f t="shared" si="12"/>
        <v>0</v>
      </c>
      <c r="E79" s="51">
        <f t="shared" ref="E79:E142" si="14">C79*(B79/12)</f>
        <v>0</v>
      </c>
      <c r="F79" s="51">
        <f t="shared" ref="F79:F142" si="15">IF(C79&lt;$C$10,C79,D79-E79)</f>
        <v>0</v>
      </c>
      <c r="G79" s="51">
        <f t="shared" si="13"/>
        <v>0</v>
      </c>
      <c r="H79" s="52" t="e">
        <f t="shared" ref="H79:H142" si="16">G79/$C$1</f>
        <v>#DIV/0!</v>
      </c>
      <c r="I79" s="51">
        <f t="shared" ref="I79:I142" si="17">C79*$I$10/12</f>
        <v>0</v>
      </c>
    </row>
    <row r="80" spans="1:9">
      <c r="A80" s="47">
        <v>67</v>
      </c>
      <c r="B80" s="50">
        <f t="shared" si="11"/>
        <v>0</v>
      </c>
      <c r="C80" s="51">
        <f t="shared" ref="C80:C143" si="18">G79</f>
        <v>0</v>
      </c>
      <c r="D80" s="51">
        <f t="shared" si="12"/>
        <v>0</v>
      </c>
      <c r="E80" s="51">
        <f t="shared" si="14"/>
        <v>0</v>
      </c>
      <c r="F80" s="51">
        <f t="shared" si="15"/>
        <v>0</v>
      </c>
      <c r="G80" s="51">
        <f t="shared" si="13"/>
        <v>0</v>
      </c>
      <c r="H80" s="52" t="e">
        <f t="shared" si="16"/>
        <v>#DIV/0!</v>
      </c>
      <c r="I80" s="51">
        <f t="shared" si="17"/>
        <v>0</v>
      </c>
    </row>
    <row r="81" spans="1:9">
      <c r="A81" s="47">
        <v>68</v>
      </c>
      <c r="B81" s="50">
        <f t="shared" si="11"/>
        <v>0</v>
      </c>
      <c r="C81" s="51">
        <f t="shared" si="18"/>
        <v>0</v>
      </c>
      <c r="D81" s="51">
        <f t="shared" si="12"/>
        <v>0</v>
      </c>
      <c r="E81" s="51">
        <f t="shared" si="14"/>
        <v>0</v>
      </c>
      <c r="F81" s="51">
        <f t="shared" si="15"/>
        <v>0</v>
      </c>
      <c r="G81" s="51">
        <f t="shared" si="13"/>
        <v>0</v>
      </c>
      <c r="H81" s="52" t="e">
        <f t="shared" si="16"/>
        <v>#DIV/0!</v>
      </c>
      <c r="I81" s="51">
        <f t="shared" si="17"/>
        <v>0</v>
      </c>
    </row>
    <row r="82" spans="1:9">
      <c r="A82" s="47">
        <v>69</v>
      </c>
      <c r="B82" s="50">
        <f t="shared" si="11"/>
        <v>0</v>
      </c>
      <c r="C82" s="51">
        <f t="shared" si="18"/>
        <v>0</v>
      </c>
      <c r="D82" s="51">
        <f t="shared" si="12"/>
        <v>0</v>
      </c>
      <c r="E82" s="51">
        <f t="shared" si="14"/>
        <v>0</v>
      </c>
      <c r="F82" s="51">
        <f t="shared" si="15"/>
        <v>0</v>
      </c>
      <c r="G82" s="51">
        <f t="shared" si="13"/>
        <v>0</v>
      </c>
      <c r="H82" s="52" t="e">
        <f t="shared" si="16"/>
        <v>#DIV/0!</v>
      </c>
      <c r="I82" s="51">
        <f t="shared" si="17"/>
        <v>0</v>
      </c>
    </row>
    <row r="83" spans="1:9">
      <c r="A83" s="47">
        <v>70</v>
      </c>
      <c r="B83" s="50">
        <f t="shared" si="11"/>
        <v>0</v>
      </c>
      <c r="C83" s="51">
        <f t="shared" si="18"/>
        <v>0</v>
      </c>
      <c r="D83" s="51">
        <f t="shared" si="12"/>
        <v>0</v>
      </c>
      <c r="E83" s="51">
        <f t="shared" si="14"/>
        <v>0</v>
      </c>
      <c r="F83" s="51">
        <f t="shared" si="15"/>
        <v>0</v>
      </c>
      <c r="G83" s="51">
        <f t="shared" si="13"/>
        <v>0</v>
      </c>
      <c r="H83" s="52" t="e">
        <f t="shared" si="16"/>
        <v>#DIV/0!</v>
      </c>
      <c r="I83" s="51">
        <f t="shared" si="17"/>
        <v>0</v>
      </c>
    </row>
    <row r="84" spans="1:9">
      <c r="A84" s="47">
        <v>71</v>
      </c>
      <c r="B84" s="50">
        <f t="shared" si="11"/>
        <v>0</v>
      </c>
      <c r="C84" s="51">
        <f t="shared" si="18"/>
        <v>0</v>
      </c>
      <c r="D84" s="51">
        <f t="shared" si="12"/>
        <v>0</v>
      </c>
      <c r="E84" s="51">
        <f t="shared" si="14"/>
        <v>0</v>
      </c>
      <c r="F84" s="51">
        <f t="shared" si="15"/>
        <v>0</v>
      </c>
      <c r="G84" s="51">
        <f t="shared" si="13"/>
        <v>0</v>
      </c>
      <c r="H84" s="52" t="e">
        <f t="shared" si="16"/>
        <v>#DIV/0!</v>
      </c>
      <c r="I84" s="51">
        <f t="shared" si="17"/>
        <v>0</v>
      </c>
    </row>
    <row r="85" spans="1:9">
      <c r="A85" s="53">
        <v>72</v>
      </c>
      <c r="B85" s="54">
        <f t="shared" si="11"/>
        <v>0</v>
      </c>
      <c r="C85" s="55">
        <f t="shared" si="18"/>
        <v>0</v>
      </c>
      <c r="D85" s="55">
        <f t="shared" si="12"/>
        <v>0</v>
      </c>
      <c r="E85" s="55">
        <f t="shared" si="14"/>
        <v>0</v>
      </c>
      <c r="F85" s="55">
        <f t="shared" si="15"/>
        <v>0</v>
      </c>
      <c r="G85" s="55">
        <f t="shared" si="13"/>
        <v>0</v>
      </c>
      <c r="H85" s="56" t="e">
        <f t="shared" si="16"/>
        <v>#DIV/0!</v>
      </c>
      <c r="I85" s="55">
        <f t="shared" si="17"/>
        <v>0</v>
      </c>
    </row>
    <row r="86" spans="1:9">
      <c r="A86" s="47">
        <v>73</v>
      </c>
      <c r="B86" s="50">
        <f t="shared" si="11"/>
        <v>0</v>
      </c>
      <c r="C86" s="51">
        <f t="shared" si="18"/>
        <v>0</v>
      </c>
      <c r="D86" s="51">
        <f t="shared" si="12"/>
        <v>0</v>
      </c>
      <c r="E86" s="51">
        <f t="shared" si="14"/>
        <v>0</v>
      </c>
      <c r="F86" s="51">
        <f t="shared" si="15"/>
        <v>0</v>
      </c>
      <c r="G86" s="51">
        <f t="shared" si="13"/>
        <v>0</v>
      </c>
      <c r="H86" s="52" t="e">
        <f t="shared" si="16"/>
        <v>#DIV/0!</v>
      </c>
      <c r="I86" s="51">
        <f t="shared" si="17"/>
        <v>0</v>
      </c>
    </row>
    <row r="87" spans="1:9">
      <c r="A87" s="47">
        <v>74</v>
      </c>
      <c r="B87" s="50">
        <f t="shared" si="11"/>
        <v>0</v>
      </c>
      <c r="C87" s="51">
        <f t="shared" si="18"/>
        <v>0</v>
      </c>
      <c r="D87" s="51">
        <f t="shared" si="12"/>
        <v>0</v>
      </c>
      <c r="E87" s="51">
        <f t="shared" si="14"/>
        <v>0</v>
      </c>
      <c r="F87" s="51">
        <f t="shared" si="15"/>
        <v>0</v>
      </c>
      <c r="G87" s="51">
        <f t="shared" si="13"/>
        <v>0</v>
      </c>
      <c r="H87" s="52" t="e">
        <f t="shared" si="16"/>
        <v>#DIV/0!</v>
      </c>
      <c r="I87" s="51">
        <f t="shared" si="17"/>
        <v>0</v>
      </c>
    </row>
    <row r="88" spans="1:9">
      <c r="A88" s="47">
        <v>75</v>
      </c>
      <c r="B88" s="50">
        <f t="shared" si="11"/>
        <v>0</v>
      </c>
      <c r="C88" s="51">
        <f t="shared" si="18"/>
        <v>0</v>
      </c>
      <c r="D88" s="51">
        <f t="shared" si="12"/>
        <v>0</v>
      </c>
      <c r="E88" s="51">
        <f t="shared" si="14"/>
        <v>0</v>
      </c>
      <c r="F88" s="51">
        <f t="shared" si="15"/>
        <v>0</v>
      </c>
      <c r="G88" s="51">
        <f t="shared" si="13"/>
        <v>0</v>
      </c>
      <c r="H88" s="52" t="e">
        <f t="shared" si="16"/>
        <v>#DIV/0!</v>
      </c>
      <c r="I88" s="51">
        <f t="shared" si="17"/>
        <v>0</v>
      </c>
    </row>
    <row r="89" spans="1:9">
      <c r="A89" s="47">
        <v>76</v>
      </c>
      <c r="B89" s="50">
        <f t="shared" si="11"/>
        <v>0</v>
      </c>
      <c r="C89" s="51">
        <f t="shared" si="18"/>
        <v>0</v>
      </c>
      <c r="D89" s="51">
        <f t="shared" si="12"/>
        <v>0</v>
      </c>
      <c r="E89" s="51">
        <f t="shared" si="14"/>
        <v>0</v>
      </c>
      <c r="F89" s="51">
        <f t="shared" si="15"/>
        <v>0</v>
      </c>
      <c r="G89" s="51">
        <f t="shared" si="13"/>
        <v>0</v>
      </c>
      <c r="H89" s="52" t="e">
        <f t="shared" si="16"/>
        <v>#DIV/0!</v>
      </c>
      <c r="I89" s="51">
        <f t="shared" si="17"/>
        <v>0</v>
      </c>
    </row>
    <row r="90" spans="1:9">
      <c r="A90" s="47">
        <v>77</v>
      </c>
      <c r="B90" s="50">
        <f t="shared" si="11"/>
        <v>0</v>
      </c>
      <c r="C90" s="51">
        <f t="shared" si="18"/>
        <v>0</v>
      </c>
      <c r="D90" s="51">
        <f t="shared" si="12"/>
        <v>0</v>
      </c>
      <c r="E90" s="51">
        <f t="shared" si="14"/>
        <v>0</v>
      </c>
      <c r="F90" s="51">
        <f t="shared" si="15"/>
        <v>0</v>
      </c>
      <c r="G90" s="51">
        <f t="shared" si="13"/>
        <v>0</v>
      </c>
      <c r="H90" s="52" t="e">
        <f t="shared" si="16"/>
        <v>#DIV/0!</v>
      </c>
      <c r="I90" s="51">
        <f t="shared" si="17"/>
        <v>0</v>
      </c>
    </row>
    <row r="91" spans="1:9">
      <c r="A91" s="47">
        <v>78</v>
      </c>
      <c r="B91" s="50">
        <f t="shared" si="11"/>
        <v>0</v>
      </c>
      <c r="C91" s="51">
        <f t="shared" si="18"/>
        <v>0</v>
      </c>
      <c r="D91" s="51">
        <f t="shared" si="12"/>
        <v>0</v>
      </c>
      <c r="E91" s="51">
        <f t="shared" si="14"/>
        <v>0</v>
      </c>
      <c r="F91" s="51">
        <f t="shared" si="15"/>
        <v>0</v>
      </c>
      <c r="G91" s="51">
        <f t="shared" si="13"/>
        <v>0</v>
      </c>
      <c r="H91" s="52" t="e">
        <f t="shared" si="16"/>
        <v>#DIV/0!</v>
      </c>
      <c r="I91" s="51">
        <f t="shared" si="17"/>
        <v>0</v>
      </c>
    </row>
    <row r="92" spans="1:9">
      <c r="A92" s="47">
        <v>79</v>
      </c>
      <c r="B92" s="50">
        <f t="shared" si="11"/>
        <v>0</v>
      </c>
      <c r="C92" s="51">
        <f t="shared" si="18"/>
        <v>0</v>
      </c>
      <c r="D92" s="51">
        <f t="shared" si="12"/>
        <v>0</v>
      </c>
      <c r="E92" s="51">
        <f t="shared" si="14"/>
        <v>0</v>
      </c>
      <c r="F92" s="51">
        <f t="shared" si="15"/>
        <v>0</v>
      </c>
      <c r="G92" s="51">
        <f t="shared" si="13"/>
        <v>0</v>
      </c>
      <c r="H92" s="52" t="e">
        <f t="shared" si="16"/>
        <v>#DIV/0!</v>
      </c>
      <c r="I92" s="51">
        <f t="shared" si="17"/>
        <v>0</v>
      </c>
    </row>
    <row r="93" spans="1:9">
      <c r="A93" s="47">
        <v>80</v>
      </c>
      <c r="B93" s="50">
        <f t="shared" si="11"/>
        <v>0</v>
      </c>
      <c r="C93" s="51">
        <f t="shared" si="18"/>
        <v>0</v>
      </c>
      <c r="D93" s="51">
        <f t="shared" si="12"/>
        <v>0</v>
      </c>
      <c r="E93" s="51">
        <f t="shared" si="14"/>
        <v>0</v>
      </c>
      <c r="F93" s="51">
        <f t="shared" si="15"/>
        <v>0</v>
      </c>
      <c r="G93" s="51">
        <f t="shared" si="13"/>
        <v>0</v>
      </c>
      <c r="H93" s="52" t="e">
        <f t="shared" si="16"/>
        <v>#DIV/0!</v>
      </c>
      <c r="I93" s="51">
        <f t="shared" si="17"/>
        <v>0</v>
      </c>
    </row>
    <row r="94" spans="1:9">
      <c r="A94" s="47">
        <v>81</v>
      </c>
      <c r="B94" s="50">
        <f t="shared" si="11"/>
        <v>0</v>
      </c>
      <c r="C94" s="51">
        <f t="shared" si="18"/>
        <v>0</v>
      </c>
      <c r="D94" s="51">
        <f t="shared" si="12"/>
        <v>0</v>
      </c>
      <c r="E94" s="51">
        <f t="shared" si="14"/>
        <v>0</v>
      </c>
      <c r="F94" s="51">
        <f t="shared" si="15"/>
        <v>0</v>
      </c>
      <c r="G94" s="51">
        <f t="shared" si="13"/>
        <v>0</v>
      </c>
      <c r="H94" s="52" t="e">
        <f t="shared" si="16"/>
        <v>#DIV/0!</v>
      </c>
      <c r="I94" s="51">
        <f t="shared" si="17"/>
        <v>0</v>
      </c>
    </row>
    <row r="95" spans="1:9">
      <c r="A95" s="47">
        <v>82</v>
      </c>
      <c r="B95" s="50">
        <f t="shared" si="11"/>
        <v>0</v>
      </c>
      <c r="C95" s="51">
        <f t="shared" si="18"/>
        <v>0</v>
      </c>
      <c r="D95" s="51">
        <f t="shared" si="12"/>
        <v>0</v>
      </c>
      <c r="E95" s="51">
        <f t="shared" si="14"/>
        <v>0</v>
      </c>
      <c r="F95" s="51">
        <f t="shared" si="15"/>
        <v>0</v>
      </c>
      <c r="G95" s="51">
        <f t="shared" si="13"/>
        <v>0</v>
      </c>
      <c r="H95" s="52" t="e">
        <f t="shared" si="16"/>
        <v>#DIV/0!</v>
      </c>
      <c r="I95" s="51">
        <f t="shared" si="17"/>
        <v>0</v>
      </c>
    </row>
    <row r="96" spans="1:9">
      <c r="A96" s="47">
        <v>83</v>
      </c>
      <c r="B96" s="50">
        <f t="shared" si="11"/>
        <v>0</v>
      </c>
      <c r="C96" s="51">
        <f t="shared" si="18"/>
        <v>0</v>
      </c>
      <c r="D96" s="51">
        <f t="shared" si="12"/>
        <v>0</v>
      </c>
      <c r="E96" s="51">
        <f t="shared" si="14"/>
        <v>0</v>
      </c>
      <c r="F96" s="51">
        <f t="shared" si="15"/>
        <v>0</v>
      </c>
      <c r="G96" s="51">
        <f t="shared" si="13"/>
        <v>0</v>
      </c>
      <c r="H96" s="52" t="e">
        <f t="shared" si="16"/>
        <v>#DIV/0!</v>
      </c>
      <c r="I96" s="51">
        <f t="shared" si="17"/>
        <v>0</v>
      </c>
    </row>
    <row r="97" spans="1:9">
      <c r="A97" s="53">
        <v>84</v>
      </c>
      <c r="B97" s="54">
        <f t="shared" si="11"/>
        <v>0</v>
      </c>
      <c r="C97" s="55">
        <f t="shared" si="18"/>
        <v>0</v>
      </c>
      <c r="D97" s="55">
        <f t="shared" si="12"/>
        <v>0</v>
      </c>
      <c r="E97" s="55">
        <f t="shared" si="14"/>
        <v>0</v>
      </c>
      <c r="F97" s="55">
        <f t="shared" si="15"/>
        <v>0</v>
      </c>
      <c r="G97" s="55">
        <f t="shared" si="13"/>
        <v>0</v>
      </c>
      <c r="H97" s="56" t="e">
        <f t="shared" si="16"/>
        <v>#DIV/0!</v>
      </c>
      <c r="I97" s="55">
        <f t="shared" si="17"/>
        <v>0</v>
      </c>
    </row>
    <row r="98" spans="1:9">
      <c r="A98" s="47">
        <v>85</v>
      </c>
      <c r="B98" s="50">
        <f t="shared" si="11"/>
        <v>0</v>
      </c>
      <c r="C98" s="51">
        <f t="shared" si="18"/>
        <v>0</v>
      </c>
      <c r="D98" s="51">
        <f t="shared" si="12"/>
        <v>0</v>
      </c>
      <c r="E98" s="51">
        <f t="shared" si="14"/>
        <v>0</v>
      </c>
      <c r="F98" s="51">
        <f t="shared" si="15"/>
        <v>0</v>
      </c>
      <c r="G98" s="51">
        <f t="shared" si="13"/>
        <v>0</v>
      </c>
      <c r="H98" s="52" t="e">
        <f t="shared" si="16"/>
        <v>#DIV/0!</v>
      </c>
      <c r="I98" s="51">
        <f t="shared" si="17"/>
        <v>0</v>
      </c>
    </row>
    <row r="99" spans="1:9">
      <c r="A99" s="47">
        <v>86</v>
      </c>
      <c r="B99" s="50">
        <f t="shared" si="11"/>
        <v>0</v>
      </c>
      <c r="C99" s="51">
        <f t="shared" si="18"/>
        <v>0</v>
      </c>
      <c r="D99" s="51">
        <f t="shared" si="12"/>
        <v>0</v>
      </c>
      <c r="E99" s="51">
        <f t="shared" si="14"/>
        <v>0</v>
      </c>
      <c r="F99" s="51">
        <f t="shared" si="15"/>
        <v>0</v>
      </c>
      <c r="G99" s="51">
        <f t="shared" si="13"/>
        <v>0</v>
      </c>
      <c r="H99" s="52" t="e">
        <f t="shared" si="16"/>
        <v>#DIV/0!</v>
      </c>
      <c r="I99" s="51">
        <f t="shared" si="17"/>
        <v>0</v>
      </c>
    </row>
    <row r="100" spans="1:9">
      <c r="A100" s="47">
        <v>87</v>
      </c>
      <c r="B100" s="50">
        <f t="shared" si="11"/>
        <v>0</v>
      </c>
      <c r="C100" s="51">
        <f t="shared" si="18"/>
        <v>0</v>
      </c>
      <c r="D100" s="51">
        <f t="shared" si="12"/>
        <v>0</v>
      </c>
      <c r="E100" s="51">
        <f t="shared" si="14"/>
        <v>0</v>
      </c>
      <c r="F100" s="51">
        <f t="shared" si="15"/>
        <v>0</v>
      </c>
      <c r="G100" s="51">
        <f t="shared" si="13"/>
        <v>0</v>
      </c>
      <c r="H100" s="52" t="e">
        <f t="shared" si="16"/>
        <v>#DIV/0!</v>
      </c>
      <c r="I100" s="51">
        <f t="shared" si="17"/>
        <v>0</v>
      </c>
    </row>
    <row r="101" spans="1:9">
      <c r="A101" s="47">
        <v>88</v>
      </c>
      <c r="B101" s="50">
        <f t="shared" si="11"/>
        <v>0</v>
      </c>
      <c r="C101" s="51">
        <f t="shared" si="18"/>
        <v>0</v>
      </c>
      <c r="D101" s="51">
        <f t="shared" si="12"/>
        <v>0</v>
      </c>
      <c r="E101" s="51">
        <f t="shared" si="14"/>
        <v>0</v>
      </c>
      <c r="F101" s="51">
        <f t="shared" si="15"/>
        <v>0</v>
      </c>
      <c r="G101" s="51">
        <f t="shared" si="13"/>
        <v>0</v>
      </c>
      <c r="H101" s="52" t="e">
        <f t="shared" si="16"/>
        <v>#DIV/0!</v>
      </c>
      <c r="I101" s="51">
        <f t="shared" si="17"/>
        <v>0</v>
      </c>
    </row>
    <row r="102" spans="1:9">
      <c r="A102" s="47">
        <v>89</v>
      </c>
      <c r="B102" s="50">
        <f t="shared" si="11"/>
        <v>0</v>
      </c>
      <c r="C102" s="51">
        <f t="shared" si="18"/>
        <v>0</v>
      </c>
      <c r="D102" s="51">
        <f t="shared" si="12"/>
        <v>0</v>
      </c>
      <c r="E102" s="51">
        <f t="shared" si="14"/>
        <v>0</v>
      </c>
      <c r="F102" s="51">
        <f t="shared" si="15"/>
        <v>0</v>
      </c>
      <c r="G102" s="51">
        <f t="shared" si="13"/>
        <v>0</v>
      </c>
      <c r="H102" s="52" t="e">
        <f t="shared" si="16"/>
        <v>#DIV/0!</v>
      </c>
      <c r="I102" s="51">
        <f t="shared" si="17"/>
        <v>0</v>
      </c>
    </row>
    <row r="103" spans="1:9">
      <c r="A103" s="47">
        <v>90</v>
      </c>
      <c r="B103" s="50">
        <f t="shared" si="11"/>
        <v>0</v>
      </c>
      <c r="C103" s="51">
        <f t="shared" si="18"/>
        <v>0</v>
      </c>
      <c r="D103" s="51">
        <f t="shared" si="12"/>
        <v>0</v>
      </c>
      <c r="E103" s="51">
        <f t="shared" si="14"/>
        <v>0</v>
      </c>
      <c r="F103" s="51">
        <f t="shared" si="15"/>
        <v>0</v>
      </c>
      <c r="G103" s="51">
        <f t="shared" si="13"/>
        <v>0</v>
      </c>
      <c r="H103" s="52" t="e">
        <f t="shared" si="16"/>
        <v>#DIV/0!</v>
      </c>
      <c r="I103" s="51">
        <f t="shared" si="17"/>
        <v>0</v>
      </c>
    </row>
    <row r="104" spans="1:9">
      <c r="A104" s="47">
        <v>91</v>
      </c>
      <c r="B104" s="50">
        <f t="shared" si="11"/>
        <v>0</v>
      </c>
      <c r="C104" s="51">
        <f t="shared" si="18"/>
        <v>0</v>
      </c>
      <c r="D104" s="51">
        <f t="shared" si="12"/>
        <v>0</v>
      </c>
      <c r="E104" s="51">
        <f t="shared" si="14"/>
        <v>0</v>
      </c>
      <c r="F104" s="51">
        <f t="shared" si="15"/>
        <v>0</v>
      </c>
      <c r="G104" s="51">
        <f t="shared" si="13"/>
        <v>0</v>
      </c>
      <c r="H104" s="52" t="e">
        <f t="shared" si="16"/>
        <v>#DIV/0!</v>
      </c>
      <c r="I104" s="51">
        <f t="shared" si="17"/>
        <v>0</v>
      </c>
    </row>
    <row r="105" spans="1:9">
      <c r="A105" s="47">
        <v>92</v>
      </c>
      <c r="B105" s="50">
        <f t="shared" si="11"/>
        <v>0</v>
      </c>
      <c r="C105" s="51">
        <f t="shared" si="18"/>
        <v>0</v>
      </c>
      <c r="D105" s="51">
        <f t="shared" si="12"/>
        <v>0</v>
      </c>
      <c r="E105" s="51">
        <f t="shared" si="14"/>
        <v>0</v>
      </c>
      <c r="F105" s="51">
        <f t="shared" si="15"/>
        <v>0</v>
      </c>
      <c r="G105" s="51">
        <f t="shared" si="13"/>
        <v>0</v>
      </c>
      <c r="H105" s="52" t="e">
        <f t="shared" si="16"/>
        <v>#DIV/0!</v>
      </c>
      <c r="I105" s="51">
        <f t="shared" si="17"/>
        <v>0</v>
      </c>
    </row>
    <row r="106" spans="1:9">
      <c r="A106" s="47">
        <v>93</v>
      </c>
      <c r="B106" s="50">
        <f t="shared" si="11"/>
        <v>0</v>
      </c>
      <c r="C106" s="51">
        <f t="shared" si="18"/>
        <v>0</v>
      </c>
      <c r="D106" s="51">
        <f t="shared" si="12"/>
        <v>0</v>
      </c>
      <c r="E106" s="51">
        <f t="shared" si="14"/>
        <v>0</v>
      </c>
      <c r="F106" s="51">
        <f t="shared" si="15"/>
        <v>0</v>
      </c>
      <c r="G106" s="51">
        <f t="shared" si="13"/>
        <v>0</v>
      </c>
      <c r="H106" s="52" t="e">
        <f t="shared" si="16"/>
        <v>#DIV/0!</v>
      </c>
      <c r="I106" s="51">
        <f t="shared" si="17"/>
        <v>0</v>
      </c>
    </row>
    <row r="107" spans="1:9">
      <c r="A107" s="47">
        <v>94</v>
      </c>
      <c r="B107" s="50">
        <f t="shared" si="11"/>
        <v>0</v>
      </c>
      <c r="C107" s="51">
        <f t="shared" si="18"/>
        <v>0</v>
      </c>
      <c r="D107" s="51">
        <f t="shared" si="12"/>
        <v>0</v>
      </c>
      <c r="E107" s="51">
        <f t="shared" si="14"/>
        <v>0</v>
      </c>
      <c r="F107" s="51">
        <f t="shared" si="15"/>
        <v>0</v>
      </c>
      <c r="G107" s="51">
        <f t="shared" si="13"/>
        <v>0</v>
      </c>
      <c r="H107" s="52" t="e">
        <f t="shared" si="16"/>
        <v>#DIV/0!</v>
      </c>
      <c r="I107" s="51">
        <f t="shared" si="17"/>
        <v>0</v>
      </c>
    </row>
    <row r="108" spans="1:9">
      <c r="A108" s="47">
        <v>95</v>
      </c>
      <c r="B108" s="50">
        <f t="shared" si="11"/>
        <v>0</v>
      </c>
      <c r="C108" s="51">
        <f t="shared" si="18"/>
        <v>0</v>
      </c>
      <c r="D108" s="51">
        <f t="shared" si="12"/>
        <v>0</v>
      </c>
      <c r="E108" s="51">
        <f t="shared" si="14"/>
        <v>0</v>
      </c>
      <c r="F108" s="51">
        <f t="shared" si="15"/>
        <v>0</v>
      </c>
      <c r="G108" s="51">
        <f t="shared" si="13"/>
        <v>0</v>
      </c>
      <c r="H108" s="52" t="e">
        <f t="shared" si="16"/>
        <v>#DIV/0!</v>
      </c>
      <c r="I108" s="51">
        <f t="shared" si="17"/>
        <v>0</v>
      </c>
    </row>
    <row r="109" spans="1:9">
      <c r="A109" s="53">
        <v>96</v>
      </c>
      <c r="B109" s="54">
        <f t="shared" si="11"/>
        <v>0</v>
      </c>
      <c r="C109" s="55">
        <f t="shared" si="18"/>
        <v>0</v>
      </c>
      <c r="D109" s="55">
        <f t="shared" si="12"/>
        <v>0</v>
      </c>
      <c r="E109" s="55">
        <f t="shared" si="14"/>
        <v>0</v>
      </c>
      <c r="F109" s="55">
        <f t="shared" si="15"/>
        <v>0</v>
      </c>
      <c r="G109" s="55">
        <f t="shared" si="13"/>
        <v>0</v>
      </c>
      <c r="H109" s="56" t="e">
        <f t="shared" si="16"/>
        <v>#DIV/0!</v>
      </c>
      <c r="I109" s="55">
        <f t="shared" si="17"/>
        <v>0</v>
      </c>
    </row>
    <row r="110" spans="1:9">
      <c r="A110" s="47">
        <v>97</v>
      </c>
      <c r="B110" s="50">
        <f t="shared" si="11"/>
        <v>0</v>
      </c>
      <c r="C110" s="51">
        <f t="shared" si="18"/>
        <v>0</v>
      </c>
      <c r="D110" s="51">
        <f t="shared" si="12"/>
        <v>0</v>
      </c>
      <c r="E110" s="51">
        <f t="shared" si="14"/>
        <v>0</v>
      </c>
      <c r="F110" s="51">
        <f t="shared" si="15"/>
        <v>0</v>
      </c>
      <c r="G110" s="51">
        <f t="shared" si="13"/>
        <v>0</v>
      </c>
      <c r="H110" s="52" t="e">
        <f t="shared" si="16"/>
        <v>#DIV/0!</v>
      </c>
      <c r="I110" s="51">
        <f t="shared" si="17"/>
        <v>0</v>
      </c>
    </row>
    <row r="111" spans="1:9">
      <c r="A111" s="47">
        <v>98</v>
      </c>
      <c r="B111" s="50">
        <f t="shared" si="11"/>
        <v>0</v>
      </c>
      <c r="C111" s="51">
        <f t="shared" si="18"/>
        <v>0</v>
      </c>
      <c r="D111" s="51">
        <f t="shared" si="12"/>
        <v>0</v>
      </c>
      <c r="E111" s="51">
        <f t="shared" si="14"/>
        <v>0</v>
      </c>
      <c r="F111" s="51">
        <f t="shared" si="15"/>
        <v>0</v>
      </c>
      <c r="G111" s="51">
        <f t="shared" si="13"/>
        <v>0</v>
      </c>
      <c r="H111" s="52" t="e">
        <f t="shared" si="16"/>
        <v>#DIV/0!</v>
      </c>
      <c r="I111" s="51">
        <f t="shared" si="17"/>
        <v>0</v>
      </c>
    </row>
    <row r="112" spans="1:9">
      <c r="A112" s="47">
        <v>99</v>
      </c>
      <c r="B112" s="50">
        <f t="shared" si="11"/>
        <v>0</v>
      </c>
      <c r="C112" s="51">
        <f t="shared" si="18"/>
        <v>0</v>
      </c>
      <c r="D112" s="51">
        <f t="shared" si="12"/>
        <v>0</v>
      </c>
      <c r="E112" s="51">
        <f t="shared" si="14"/>
        <v>0</v>
      </c>
      <c r="F112" s="51">
        <f t="shared" si="15"/>
        <v>0</v>
      </c>
      <c r="G112" s="51">
        <f t="shared" si="13"/>
        <v>0</v>
      </c>
      <c r="H112" s="52" t="e">
        <f t="shared" si="16"/>
        <v>#DIV/0!</v>
      </c>
      <c r="I112" s="51">
        <f t="shared" si="17"/>
        <v>0</v>
      </c>
    </row>
    <row r="113" spans="1:9">
      <c r="A113" s="47">
        <v>100</v>
      </c>
      <c r="B113" s="50">
        <f t="shared" si="11"/>
        <v>0</v>
      </c>
      <c r="C113" s="51">
        <f t="shared" si="18"/>
        <v>0</v>
      </c>
      <c r="D113" s="51">
        <f t="shared" si="12"/>
        <v>0</v>
      </c>
      <c r="E113" s="51">
        <f t="shared" si="14"/>
        <v>0</v>
      </c>
      <c r="F113" s="51">
        <f t="shared" si="15"/>
        <v>0</v>
      </c>
      <c r="G113" s="51">
        <f t="shared" si="13"/>
        <v>0</v>
      </c>
      <c r="H113" s="52" t="e">
        <f t="shared" si="16"/>
        <v>#DIV/0!</v>
      </c>
      <c r="I113" s="51">
        <f t="shared" si="17"/>
        <v>0</v>
      </c>
    </row>
    <row r="114" spans="1:9">
      <c r="A114" s="47">
        <v>101</v>
      </c>
      <c r="B114" s="50">
        <f t="shared" si="11"/>
        <v>0</v>
      </c>
      <c r="C114" s="51">
        <f t="shared" si="18"/>
        <v>0</v>
      </c>
      <c r="D114" s="51">
        <f t="shared" si="12"/>
        <v>0</v>
      </c>
      <c r="E114" s="51">
        <f t="shared" si="14"/>
        <v>0</v>
      </c>
      <c r="F114" s="51">
        <f t="shared" si="15"/>
        <v>0</v>
      </c>
      <c r="G114" s="51">
        <f t="shared" si="13"/>
        <v>0</v>
      </c>
      <c r="H114" s="52" t="e">
        <f t="shared" si="16"/>
        <v>#DIV/0!</v>
      </c>
      <c r="I114" s="51">
        <f t="shared" si="17"/>
        <v>0</v>
      </c>
    </row>
    <row r="115" spans="1:9">
      <c r="A115" s="47">
        <v>102</v>
      </c>
      <c r="B115" s="50">
        <f t="shared" ref="B115:B178" si="19">$C$6</f>
        <v>0</v>
      </c>
      <c r="C115" s="51">
        <f t="shared" si="18"/>
        <v>0</v>
      </c>
      <c r="D115" s="51">
        <f t="shared" si="12"/>
        <v>0</v>
      </c>
      <c r="E115" s="51">
        <f t="shared" si="14"/>
        <v>0</v>
      </c>
      <c r="F115" s="51">
        <f t="shared" si="15"/>
        <v>0</v>
      </c>
      <c r="G115" s="51">
        <f t="shared" si="13"/>
        <v>0</v>
      </c>
      <c r="H115" s="52" t="e">
        <f t="shared" si="16"/>
        <v>#DIV/0!</v>
      </c>
      <c r="I115" s="51">
        <f t="shared" si="17"/>
        <v>0</v>
      </c>
    </row>
    <row r="116" spans="1:9">
      <c r="A116" s="47">
        <v>103</v>
      </c>
      <c r="B116" s="50">
        <f t="shared" si="19"/>
        <v>0</v>
      </c>
      <c r="C116" s="51">
        <f t="shared" si="18"/>
        <v>0</v>
      </c>
      <c r="D116" s="51">
        <f t="shared" si="12"/>
        <v>0</v>
      </c>
      <c r="E116" s="51">
        <f t="shared" si="14"/>
        <v>0</v>
      </c>
      <c r="F116" s="51">
        <f t="shared" si="15"/>
        <v>0</v>
      </c>
      <c r="G116" s="51">
        <f t="shared" si="13"/>
        <v>0</v>
      </c>
      <c r="H116" s="52" t="e">
        <f t="shared" si="16"/>
        <v>#DIV/0!</v>
      </c>
      <c r="I116" s="51">
        <f t="shared" si="17"/>
        <v>0</v>
      </c>
    </row>
    <row r="117" spans="1:9">
      <c r="A117" s="47">
        <v>104</v>
      </c>
      <c r="B117" s="50">
        <f t="shared" si="19"/>
        <v>0</v>
      </c>
      <c r="C117" s="51">
        <f t="shared" si="18"/>
        <v>0</v>
      </c>
      <c r="D117" s="51">
        <f t="shared" si="12"/>
        <v>0</v>
      </c>
      <c r="E117" s="51">
        <f t="shared" si="14"/>
        <v>0</v>
      </c>
      <c r="F117" s="51">
        <f t="shared" si="15"/>
        <v>0</v>
      </c>
      <c r="G117" s="51">
        <f t="shared" si="13"/>
        <v>0</v>
      </c>
      <c r="H117" s="52" t="e">
        <f t="shared" si="16"/>
        <v>#DIV/0!</v>
      </c>
      <c r="I117" s="51">
        <f t="shared" si="17"/>
        <v>0</v>
      </c>
    </row>
    <row r="118" spans="1:9">
      <c r="A118" s="47">
        <v>105</v>
      </c>
      <c r="B118" s="50">
        <f t="shared" si="19"/>
        <v>0</v>
      </c>
      <c r="C118" s="51">
        <f t="shared" si="18"/>
        <v>0</v>
      </c>
      <c r="D118" s="51">
        <f t="shared" si="12"/>
        <v>0</v>
      </c>
      <c r="E118" s="51">
        <f t="shared" si="14"/>
        <v>0</v>
      </c>
      <c r="F118" s="51">
        <f t="shared" si="15"/>
        <v>0</v>
      </c>
      <c r="G118" s="51">
        <f t="shared" si="13"/>
        <v>0</v>
      </c>
      <c r="H118" s="52" t="e">
        <f t="shared" si="16"/>
        <v>#DIV/0!</v>
      </c>
      <c r="I118" s="51">
        <f t="shared" si="17"/>
        <v>0</v>
      </c>
    </row>
    <row r="119" spans="1:9">
      <c r="A119" s="47">
        <v>106</v>
      </c>
      <c r="B119" s="50">
        <f t="shared" si="19"/>
        <v>0</v>
      </c>
      <c r="C119" s="51">
        <f t="shared" si="18"/>
        <v>0</v>
      </c>
      <c r="D119" s="51">
        <f t="shared" si="12"/>
        <v>0</v>
      </c>
      <c r="E119" s="51">
        <f t="shared" si="14"/>
        <v>0</v>
      </c>
      <c r="F119" s="51">
        <f t="shared" si="15"/>
        <v>0</v>
      </c>
      <c r="G119" s="51">
        <f t="shared" si="13"/>
        <v>0</v>
      </c>
      <c r="H119" s="52" t="e">
        <f t="shared" si="16"/>
        <v>#DIV/0!</v>
      </c>
      <c r="I119" s="51">
        <f t="shared" si="17"/>
        <v>0</v>
      </c>
    </row>
    <row r="120" spans="1:9">
      <c r="A120" s="47">
        <v>107</v>
      </c>
      <c r="B120" s="50">
        <f t="shared" si="19"/>
        <v>0</v>
      </c>
      <c r="C120" s="51">
        <f t="shared" si="18"/>
        <v>0</v>
      </c>
      <c r="D120" s="51">
        <f t="shared" si="12"/>
        <v>0</v>
      </c>
      <c r="E120" s="51">
        <f t="shared" si="14"/>
        <v>0</v>
      </c>
      <c r="F120" s="51">
        <f t="shared" si="15"/>
        <v>0</v>
      </c>
      <c r="G120" s="51">
        <f t="shared" si="13"/>
        <v>0</v>
      </c>
      <c r="H120" s="52" t="e">
        <f t="shared" si="16"/>
        <v>#DIV/0!</v>
      </c>
      <c r="I120" s="51">
        <f t="shared" si="17"/>
        <v>0</v>
      </c>
    </row>
    <row r="121" spans="1:9">
      <c r="A121" s="53">
        <v>108</v>
      </c>
      <c r="B121" s="54">
        <f t="shared" si="19"/>
        <v>0</v>
      </c>
      <c r="C121" s="55">
        <f t="shared" si="18"/>
        <v>0</v>
      </c>
      <c r="D121" s="55">
        <f t="shared" si="12"/>
        <v>0</v>
      </c>
      <c r="E121" s="55">
        <f t="shared" si="14"/>
        <v>0</v>
      </c>
      <c r="F121" s="55">
        <f t="shared" si="15"/>
        <v>0</v>
      </c>
      <c r="G121" s="55">
        <f t="shared" si="13"/>
        <v>0</v>
      </c>
      <c r="H121" s="56" t="e">
        <f t="shared" si="16"/>
        <v>#DIV/0!</v>
      </c>
      <c r="I121" s="55">
        <f t="shared" si="17"/>
        <v>0</v>
      </c>
    </row>
    <row r="122" spans="1:9">
      <c r="A122" s="47">
        <v>109</v>
      </c>
      <c r="B122" s="50">
        <f t="shared" si="19"/>
        <v>0</v>
      </c>
      <c r="C122" s="51">
        <f t="shared" si="18"/>
        <v>0</v>
      </c>
      <c r="D122" s="51">
        <f t="shared" si="12"/>
        <v>0</v>
      </c>
      <c r="E122" s="51">
        <f t="shared" si="14"/>
        <v>0</v>
      </c>
      <c r="F122" s="51">
        <f t="shared" si="15"/>
        <v>0</v>
      </c>
      <c r="G122" s="51">
        <f t="shared" si="13"/>
        <v>0</v>
      </c>
      <c r="H122" s="52" t="e">
        <f t="shared" si="16"/>
        <v>#DIV/0!</v>
      </c>
      <c r="I122" s="51">
        <f t="shared" si="17"/>
        <v>0</v>
      </c>
    </row>
    <row r="123" spans="1:9">
      <c r="A123" s="47">
        <v>110</v>
      </c>
      <c r="B123" s="50">
        <f t="shared" si="19"/>
        <v>0</v>
      </c>
      <c r="C123" s="51">
        <f t="shared" si="18"/>
        <v>0</v>
      </c>
      <c r="D123" s="51">
        <f t="shared" si="12"/>
        <v>0</v>
      </c>
      <c r="E123" s="51">
        <f t="shared" si="14"/>
        <v>0</v>
      </c>
      <c r="F123" s="51">
        <f t="shared" si="15"/>
        <v>0</v>
      </c>
      <c r="G123" s="51">
        <f t="shared" si="13"/>
        <v>0</v>
      </c>
      <c r="H123" s="52" t="e">
        <f t="shared" si="16"/>
        <v>#DIV/0!</v>
      </c>
      <c r="I123" s="51">
        <f t="shared" si="17"/>
        <v>0</v>
      </c>
    </row>
    <row r="124" spans="1:9">
      <c r="A124" s="47">
        <v>111</v>
      </c>
      <c r="B124" s="50">
        <f t="shared" si="19"/>
        <v>0</v>
      </c>
      <c r="C124" s="51">
        <f t="shared" si="18"/>
        <v>0</v>
      </c>
      <c r="D124" s="51">
        <f t="shared" si="12"/>
        <v>0</v>
      </c>
      <c r="E124" s="51">
        <f t="shared" si="14"/>
        <v>0</v>
      </c>
      <c r="F124" s="51">
        <f t="shared" si="15"/>
        <v>0</v>
      </c>
      <c r="G124" s="51">
        <f t="shared" si="13"/>
        <v>0</v>
      </c>
      <c r="H124" s="52" t="e">
        <f t="shared" si="16"/>
        <v>#DIV/0!</v>
      </c>
      <c r="I124" s="51">
        <f t="shared" si="17"/>
        <v>0</v>
      </c>
    </row>
    <row r="125" spans="1:9">
      <c r="A125" s="47">
        <v>112</v>
      </c>
      <c r="B125" s="50">
        <f t="shared" si="19"/>
        <v>0</v>
      </c>
      <c r="C125" s="51">
        <f t="shared" si="18"/>
        <v>0</v>
      </c>
      <c r="D125" s="51">
        <f t="shared" si="12"/>
        <v>0</v>
      </c>
      <c r="E125" s="51">
        <f t="shared" si="14"/>
        <v>0</v>
      </c>
      <c r="F125" s="51">
        <f t="shared" si="15"/>
        <v>0</v>
      </c>
      <c r="G125" s="51">
        <f t="shared" si="13"/>
        <v>0</v>
      </c>
      <c r="H125" s="52" t="e">
        <f t="shared" si="16"/>
        <v>#DIV/0!</v>
      </c>
      <c r="I125" s="51">
        <f t="shared" si="17"/>
        <v>0</v>
      </c>
    </row>
    <row r="126" spans="1:9">
      <c r="A126" s="47">
        <v>113</v>
      </c>
      <c r="B126" s="50">
        <f t="shared" si="19"/>
        <v>0</v>
      </c>
      <c r="C126" s="51">
        <f t="shared" si="18"/>
        <v>0</v>
      </c>
      <c r="D126" s="51">
        <f t="shared" si="12"/>
        <v>0</v>
      </c>
      <c r="E126" s="51">
        <f t="shared" si="14"/>
        <v>0</v>
      </c>
      <c r="F126" s="51">
        <f t="shared" si="15"/>
        <v>0</v>
      </c>
      <c r="G126" s="51">
        <f t="shared" si="13"/>
        <v>0</v>
      </c>
      <c r="H126" s="52" t="e">
        <f t="shared" si="16"/>
        <v>#DIV/0!</v>
      </c>
      <c r="I126" s="51">
        <f t="shared" si="17"/>
        <v>0</v>
      </c>
    </row>
    <row r="127" spans="1:9">
      <c r="A127" s="47">
        <v>114</v>
      </c>
      <c r="B127" s="50">
        <f t="shared" si="19"/>
        <v>0</v>
      </c>
      <c r="C127" s="51">
        <f t="shared" si="18"/>
        <v>0</v>
      </c>
      <c r="D127" s="51">
        <f t="shared" si="12"/>
        <v>0</v>
      </c>
      <c r="E127" s="51">
        <f t="shared" si="14"/>
        <v>0</v>
      </c>
      <c r="F127" s="51">
        <f t="shared" si="15"/>
        <v>0</v>
      </c>
      <c r="G127" s="51">
        <f t="shared" si="13"/>
        <v>0</v>
      </c>
      <c r="H127" s="52" t="e">
        <f t="shared" si="16"/>
        <v>#DIV/0!</v>
      </c>
      <c r="I127" s="51">
        <f t="shared" si="17"/>
        <v>0</v>
      </c>
    </row>
    <row r="128" spans="1:9">
      <c r="A128" s="47">
        <v>115</v>
      </c>
      <c r="B128" s="50">
        <f t="shared" si="19"/>
        <v>0</v>
      </c>
      <c r="C128" s="51">
        <f t="shared" si="18"/>
        <v>0</v>
      </c>
      <c r="D128" s="51">
        <f t="shared" si="12"/>
        <v>0</v>
      </c>
      <c r="E128" s="51">
        <f t="shared" si="14"/>
        <v>0</v>
      </c>
      <c r="F128" s="51">
        <f t="shared" si="15"/>
        <v>0</v>
      </c>
      <c r="G128" s="51">
        <f t="shared" si="13"/>
        <v>0</v>
      </c>
      <c r="H128" s="52" t="e">
        <f t="shared" si="16"/>
        <v>#DIV/0!</v>
      </c>
      <c r="I128" s="51">
        <f t="shared" si="17"/>
        <v>0</v>
      </c>
    </row>
    <row r="129" spans="1:9">
      <c r="A129" s="47">
        <v>116</v>
      </c>
      <c r="B129" s="50">
        <f t="shared" si="19"/>
        <v>0</v>
      </c>
      <c r="C129" s="51">
        <f t="shared" si="18"/>
        <v>0</v>
      </c>
      <c r="D129" s="51">
        <f t="shared" si="12"/>
        <v>0</v>
      </c>
      <c r="E129" s="51">
        <f t="shared" si="14"/>
        <v>0</v>
      </c>
      <c r="F129" s="51">
        <f t="shared" si="15"/>
        <v>0</v>
      </c>
      <c r="G129" s="51">
        <f t="shared" si="13"/>
        <v>0</v>
      </c>
      <c r="H129" s="52" t="e">
        <f t="shared" si="16"/>
        <v>#DIV/0!</v>
      </c>
      <c r="I129" s="51">
        <f t="shared" si="17"/>
        <v>0</v>
      </c>
    </row>
    <row r="130" spans="1:9">
      <c r="A130" s="47">
        <v>117</v>
      </c>
      <c r="B130" s="50">
        <f t="shared" si="19"/>
        <v>0</v>
      </c>
      <c r="C130" s="51">
        <f t="shared" si="18"/>
        <v>0</v>
      </c>
      <c r="D130" s="51">
        <f t="shared" si="12"/>
        <v>0</v>
      </c>
      <c r="E130" s="51">
        <f t="shared" si="14"/>
        <v>0</v>
      </c>
      <c r="F130" s="51">
        <f t="shared" si="15"/>
        <v>0</v>
      </c>
      <c r="G130" s="51">
        <f t="shared" si="13"/>
        <v>0</v>
      </c>
      <c r="H130" s="52" t="e">
        <f t="shared" si="16"/>
        <v>#DIV/0!</v>
      </c>
      <c r="I130" s="51">
        <f t="shared" si="17"/>
        <v>0</v>
      </c>
    </row>
    <row r="131" spans="1:9">
      <c r="A131" s="47">
        <v>118</v>
      </c>
      <c r="B131" s="50">
        <f t="shared" si="19"/>
        <v>0</v>
      </c>
      <c r="C131" s="51">
        <f t="shared" si="18"/>
        <v>0</v>
      </c>
      <c r="D131" s="51">
        <f t="shared" si="12"/>
        <v>0</v>
      </c>
      <c r="E131" s="51">
        <f t="shared" si="14"/>
        <v>0</v>
      </c>
      <c r="F131" s="51">
        <f t="shared" si="15"/>
        <v>0</v>
      </c>
      <c r="G131" s="51">
        <f t="shared" si="13"/>
        <v>0</v>
      </c>
      <c r="H131" s="52" t="e">
        <f t="shared" si="16"/>
        <v>#DIV/0!</v>
      </c>
      <c r="I131" s="51">
        <f t="shared" si="17"/>
        <v>0</v>
      </c>
    </row>
    <row r="132" spans="1:9">
      <c r="A132" s="47">
        <v>119</v>
      </c>
      <c r="B132" s="50">
        <f t="shared" si="19"/>
        <v>0</v>
      </c>
      <c r="C132" s="51">
        <f t="shared" si="18"/>
        <v>0</v>
      </c>
      <c r="D132" s="51">
        <f t="shared" si="12"/>
        <v>0</v>
      </c>
      <c r="E132" s="51">
        <f t="shared" si="14"/>
        <v>0</v>
      </c>
      <c r="F132" s="51">
        <f t="shared" si="15"/>
        <v>0</v>
      </c>
      <c r="G132" s="51">
        <f t="shared" si="13"/>
        <v>0</v>
      </c>
      <c r="H132" s="52" t="e">
        <f t="shared" si="16"/>
        <v>#DIV/0!</v>
      </c>
      <c r="I132" s="51">
        <f t="shared" si="17"/>
        <v>0</v>
      </c>
    </row>
    <row r="133" spans="1:9">
      <c r="A133" s="47">
        <v>120</v>
      </c>
      <c r="B133" s="50">
        <f t="shared" si="19"/>
        <v>0</v>
      </c>
      <c r="C133" s="51">
        <f t="shared" si="18"/>
        <v>0</v>
      </c>
      <c r="D133" s="51">
        <f t="shared" si="12"/>
        <v>0</v>
      </c>
      <c r="E133" s="51">
        <f t="shared" si="14"/>
        <v>0</v>
      </c>
      <c r="F133" s="51">
        <f t="shared" si="15"/>
        <v>0</v>
      </c>
      <c r="G133" s="51">
        <f t="shared" si="13"/>
        <v>0</v>
      </c>
      <c r="H133" s="52" t="e">
        <f t="shared" si="16"/>
        <v>#DIV/0!</v>
      </c>
      <c r="I133" s="51">
        <f t="shared" si="17"/>
        <v>0</v>
      </c>
    </row>
    <row r="134" spans="1:9">
      <c r="A134" s="47">
        <v>121</v>
      </c>
      <c r="B134" s="50">
        <f t="shared" si="19"/>
        <v>0</v>
      </c>
      <c r="C134" s="51">
        <f t="shared" si="18"/>
        <v>0</v>
      </c>
      <c r="D134" s="51">
        <f t="shared" si="12"/>
        <v>0</v>
      </c>
      <c r="E134" s="51">
        <f t="shared" si="14"/>
        <v>0</v>
      </c>
      <c r="F134" s="51">
        <f t="shared" si="15"/>
        <v>0</v>
      </c>
      <c r="G134" s="51">
        <f t="shared" si="13"/>
        <v>0</v>
      </c>
      <c r="H134" s="52" t="e">
        <f t="shared" si="16"/>
        <v>#DIV/0!</v>
      </c>
      <c r="I134" s="51">
        <f t="shared" si="17"/>
        <v>0</v>
      </c>
    </row>
    <row r="135" spans="1:9">
      <c r="A135" s="47">
        <v>122</v>
      </c>
      <c r="B135" s="50">
        <f t="shared" si="19"/>
        <v>0</v>
      </c>
      <c r="C135" s="51">
        <f t="shared" si="18"/>
        <v>0</v>
      </c>
      <c r="D135" s="51">
        <f t="shared" si="12"/>
        <v>0</v>
      </c>
      <c r="E135" s="51">
        <f t="shared" si="14"/>
        <v>0</v>
      </c>
      <c r="F135" s="51">
        <f t="shared" si="15"/>
        <v>0</v>
      </c>
      <c r="G135" s="51">
        <f t="shared" si="13"/>
        <v>0</v>
      </c>
      <c r="H135" s="52" t="e">
        <f t="shared" si="16"/>
        <v>#DIV/0!</v>
      </c>
      <c r="I135" s="51">
        <f t="shared" si="17"/>
        <v>0</v>
      </c>
    </row>
    <row r="136" spans="1:9">
      <c r="A136" s="47">
        <v>123</v>
      </c>
      <c r="B136" s="50">
        <f t="shared" si="19"/>
        <v>0</v>
      </c>
      <c r="C136" s="51">
        <f t="shared" si="18"/>
        <v>0</v>
      </c>
      <c r="D136" s="51">
        <f t="shared" si="12"/>
        <v>0</v>
      </c>
      <c r="E136" s="51">
        <f t="shared" si="14"/>
        <v>0</v>
      </c>
      <c r="F136" s="51">
        <f t="shared" si="15"/>
        <v>0</v>
      </c>
      <c r="G136" s="51">
        <f t="shared" si="13"/>
        <v>0</v>
      </c>
      <c r="H136" s="52" t="e">
        <f t="shared" si="16"/>
        <v>#DIV/0!</v>
      </c>
      <c r="I136" s="51">
        <f t="shared" si="17"/>
        <v>0</v>
      </c>
    </row>
    <row r="137" spans="1:9">
      <c r="A137" s="47">
        <v>124</v>
      </c>
      <c r="B137" s="50">
        <f t="shared" si="19"/>
        <v>0</v>
      </c>
      <c r="C137" s="51">
        <f t="shared" si="18"/>
        <v>0</v>
      </c>
      <c r="D137" s="51">
        <f t="shared" si="12"/>
        <v>0</v>
      </c>
      <c r="E137" s="51">
        <f t="shared" si="14"/>
        <v>0</v>
      </c>
      <c r="F137" s="51">
        <f t="shared" si="15"/>
        <v>0</v>
      </c>
      <c r="G137" s="51">
        <f t="shared" si="13"/>
        <v>0</v>
      </c>
      <c r="H137" s="52" t="e">
        <f t="shared" si="16"/>
        <v>#DIV/0!</v>
      </c>
      <c r="I137" s="51">
        <f t="shared" si="17"/>
        <v>0</v>
      </c>
    </row>
    <row r="138" spans="1:9">
      <c r="A138" s="47">
        <v>125</v>
      </c>
      <c r="B138" s="50">
        <f t="shared" si="19"/>
        <v>0</v>
      </c>
      <c r="C138" s="51">
        <f t="shared" si="18"/>
        <v>0</v>
      </c>
      <c r="D138" s="51">
        <f t="shared" si="12"/>
        <v>0</v>
      </c>
      <c r="E138" s="51">
        <f t="shared" si="14"/>
        <v>0</v>
      </c>
      <c r="F138" s="51">
        <f t="shared" si="15"/>
        <v>0</v>
      </c>
      <c r="G138" s="51">
        <f t="shared" si="13"/>
        <v>0</v>
      </c>
      <c r="H138" s="52" t="e">
        <f t="shared" si="16"/>
        <v>#DIV/0!</v>
      </c>
      <c r="I138" s="51">
        <f t="shared" si="17"/>
        <v>0</v>
      </c>
    </row>
    <row r="139" spans="1:9">
      <c r="A139" s="47">
        <v>126</v>
      </c>
      <c r="B139" s="50">
        <f t="shared" si="19"/>
        <v>0</v>
      </c>
      <c r="C139" s="51">
        <f t="shared" si="18"/>
        <v>0</v>
      </c>
      <c r="D139" s="51">
        <f t="shared" si="12"/>
        <v>0</v>
      </c>
      <c r="E139" s="51">
        <f t="shared" si="14"/>
        <v>0</v>
      </c>
      <c r="F139" s="51">
        <f t="shared" si="15"/>
        <v>0</v>
      </c>
      <c r="G139" s="51">
        <f t="shared" si="13"/>
        <v>0</v>
      </c>
      <c r="H139" s="52" t="e">
        <f t="shared" si="16"/>
        <v>#DIV/0!</v>
      </c>
      <c r="I139" s="51">
        <f t="shared" si="17"/>
        <v>0</v>
      </c>
    </row>
    <row r="140" spans="1:9">
      <c r="A140" s="47">
        <v>127</v>
      </c>
      <c r="B140" s="50">
        <f t="shared" si="19"/>
        <v>0</v>
      </c>
      <c r="C140" s="51">
        <f t="shared" si="18"/>
        <v>0</v>
      </c>
      <c r="D140" s="51">
        <f t="shared" si="12"/>
        <v>0</v>
      </c>
      <c r="E140" s="51">
        <f t="shared" si="14"/>
        <v>0</v>
      </c>
      <c r="F140" s="51">
        <f t="shared" si="15"/>
        <v>0</v>
      </c>
      <c r="G140" s="51">
        <f t="shared" si="13"/>
        <v>0</v>
      </c>
      <c r="H140" s="52" t="e">
        <f t="shared" si="16"/>
        <v>#DIV/0!</v>
      </c>
      <c r="I140" s="51">
        <f t="shared" si="17"/>
        <v>0</v>
      </c>
    </row>
    <row r="141" spans="1:9">
      <c r="A141" s="47">
        <v>128</v>
      </c>
      <c r="B141" s="50">
        <f t="shared" si="19"/>
        <v>0</v>
      </c>
      <c r="C141" s="51">
        <f t="shared" si="18"/>
        <v>0</v>
      </c>
      <c r="D141" s="51">
        <f t="shared" si="12"/>
        <v>0</v>
      </c>
      <c r="E141" s="51">
        <f t="shared" si="14"/>
        <v>0</v>
      </c>
      <c r="F141" s="51">
        <f t="shared" si="15"/>
        <v>0</v>
      </c>
      <c r="G141" s="51">
        <f t="shared" si="13"/>
        <v>0</v>
      </c>
      <c r="H141" s="52" t="e">
        <f t="shared" si="16"/>
        <v>#DIV/0!</v>
      </c>
      <c r="I141" s="51">
        <f t="shared" si="17"/>
        <v>0</v>
      </c>
    </row>
    <row r="142" spans="1:9">
      <c r="A142" s="47">
        <v>129</v>
      </c>
      <c r="B142" s="50">
        <f t="shared" si="19"/>
        <v>0</v>
      </c>
      <c r="C142" s="51">
        <f t="shared" si="18"/>
        <v>0</v>
      </c>
      <c r="D142" s="51">
        <f t="shared" ref="D142:D205" si="20">IF(C142+E142&gt;$C$10,$C$10,C142+E142)</f>
        <v>0</v>
      </c>
      <c r="E142" s="51">
        <f t="shared" si="14"/>
        <v>0</v>
      </c>
      <c r="F142" s="51">
        <f t="shared" si="15"/>
        <v>0</v>
      </c>
      <c r="G142" s="51">
        <f t="shared" ref="G142:G205" si="21">C142-F142</f>
        <v>0</v>
      </c>
      <c r="H142" s="52" t="e">
        <f t="shared" si="16"/>
        <v>#DIV/0!</v>
      </c>
      <c r="I142" s="51">
        <f t="shared" si="17"/>
        <v>0</v>
      </c>
    </row>
    <row r="143" spans="1:9">
      <c r="A143" s="47">
        <v>130</v>
      </c>
      <c r="B143" s="50">
        <f t="shared" si="19"/>
        <v>0</v>
      </c>
      <c r="C143" s="51">
        <f t="shared" si="18"/>
        <v>0</v>
      </c>
      <c r="D143" s="51">
        <f t="shared" si="20"/>
        <v>0</v>
      </c>
      <c r="E143" s="51">
        <f t="shared" ref="E143:E206" si="22">C143*(B143/12)</f>
        <v>0</v>
      </c>
      <c r="F143" s="51">
        <f t="shared" ref="F143:F206" si="23">IF(C143&lt;$C$10,C143,D143-E143)</f>
        <v>0</v>
      </c>
      <c r="G143" s="51">
        <f t="shared" si="21"/>
        <v>0</v>
      </c>
      <c r="H143" s="52" t="e">
        <f t="shared" ref="H143:H206" si="24">G143/$C$1</f>
        <v>#DIV/0!</v>
      </c>
      <c r="I143" s="51">
        <f t="shared" ref="I143:I206" si="25">C143*$I$10/12</f>
        <v>0</v>
      </c>
    </row>
    <row r="144" spans="1:9">
      <c r="A144" s="47">
        <v>131</v>
      </c>
      <c r="B144" s="50">
        <f t="shared" si="19"/>
        <v>0</v>
      </c>
      <c r="C144" s="51">
        <f t="shared" ref="C144:C207" si="26">G143</f>
        <v>0</v>
      </c>
      <c r="D144" s="51">
        <f t="shared" si="20"/>
        <v>0</v>
      </c>
      <c r="E144" s="51">
        <f t="shared" si="22"/>
        <v>0</v>
      </c>
      <c r="F144" s="51">
        <f t="shared" si="23"/>
        <v>0</v>
      </c>
      <c r="G144" s="51">
        <f t="shared" si="21"/>
        <v>0</v>
      </c>
      <c r="H144" s="52" t="e">
        <f t="shared" si="24"/>
        <v>#DIV/0!</v>
      </c>
      <c r="I144" s="51">
        <f t="shared" si="25"/>
        <v>0</v>
      </c>
    </row>
    <row r="145" spans="1:9">
      <c r="A145" s="47">
        <v>132</v>
      </c>
      <c r="B145" s="50">
        <f t="shared" si="19"/>
        <v>0</v>
      </c>
      <c r="C145" s="51">
        <f t="shared" si="26"/>
        <v>0</v>
      </c>
      <c r="D145" s="51">
        <f t="shared" si="20"/>
        <v>0</v>
      </c>
      <c r="E145" s="51">
        <f t="shared" si="22"/>
        <v>0</v>
      </c>
      <c r="F145" s="51">
        <f t="shared" si="23"/>
        <v>0</v>
      </c>
      <c r="G145" s="51">
        <f t="shared" si="21"/>
        <v>0</v>
      </c>
      <c r="H145" s="52" t="e">
        <f t="shared" si="24"/>
        <v>#DIV/0!</v>
      </c>
      <c r="I145" s="51">
        <f t="shared" si="25"/>
        <v>0</v>
      </c>
    </row>
    <row r="146" spans="1:9">
      <c r="A146" s="47">
        <v>133</v>
      </c>
      <c r="B146" s="50">
        <f t="shared" si="19"/>
        <v>0</v>
      </c>
      <c r="C146" s="51">
        <f t="shared" si="26"/>
        <v>0</v>
      </c>
      <c r="D146" s="51">
        <f t="shared" si="20"/>
        <v>0</v>
      </c>
      <c r="E146" s="51">
        <f t="shared" si="22"/>
        <v>0</v>
      </c>
      <c r="F146" s="51">
        <f t="shared" si="23"/>
        <v>0</v>
      </c>
      <c r="G146" s="51">
        <f t="shared" si="21"/>
        <v>0</v>
      </c>
      <c r="H146" s="52" t="e">
        <f t="shared" si="24"/>
        <v>#DIV/0!</v>
      </c>
      <c r="I146" s="51">
        <f t="shared" si="25"/>
        <v>0</v>
      </c>
    </row>
    <row r="147" spans="1:9">
      <c r="A147" s="47">
        <v>134</v>
      </c>
      <c r="B147" s="50">
        <f t="shared" si="19"/>
        <v>0</v>
      </c>
      <c r="C147" s="51">
        <f t="shared" si="26"/>
        <v>0</v>
      </c>
      <c r="D147" s="51">
        <f t="shared" si="20"/>
        <v>0</v>
      </c>
      <c r="E147" s="51">
        <f t="shared" si="22"/>
        <v>0</v>
      </c>
      <c r="F147" s="51">
        <f t="shared" si="23"/>
        <v>0</v>
      </c>
      <c r="G147" s="51">
        <f t="shared" si="21"/>
        <v>0</v>
      </c>
      <c r="H147" s="52" t="e">
        <f t="shared" si="24"/>
        <v>#DIV/0!</v>
      </c>
      <c r="I147" s="51">
        <f t="shared" si="25"/>
        <v>0</v>
      </c>
    </row>
    <row r="148" spans="1:9">
      <c r="A148" s="47">
        <v>135</v>
      </c>
      <c r="B148" s="50">
        <f t="shared" si="19"/>
        <v>0</v>
      </c>
      <c r="C148" s="51">
        <f t="shared" si="26"/>
        <v>0</v>
      </c>
      <c r="D148" s="51">
        <f t="shared" si="20"/>
        <v>0</v>
      </c>
      <c r="E148" s="51">
        <f t="shared" si="22"/>
        <v>0</v>
      </c>
      <c r="F148" s="51">
        <f t="shared" si="23"/>
        <v>0</v>
      </c>
      <c r="G148" s="51">
        <f t="shared" si="21"/>
        <v>0</v>
      </c>
      <c r="H148" s="52" t="e">
        <f t="shared" si="24"/>
        <v>#DIV/0!</v>
      </c>
      <c r="I148" s="51">
        <f t="shared" si="25"/>
        <v>0</v>
      </c>
    </row>
    <row r="149" spans="1:9">
      <c r="A149" s="47">
        <v>136</v>
      </c>
      <c r="B149" s="50">
        <f t="shared" si="19"/>
        <v>0</v>
      </c>
      <c r="C149" s="51">
        <f t="shared" si="26"/>
        <v>0</v>
      </c>
      <c r="D149" s="51">
        <f t="shared" si="20"/>
        <v>0</v>
      </c>
      <c r="E149" s="51">
        <f t="shared" si="22"/>
        <v>0</v>
      </c>
      <c r="F149" s="51">
        <f t="shared" si="23"/>
        <v>0</v>
      </c>
      <c r="G149" s="51">
        <f t="shared" si="21"/>
        <v>0</v>
      </c>
      <c r="H149" s="52" t="e">
        <f t="shared" si="24"/>
        <v>#DIV/0!</v>
      </c>
      <c r="I149" s="51">
        <f t="shared" si="25"/>
        <v>0</v>
      </c>
    </row>
    <row r="150" spans="1:9">
      <c r="A150" s="47">
        <v>137</v>
      </c>
      <c r="B150" s="50">
        <f t="shared" si="19"/>
        <v>0</v>
      </c>
      <c r="C150" s="51">
        <f t="shared" si="26"/>
        <v>0</v>
      </c>
      <c r="D150" s="51">
        <f t="shared" si="20"/>
        <v>0</v>
      </c>
      <c r="E150" s="51">
        <f t="shared" si="22"/>
        <v>0</v>
      </c>
      <c r="F150" s="51">
        <f t="shared" si="23"/>
        <v>0</v>
      </c>
      <c r="G150" s="51">
        <f t="shared" si="21"/>
        <v>0</v>
      </c>
      <c r="H150" s="52" t="e">
        <f t="shared" si="24"/>
        <v>#DIV/0!</v>
      </c>
      <c r="I150" s="51">
        <f t="shared" si="25"/>
        <v>0</v>
      </c>
    </row>
    <row r="151" spans="1:9">
      <c r="A151" s="47">
        <v>138</v>
      </c>
      <c r="B151" s="50">
        <f t="shared" si="19"/>
        <v>0</v>
      </c>
      <c r="C151" s="51">
        <f t="shared" si="26"/>
        <v>0</v>
      </c>
      <c r="D151" s="51">
        <f t="shared" si="20"/>
        <v>0</v>
      </c>
      <c r="E151" s="51">
        <f t="shared" si="22"/>
        <v>0</v>
      </c>
      <c r="F151" s="51">
        <f t="shared" si="23"/>
        <v>0</v>
      </c>
      <c r="G151" s="51">
        <f t="shared" si="21"/>
        <v>0</v>
      </c>
      <c r="H151" s="52" t="e">
        <f t="shared" si="24"/>
        <v>#DIV/0!</v>
      </c>
      <c r="I151" s="51">
        <f t="shared" si="25"/>
        <v>0</v>
      </c>
    </row>
    <row r="152" spans="1:9">
      <c r="A152" s="47">
        <v>139</v>
      </c>
      <c r="B152" s="50">
        <f t="shared" si="19"/>
        <v>0</v>
      </c>
      <c r="C152" s="51">
        <f t="shared" si="26"/>
        <v>0</v>
      </c>
      <c r="D152" s="51">
        <f t="shared" si="20"/>
        <v>0</v>
      </c>
      <c r="E152" s="51">
        <f t="shared" si="22"/>
        <v>0</v>
      </c>
      <c r="F152" s="51">
        <f t="shared" si="23"/>
        <v>0</v>
      </c>
      <c r="G152" s="51">
        <f t="shared" si="21"/>
        <v>0</v>
      </c>
      <c r="H152" s="52" t="e">
        <f t="shared" si="24"/>
        <v>#DIV/0!</v>
      </c>
      <c r="I152" s="51">
        <f t="shared" si="25"/>
        <v>0</v>
      </c>
    </row>
    <row r="153" spans="1:9">
      <c r="A153" s="47">
        <v>140</v>
      </c>
      <c r="B153" s="50">
        <f t="shared" si="19"/>
        <v>0</v>
      </c>
      <c r="C153" s="51">
        <f t="shared" si="26"/>
        <v>0</v>
      </c>
      <c r="D153" s="51">
        <f t="shared" si="20"/>
        <v>0</v>
      </c>
      <c r="E153" s="51">
        <f t="shared" si="22"/>
        <v>0</v>
      </c>
      <c r="F153" s="51">
        <f t="shared" si="23"/>
        <v>0</v>
      </c>
      <c r="G153" s="51">
        <f t="shared" si="21"/>
        <v>0</v>
      </c>
      <c r="H153" s="52" t="e">
        <f t="shared" si="24"/>
        <v>#DIV/0!</v>
      </c>
      <c r="I153" s="51">
        <f t="shared" si="25"/>
        <v>0</v>
      </c>
    </row>
    <row r="154" spans="1:9">
      <c r="A154" s="47">
        <v>141</v>
      </c>
      <c r="B154" s="50">
        <f t="shared" si="19"/>
        <v>0</v>
      </c>
      <c r="C154" s="51">
        <f t="shared" si="26"/>
        <v>0</v>
      </c>
      <c r="D154" s="51">
        <f t="shared" si="20"/>
        <v>0</v>
      </c>
      <c r="E154" s="51">
        <f t="shared" si="22"/>
        <v>0</v>
      </c>
      <c r="F154" s="51">
        <f t="shared" si="23"/>
        <v>0</v>
      </c>
      <c r="G154" s="51">
        <f t="shared" si="21"/>
        <v>0</v>
      </c>
      <c r="H154" s="52" t="e">
        <f t="shared" si="24"/>
        <v>#DIV/0!</v>
      </c>
      <c r="I154" s="51">
        <f t="shared" si="25"/>
        <v>0</v>
      </c>
    </row>
    <row r="155" spans="1:9">
      <c r="A155" s="47">
        <v>142</v>
      </c>
      <c r="B155" s="50">
        <f t="shared" si="19"/>
        <v>0</v>
      </c>
      <c r="C155" s="51">
        <f t="shared" si="26"/>
        <v>0</v>
      </c>
      <c r="D155" s="51">
        <f t="shared" si="20"/>
        <v>0</v>
      </c>
      <c r="E155" s="51">
        <f t="shared" si="22"/>
        <v>0</v>
      </c>
      <c r="F155" s="51">
        <f t="shared" si="23"/>
        <v>0</v>
      </c>
      <c r="G155" s="51">
        <f t="shared" si="21"/>
        <v>0</v>
      </c>
      <c r="H155" s="52" t="e">
        <f t="shared" si="24"/>
        <v>#DIV/0!</v>
      </c>
      <c r="I155" s="51">
        <f t="shared" si="25"/>
        <v>0</v>
      </c>
    </row>
    <row r="156" spans="1:9">
      <c r="A156" s="47">
        <v>143</v>
      </c>
      <c r="B156" s="50">
        <f t="shared" si="19"/>
        <v>0</v>
      </c>
      <c r="C156" s="51">
        <f t="shared" si="26"/>
        <v>0</v>
      </c>
      <c r="D156" s="51">
        <f t="shared" si="20"/>
        <v>0</v>
      </c>
      <c r="E156" s="51">
        <f t="shared" si="22"/>
        <v>0</v>
      </c>
      <c r="F156" s="51">
        <f t="shared" si="23"/>
        <v>0</v>
      </c>
      <c r="G156" s="51">
        <f t="shared" si="21"/>
        <v>0</v>
      </c>
      <c r="H156" s="52" t="e">
        <f t="shared" si="24"/>
        <v>#DIV/0!</v>
      </c>
      <c r="I156" s="51">
        <f t="shared" si="25"/>
        <v>0</v>
      </c>
    </row>
    <row r="157" spans="1:9">
      <c r="A157" s="47">
        <v>144</v>
      </c>
      <c r="B157" s="50">
        <f t="shared" si="19"/>
        <v>0</v>
      </c>
      <c r="C157" s="51">
        <f t="shared" si="26"/>
        <v>0</v>
      </c>
      <c r="D157" s="51">
        <f t="shared" si="20"/>
        <v>0</v>
      </c>
      <c r="E157" s="51">
        <f t="shared" si="22"/>
        <v>0</v>
      </c>
      <c r="F157" s="51">
        <f t="shared" si="23"/>
        <v>0</v>
      </c>
      <c r="G157" s="51">
        <f t="shared" si="21"/>
        <v>0</v>
      </c>
      <c r="H157" s="52" t="e">
        <f t="shared" si="24"/>
        <v>#DIV/0!</v>
      </c>
      <c r="I157" s="51">
        <f t="shared" si="25"/>
        <v>0</v>
      </c>
    </row>
    <row r="158" spans="1:9">
      <c r="A158" s="47">
        <v>145</v>
      </c>
      <c r="B158" s="50">
        <f t="shared" si="19"/>
        <v>0</v>
      </c>
      <c r="C158" s="51">
        <f t="shared" si="26"/>
        <v>0</v>
      </c>
      <c r="D158" s="51">
        <f t="shared" si="20"/>
        <v>0</v>
      </c>
      <c r="E158" s="51">
        <f t="shared" si="22"/>
        <v>0</v>
      </c>
      <c r="F158" s="51">
        <f t="shared" si="23"/>
        <v>0</v>
      </c>
      <c r="G158" s="51">
        <f t="shared" si="21"/>
        <v>0</v>
      </c>
      <c r="H158" s="52" t="e">
        <f t="shared" si="24"/>
        <v>#DIV/0!</v>
      </c>
      <c r="I158" s="51">
        <f t="shared" si="25"/>
        <v>0</v>
      </c>
    </row>
    <row r="159" spans="1:9">
      <c r="A159" s="47">
        <v>146</v>
      </c>
      <c r="B159" s="50">
        <f t="shared" si="19"/>
        <v>0</v>
      </c>
      <c r="C159" s="51">
        <f t="shared" si="26"/>
        <v>0</v>
      </c>
      <c r="D159" s="51">
        <f t="shared" si="20"/>
        <v>0</v>
      </c>
      <c r="E159" s="51">
        <f t="shared" si="22"/>
        <v>0</v>
      </c>
      <c r="F159" s="51">
        <f t="shared" si="23"/>
        <v>0</v>
      </c>
      <c r="G159" s="51">
        <f t="shared" si="21"/>
        <v>0</v>
      </c>
      <c r="H159" s="52" t="e">
        <f t="shared" si="24"/>
        <v>#DIV/0!</v>
      </c>
      <c r="I159" s="51">
        <f t="shared" si="25"/>
        <v>0</v>
      </c>
    </row>
    <row r="160" spans="1:9">
      <c r="A160" s="47">
        <v>147</v>
      </c>
      <c r="B160" s="50">
        <f t="shared" si="19"/>
        <v>0</v>
      </c>
      <c r="C160" s="51">
        <f t="shared" si="26"/>
        <v>0</v>
      </c>
      <c r="D160" s="51">
        <f t="shared" si="20"/>
        <v>0</v>
      </c>
      <c r="E160" s="51">
        <f t="shared" si="22"/>
        <v>0</v>
      </c>
      <c r="F160" s="51">
        <f t="shared" si="23"/>
        <v>0</v>
      </c>
      <c r="G160" s="51">
        <f t="shared" si="21"/>
        <v>0</v>
      </c>
      <c r="H160" s="52" t="e">
        <f t="shared" si="24"/>
        <v>#DIV/0!</v>
      </c>
      <c r="I160" s="51">
        <f t="shared" si="25"/>
        <v>0</v>
      </c>
    </row>
    <row r="161" spans="1:9">
      <c r="A161" s="47">
        <v>148</v>
      </c>
      <c r="B161" s="50">
        <f t="shared" si="19"/>
        <v>0</v>
      </c>
      <c r="C161" s="51">
        <f t="shared" si="26"/>
        <v>0</v>
      </c>
      <c r="D161" s="51">
        <f t="shared" si="20"/>
        <v>0</v>
      </c>
      <c r="E161" s="51">
        <f t="shared" si="22"/>
        <v>0</v>
      </c>
      <c r="F161" s="51">
        <f t="shared" si="23"/>
        <v>0</v>
      </c>
      <c r="G161" s="51">
        <f t="shared" si="21"/>
        <v>0</v>
      </c>
      <c r="H161" s="52" t="e">
        <f t="shared" si="24"/>
        <v>#DIV/0!</v>
      </c>
      <c r="I161" s="51">
        <f t="shared" si="25"/>
        <v>0</v>
      </c>
    </row>
    <row r="162" spans="1:9">
      <c r="A162" s="47">
        <v>149</v>
      </c>
      <c r="B162" s="50">
        <f t="shared" si="19"/>
        <v>0</v>
      </c>
      <c r="C162" s="51">
        <f t="shared" si="26"/>
        <v>0</v>
      </c>
      <c r="D162" s="51">
        <f t="shared" si="20"/>
        <v>0</v>
      </c>
      <c r="E162" s="51">
        <f t="shared" si="22"/>
        <v>0</v>
      </c>
      <c r="F162" s="51">
        <f t="shared" si="23"/>
        <v>0</v>
      </c>
      <c r="G162" s="51">
        <f t="shared" si="21"/>
        <v>0</v>
      </c>
      <c r="H162" s="52" t="e">
        <f t="shared" si="24"/>
        <v>#DIV/0!</v>
      </c>
      <c r="I162" s="51">
        <f t="shared" si="25"/>
        <v>0</v>
      </c>
    </row>
    <row r="163" spans="1:9">
      <c r="A163" s="47">
        <v>150</v>
      </c>
      <c r="B163" s="50">
        <f t="shared" si="19"/>
        <v>0</v>
      </c>
      <c r="C163" s="51">
        <f t="shared" si="26"/>
        <v>0</v>
      </c>
      <c r="D163" s="51">
        <f t="shared" si="20"/>
        <v>0</v>
      </c>
      <c r="E163" s="51">
        <f t="shared" si="22"/>
        <v>0</v>
      </c>
      <c r="F163" s="51">
        <f t="shared" si="23"/>
        <v>0</v>
      </c>
      <c r="G163" s="51">
        <f t="shared" si="21"/>
        <v>0</v>
      </c>
      <c r="H163" s="52" t="e">
        <f t="shared" si="24"/>
        <v>#DIV/0!</v>
      </c>
      <c r="I163" s="51">
        <f t="shared" si="25"/>
        <v>0</v>
      </c>
    </row>
    <row r="164" spans="1:9">
      <c r="A164" s="47">
        <v>151</v>
      </c>
      <c r="B164" s="50">
        <f t="shared" si="19"/>
        <v>0</v>
      </c>
      <c r="C164" s="51">
        <f t="shared" si="26"/>
        <v>0</v>
      </c>
      <c r="D164" s="51">
        <f t="shared" si="20"/>
        <v>0</v>
      </c>
      <c r="E164" s="51">
        <f t="shared" si="22"/>
        <v>0</v>
      </c>
      <c r="F164" s="51">
        <f t="shared" si="23"/>
        <v>0</v>
      </c>
      <c r="G164" s="51">
        <f t="shared" si="21"/>
        <v>0</v>
      </c>
      <c r="H164" s="52" t="e">
        <f t="shared" si="24"/>
        <v>#DIV/0!</v>
      </c>
      <c r="I164" s="51">
        <f t="shared" si="25"/>
        <v>0</v>
      </c>
    </row>
    <row r="165" spans="1:9">
      <c r="A165" s="47">
        <v>152</v>
      </c>
      <c r="B165" s="50">
        <f t="shared" si="19"/>
        <v>0</v>
      </c>
      <c r="C165" s="51">
        <f t="shared" si="26"/>
        <v>0</v>
      </c>
      <c r="D165" s="51">
        <f t="shared" si="20"/>
        <v>0</v>
      </c>
      <c r="E165" s="51">
        <f t="shared" si="22"/>
        <v>0</v>
      </c>
      <c r="F165" s="51">
        <f t="shared" si="23"/>
        <v>0</v>
      </c>
      <c r="G165" s="51">
        <f t="shared" si="21"/>
        <v>0</v>
      </c>
      <c r="H165" s="52" t="e">
        <f t="shared" si="24"/>
        <v>#DIV/0!</v>
      </c>
      <c r="I165" s="51">
        <f t="shared" si="25"/>
        <v>0</v>
      </c>
    </row>
    <row r="166" spans="1:9">
      <c r="A166" s="47">
        <v>153</v>
      </c>
      <c r="B166" s="50">
        <f t="shared" si="19"/>
        <v>0</v>
      </c>
      <c r="C166" s="51">
        <f t="shared" si="26"/>
        <v>0</v>
      </c>
      <c r="D166" s="51">
        <f t="shared" si="20"/>
        <v>0</v>
      </c>
      <c r="E166" s="51">
        <f t="shared" si="22"/>
        <v>0</v>
      </c>
      <c r="F166" s="51">
        <f t="shared" si="23"/>
        <v>0</v>
      </c>
      <c r="G166" s="51">
        <f t="shared" si="21"/>
        <v>0</v>
      </c>
      <c r="H166" s="52" t="e">
        <f t="shared" si="24"/>
        <v>#DIV/0!</v>
      </c>
      <c r="I166" s="51">
        <f t="shared" si="25"/>
        <v>0</v>
      </c>
    </row>
    <row r="167" spans="1:9">
      <c r="A167" s="47">
        <v>154</v>
      </c>
      <c r="B167" s="50">
        <f t="shared" si="19"/>
        <v>0</v>
      </c>
      <c r="C167" s="51">
        <f t="shared" si="26"/>
        <v>0</v>
      </c>
      <c r="D167" s="51">
        <f t="shared" si="20"/>
        <v>0</v>
      </c>
      <c r="E167" s="51">
        <f t="shared" si="22"/>
        <v>0</v>
      </c>
      <c r="F167" s="51">
        <f t="shared" si="23"/>
        <v>0</v>
      </c>
      <c r="G167" s="51">
        <f t="shared" si="21"/>
        <v>0</v>
      </c>
      <c r="H167" s="52" t="e">
        <f t="shared" si="24"/>
        <v>#DIV/0!</v>
      </c>
      <c r="I167" s="51">
        <f t="shared" si="25"/>
        <v>0</v>
      </c>
    </row>
    <row r="168" spans="1:9">
      <c r="A168" s="47">
        <v>155</v>
      </c>
      <c r="B168" s="50">
        <f t="shared" si="19"/>
        <v>0</v>
      </c>
      <c r="C168" s="51">
        <f t="shared" si="26"/>
        <v>0</v>
      </c>
      <c r="D168" s="51">
        <f t="shared" si="20"/>
        <v>0</v>
      </c>
      <c r="E168" s="51">
        <f t="shared" si="22"/>
        <v>0</v>
      </c>
      <c r="F168" s="51">
        <f t="shared" si="23"/>
        <v>0</v>
      </c>
      <c r="G168" s="51">
        <f t="shared" si="21"/>
        <v>0</v>
      </c>
      <c r="H168" s="52" t="e">
        <f t="shared" si="24"/>
        <v>#DIV/0!</v>
      </c>
      <c r="I168" s="51">
        <f t="shared" si="25"/>
        <v>0</v>
      </c>
    </row>
    <row r="169" spans="1:9">
      <c r="A169" s="47">
        <v>156</v>
      </c>
      <c r="B169" s="50">
        <f t="shared" si="19"/>
        <v>0</v>
      </c>
      <c r="C169" s="51">
        <f t="shared" si="26"/>
        <v>0</v>
      </c>
      <c r="D169" s="51">
        <f t="shared" si="20"/>
        <v>0</v>
      </c>
      <c r="E169" s="51">
        <f t="shared" si="22"/>
        <v>0</v>
      </c>
      <c r="F169" s="51">
        <f t="shared" si="23"/>
        <v>0</v>
      </c>
      <c r="G169" s="51">
        <f t="shared" si="21"/>
        <v>0</v>
      </c>
      <c r="H169" s="52" t="e">
        <f t="shared" si="24"/>
        <v>#DIV/0!</v>
      </c>
      <c r="I169" s="51">
        <f t="shared" si="25"/>
        <v>0</v>
      </c>
    </row>
    <row r="170" spans="1:9">
      <c r="A170" s="47">
        <v>157</v>
      </c>
      <c r="B170" s="50">
        <f t="shared" si="19"/>
        <v>0</v>
      </c>
      <c r="C170" s="51">
        <f t="shared" si="26"/>
        <v>0</v>
      </c>
      <c r="D170" s="51">
        <f t="shared" si="20"/>
        <v>0</v>
      </c>
      <c r="E170" s="51">
        <f t="shared" si="22"/>
        <v>0</v>
      </c>
      <c r="F170" s="51">
        <f t="shared" si="23"/>
        <v>0</v>
      </c>
      <c r="G170" s="51">
        <f t="shared" si="21"/>
        <v>0</v>
      </c>
      <c r="H170" s="52" t="e">
        <f t="shared" si="24"/>
        <v>#DIV/0!</v>
      </c>
      <c r="I170" s="51">
        <f t="shared" si="25"/>
        <v>0</v>
      </c>
    </row>
    <row r="171" spans="1:9">
      <c r="A171" s="47">
        <v>158</v>
      </c>
      <c r="B171" s="50">
        <f t="shared" si="19"/>
        <v>0</v>
      </c>
      <c r="C171" s="51">
        <f t="shared" si="26"/>
        <v>0</v>
      </c>
      <c r="D171" s="51">
        <f t="shared" si="20"/>
        <v>0</v>
      </c>
      <c r="E171" s="51">
        <f t="shared" si="22"/>
        <v>0</v>
      </c>
      <c r="F171" s="51">
        <f t="shared" si="23"/>
        <v>0</v>
      </c>
      <c r="G171" s="51">
        <f t="shared" si="21"/>
        <v>0</v>
      </c>
      <c r="H171" s="52" t="e">
        <f t="shared" si="24"/>
        <v>#DIV/0!</v>
      </c>
      <c r="I171" s="51">
        <f t="shared" si="25"/>
        <v>0</v>
      </c>
    </row>
    <row r="172" spans="1:9">
      <c r="A172" s="47">
        <v>159</v>
      </c>
      <c r="B172" s="50">
        <f t="shared" si="19"/>
        <v>0</v>
      </c>
      <c r="C172" s="51">
        <f t="shared" si="26"/>
        <v>0</v>
      </c>
      <c r="D172" s="51">
        <f t="shared" si="20"/>
        <v>0</v>
      </c>
      <c r="E172" s="51">
        <f t="shared" si="22"/>
        <v>0</v>
      </c>
      <c r="F172" s="51">
        <f t="shared" si="23"/>
        <v>0</v>
      </c>
      <c r="G172" s="51">
        <f t="shared" si="21"/>
        <v>0</v>
      </c>
      <c r="H172" s="52" t="e">
        <f t="shared" si="24"/>
        <v>#DIV/0!</v>
      </c>
      <c r="I172" s="51">
        <f t="shared" si="25"/>
        <v>0</v>
      </c>
    </row>
    <row r="173" spans="1:9">
      <c r="A173" s="47">
        <v>160</v>
      </c>
      <c r="B173" s="50">
        <f t="shared" si="19"/>
        <v>0</v>
      </c>
      <c r="C173" s="51">
        <f t="shared" si="26"/>
        <v>0</v>
      </c>
      <c r="D173" s="51">
        <f t="shared" si="20"/>
        <v>0</v>
      </c>
      <c r="E173" s="51">
        <f t="shared" si="22"/>
        <v>0</v>
      </c>
      <c r="F173" s="51">
        <f t="shared" si="23"/>
        <v>0</v>
      </c>
      <c r="G173" s="51">
        <f t="shared" si="21"/>
        <v>0</v>
      </c>
      <c r="H173" s="52" t="e">
        <f t="shared" si="24"/>
        <v>#DIV/0!</v>
      </c>
      <c r="I173" s="51">
        <f t="shared" si="25"/>
        <v>0</v>
      </c>
    </row>
    <row r="174" spans="1:9">
      <c r="A174" s="47">
        <v>161</v>
      </c>
      <c r="B174" s="50">
        <f t="shared" si="19"/>
        <v>0</v>
      </c>
      <c r="C174" s="51">
        <f t="shared" si="26"/>
        <v>0</v>
      </c>
      <c r="D174" s="51">
        <f t="shared" si="20"/>
        <v>0</v>
      </c>
      <c r="E174" s="51">
        <f t="shared" si="22"/>
        <v>0</v>
      </c>
      <c r="F174" s="51">
        <f t="shared" si="23"/>
        <v>0</v>
      </c>
      <c r="G174" s="51">
        <f t="shared" si="21"/>
        <v>0</v>
      </c>
      <c r="H174" s="52" t="e">
        <f t="shared" si="24"/>
        <v>#DIV/0!</v>
      </c>
      <c r="I174" s="51">
        <f t="shared" si="25"/>
        <v>0</v>
      </c>
    </row>
    <row r="175" spans="1:9">
      <c r="A175" s="47">
        <v>162</v>
      </c>
      <c r="B175" s="50">
        <f t="shared" si="19"/>
        <v>0</v>
      </c>
      <c r="C175" s="51">
        <f t="shared" si="26"/>
        <v>0</v>
      </c>
      <c r="D175" s="51">
        <f t="shared" si="20"/>
        <v>0</v>
      </c>
      <c r="E175" s="51">
        <f t="shared" si="22"/>
        <v>0</v>
      </c>
      <c r="F175" s="51">
        <f t="shared" si="23"/>
        <v>0</v>
      </c>
      <c r="G175" s="51">
        <f t="shared" si="21"/>
        <v>0</v>
      </c>
      <c r="H175" s="52" t="e">
        <f t="shared" si="24"/>
        <v>#DIV/0!</v>
      </c>
      <c r="I175" s="51">
        <f t="shared" si="25"/>
        <v>0</v>
      </c>
    </row>
    <row r="176" spans="1:9">
      <c r="A176" s="47">
        <v>163</v>
      </c>
      <c r="B176" s="50">
        <f t="shared" si="19"/>
        <v>0</v>
      </c>
      <c r="C176" s="51">
        <f t="shared" si="26"/>
        <v>0</v>
      </c>
      <c r="D176" s="51">
        <f t="shared" si="20"/>
        <v>0</v>
      </c>
      <c r="E176" s="51">
        <f t="shared" si="22"/>
        <v>0</v>
      </c>
      <c r="F176" s="51">
        <f t="shared" si="23"/>
        <v>0</v>
      </c>
      <c r="G176" s="51">
        <f t="shared" si="21"/>
        <v>0</v>
      </c>
      <c r="H176" s="52" t="e">
        <f t="shared" si="24"/>
        <v>#DIV/0!</v>
      </c>
      <c r="I176" s="51">
        <f t="shared" si="25"/>
        <v>0</v>
      </c>
    </row>
    <row r="177" spans="1:9">
      <c r="A177" s="47">
        <v>164</v>
      </c>
      <c r="B177" s="50">
        <f t="shared" si="19"/>
        <v>0</v>
      </c>
      <c r="C177" s="51">
        <f t="shared" si="26"/>
        <v>0</v>
      </c>
      <c r="D177" s="51">
        <f t="shared" si="20"/>
        <v>0</v>
      </c>
      <c r="E177" s="51">
        <f t="shared" si="22"/>
        <v>0</v>
      </c>
      <c r="F177" s="51">
        <f t="shared" si="23"/>
        <v>0</v>
      </c>
      <c r="G177" s="51">
        <f t="shared" si="21"/>
        <v>0</v>
      </c>
      <c r="H177" s="52" t="e">
        <f t="shared" si="24"/>
        <v>#DIV/0!</v>
      </c>
      <c r="I177" s="51">
        <f t="shared" si="25"/>
        <v>0</v>
      </c>
    </row>
    <row r="178" spans="1:9">
      <c r="A178" s="47">
        <v>165</v>
      </c>
      <c r="B178" s="50">
        <f t="shared" si="19"/>
        <v>0</v>
      </c>
      <c r="C178" s="51">
        <f t="shared" si="26"/>
        <v>0</v>
      </c>
      <c r="D178" s="51">
        <f t="shared" si="20"/>
        <v>0</v>
      </c>
      <c r="E178" s="51">
        <f t="shared" si="22"/>
        <v>0</v>
      </c>
      <c r="F178" s="51">
        <f t="shared" si="23"/>
        <v>0</v>
      </c>
      <c r="G178" s="51">
        <f t="shared" si="21"/>
        <v>0</v>
      </c>
      <c r="H178" s="52" t="e">
        <f t="shared" si="24"/>
        <v>#DIV/0!</v>
      </c>
      <c r="I178" s="51">
        <f t="shared" si="25"/>
        <v>0</v>
      </c>
    </row>
    <row r="179" spans="1:9">
      <c r="A179" s="47">
        <v>166</v>
      </c>
      <c r="B179" s="50">
        <f t="shared" ref="B179:B242" si="27">$C$6</f>
        <v>0</v>
      </c>
      <c r="C179" s="51">
        <f t="shared" si="26"/>
        <v>0</v>
      </c>
      <c r="D179" s="51">
        <f t="shared" si="20"/>
        <v>0</v>
      </c>
      <c r="E179" s="51">
        <f t="shared" si="22"/>
        <v>0</v>
      </c>
      <c r="F179" s="51">
        <f t="shared" si="23"/>
        <v>0</v>
      </c>
      <c r="G179" s="51">
        <f t="shared" si="21"/>
        <v>0</v>
      </c>
      <c r="H179" s="52" t="e">
        <f t="shared" si="24"/>
        <v>#DIV/0!</v>
      </c>
      <c r="I179" s="51">
        <f t="shared" si="25"/>
        <v>0</v>
      </c>
    </row>
    <row r="180" spans="1:9">
      <c r="A180" s="47">
        <v>167</v>
      </c>
      <c r="B180" s="50">
        <f t="shared" si="27"/>
        <v>0</v>
      </c>
      <c r="C180" s="51">
        <f t="shared" si="26"/>
        <v>0</v>
      </c>
      <c r="D180" s="51">
        <f t="shared" si="20"/>
        <v>0</v>
      </c>
      <c r="E180" s="51">
        <f t="shared" si="22"/>
        <v>0</v>
      </c>
      <c r="F180" s="51">
        <f t="shared" si="23"/>
        <v>0</v>
      </c>
      <c r="G180" s="51">
        <f t="shared" si="21"/>
        <v>0</v>
      </c>
      <c r="H180" s="52" t="e">
        <f t="shared" si="24"/>
        <v>#DIV/0!</v>
      </c>
      <c r="I180" s="51">
        <f t="shared" si="25"/>
        <v>0</v>
      </c>
    </row>
    <row r="181" spans="1:9">
      <c r="A181" s="47">
        <v>168</v>
      </c>
      <c r="B181" s="50">
        <f t="shared" si="27"/>
        <v>0</v>
      </c>
      <c r="C181" s="51">
        <f t="shared" si="26"/>
        <v>0</v>
      </c>
      <c r="D181" s="51">
        <f t="shared" si="20"/>
        <v>0</v>
      </c>
      <c r="E181" s="51">
        <f t="shared" si="22"/>
        <v>0</v>
      </c>
      <c r="F181" s="51">
        <f t="shared" si="23"/>
        <v>0</v>
      </c>
      <c r="G181" s="51">
        <f t="shared" si="21"/>
        <v>0</v>
      </c>
      <c r="H181" s="52" t="e">
        <f t="shared" si="24"/>
        <v>#DIV/0!</v>
      </c>
      <c r="I181" s="51">
        <f t="shared" si="25"/>
        <v>0</v>
      </c>
    </row>
    <row r="182" spans="1:9">
      <c r="A182" s="47">
        <v>169</v>
      </c>
      <c r="B182" s="50">
        <f t="shared" si="27"/>
        <v>0</v>
      </c>
      <c r="C182" s="51">
        <f t="shared" si="26"/>
        <v>0</v>
      </c>
      <c r="D182" s="51">
        <f t="shared" si="20"/>
        <v>0</v>
      </c>
      <c r="E182" s="51">
        <f t="shared" si="22"/>
        <v>0</v>
      </c>
      <c r="F182" s="51">
        <f t="shared" si="23"/>
        <v>0</v>
      </c>
      <c r="G182" s="51">
        <f t="shared" si="21"/>
        <v>0</v>
      </c>
      <c r="H182" s="52" t="e">
        <f t="shared" si="24"/>
        <v>#DIV/0!</v>
      </c>
      <c r="I182" s="51">
        <f t="shared" si="25"/>
        <v>0</v>
      </c>
    </row>
    <row r="183" spans="1:9">
      <c r="A183" s="47">
        <v>170</v>
      </c>
      <c r="B183" s="50">
        <f t="shared" si="27"/>
        <v>0</v>
      </c>
      <c r="C183" s="51">
        <f t="shared" si="26"/>
        <v>0</v>
      </c>
      <c r="D183" s="51">
        <f t="shared" si="20"/>
        <v>0</v>
      </c>
      <c r="E183" s="51">
        <f t="shared" si="22"/>
        <v>0</v>
      </c>
      <c r="F183" s="51">
        <f t="shared" si="23"/>
        <v>0</v>
      </c>
      <c r="G183" s="51">
        <f t="shared" si="21"/>
        <v>0</v>
      </c>
      <c r="H183" s="52" t="e">
        <f t="shared" si="24"/>
        <v>#DIV/0!</v>
      </c>
      <c r="I183" s="51">
        <f t="shared" si="25"/>
        <v>0</v>
      </c>
    </row>
    <row r="184" spans="1:9">
      <c r="A184" s="47">
        <v>171</v>
      </c>
      <c r="B184" s="50">
        <f t="shared" si="27"/>
        <v>0</v>
      </c>
      <c r="C184" s="51">
        <f t="shared" si="26"/>
        <v>0</v>
      </c>
      <c r="D184" s="51">
        <f t="shared" si="20"/>
        <v>0</v>
      </c>
      <c r="E184" s="51">
        <f t="shared" si="22"/>
        <v>0</v>
      </c>
      <c r="F184" s="51">
        <f t="shared" si="23"/>
        <v>0</v>
      </c>
      <c r="G184" s="51">
        <f t="shared" si="21"/>
        <v>0</v>
      </c>
      <c r="H184" s="52" t="e">
        <f t="shared" si="24"/>
        <v>#DIV/0!</v>
      </c>
      <c r="I184" s="51">
        <f t="shared" si="25"/>
        <v>0</v>
      </c>
    </row>
    <row r="185" spans="1:9">
      <c r="A185" s="47">
        <v>172</v>
      </c>
      <c r="B185" s="50">
        <f t="shared" si="27"/>
        <v>0</v>
      </c>
      <c r="C185" s="51">
        <f t="shared" si="26"/>
        <v>0</v>
      </c>
      <c r="D185" s="51">
        <f t="shared" si="20"/>
        <v>0</v>
      </c>
      <c r="E185" s="51">
        <f t="shared" si="22"/>
        <v>0</v>
      </c>
      <c r="F185" s="51">
        <f t="shared" si="23"/>
        <v>0</v>
      </c>
      <c r="G185" s="51">
        <f t="shared" si="21"/>
        <v>0</v>
      </c>
      <c r="H185" s="52" t="e">
        <f t="shared" si="24"/>
        <v>#DIV/0!</v>
      </c>
      <c r="I185" s="51">
        <f t="shared" si="25"/>
        <v>0</v>
      </c>
    </row>
    <row r="186" spans="1:9">
      <c r="A186" s="47">
        <v>173</v>
      </c>
      <c r="B186" s="50">
        <f t="shared" si="27"/>
        <v>0</v>
      </c>
      <c r="C186" s="51">
        <f t="shared" si="26"/>
        <v>0</v>
      </c>
      <c r="D186" s="51">
        <f t="shared" si="20"/>
        <v>0</v>
      </c>
      <c r="E186" s="51">
        <f t="shared" si="22"/>
        <v>0</v>
      </c>
      <c r="F186" s="51">
        <f t="shared" si="23"/>
        <v>0</v>
      </c>
      <c r="G186" s="51">
        <f t="shared" si="21"/>
        <v>0</v>
      </c>
      <c r="H186" s="52" t="e">
        <f t="shared" si="24"/>
        <v>#DIV/0!</v>
      </c>
      <c r="I186" s="51">
        <f t="shared" si="25"/>
        <v>0</v>
      </c>
    </row>
    <row r="187" spans="1:9">
      <c r="A187" s="47">
        <v>174</v>
      </c>
      <c r="B187" s="50">
        <f t="shared" si="27"/>
        <v>0</v>
      </c>
      <c r="C187" s="51">
        <f t="shared" si="26"/>
        <v>0</v>
      </c>
      <c r="D187" s="51">
        <f t="shared" si="20"/>
        <v>0</v>
      </c>
      <c r="E187" s="51">
        <f t="shared" si="22"/>
        <v>0</v>
      </c>
      <c r="F187" s="51">
        <f t="shared" si="23"/>
        <v>0</v>
      </c>
      <c r="G187" s="51">
        <f t="shared" si="21"/>
        <v>0</v>
      </c>
      <c r="H187" s="52" t="e">
        <f t="shared" si="24"/>
        <v>#DIV/0!</v>
      </c>
      <c r="I187" s="51">
        <f t="shared" si="25"/>
        <v>0</v>
      </c>
    </row>
    <row r="188" spans="1:9">
      <c r="A188" s="47">
        <v>175</v>
      </c>
      <c r="B188" s="50">
        <f t="shared" si="27"/>
        <v>0</v>
      </c>
      <c r="C188" s="51">
        <f t="shared" si="26"/>
        <v>0</v>
      </c>
      <c r="D188" s="51">
        <f t="shared" si="20"/>
        <v>0</v>
      </c>
      <c r="E188" s="51">
        <f t="shared" si="22"/>
        <v>0</v>
      </c>
      <c r="F188" s="51">
        <f t="shared" si="23"/>
        <v>0</v>
      </c>
      <c r="G188" s="51">
        <f t="shared" si="21"/>
        <v>0</v>
      </c>
      <c r="H188" s="52" t="e">
        <f t="shared" si="24"/>
        <v>#DIV/0!</v>
      </c>
      <c r="I188" s="51">
        <f t="shared" si="25"/>
        <v>0</v>
      </c>
    </row>
    <row r="189" spans="1:9">
      <c r="A189" s="47">
        <v>176</v>
      </c>
      <c r="B189" s="50">
        <f t="shared" si="27"/>
        <v>0</v>
      </c>
      <c r="C189" s="51">
        <f t="shared" si="26"/>
        <v>0</v>
      </c>
      <c r="D189" s="51">
        <f t="shared" si="20"/>
        <v>0</v>
      </c>
      <c r="E189" s="51">
        <f t="shared" si="22"/>
        <v>0</v>
      </c>
      <c r="F189" s="51">
        <f t="shared" si="23"/>
        <v>0</v>
      </c>
      <c r="G189" s="51">
        <f t="shared" si="21"/>
        <v>0</v>
      </c>
      <c r="H189" s="52" t="e">
        <f t="shared" si="24"/>
        <v>#DIV/0!</v>
      </c>
      <c r="I189" s="51">
        <f t="shared" si="25"/>
        <v>0</v>
      </c>
    </row>
    <row r="190" spans="1:9">
      <c r="A190" s="47">
        <v>177</v>
      </c>
      <c r="B190" s="50">
        <f t="shared" si="27"/>
        <v>0</v>
      </c>
      <c r="C190" s="51">
        <f t="shared" si="26"/>
        <v>0</v>
      </c>
      <c r="D190" s="51">
        <f t="shared" si="20"/>
        <v>0</v>
      </c>
      <c r="E190" s="51">
        <f t="shared" si="22"/>
        <v>0</v>
      </c>
      <c r="F190" s="51">
        <f t="shared" si="23"/>
        <v>0</v>
      </c>
      <c r="G190" s="51">
        <f t="shared" si="21"/>
        <v>0</v>
      </c>
      <c r="H190" s="52" t="e">
        <f t="shared" si="24"/>
        <v>#DIV/0!</v>
      </c>
      <c r="I190" s="51">
        <f t="shared" si="25"/>
        <v>0</v>
      </c>
    </row>
    <row r="191" spans="1:9">
      <c r="A191" s="47">
        <v>178</v>
      </c>
      <c r="B191" s="50">
        <f t="shared" si="27"/>
        <v>0</v>
      </c>
      <c r="C191" s="51">
        <f t="shared" si="26"/>
        <v>0</v>
      </c>
      <c r="D191" s="51">
        <f t="shared" si="20"/>
        <v>0</v>
      </c>
      <c r="E191" s="51">
        <f t="shared" si="22"/>
        <v>0</v>
      </c>
      <c r="F191" s="51">
        <f t="shared" si="23"/>
        <v>0</v>
      </c>
      <c r="G191" s="51">
        <f t="shared" si="21"/>
        <v>0</v>
      </c>
      <c r="H191" s="52" t="e">
        <f t="shared" si="24"/>
        <v>#DIV/0!</v>
      </c>
      <c r="I191" s="51">
        <f t="shared" si="25"/>
        <v>0</v>
      </c>
    </row>
    <row r="192" spans="1:9">
      <c r="A192" s="47">
        <v>179</v>
      </c>
      <c r="B192" s="50">
        <f t="shared" si="27"/>
        <v>0</v>
      </c>
      <c r="C192" s="51">
        <f t="shared" si="26"/>
        <v>0</v>
      </c>
      <c r="D192" s="51">
        <f t="shared" si="20"/>
        <v>0</v>
      </c>
      <c r="E192" s="51">
        <f t="shared" si="22"/>
        <v>0</v>
      </c>
      <c r="F192" s="51">
        <f t="shared" si="23"/>
        <v>0</v>
      </c>
      <c r="G192" s="51">
        <f t="shared" si="21"/>
        <v>0</v>
      </c>
      <c r="H192" s="52" t="e">
        <f t="shared" si="24"/>
        <v>#DIV/0!</v>
      </c>
      <c r="I192" s="51">
        <f t="shared" si="25"/>
        <v>0</v>
      </c>
    </row>
    <row r="193" spans="1:9">
      <c r="A193" s="47">
        <v>180</v>
      </c>
      <c r="B193" s="50">
        <f t="shared" si="27"/>
        <v>0</v>
      </c>
      <c r="C193" s="51">
        <f t="shared" si="26"/>
        <v>0</v>
      </c>
      <c r="D193" s="51">
        <f t="shared" si="20"/>
        <v>0</v>
      </c>
      <c r="E193" s="51">
        <f t="shared" si="22"/>
        <v>0</v>
      </c>
      <c r="F193" s="51">
        <f t="shared" si="23"/>
        <v>0</v>
      </c>
      <c r="G193" s="51">
        <f t="shared" si="21"/>
        <v>0</v>
      </c>
      <c r="H193" s="52" t="e">
        <f t="shared" si="24"/>
        <v>#DIV/0!</v>
      </c>
      <c r="I193" s="51">
        <f t="shared" si="25"/>
        <v>0</v>
      </c>
    </row>
    <row r="194" spans="1:9">
      <c r="A194" s="47">
        <v>181</v>
      </c>
      <c r="B194" s="50">
        <f t="shared" si="27"/>
        <v>0</v>
      </c>
      <c r="C194" s="51">
        <f t="shared" si="26"/>
        <v>0</v>
      </c>
      <c r="D194" s="51">
        <f t="shared" si="20"/>
        <v>0</v>
      </c>
      <c r="E194" s="51">
        <f t="shared" si="22"/>
        <v>0</v>
      </c>
      <c r="F194" s="51">
        <f t="shared" si="23"/>
        <v>0</v>
      </c>
      <c r="G194" s="51">
        <f t="shared" si="21"/>
        <v>0</v>
      </c>
      <c r="H194" s="52" t="e">
        <f t="shared" si="24"/>
        <v>#DIV/0!</v>
      </c>
      <c r="I194" s="51">
        <f t="shared" si="25"/>
        <v>0</v>
      </c>
    </row>
    <row r="195" spans="1:9">
      <c r="A195" s="47">
        <v>182</v>
      </c>
      <c r="B195" s="50">
        <f t="shared" si="27"/>
        <v>0</v>
      </c>
      <c r="C195" s="51">
        <f t="shared" si="26"/>
        <v>0</v>
      </c>
      <c r="D195" s="51">
        <f t="shared" si="20"/>
        <v>0</v>
      </c>
      <c r="E195" s="51">
        <f t="shared" si="22"/>
        <v>0</v>
      </c>
      <c r="F195" s="51">
        <f t="shared" si="23"/>
        <v>0</v>
      </c>
      <c r="G195" s="51">
        <f t="shared" si="21"/>
        <v>0</v>
      </c>
      <c r="H195" s="52" t="e">
        <f t="shared" si="24"/>
        <v>#DIV/0!</v>
      </c>
      <c r="I195" s="51">
        <f t="shared" si="25"/>
        <v>0</v>
      </c>
    </row>
    <row r="196" spans="1:9">
      <c r="A196" s="47">
        <v>183</v>
      </c>
      <c r="B196" s="50">
        <f t="shared" si="27"/>
        <v>0</v>
      </c>
      <c r="C196" s="51">
        <f t="shared" si="26"/>
        <v>0</v>
      </c>
      <c r="D196" s="51">
        <f t="shared" si="20"/>
        <v>0</v>
      </c>
      <c r="E196" s="51">
        <f t="shared" si="22"/>
        <v>0</v>
      </c>
      <c r="F196" s="51">
        <f t="shared" si="23"/>
        <v>0</v>
      </c>
      <c r="G196" s="51">
        <f t="shared" si="21"/>
        <v>0</v>
      </c>
      <c r="H196" s="52" t="e">
        <f t="shared" si="24"/>
        <v>#DIV/0!</v>
      </c>
      <c r="I196" s="51">
        <f t="shared" si="25"/>
        <v>0</v>
      </c>
    </row>
    <row r="197" spans="1:9">
      <c r="A197" s="47">
        <v>184</v>
      </c>
      <c r="B197" s="50">
        <f t="shared" si="27"/>
        <v>0</v>
      </c>
      <c r="C197" s="51">
        <f t="shared" si="26"/>
        <v>0</v>
      </c>
      <c r="D197" s="51">
        <f t="shared" si="20"/>
        <v>0</v>
      </c>
      <c r="E197" s="51">
        <f t="shared" si="22"/>
        <v>0</v>
      </c>
      <c r="F197" s="51">
        <f t="shared" si="23"/>
        <v>0</v>
      </c>
      <c r="G197" s="51">
        <f t="shared" si="21"/>
        <v>0</v>
      </c>
      <c r="H197" s="52" t="e">
        <f t="shared" si="24"/>
        <v>#DIV/0!</v>
      </c>
      <c r="I197" s="51">
        <f t="shared" si="25"/>
        <v>0</v>
      </c>
    </row>
    <row r="198" spans="1:9">
      <c r="A198" s="47">
        <v>185</v>
      </c>
      <c r="B198" s="50">
        <f t="shared" si="27"/>
        <v>0</v>
      </c>
      <c r="C198" s="51">
        <f t="shared" si="26"/>
        <v>0</v>
      </c>
      <c r="D198" s="51">
        <f t="shared" si="20"/>
        <v>0</v>
      </c>
      <c r="E198" s="51">
        <f t="shared" si="22"/>
        <v>0</v>
      </c>
      <c r="F198" s="51">
        <f t="shared" si="23"/>
        <v>0</v>
      </c>
      <c r="G198" s="51">
        <f t="shared" si="21"/>
        <v>0</v>
      </c>
      <c r="H198" s="52" t="e">
        <f t="shared" si="24"/>
        <v>#DIV/0!</v>
      </c>
      <c r="I198" s="51">
        <f t="shared" si="25"/>
        <v>0</v>
      </c>
    </row>
    <row r="199" spans="1:9">
      <c r="A199" s="47">
        <v>186</v>
      </c>
      <c r="B199" s="50">
        <f t="shared" si="27"/>
        <v>0</v>
      </c>
      <c r="C199" s="51">
        <f t="shared" si="26"/>
        <v>0</v>
      </c>
      <c r="D199" s="51">
        <f t="shared" si="20"/>
        <v>0</v>
      </c>
      <c r="E199" s="51">
        <f t="shared" si="22"/>
        <v>0</v>
      </c>
      <c r="F199" s="51">
        <f t="shared" si="23"/>
        <v>0</v>
      </c>
      <c r="G199" s="51">
        <f t="shared" si="21"/>
        <v>0</v>
      </c>
      <c r="H199" s="52" t="e">
        <f t="shared" si="24"/>
        <v>#DIV/0!</v>
      </c>
      <c r="I199" s="51">
        <f t="shared" si="25"/>
        <v>0</v>
      </c>
    </row>
    <row r="200" spans="1:9">
      <c r="A200" s="47">
        <v>187</v>
      </c>
      <c r="B200" s="50">
        <f t="shared" si="27"/>
        <v>0</v>
      </c>
      <c r="C200" s="51">
        <f t="shared" si="26"/>
        <v>0</v>
      </c>
      <c r="D200" s="51">
        <f t="shared" si="20"/>
        <v>0</v>
      </c>
      <c r="E200" s="51">
        <f t="shared" si="22"/>
        <v>0</v>
      </c>
      <c r="F200" s="51">
        <f t="shared" si="23"/>
        <v>0</v>
      </c>
      <c r="G200" s="51">
        <f t="shared" si="21"/>
        <v>0</v>
      </c>
      <c r="H200" s="52" t="e">
        <f t="shared" si="24"/>
        <v>#DIV/0!</v>
      </c>
      <c r="I200" s="51">
        <f t="shared" si="25"/>
        <v>0</v>
      </c>
    </row>
    <row r="201" spans="1:9">
      <c r="A201" s="47">
        <v>188</v>
      </c>
      <c r="B201" s="50">
        <f t="shared" si="27"/>
        <v>0</v>
      </c>
      <c r="C201" s="51">
        <f t="shared" si="26"/>
        <v>0</v>
      </c>
      <c r="D201" s="51">
        <f t="shared" si="20"/>
        <v>0</v>
      </c>
      <c r="E201" s="51">
        <f t="shared" si="22"/>
        <v>0</v>
      </c>
      <c r="F201" s="51">
        <f t="shared" si="23"/>
        <v>0</v>
      </c>
      <c r="G201" s="51">
        <f t="shared" si="21"/>
        <v>0</v>
      </c>
      <c r="H201" s="52" t="e">
        <f t="shared" si="24"/>
        <v>#DIV/0!</v>
      </c>
      <c r="I201" s="51">
        <f t="shared" si="25"/>
        <v>0</v>
      </c>
    </row>
    <row r="202" spans="1:9">
      <c r="A202" s="47">
        <v>189</v>
      </c>
      <c r="B202" s="50">
        <f t="shared" si="27"/>
        <v>0</v>
      </c>
      <c r="C202" s="51">
        <f t="shared" si="26"/>
        <v>0</v>
      </c>
      <c r="D202" s="51">
        <f t="shared" si="20"/>
        <v>0</v>
      </c>
      <c r="E202" s="51">
        <f t="shared" si="22"/>
        <v>0</v>
      </c>
      <c r="F202" s="51">
        <f t="shared" si="23"/>
        <v>0</v>
      </c>
      <c r="G202" s="51">
        <f t="shared" si="21"/>
        <v>0</v>
      </c>
      <c r="H202" s="52" t="e">
        <f t="shared" si="24"/>
        <v>#DIV/0!</v>
      </c>
      <c r="I202" s="51">
        <f t="shared" si="25"/>
        <v>0</v>
      </c>
    </row>
    <row r="203" spans="1:9">
      <c r="A203" s="47">
        <v>190</v>
      </c>
      <c r="B203" s="50">
        <f t="shared" si="27"/>
        <v>0</v>
      </c>
      <c r="C203" s="51">
        <f t="shared" si="26"/>
        <v>0</v>
      </c>
      <c r="D203" s="51">
        <f t="shared" si="20"/>
        <v>0</v>
      </c>
      <c r="E203" s="51">
        <f t="shared" si="22"/>
        <v>0</v>
      </c>
      <c r="F203" s="51">
        <f t="shared" si="23"/>
        <v>0</v>
      </c>
      <c r="G203" s="51">
        <f t="shared" si="21"/>
        <v>0</v>
      </c>
      <c r="H203" s="52" t="e">
        <f t="shared" si="24"/>
        <v>#DIV/0!</v>
      </c>
      <c r="I203" s="51">
        <f t="shared" si="25"/>
        <v>0</v>
      </c>
    </row>
    <row r="204" spans="1:9">
      <c r="A204" s="47">
        <v>191</v>
      </c>
      <c r="B204" s="50">
        <f t="shared" si="27"/>
        <v>0</v>
      </c>
      <c r="C204" s="51">
        <f t="shared" si="26"/>
        <v>0</v>
      </c>
      <c r="D204" s="51">
        <f t="shared" si="20"/>
        <v>0</v>
      </c>
      <c r="E204" s="51">
        <f t="shared" si="22"/>
        <v>0</v>
      </c>
      <c r="F204" s="51">
        <f t="shared" si="23"/>
        <v>0</v>
      </c>
      <c r="G204" s="51">
        <f t="shared" si="21"/>
        <v>0</v>
      </c>
      <c r="H204" s="52" t="e">
        <f t="shared" si="24"/>
        <v>#DIV/0!</v>
      </c>
      <c r="I204" s="51">
        <f t="shared" si="25"/>
        <v>0</v>
      </c>
    </row>
    <row r="205" spans="1:9">
      <c r="A205" s="47">
        <v>192</v>
      </c>
      <c r="B205" s="50">
        <f t="shared" si="27"/>
        <v>0</v>
      </c>
      <c r="C205" s="51">
        <f t="shared" si="26"/>
        <v>0</v>
      </c>
      <c r="D205" s="51">
        <f t="shared" si="20"/>
        <v>0</v>
      </c>
      <c r="E205" s="51">
        <f t="shared" si="22"/>
        <v>0</v>
      </c>
      <c r="F205" s="51">
        <f t="shared" si="23"/>
        <v>0</v>
      </c>
      <c r="G205" s="51">
        <f t="shared" si="21"/>
        <v>0</v>
      </c>
      <c r="H205" s="52" t="e">
        <f t="shared" si="24"/>
        <v>#DIV/0!</v>
      </c>
      <c r="I205" s="51">
        <f t="shared" si="25"/>
        <v>0</v>
      </c>
    </row>
    <row r="206" spans="1:9">
      <c r="A206" s="47">
        <v>193</v>
      </c>
      <c r="B206" s="50">
        <f t="shared" si="27"/>
        <v>0</v>
      </c>
      <c r="C206" s="51">
        <f t="shared" si="26"/>
        <v>0</v>
      </c>
      <c r="D206" s="51">
        <f t="shared" ref="D206:D269" si="28">IF(C206+E206&gt;$C$10,$C$10,C206+E206)</f>
        <v>0</v>
      </c>
      <c r="E206" s="51">
        <f t="shared" si="22"/>
        <v>0</v>
      </c>
      <c r="F206" s="51">
        <f t="shared" si="23"/>
        <v>0</v>
      </c>
      <c r="G206" s="51">
        <f t="shared" ref="G206:G269" si="29">C206-F206</f>
        <v>0</v>
      </c>
      <c r="H206" s="52" t="e">
        <f t="shared" si="24"/>
        <v>#DIV/0!</v>
      </c>
      <c r="I206" s="51">
        <f t="shared" si="25"/>
        <v>0</v>
      </c>
    </row>
    <row r="207" spans="1:9">
      <c r="A207" s="47">
        <v>194</v>
      </c>
      <c r="B207" s="50">
        <f t="shared" si="27"/>
        <v>0</v>
      </c>
      <c r="C207" s="51">
        <f t="shared" si="26"/>
        <v>0</v>
      </c>
      <c r="D207" s="51">
        <f t="shared" si="28"/>
        <v>0</v>
      </c>
      <c r="E207" s="51">
        <f t="shared" ref="E207:E270" si="30">C207*(B207/12)</f>
        <v>0</v>
      </c>
      <c r="F207" s="51">
        <f t="shared" ref="F207:F270" si="31">IF(C207&lt;$C$10,C207,D207-E207)</f>
        <v>0</v>
      </c>
      <c r="G207" s="51">
        <f t="shared" si="29"/>
        <v>0</v>
      </c>
      <c r="H207" s="52" t="e">
        <f t="shared" ref="H207:H270" si="32">G207/$C$1</f>
        <v>#DIV/0!</v>
      </c>
      <c r="I207" s="51">
        <f t="shared" ref="I207:I270" si="33">C207*$I$10/12</f>
        <v>0</v>
      </c>
    </row>
    <row r="208" spans="1:9">
      <c r="A208" s="47">
        <v>195</v>
      </c>
      <c r="B208" s="50">
        <f t="shared" si="27"/>
        <v>0</v>
      </c>
      <c r="C208" s="51">
        <f t="shared" ref="C208:C271" si="34">G207</f>
        <v>0</v>
      </c>
      <c r="D208" s="51">
        <f t="shared" si="28"/>
        <v>0</v>
      </c>
      <c r="E208" s="51">
        <f t="shared" si="30"/>
        <v>0</v>
      </c>
      <c r="F208" s="51">
        <f t="shared" si="31"/>
        <v>0</v>
      </c>
      <c r="G208" s="51">
        <f t="shared" si="29"/>
        <v>0</v>
      </c>
      <c r="H208" s="52" t="e">
        <f t="shared" si="32"/>
        <v>#DIV/0!</v>
      </c>
      <c r="I208" s="51">
        <f t="shared" si="33"/>
        <v>0</v>
      </c>
    </row>
    <row r="209" spans="1:9">
      <c r="A209" s="47">
        <v>196</v>
      </c>
      <c r="B209" s="50">
        <f t="shared" si="27"/>
        <v>0</v>
      </c>
      <c r="C209" s="51">
        <f t="shared" si="34"/>
        <v>0</v>
      </c>
      <c r="D209" s="51">
        <f t="shared" si="28"/>
        <v>0</v>
      </c>
      <c r="E209" s="51">
        <f t="shared" si="30"/>
        <v>0</v>
      </c>
      <c r="F209" s="51">
        <f t="shared" si="31"/>
        <v>0</v>
      </c>
      <c r="G209" s="51">
        <f t="shared" si="29"/>
        <v>0</v>
      </c>
      <c r="H209" s="52" t="e">
        <f t="shared" si="32"/>
        <v>#DIV/0!</v>
      </c>
      <c r="I209" s="51">
        <f t="shared" si="33"/>
        <v>0</v>
      </c>
    </row>
    <row r="210" spans="1:9">
      <c r="A210" s="47">
        <v>197</v>
      </c>
      <c r="B210" s="50">
        <f t="shared" si="27"/>
        <v>0</v>
      </c>
      <c r="C210" s="51">
        <f t="shared" si="34"/>
        <v>0</v>
      </c>
      <c r="D210" s="51">
        <f t="shared" si="28"/>
        <v>0</v>
      </c>
      <c r="E210" s="51">
        <f t="shared" si="30"/>
        <v>0</v>
      </c>
      <c r="F210" s="51">
        <f t="shared" si="31"/>
        <v>0</v>
      </c>
      <c r="G210" s="51">
        <f t="shared" si="29"/>
        <v>0</v>
      </c>
      <c r="H210" s="52" t="e">
        <f t="shared" si="32"/>
        <v>#DIV/0!</v>
      </c>
      <c r="I210" s="51">
        <f t="shared" si="33"/>
        <v>0</v>
      </c>
    </row>
    <row r="211" spans="1:9">
      <c r="A211" s="47">
        <v>198</v>
      </c>
      <c r="B211" s="50">
        <f t="shared" si="27"/>
        <v>0</v>
      </c>
      <c r="C211" s="51">
        <f t="shared" si="34"/>
        <v>0</v>
      </c>
      <c r="D211" s="51">
        <f t="shared" si="28"/>
        <v>0</v>
      </c>
      <c r="E211" s="51">
        <f t="shared" si="30"/>
        <v>0</v>
      </c>
      <c r="F211" s="51">
        <f t="shared" si="31"/>
        <v>0</v>
      </c>
      <c r="G211" s="51">
        <f t="shared" si="29"/>
        <v>0</v>
      </c>
      <c r="H211" s="52" t="e">
        <f t="shared" si="32"/>
        <v>#DIV/0!</v>
      </c>
      <c r="I211" s="51">
        <f t="shared" si="33"/>
        <v>0</v>
      </c>
    </row>
    <row r="212" spans="1:9">
      <c r="A212" s="47">
        <v>199</v>
      </c>
      <c r="B212" s="50">
        <f t="shared" si="27"/>
        <v>0</v>
      </c>
      <c r="C212" s="51">
        <f t="shared" si="34"/>
        <v>0</v>
      </c>
      <c r="D212" s="51">
        <f t="shared" si="28"/>
        <v>0</v>
      </c>
      <c r="E212" s="51">
        <f t="shared" si="30"/>
        <v>0</v>
      </c>
      <c r="F212" s="51">
        <f t="shared" si="31"/>
        <v>0</v>
      </c>
      <c r="G212" s="51">
        <f t="shared" si="29"/>
        <v>0</v>
      </c>
      <c r="H212" s="52" t="e">
        <f t="shared" si="32"/>
        <v>#DIV/0!</v>
      </c>
      <c r="I212" s="51">
        <f t="shared" si="33"/>
        <v>0</v>
      </c>
    </row>
    <row r="213" spans="1:9">
      <c r="A213" s="47">
        <v>200</v>
      </c>
      <c r="B213" s="50">
        <f t="shared" si="27"/>
        <v>0</v>
      </c>
      <c r="C213" s="51">
        <f t="shared" si="34"/>
        <v>0</v>
      </c>
      <c r="D213" s="51">
        <f t="shared" si="28"/>
        <v>0</v>
      </c>
      <c r="E213" s="51">
        <f t="shared" si="30"/>
        <v>0</v>
      </c>
      <c r="F213" s="51">
        <f t="shared" si="31"/>
        <v>0</v>
      </c>
      <c r="G213" s="51">
        <f t="shared" si="29"/>
        <v>0</v>
      </c>
      <c r="H213" s="52" t="e">
        <f t="shared" si="32"/>
        <v>#DIV/0!</v>
      </c>
      <c r="I213" s="51">
        <f t="shared" si="33"/>
        <v>0</v>
      </c>
    </row>
    <row r="214" spans="1:9">
      <c r="A214" s="47">
        <v>201</v>
      </c>
      <c r="B214" s="50">
        <f t="shared" si="27"/>
        <v>0</v>
      </c>
      <c r="C214" s="51">
        <f t="shared" si="34"/>
        <v>0</v>
      </c>
      <c r="D214" s="51">
        <f t="shared" si="28"/>
        <v>0</v>
      </c>
      <c r="E214" s="51">
        <f t="shared" si="30"/>
        <v>0</v>
      </c>
      <c r="F214" s="51">
        <f t="shared" si="31"/>
        <v>0</v>
      </c>
      <c r="G214" s="51">
        <f t="shared" si="29"/>
        <v>0</v>
      </c>
      <c r="H214" s="52" t="e">
        <f t="shared" si="32"/>
        <v>#DIV/0!</v>
      </c>
      <c r="I214" s="51">
        <f t="shared" si="33"/>
        <v>0</v>
      </c>
    </row>
    <row r="215" spans="1:9">
      <c r="A215" s="47">
        <v>202</v>
      </c>
      <c r="B215" s="50">
        <f t="shared" si="27"/>
        <v>0</v>
      </c>
      <c r="C215" s="51">
        <f t="shared" si="34"/>
        <v>0</v>
      </c>
      <c r="D215" s="51">
        <f t="shared" si="28"/>
        <v>0</v>
      </c>
      <c r="E215" s="51">
        <f t="shared" si="30"/>
        <v>0</v>
      </c>
      <c r="F215" s="51">
        <f t="shared" si="31"/>
        <v>0</v>
      </c>
      <c r="G215" s="51">
        <f t="shared" si="29"/>
        <v>0</v>
      </c>
      <c r="H215" s="52" t="e">
        <f t="shared" si="32"/>
        <v>#DIV/0!</v>
      </c>
      <c r="I215" s="51">
        <f t="shared" si="33"/>
        <v>0</v>
      </c>
    </row>
    <row r="216" spans="1:9">
      <c r="A216" s="47">
        <v>203</v>
      </c>
      <c r="B216" s="50">
        <f t="shared" si="27"/>
        <v>0</v>
      </c>
      <c r="C216" s="51">
        <f t="shared" si="34"/>
        <v>0</v>
      </c>
      <c r="D216" s="51">
        <f t="shared" si="28"/>
        <v>0</v>
      </c>
      <c r="E216" s="51">
        <f t="shared" si="30"/>
        <v>0</v>
      </c>
      <c r="F216" s="51">
        <f t="shared" si="31"/>
        <v>0</v>
      </c>
      <c r="G216" s="51">
        <f t="shared" si="29"/>
        <v>0</v>
      </c>
      <c r="H216" s="52" t="e">
        <f t="shared" si="32"/>
        <v>#DIV/0!</v>
      </c>
      <c r="I216" s="51">
        <f t="shared" si="33"/>
        <v>0</v>
      </c>
    </row>
    <row r="217" spans="1:9">
      <c r="A217" s="47">
        <v>204</v>
      </c>
      <c r="B217" s="50">
        <f t="shared" si="27"/>
        <v>0</v>
      </c>
      <c r="C217" s="51">
        <f t="shared" si="34"/>
        <v>0</v>
      </c>
      <c r="D217" s="51">
        <f t="shared" si="28"/>
        <v>0</v>
      </c>
      <c r="E217" s="51">
        <f t="shared" si="30"/>
        <v>0</v>
      </c>
      <c r="F217" s="51">
        <f t="shared" si="31"/>
        <v>0</v>
      </c>
      <c r="G217" s="51">
        <f t="shared" si="29"/>
        <v>0</v>
      </c>
      <c r="H217" s="52" t="e">
        <f t="shared" si="32"/>
        <v>#DIV/0!</v>
      </c>
      <c r="I217" s="51">
        <f t="shared" si="33"/>
        <v>0</v>
      </c>
    </row>
    <row r="218" spans="1:9">
      <c r="A218" s="47">
        <v>205</v>
      </c>
      <c r="B218" s="50">
        <f t="shared" si="27"/>
        <v>0</v>
      </c>
      <c r="C218" s="51">
        <f t="shared" si="34"/>
        <v>0</v>
      </c>
      <c r="D218" s="51">
        <f t="shared" si="28"/>
        <v>0</v>
      </c>
      <c r="E218" s="51">
        <f t="shared" si="30"/>
        <v>0</v>
      </c>
      <c r="F218" s="51">
        <f t="shared" si="31"/>
        <v>0</v>
      </c>
      <c r="G218" s="51">
        <f t="shared" si="29"/>
        <v>0</v>
      </c>
      <c r="H218" s="52" t="e">
        <f t="shared" si="32"/>
        <v>#DIV/0!</v>
      </c>
      <c r="I218" s="51">
        <f t="shared" si="33"/>
        <v>0</v>
      </c>
    </row>
    <row r="219" spans="1:9">
      <c r="A219" s="47">
        <v>206</v>
      </c>
      <c r="B219" s="50">
        <f t="shared" si="27"/>
        <v>0</v>
      </c>
      <c r="C219" s="51">
        <f t="shared" si="34"/>
        <v>0</v>
      </c>
      <c r="D219" s="51">
        <f t="shared" si="28"/>
        <v>0</v>
      </c>
      <c r="E219" s="51">
        <f t="shared" si="30"/>
        <v>0</v>
      </c>
      <c r="F219" s="51">
        <f t="shared" si="31"/>
        <v>0</v>
      </c>
      <c r="G219" s="51">
        <f t="shared" si="29"/>
        <v>0</v>
      </c>
      <c r="H219" s="52" t="e">
        <f t="shared" si="32"/>
        <v>#DIV/0!</v>
      </c>
      <c r="I219" s="51">
        <f t="shared" si="33"/>
        <v>0</v>
      </c>
    </row>
    <row r="220" spans="1:9">
      <c r="A220" s="47">
        <v>207</v>
      </c>
      <c r="B220" s="50">
        <f t="shared" si="27"/>
        <v>0</v>
      </c>
      <c r="C220" s="51">
        <f t="shared" si="34"/>
        <v>0</v>
      </c>
      <c r="D220" s="51">
        <f t="shared" si="28"/>
        <v>0</v>
      </c>
      <c r="E220" s="51">
        <f t="shared" si="30"/>
        <v>0</v>
      </c>
      <c r="F220" s="51">
        <f t="shared" si="31"/>
        <v>0</v>
      </c>
      <c r="G220" s="51">
        <f t="shared" si="29"/>
        <v>0</v>
      </c>
      <c r="H220" s="52" t="e">
        <f t="shared" si="32"/>
        <v>#DIV/0!</v>
      </c>
      <c r="I220" s="51">
        <f t="shared" si="33"/>
        <v>0</v>
      </c>
    </row>
    <row r="221" spans="1:9">
      <c r="A221" s="47">
        <v>208</v>
      </c>
      <c r="B221" s="50">
        <f t="shared" si="27"/>
        <v>0</v>
      </c>
      <c r="C221" s="51">
        <f t="shared" si="34"/>
        <v>0</v>
      </c>
      <c r="D221" s="51">
        <f t="shared" si="28"/>
        <v>0</v>
      </c>
      <c r="E221" s="51">
        <f t="shared" si="30"/>
        <v>0</v>
      </c>
      <c r="F221" s="51">
        <f t="shared" si="31"/>
        <v>0</v>
      </c>
      <c r="G221" s="51">
        <f t="shared" si="29"/>
        <v>0</v>
      </c>
      <c r="H221" s="52" t="e">
        <f t="shared" si="32"/>
        <v>#DIV/0!</v>
      </c>
      <c r="I221" s="51">
        <f t="shared" si="33"/>
        <v>0</v>
      </c>
    </row>
    <row r="222" spans="1:9">
      <c r="A222" s="47">
        <v>209</v>
      </c>
      <c r="B222" s="50">
        <f t="shared" si="27"/>
        <v>0</v>
      </c>
      <c r="C222" s="51">
        <f t="shared" si="34"/>
        <v>0</v>
      </c>
      <c r="D222" s="51">
        <f t="shared" si="28"/>
        <v>0</v>
      </c>
      <c r="E222" s="51">
        <f t="shared" si="30"/>
        <v>0</v>
      </c>
      <c r="F222" s="51">
        <f t="shared" si="31"/>
        <v>0</v>
      </c>
      <c r="G222" s="51">
        <f t="shared" si="29"/>
        <v>0</v>
      </c>
      <c r="H222" s="52" t="e">
        <f t="shared" si="32"/>
        <v>#DIV/0!</v>
      </c>
      <c r="I222" s="51">
        <f t="shared" si="33"/>
        <v>0</v>
      </c>
    </row>
    <row r="223" spans="1:9">
      <c r="A223" s="47">
        <v>210</v>
      </c>
      <c r="B223" s="50">
        <f t="shared" si="27"/>
        <v>0</v>
      </c>
      <c r="C223" s="51">
        <f t="shared" si="34"/>
        <v>0</v>
      </c>
      <c r="D223" s="51">
        <f t="shared" si="28"/>
        <v>0</v>
      </c>
      <c r="E223" s="51">
        <f t="shared" si="30"/>
        <v>0</v>
      </c>
      <c r="F223" s="51">
        <f t="shared" si="31"/>
        <v>0</v>
      </c>
      <c r="G223" s="51">
        <f t="shared" si="29"/>
        <v>0</v>
      </c>
      <c r="H223" s="52" t="e">
        <f t="shared" si="32"/>
        <v>#DIV/0!</v>
      </c>
      <c r="I223" s="51">
        <f t="shared" si="33"/>
        <v>0</v>
      </c>
    </row>
    <row r="224" spans="1:9">
      <c r="A224" s="47">
        <v>211</v>
      </c>
      <c r="B224" s="50">
        <f t="shared" si="27"/>
        <v>0</v>
      </c>
      <c r="C224" s="51">
        <f t="shared" si="34"/>
        <v>0</v>
      </c>
      <c r="D224" s="51">
        <f t="shared" si="28"/>
        <v>0</v>
      </c>
      <c r="E224" s="51">
        <f t="shared" si="30"/>
        <v>0</v>
      </c>
      <c r="F224" s="51">
        <f t="shared" si="31"/>
        <v>0</v>
      </c>
      <c r="G224" s="51">
        <f t="shared" si="29"/>
        <v>0</v>
      </c>
      <c r="H224" s="52" t="e">
        <f t="shared" si="32"/>
        <v>#DIV/0!</v>
      </c>
      <c r="I224" s="51">
        <f t="shared" si="33"/>
        <v>0</v>
      </c>
    </row>
    <row r="225" spans="1:9">
      <c r="A225" s="47">
        <v>212</v>
      </c>
      <c r="B225" s="50">
        <f t="shared" si="27"/>
        <v>0</v>
      </c>
      <c r="C225" s="51">
        <f t="shared" si="34"/>
        <v>0</v>
      </c>
      <c r="D225" s="51">
        <f t="shared" si="28"/>
        <v>0</v>
      </c>
      <c r="E225" s="51">
        <f t="shared" si="30"/>
        <v>0</v>
      </c>
      <c r="F225" s="51">
        <f t="shared" si="31"/>
        <v>0</v>
      </c>
      <c r="G225" s="51">
        <f t="shared" si="29"/>
        <v>0</v>
      </c>
      <c r="H225" s="52" t="e">
        <f t="shared" si="32"/>
        <v>#DIV/0!</v>
      </c>
      <c r="I225" s="51">
        <f t="shared" si="33"/>
        <v>0</v>
      </c>
    </row>
    <row r="226" spans="1:9">
      <c r="A226" s="47">
        <v>213</v>
      </c>
      <c r="B226" s="50">
        <f t="shared" si="27"/>
        <v>0</v>
      </c>
      <c r="C226" s="51">
        <f t="shared" si="34"/>
        <v>0</v>
      </c>
      <c r="D226" s="51">
        <f t="shared" si="28"/>
        <v>0</v>
      </c>
      <c r="E226" s="51">
        <f t="shared" si="30"/>
        <v>0</v>
      </c>
      <c r="F226" s="51">
        <f t="shared" si="31"/>
        <v>0</v>
      </c>
      <c r="G226" s="51">
        <f t="shared" si="29"/>
        <v>0</v>
      </c>
      <c r="H226" s="52" t="e">
        <f t="shared" si="32"/>
        <v>#DIV/0!</v>
      </c>
      <c r="I226" s="51">
        <f t="shared" si="33"/>
        <v>0</v>
      </c>
    </row>
    <row r="227" spans="1:9">
      <c r="A227" s="47">
        <v>214</v>
      </c>
      <c r="B227" s="50">
        <f t="shared" si="27"/>
        <v>0</v>
      </c>
      <c r="C227" s="51">
        <f t="shared" si="34"/>
        <v>0</v>
      </c>
      <c r="D227" s="51">
        <f t="shared" si="28"/>
        <v>0</v>
      </c>
      <c r="E227" s="51">
        <f t="shared" si="30"/>
        <v>0</v>
      </c>
      <c r="F227" s="51">
        <f t="shared" si="31"/>
        <v>0</v>
      </c>
      <c r="G227" s="51">
        <f t="shared" si="29"/>
        <v>0</v>
      </c>
      <c r="H227" s="52" t="e">
        <f t="shared" si="32"/>
        <v>#DIV/0!</v>
      </c>
      <c r="I227" s="51">
        <f t="shared" si="33"/>
        <v>0</v>
      </c>
    </row>
    <row r="228" spans="1:9">
      <c r="A228" s="47">
        <v>215</v>
      </c>
      <c r="B228" s="50">
        <f t="shared" si="27"/>
        <v>0</v>
      </c>
      <c r="C228" s="51">
        <f t="shared" si="34"/>
        <v>0</v>
      </c>
      <c r="D228" s="51">
        <f t="shared" si="28"/>
        <v>0</v>
      </c>
      <c r="E228" s="51">
        <f t="shared" si="30"/>
        <v>0</v>
      </c>
      <c r="F228" s="51">
        <f t="shared" si="31"/>
        <v>0</v>
      </c>
      <c r="G228" s="51">
        <f t="shared" si="29"/>
        <v>0</v>
      </c>
      <c r="H228" s="52" t="e">
        <f t="shared" si="32"/>
        <v>#DIV/0!</v>
      </c>
      <c r="I228" s="51">
        <f t="shared" si="33"/>
        <v>0</v>
      </c>
    </row>
    <row r="229" spans="1:9">
      <c r="A229" s="47">
        <v>216</v>
      </c>
      <c r="B229" s="50">
        <f t="shared" si="27"/>
        <v>0</v>
      </c>
      <c r="C229" s="51">
        <f t="shared" si="34"/>
        <v>0</v>
      </c>
      <c r="D229" s="51">
        <f t="shared" si="28"/>
        <v>0</v>
      </c>
      <c r="E229" s="51">
        <f t="shared" si="30"/>
        <v>0</v>
      </c>
      <c r="F229" s="51">
        <f t="shared" si="31"/>
        <v>0</v>
      </c>
      <c r="G229" s="51">
        <f t="shared" si="29"/>
        <v>0</v>
      </c>
      <c r="H229" s="52" t="e">
        <f t="shared" si="32"/>
        <v>#DIV/0!</v>
      </c>
      <c r="I229" s="51">
        <f t="shared" si="33"/>
        <v>0</v>
      </c>
    </row>
    <row r="230" spans="1:9">
      <c r="A230" s="47">
        <v>217</v>
      </c>
      <c r="B230" s="50">
        <f t="shared" si="27"/>
        <v>0</v>
      </c>
      <c r="C230" s="51">
        <f t="shared" si="34"/>
        <v>0</v>
      </c>
      <c r="D230" s="51">
        <f t="shared" si="28"/>
        <v>0</v>
      </c>
      <c r="E230" s="51">
        <f t="shared" si="30"/>
        <v>0</v>
      </c>
      <c r="F230" s="51">
        <f t="shared" si="31"/>
        <v>0</v>
      </c>
      <c r="G230" s="51">
        <f t="shared" si="29"/>
        <v>0</v>
      </c>
      <c r="H230" s="52" t="e">
        <f t="shared" si="32"/>
        <v>#DIV/0!</v>
      </c>
      <c r="I230" s="51">
        <f t="shared" si="33"/>
        <v>0</v>
      </c>
    </row>
    <row r="231" spans="1:9">
      <c r="A231" s="47">
        <v>218</v>
      </c>
      <c r="B231" s="50">
        <f t="shared" si="27"/>
        <v>0</v>
      </c>
      <c r="C231" s="51">
        <f t="shared" si="34"/>
        <v>0</v>
      </c>
      <c r="D231" s="51">
        <f t="shared" si="28"/>
        <v>0</v>
      </c>
      <c r="E231" s="51">
        <f t="shared" si="30"/>
        <v>0</v>
      </c>
      <c r="F231" s="51">
        <f t="shared" si="31"/>
        <v>0</v>
      </c>
      <c r="G231" s="51">
        <f t="shared" si="29"/>
        <v>0</v>
      </c>
      <c r="H231" s="52" t="e">
        <f t="shared" si="32"/>
        <v>#DIV/0!</v>
      </c>
      <c r="I231" s="51">
        <f t="shared" si="33"/>
        <v>0</v>
      </c>
    </row>
    <row r="232" spans="1:9">
      <c r="A232" s="47">
        <v>219</v>
      </c>
      <c r="B232" s="50">
        <f t="shared" si="27"/>
        <v>0</v>
      </c>
      <c r="C232" s="51">
        <f t="shared" si="34"/>
        <v>0</v>
      </c>
      <c r="D232" s="51">
        <f t="shared" si="28"/>
        <v>0</v>
      </c>
      <c r="E232" s="51">
        <f t="shared" si="30"/>
        <v>0</v>
      </c>
      <c r="F232" s="51">
        <f t="shared" si="31"/>
        <v>0</v>
      </c>
      <c r="G232" s="51">
        <f t="shared" si="29"/>
        <v>0</v>
      </c>
      <c r="H232" s="52" t="e">
        <f t="shared" si="32"/>
        <v>#DIV/0!</v>
      </c>
      <c r="I232" s="51">
        <f t="shared" si="33"/>
        <v>0</v>
      </c>
    </row>
    <row r="233" spans="1:9">
      <c r="A233" s="47">
        <v>220</v>
      </c>
      <c r="B233" s="50">
        <f t="shared" si="27"/>
        <v>0</v>
      </c>
      <c r="C233" s="51">
        <f t="shared" si="34"/>
        <v>0</v>
      </c>
      <c r="D233" s="51">
        <f t="shared" si="28"/>
        <v>0</v>
      </c>
      <c r="E233" s="51">
        <f t="shared" si="30"/>
        <v>0</v>
      </c>
      <c r="F233" s="51">
        <f t="shared" si="31"/>
        <v>0</v>
      </c>
      <c r="G233" s="51">
        <f t="shared" si="29"/>
        <v>0</v>
      </c>
      <c r="H233" s="52" t="e">
        <f t="shared" si="32"/>
        <v>#DIV/0!</v>
      </c>
      <c r="I233" s="51">
        <f t="shared" si="33"/>
        <v>0</v>
      </c>
    </row>
    <row r="234" spans="1:9">
      <c r="A234" s="47">
        <v>221</v>
      </c>
      <c r="B234" s="50">
        <f t="shared" si="27"/>
        <v>0</v>
      </c>
      <c r="C234" s="51">
        <f t="shared" si="34"/>
        <v>0</v>
      </c>
      <c r="D234" s="51">
        <f t="shared" si="28"/>
        <v>0</v>
      </c>
      <c r="E234" s="51">
        <f t="shared" si="30"/>
        <v>0</v>
      </c>
      <c r="F234" s="51">
        <f t="shared" si="31"/>
        <v>0</v>
      </c>
      <c r="G234" s="51">
        <f t="shared" si="29"/>
        <v>0</v>
      </c>
      <c r="H234" s="52" t="e">
        <f t="shared" si="32"/>
        <v>#DIV/0!</v>
      </c>
      <c r="I234" s="51">
        <f t="shared" si="33"/>
        <v>0</v>
      </c>
    </row>
    <row r="235" spans="1:9">
      <c r="A235" s="47">
        <v>222</v>
      </c>
      <c r="B235" s="50">
        <f t="shared" si="27"/>
        <v>0</v>
      </c>
      <c r="C235" s="51">
        <f t="shared" si="34"/>
        <v>0</v>
      </c>
      <c r="D235" s="51">
        <f t="shared" si="28"/>
        <v>0</v>
      </c>
      <c r="E235" s="51">
        <f t="shared" si="30"/>
        <v>0</v>
      </c>
      <c r="F235" s="51">
        <f t="shared" si="31"/>
        <v>0</v>
      </c>
      <c r="G235" s="51">
        <f t="shared" si="29"/>
        <v>0</v>
      </c>
      <c r="H235" s="52" t="e">
        <f t="shared" si="32"/>
        <v>#DIV/0!</v>
      </c>
      <c r="I235" s="51">
        <f t="shared" si="33"/>
        <v>0</v>
      </c>
    </row>
    <row r="236" spans="1:9">
      <c r="A236" s="47">
        <v>223</v>
      </c>
      <c r="B236" s="50">
        <f t="shared" si="27"/>
        <v>0</v>
      </c>
      <c r="C236" s="51">
        <f t="shared" si="34"/>
        <v>0</v>
      </c>
      <c r="D236" s="51">
        <f t="shared" si="28"/>
        <v>0</v>
      </c>
      <c r="E236" s="51">
        <f t="shared" si="30"/>
        <v>0</v>
      </c>
      <c r="F236" s="51">
        <f t="shared" si="31"/>
        <v>0</v>
      </c>
      <c r="G236" s="51">
        <f t="shared" si="29"/>
        <v>0</v>
      </c>
      <c r="H236" s="52" t="e">
        <f t="shared" si="32"/>
        <v>#DIV/0!</v>
      </c>
      <c r="I236" s="51">
        <f t="shared" si="33"/>
        <v>0</v>
      </c>
    </row>
    <row r="237" spans="1:9">
      <c r="A237" s="47">
        <v>224</v>
      </c>
      <c r="B237" s="50">
        <f t="shared" si="27"/>
        <v>0</v>
      </c>
      <c r="C237" s="51">
        <f t="shared" si="34"/>
        <v>0</v>
      </c>
      <c r="D237" s="51">
        <f t="shared" si="28"/>
        <v>0</v>
      </c>
      <c r="E237" s="51">
        <f t="shared" si="30"/>
        <v>0</v>
      </c>
      <c r="F237" s="51">
        <f t="shared" si="31"/>
        <v>0</v>
      </c>
      <c r="G237" s="51">
        <f t="shared" si="29"/>
        <v>0</v>
      </c>
      <c r="H237" s="52" t="e">
        <f t="shared" si="32"/>
        <v>#DIV/0!</v>
      </c>
      <c r="I237" s="51">
        <f t="shared" si="33"/>
        <v>0</v>
      </c>
    </row>
    <row r="238" spans="1:9">
      <c r="A238" s="47">
        <v>225</v>
      </c>
      <c r="B238" s="50">
        <f t="shared" si="27"/>
        <v>0</v>
      </c>
      <c r="C238" s="51">
        <f t="shared" si="34"/>
        <v>0</v>
      </c>
      <c r="D238" s="51">
        <f t="shared" si="28"/>
        <v>0</v>
      </c>
      <c r="E238" s="51">
        <f t="shared" si="30"/>
        <v>0</v>
      </c>
      <c r="F238" s="51">
        <f t="shared" si="31"/>
        <v>0</v>
      </c>
      <c r="G238" s="51">
        <f t="shared" si="29"/>
        <v>0</v>
      </c>
      <c r="H238" s="52" t="e">
        <f t="shared" si="32"/>
        <v>#DIV/0!</v>
      </c>
      <c r="I238" s="51">
        <f t="shared" si="33"/>
        <v>0</v>
      </c>
    </row>
    <row r="239" spans="1:9">
      <c r="A239" s="47">
        <v>226</v>
      </c>
      <c r="B239" s="50">
        <f t="shared" si="27"/>
        <v>0</v>
      </c>
      <c r="C239" s="51">
        <f t="shared" si="34"/>
        <v>0</v>
      </c>
      <c r="D239" s="51">
        <f t="shared" si="28"/>
        <v>0</v>
      </c>
      <c r="E239" s="51">
        <f t="shared" si="30"/>
        <v>0</v>
      </c>
      <c r="F239" s="51">
        <f t="shared" si="31"/>
        <v>0</v>
      </c>
      <c r="G239" s="51">
        <f t="shared" si="29"/>
        <v>0</v>
      </c>
      <c r="H239" s="52" t="e">
        <f t="shared" si="32"/>
        <v>#DIV/0!</v>
      </c>
      <c r="I239" s="51">
        <f t="shared" si="33"/>
        <v>0</v>
      </c>
    </row>
    <row r="240" spans="1:9">
      <c r="A240" s="47">
        <v>227</v>
      </c>
      <c r="B240" s="50">
        <f t="shared" si="27"/>
        <v>0</v>
      </c>
      <c r="C240" s="51">
        <f t="shared" si="34"/>
        <v>0</v>
      </c>
      <c r="D240" s="51">
        <f t="shared" si="28"/>
        <v>0</v>
      </c>
      <c r="E240" s="51">
        <f t="shared" si="30"/>
        <v>0</v>
      </c>
      <c r="F240" s="51">
        <f t="shared" si="31"/>
        <v>0</v>
      </c>
      <c r="G240" s="51">
        <f t="shared" si="29"/>
        <v>0</v>
      </c>
      <c r="H240" s="52" t="e">
        <f t="shared" si="32"/>
        <v>#DIV/0!</v>
      </c>
      <c r="I240" s="51">
        <f t="shared" si="33"/>
        <v>0</v>
      </c>
    </row>
    <row r="241" spans="1:9">
      <c r="A241" s="47">
        <v>228</v>
      </c>
      <c r="B241" s="50">
        <f t="shared" si="27"/>
        <v>0</v>
      </c>
      <c r="C241" s="51">
        <f t="shared" si="34"/>
        <v>0</v>
      </c>
      <c r="D241" s="51">
        <f t="shared" si="28"/>
        <v>0</v>
      </c>
      <c r="E241" s="51">
        <f t="shared" si="30"/>
        <v>0</v>
      </c>
      <c r="F241" s="51">
        <f t="shared" si="31"/>
        <v>0</v>
      </c>
      <c r="G241" s="51">
        <f t="shared" si="29"/>
        <v>0</v>
      </c>
      <c r="H241" s="52" t="e">
        <f t="shared" si="32"/>
        <v>#DIV/0!</v>
      </c>
      <c r="I241" s="51">
        <f t="shared" si="33"/>
        <v>0</v>
      </c>
    </row>
    <row r="242" spans="1:9">
      <c r="A242" s="47">
        <v>229</v>
      </c>
      <c r="B242" s="50">
        <f t="shared" si="27"/>
        <v>0</v>
      </c>
      <c r="C242" s="51">
        <f t="shared" si="34"/>
        <v>0</v>
      </c>
      <c r="D242" s="51">
        <f t="shared" si="28"/>
        <v>0</v>
      </c>
      <c r="E242" s="51">
        <f t="shared" si="30"/>
        <v>0</v>
      </c>
      <c r="F242" s="51">
        <f t="shared" si="31"/>
        <v>0</v>
      </c>
      <c r="G242" s="51">
        <f t="shared" si="29"/>
        <v>0</v>
      </c>
      <c r="H242" s="52" t="e">
        <f t="shared" si="32"/>
        <v>#DIV/0!</v>
      </c>
      <c r="I242" s="51">
        <f t="shared" si="33"/>
        <v>0</v>
      </c>
    </row>
    <row r="243" spans="1:9">
      <c r="A243" s="47">
        <v>230</v>
      </c>
      <c r="B243" s="50">
        <f t="shared" ref="B243:B306" si="35">$C$6</f>
        <v>0</v>
      </c>
      <c r="C243" s="51">
        <f t="shared" si="34"/>
        <v>0</v>
      </c>
      <c r="D243" s="51">
        <f t="shared" si="28"/>
        <v>0</v>
      </c>
      <c r="E243" s="51">
        <f t="shared" si="30"/>
        <v>0</v>
      </c>
      <c r="F243" s="51">
        <f t="shared" si="31"/>
        <v>0</v>
      </c>
      <c r="G243" s="51">
        <f t="shared" si="29"/>
        <v>0</v>
      </c>
      <c r="H243" s="52" t="e">
        <f t="shared" si="32"/>
        <v>#DIV/0!</v>
      </c>
      <c r="I243" s="51">
        <f t="shared" si="33"/>
        <v>0</v>
      </c>
    </row>
    <row r="244" spans="1:9">
      <c r="A244" s="47">
        <v>231</v>
      </c>
      <c r="B244" s="50">
        <f t="shared" si="35"/>
        <v>0</v>
      </c>
      <c r="C244" s="51">
        <f t="shared" si="34"/>
        <v>0</v>
      </c>
      <c r="D244" s="51">
        <f t="shared" si="28"/>
        <v>0</v>
      </c>
      <c r="E244" s="51">
        <f t="shared" si="30"/>
        <v>0</v>
      </c>
      <c r="F244" s="51">
        <f t="shared" si="31"/>
        <v>0</v>
      </c>
      <c r="G244" s="51">
        <f t="shared" si="29"/>
        <v>0</v>
      </c>
      <c r="H244" s="52" t="e">
        <f t="shared" si="32"/>
        <v>#DIV/0!</v>
      </c>
      <c r="I244" s="51">
        <f t="shared" si="33"/>
        <v>0</v>
      </c>
    </row>
    <row r="245" spans="1:9">
      <c r="A245" s="47">
        <v>232</v>
      </c>
      <c r="B245" s="50">
        <f t="shared" si="35"/>
        <v>0</v>
      </c>
      <c r="C245" s="51">
        <f t="shared" si="34"/>
        <v>0</v>
      </c>
      <c r="D245" s="51">
        <f t="shared" si="28"/>
        <v>0</v>
      </c>
      <c r="E245" s="51">
        <f t="shared" si="30"/>
        <v>0</v>
      </c>
      <c r="F245" s="51">
        <f t="shared" si="31"/>
        <v>0</v>
      </c>
      <c r="G245" s="51">
        <f t="shared" si="29"/>
        <v>0</v>
      </c>
      <c r="H245" s="52" t="e">
        <f t="shared" si="32"/>
        <v>#DIV/0!</v>
      </c>
      <c r="I245" s="51">
        <f t="shared" si="33"/>
        <v>0</v>
      </c>
    </row>
    <row r="246" spans="1:9">
      <c r="A246" s="47">
        <v>233</v>
      </c>
      <c r="B246" s="50">
        <f t="shared" si="35"/>
        <v>0</v>
      </c>
      <c r="C246" s="51">
        <f t="shared" si="34"/>
        <v>0</v>
      </c>
      <c r="D246" s="51">
        <f t="shared" si="28"/>
        <v>0</v>
      </c>
      <c r="E246" s="51">
        <f t="shared" si="30"/>
        <v>0</v>
      </c>
      <c r="F246" s="51">
        <f t="shared" si="31"/>
        <v>0</v>
      </c>
      <c r="G246" s="51">
        <f t="shared" si="29"/>
        <v>0</v>
      </c>
      <c r="H246" s="52" t="e">
        <f t="shared" si="32"/>
        <v>#DIV/0!</v>
      </c>
      <c r="I246" s="51">
        <f t="shared" si="33"/>
        <v>0</v>
      </c>
    </row>
    <row r="247" spans="1:9">
      <c r="A247" s="47">
        <v>234</v>
      </c>
      <c r="B247" s="50">
        <f t="shared" si="35"/>
        <v>0</v>
      </c>
      <c r="C247" s="51">
        <f t="shared" si="34"/>
        <v>0</v>
      </c>
      <c r="D247" s="51">
        <f t="shared" si="28"/>
        <v>0</v>
      </c>
      <c r="E247" s="51">
        <f t="shared" si="30"/>
        <v>0</v>
      </c>
      <c r="F247" s="51">
        <f t="shared" si="31"/>
        <v>0</v>
      </c>
      <c r="G247" s="51">
        <f t="shared" si="29"/>
        <v>0</v>
      </c>
      <c r="H247" s="52" t="e">
        <f t="shared" si="32"/>
        <v>#DIV/0!</v>
      </c>
      <c r="I247" s="51">
        <f t="shared" si="33"/>
        <v>0</v>
      </c>
    </row>
    <row r="248" spans="1:9">
      <c r="A248" s="47">
        <v>235</v>
      </c>
      <c r="B248" s="50">
        <f t="shared" si="35"/>
        <v>0</v>
      </c>
      <c r="C248" s="51">
        <f t="shared" si="34"/>
        <v>0</v>
      </c>
      <c r="D248" s="51">
        <f t="shared" si="28"/>
        <v>0</v>
      </c>
      <c r="E248" s="51">
        <f t="shared" si="30"/>
        <v>0</v>
      </c>
      <c r="F248" s="51">
        <f t="shared" si="31"/>
        <v>0</v>
      </c>
      <c r="G248" s="51">
        <f t="shared" si="29"/>
        <v>0</v>
      </c>
      <c r="H248" s="52" t="e">
        <f t="shared" si="32"/>
        <v>#DIV/0!</v>
      </c>
      <c r="I248" s="51">
        <f t="shared" si="33"/>
        <v>0</v>
      </c>
    </row>
    <row r="249" spans="1:9">
      <c r="A249" s="47">
        <v>236</v>
      </c>
      <c r="B249" s="50">
        <f t="shared" si="35"/>
        <v>0</v>
      </c>
      <c r="C249" s="51">
        <f t="shared" si="34"/>
        <v>0</v>
      </c>
      <c r="D249" s="51">
        <f t="shared" si="28"/>
        <v>0</v>
      </c>
      <c r="E249" s="51">
        <f t="shared" si="30"/>
        <v>0</v>
      </c>
      <c r="F249" s="51">
        <f t="shared" si="31"/>
        <v>0</v>
      </c>
      <c r="G249" s="51">
        <f t="shared" si="29"/>
        <v>0</v>
      </c>
      <c r="H249" s="52" t="e">
        <f t="shared" si="32"/>
        <v>#DIV/0!</v>
      </c>
      <c r="I249" s="51">
        <f t="shared" si="33"/>
        <v>0</v>
      </c>
    </row>
    <row r="250" spans="1:9">
      <c r="A250" s="47">
        <v>237</v>
      </c>
      <c r="B250" s="50">
        <f t="shared" si="35"/>
        <v>0</v>
      </c>
      <c r="C250" s="51">
        <f t="shared" si="34"/>
        <v>0</v>
      </c>
      <c r="D250" s="51">
        <f t="shared" si="28"/>
        <v>0</v>
      </c>
      <c r="E250" s="51">
        <f t="shared" si="30"/>
        <v>0</v>
      </c>
      <c r="F250" s="51">
        <f t="shared" si="31"/>
        <v>0</v>
      </c>
      <c r="G250" s="51">
        <f t="shared" si="29"/>
        <v>0</v>
      </c>
      <c r="H250" s="52" t="e">
        <f t="shared" si="32"/>
        <v>#DIV/0!</v>
      </c>
      <c r="I250" s="51">
        <f t="shared" si="33"/>
        <v>0</v>
      </c>
    </row>
    <row r="251" spans="1:9">
      <c r="A251" s="47">
        <v>238</v>
      </c>
      <c r="B251" s="50">
        <f t="shared" si="35"/>
        <v>0</v>
      </c>
      <c r="C251" s="51">
        <f t="shared" si="34"/>
        <v>0</v>
      </c>
      <c r="D251" s="51">
        <f t="shared" si="28"/>
        <v>0</v>
      </c>
      <c r="E251" s="51">
        <f t="shared" si="30"/>
        <v>0</v>
      </c>
      <c r="F251" s="51">
        <f t="shared" si="31"/>
        <v>0</v>
      </c>
      <c r="G251" s="51">
        <f t="shared" si="29"/>
        <v>0</v>
      </c>
      <c r="H251" s="52" t="e">
        <f t="shared" si="32"/>
        <v>#DIV/0!</v>
      </c>
      <c r="I251" s="51">
        <f t="shared" si="33"/>
        <v>0</v>
      </c>
    </row>
    <row r="252" spans="1:9">
      <c r="A252" s="47">
        <v>239</v>
      </c>
      <c r="B252" s="50">
        <f t="shared" si="35"/>
        <v>0</v>
      </c>
      <c r="C252" s="51">
        <f t="shared" si="34"/>
        <v>0</v>
      </c>
      <c r="D252" s="51">
        <f t="shared" si="28"/>
        <v>0</v>
      </c>
      <c r="E252" s="51">
        <f t="shared" si="30"/>
        <v>0</v>
      </c>
      <c r="F252" s="51">
        <f t="shared" si="31"/>
        <v>0</v>
      </c>
      <c r="G252" s="51">
        <f t="shared" si="29"/>
        <v>0</v>
      </c>
      <c r="H252" s="52" t="e">
        <f t="shared" si="32"/>
        <v>#DIV/0!</v>
      </c>
      <c r="I252" s="51">
        <f t="shared" si="33"/>
        <v>0</v>
      </c>
    </row>
    <row r="253" spans="1:9">
      <c r="A253" s="47">
        <v>240</v>
      </c>
      <c r="B253" s="50">
        <f t="shared" si="35"/>
        <v>0</v>
      </c>
      <c r="C253" s="51">
        <f t="shared" si="34"/>
        <v>0</v>
      </c>
      <c r="D253" s="51">
        <f t="shared" si="28"/>
        <v>0</v>
      </c>
      <c r="E253" s="51">
        <f t="shared" si="30"/>
        <v>0</v>
      </c>
      <c r="F253" s="51">
        <f t="shared" si="31"/>
        <v>0</v>
      </c>
      <c r="G253" s="51">
        <f t="shared" si="29"/>
        <v>0</v>
      </c>
      <c r="H253" s="52" t="e">
        <f t="shared" si="32"/>
        <v>#DIV/0!</v>
      </c>
      <c r="I253" s="51">
        <f t="shared" si="33"/>
        <v>0</v>
      </c>
    </row>
    <row r="254" spans="1:9">
      <c r="A254" s="47">
        <v>241</v>
      </c>
      <c r="B254" s="50">
        <f t="shared" si="35"/>
        <v>0</v>
      </c>
      <c r="C254" s="51">
        <f t="shared" si="34"/>
        <v>0</v>
      </c>
      <c r="D254" s="51">
        <f t="shared" si="28"/>
        <v>0</v>
      </c>
      <c r="E254" s="51">
        <f t="shared" si="30"/>
        <v>0</v>
      </c>
      <c r="F254" s="51">
        <f t="shared" si="31"/>
        <v>0</v>
      </c>
      <c r="G254" s="51">
        <f t="shared" si="29"/>
        <v>0</v>
      </c>
      <c r="H254" s="52" t="e">
        <f t="shared" si="32"/>
        <v>#DIV/0!</v>
      </c>
      <c r="I254" s="51">
        <f t="shared" si="33"/>
        <v>0</v>
      </c>
    </row>
    <row r="255" spans="1:9">
      <c r="A255" s="47">
        <v>242</v>
      </c>
      <c r="B255" s="50">
        <f t="shared" si="35"/>
        <v>0</v>
      </c>
      <c r="C255" s="51">
        <f t="shared" si="34"/>
        <v>0</v>
      </c>
      <c r="D255" s="51">
        <f t="shared" si="28"/>
        <v>0</v>
      </c>
      <c r="E255" s="51">
        <f t="shared" si="30"/>
        <v>0</v>
      </c>
      <c r="F255" s="51">
        <f t="shared" si="31"/>
        <v>0</v>
      </c>
      <c r="G255" s="51">
        <f t="shared" si="29"/>
        <v>0</v>
      </c>
      <c r="H255" s="52" t="e">
        <f t="shared" si="32"/>
        <v>#DIV/0!</v>
      </c>
      <c r="I255" s="51">
        <f t="shared" si="33"/>
        <v>0</v>
      </c>
    </row>
    <row r="256" spans="1:9">
      <c r="A256" s="47">
        <v>243</v>
      </c>
      <c r="B256" s="50">
        <f t="shared" si="35"/>
        <v>0</v>
      </c>
      <c r="C256" s="51">
        <f t="shared" si="34"/>
        <v>0</v>
      </c>
      <c r="D256" s="51">
        <f t="shared" si="28"/>
        <v>0</v>
      </c>
      <c r="E256" s="51">
        <f t="shared" si="30"/>
        <v>0</v>
      </c>
      <c r="F256" s="51">
        <f t="shared" si="31"/>
        <v>0</v>
      </c>
      <c r="G256" s="51">
        <f t="shared" si="29"/>
        <v>0</v>
      </c>
      <c r="H256" s="52" t="e">
        <f t="shared" si="32"/>
        <v>#DIV/0!</v>
      </c>
      <c r="I256" s="51">
        <f t="shared" si="33"/>
        <v>0</v>
      </c>
    </row>
    <row r="257" spans="1:9">
      <c r="A257" s="47">
        <v>244</v>
      </c>
      <c r="B257" s="50">
        <f t="shared" si="35"/>
        <v>0</v>
      </c>
      <c r="C257" s="51">
        <f t="shared" si="34"/>
        <v>0</v>
      </c>
      <c r="D257" s="51">
        <f t="shared" si="28"/>
        <v>0</v>
      </c>
      <c r="E257" s="51">
        <f t="shared" si="30"/>
        <v>0</v>
      </c>
      <c r="F257" s="51">
        <f t="shared" si="31"/>
        <v>0</v>
      </c>
      <c r="G257" s="51">
        <f t="shared" si="29"/>
        <v>0</v>
      </c>
      <c r="H257" s="52" t="e">
        <f t="shared" si="32"/>
        <v>#DIV/0!</v>
      </c>
      <c r="I257" s="51">
        <f t="shared" si="33"/>
        <v>0</v>
      </c>
    </row>
    <row r="258" spans="1:9">
      <c r="A258" s="47">
        <v>245</v>
      </c>
      <c r="B258" s="50">
        <f t="shared" si="35"/>
        <v>0</v>
      </c>
      <c r="C258" s="51">
        <f t="shared" si="34"/>
        <v>0</v>
      </c>
      <c r="D258" s="51">
        <f t="shared" si="28"/>
        <v>0</v>
      </c>
      <c r="E258" s="51">
        <f t="shared" si="30"/>
        <v>0</v>
      </c>
      <c r="F258" s="51">
        <f t="shared" si="31"/>
        <v>0</v>
      </c>
      <c r="G258" s="51">
        <f t="shared" si="29"/>
        <v>0</v>
      </c>
      <c r="H258" s="52" t="e">
        <f t="shared" si="32"/>
        <v>#DIV/0!</v>
      </c>
      <c r="I258" s="51">
        <f t="shared" si="33"/>
        <v>0</v>
      </c>
    </row>
    <row r="259" spans="1:9">
      <c r="A259" s="47">
        <v>246</v>
      </c>
      <c r="B259" s="50">
        <f t="shared" si="35"/>
        <v>0</v>
      </c>
      <c r="C259" s="51">
        <f t="shared" si="34"/>
        <v>0</v>
      </c>
      <c r="D259" s="51">
        <f t="shared" si="28"/>
        <v>0</v>
      </c>
      <c r="E259" s="51">
        <f t="shared" si="30"/>
        <v>0</v>
      </c>
      <c r="F259" s="51">
        <f t="shared" si="31"/>
        <v>0</v>
      </c>
      <c r="G259" s="51">
        <f t="shared" si="29"/>
        <v>0</v>
      </c>
      <c r="H259" s="52" t="e">
        <f t="shared" si="32"/>
        <v>#DIV/0!</v>
      </c>
      <c r="I259" s="51">
        <f t="shared" si="33"/>
        <v>0</v>
      </c>
    </row>
    <row r="260" spans="1:9">
      <c r="A260" s="47">
        <v>247</v>
      </c>
      <c r="B260" s="50">
        <f t="shared" si="35"/>
        <v>0</v>
      </c>
      <c r="C260" s="51">
        <f t="shared" si="34"/>
        <v>0</v>
      </c>
      <c r="D260" s="51">
        <f t="shared" si="28"/>
        <v>0</v>
      </c>
      <c r="E260" s="51">
        <f t="shared" si="30"/>
        <v>0</v>
      </c>
      <c r="F260" s="51">
        <f t="shared" si="31"/>
        <v>0</v>
      </c>
      <c r="G260" s="51">
        <f t="shared" si="29"/>
        <v>0</v>
      </c>
      <c r="H260" s="52" t="e">
        <f t="shared" si="32"/>
        <v>#DIV/0!</v>
      </c>
      <c r="I260" s="51">
        <f t="shared" si="33"/>
        <v>0</v>
      </c>
    </row>
    <row r="261" spans="1:9">
      <c r="A261" s="47">
        <v>248</v>
      </c>
      <c r="B261" s="50">
        <f t="shared" si="35"/>
        <v>0</v>
      </c>
      <c r="C261" s="51">
        <f t="shared" si="34"/>
        <v>0</v>
      </c>
      <c r="D261" s="51">
        <f t="shared" si="28"/>
        <v>0</v>
      </c>
      <c r="E261" s="51">
        <f t="shared" si="30"/>
        <v>0</v>
      </c>
      <c r="F261" s="51">
        <f t="shared" si="31"/>
        <v>0</v>
      </c>
      <c r="G261" s="51">
        <f t="shared" si="29"/>
        <v>0</v>
      </c>
      <c r="H261" s="52" t="e">
        <f t="shared" si="32"/>
        <v>#DIV/0!</v>
      </c>
      <c r="I261" s="51">
        <f t="shared" si="33"/>
        <v>0</v>
      </c>
    </row>
    <row r="262" spans="1:9">
      <c r="A262" s="47">
        <v>249</v>
      </c>
      <c r="B262" s="50">
        <f t="shared" si="35"/>
        <v>0</v>
      </c>
      <c r="C262" s="51">
        <f t="shared" si="34"/>
        <v>0</v>
      </c>
      <c r="D262" s="51">
        <f t="shared" si="28"/>
        <v>0</v>
      </c>
      <c r="E262" s="51">
        <f t="shared" si="30"/>
        <v>0</v>
      </c>
      <c r="F262" s="51">
        <f t="shared" si="31"/>
        <v>0</v>
      </c>
      <c r="G262" s="51">
        <f t="shared" si="29"/>
        <v>0</v>
      </c>
      <c r="H262" s="52" t="e">
        <f t="shared" si="32"/>
        <v>#DIV/0!</v>
      </c>
      <c r="I262" s="51">
        <f t="shared" si="33"/>
        <v>0</v>
      </c>
    </row>
    <row r="263" spans="1:9">
      <c r="A263" s="47">
        <v>250</v>
      </c>
      <c r="B263" s="50">
        <f t="shared" si="35"/>
        <v>0</v>
      </c>
      <c r="C263" s="51">
        <f t="shared" si="34"/>
        <v>0</v>
      </c>
      <c r="D263" s="51">
        <f t="shared" si="28"/>
        <v>0</v>
      </c>
      <c r="E263" s="51">
        <f t="shared" si="30"/>
        <v>0</v>
      </c>
      <c r="F263" s="51">
        <f t="shared" si="31"/>
        <v>0</v>
      </c>
      <c r="G263" s="51">
        <f t="shared" si="29"/>
        <v>0</v>
      </c>
      <c r="H263" s="52" t="e">
        <f t="shared" si="32"/>
        <v>#DIV/0!</v>
      </c>
      <c r="I263" s="51">
        <f t="shared" si="33"/>
        <v>0</v>
      </c>
    </row>
    <row r="264" spans="1:9">
      <c r="A264" s="47">
        <v>251</v>
      </c>
      <c r="B264" s="50">
        <f t="shared" si="35"/>
        <v>0</v>
      </c>
      <c r="C264" s="51">
        <f t="shared" si="34"/>
        <v>0</v>
      </c>
      <c r="D264" s="51">
        <f t="shared" si="28"/>
        <v>0</v>
      </c>
      <c r="E264" s="51">
        <f t="shared" si="30"/>
        <v>0</v>
      </c>
      <c r="F264" s="51">
        <f t="shared" si="31"/>
        <v>0</v>
      </c>
      <c r="G264" s="51">
        <f t="shared" si="29"/>
        <v>0</v>
      </c>
      <c r="H264" s="52" t="e">
        <f t="shared" si="32"/>
        <v>#DIV/0!</v>
      </c>
      <c r="I264" s="51">
        <f t="shared" si="33"/>
        <v>0</v>
      </c>
    </row>
    <row r="265" spans="1:9">
      <c r="A265" s="47">
        <v>252</v>
      </c>
      <c r="B265" s="50">
        <f t="shared" si="35"/>
        <v>0</v>
      </c>
      <c r="C265" s="51">
        <f t="shared" si="34"/>
        <v>0</v>
      </c>
      <c r="D265" s="51">
        <f t="shared" si="28"/>
        <v>0</v>
      </c>
      <c r="E265" s="51">
        <f t="shared" si="30"/>
        <v>0</v>
      </c>
      <c r="F265" s="51">
        <f t="shared" si="31"/>
        <v>0</v>
      </c>
      <c r="G265" s="51">
        <f t="shared" si="29"/>
        <v>0</v>
      </c>
      <c r="H265" s="52" t="e">
        <f t="shared" si="32"/>
        <v>#DIV/0!</v>
      </c>
      <c r="I265" s="51">
        <f t="shared" si="33"/>
        <v>0</v>
      </c>
    </row>
    <row r="266" spans="1:9">
      <c r="A266" s="47">
        <v>253</v>
      </c>
      <c r="B266" s="50">
        <f t="shared" si="35"/>
        <v>0</v>
      </c>
      <c r="C266" s="51">
        <f t="shared" si="34"/>
        <v>0</v>
      </c>
      <c r="D266" s="51">
        <f t="shared" si="28"/>
        <v>0</v>
      </c>
      <c r="E266" s="51">
        <f t="shared" si="30"/>
        <v>0</v>
      </c>
      <c r="F266" s="51">
        <f t="shared" si="31"/>
        <v>0</v>
      </c>
      <c r="G266" s="51">
        <f t="shared" si="29"/>
        <v>0</v>
      </c>
      <c r="H266" s="52" t="e">
        <f t="shared" si="32"/>
        <v>#DIV/0!</v>
      </c>
      <c r="I266" s="51">
        <f t="shared" si="33"/>
        <v>0</v>
      </c>
    </row>
    <row r="267" spans="1:9">
      <c r="A267" s="47">
        <v>254</v>
      </c>
      <c r="B267" s="50">
        <f t="shared" si="35"/>
        <v>0</v>
      </c>
      <c r="C267" s="51">
        <f t="shared" si="34"/>
        <v>0</v>
      </c>
      <c r="D267" s="51">
        <f t="shared" si="28"/>
        <v>0</v>
      </c>
      <c r="E267" s="51">
        <f t="shared" si="30"/>
        <v>0</v>
      </c>
      <c r="F267" s="51">
        <f t="shared" si="31"/>
        <v>0</v>
      </c>
      <c r="G267" s="51">
        <f t="shared" si="29"/>
        <v>0</v>
      </c>
      <c r="H267" s="52" t="e">
        <f t="shared" si="32"/>
        <v>#DIV/0!</v>
      </c>
      <c r="I267" s="51">
        <f t="shared" si="33"/>
        <v>0</v>
      </c>
    </row>
    <row r="268" spans="1:9">
      <c r="A268" s="47">
        <v>255</v>
      </c>
      <c r="B268" s="50">
        <f t="shared" si="35"/>
        <v>0</v>
      </c>
      <c r="C268" s="51">
        <f t="shared" si="34"/>
        <v>0</v>
      </c>
      <c r="D268" s="51">
        <f t="shared" si="28"/>
        <v>0</v>
      </c>
      <c r="E268" s="51">
        <f t="shared" si="30"/>
        <v>0</v>
      </c>
      <c r="F268" s="51">
        <f t="shared" si="31"/>
        <v>0</v>
      </c>
      <c r="G268" s="51">
        <f t="shared" si="29"/>
        <v>0</v>
      </c>
      <c r="H268" s="52" t="e">
        <f t="shared" si="32"/>
        <v>#DIV/0!</v>
      </c>
      <c r="I268" s="51">
        <f t="shared" si="33"/>
        <v>0</v>
      </c>
    </row>
    <row r="269" spans="1:9">
      <c r="A269" s="47">
        <v>256</v>
      </c>
      <c r="B269" s="50">
        <f t="shared" si="35"/>
        <v>0</v>
      </c>
      <c r="C269" s="51">
        <f t="shared" si="34"/>
        <v>0</v>
      </c>
      <c r="D269" s="51">
        <f t="shared" si="28"/>
        <v>0</v>
      </c>
      <c r="E269" s="51">
        <f t="shared" si="30"/>
        <v>0</v>
      </c>
      <c r="F269" s="51">
        <f t="shared" si="31"/>
        <v>0</v>
      </c>
      <c r="G269" s="51">
        <f t="shared" si="29"/>
        <v>0</v>
      </c>
      <c r="H269" s="52" t="e">
        <f t="shared" si="32"/>
        <v>#DIV/0!</v>
      </c>
      <c r="I269" s="51">
        <f t="shared" si="33"/>
        <v>0</v>
      </c>
    </row>
    <row r="270" spans="1:9">
      <c r="A270" s="47">
        <v>257</v>
      </c>
      <c r="B270" s="50">
        <f t="shared" si="35"/>
        <v>0</v>
      </c>
      <c r="C270" s="51">
        <f t="shared" si="34"/>
        <v>0</v>
      </c>
      <c r="D270" s="51">
        <f t="shared" ref="D270:D333" si="36">IF(C270+E270&gt;$C$10,$C$10,C270+E270)</f>
        <v>0</v>
      </c>
      <c r="E270" s="51">
        <f t="shared" si="30"/>
        <v>0</v>
      </c>
      <c r="F270" s="51">
        <f t="shared" si="31"/>
        <v>0</v>
      </c>
      <c r="G270" s="51">
        <f t="shared" ref="G270:G333" si="37">C270-F270</f>
        <v>0</v>
      </c>
      <c r="H270" s="52" t="e">
        <f t="shared" si="32"/>
        <v>#DIV/0!</v>
      </c>
      <c r="I270" s="51">
        <f t="shared" si="33"/>
        <v>0</v>
      </c>
    </row>
    <row r="271" spans="1:9">
      <c r="A271" s="47">
        <v>258</v>
      </c>
      <c r="B271" s="50">
        <f t="shared" si="35"/>
        <v>0</v>
      </c>
      <c r="C271" s="51">
        <f t="shared" si="34"/>
        <v>0</v>
      </c>
      <c r="D271" s="51">
        <f t="shared" si="36"/>
        <v>0</v>
      </c>
      <c r="E271" s="51">
        <f t="shared" ref="E271:E334" si="38">C271*(B271/12)</f>
        <v>0</v>
      </c>
      <c r="F271" s="51">
        <f t="shared" ref="F271:F334" si="39">IF(C271&lt;$C$10,C271,D271-E271)</f>
        <v>0</v>
      </c>
      <c r="G271" s="51">
        <f t="shared" si="37"/>
        <v>0</v>
      </c>
      <c r="H271" s="52" t="e">
        <f t="shared" ref="H271:H334" si="40">G271/$C$1</f>
        <v>#DIV/0!</v>
      </c>
      <c r="I271" s="51">
        <f t="shared" ref="I271:I334" si="41">C271*$I$10/12</f>
        <v>0</v>
      </c>
    </row>
    <row r="272" spans="1:9">
      <c r="A272" s="47">
        <v>259</v>
      </c>
      <c r="B272" s="50">
        <f t="shared" si="35"/>
        <v>0</v>
      </c>
      <c r="C272" s="51">
        <f t="shared" ref="C272:C335" si="42">G271</f>
        <v>0</v>
      </c>
      <c r="D272" s="51">
        <f t="shared" si="36"/>
        <v>0</v>
      </c>
      <c r="E272" s="51">
        <f t="shared" si="38"/>
        <v>0</v>
      </c>
      <c r="F272" s="51">
        <f t="shared" si="39"/>
        <v>0</v>
      </c>
      <c r="G272" s="51">
        <f t="shared" si="37"/>
        <v>0</v>
      </c>
      <c r="H272" s="52" t="e">
        <f t="shared" si="40"/>
        <v>#DIV/0!</v>
      </c>
      <c r="I272" s="51">
        <f t="shared" si="41"/>
        <v>0</v>
      </c>
    </row>
    <row r="273" spans="1:9">
      <c r="A273" s="47">
        <v>260</v>
      </c>
      <c r="B273" s="50">
        <f t="shared" si="35"/>
        <v>0</v>
      </c>
      <c r="C273" s="51">
        <f t="shared" si="42"/>
        <v>0</v>
      </c>
      <c r="D273" s="51">
        <f t="shared" si="36"/>
        <v>0</v>
      </c>
      <c r="E273" s="51">
        <f t="shared" si="38"/>
        <v>0</v>
      </c>
      <c r="F273" s="51">
        <f t="shared" si="39"/>
        <v>0</v>
      </c>
      <c r="G273" s="51">
        <f t="shared" si="37"/>
        <v>0</v>
      </c>
      <c r="H273" s="52" t="e">
        <f t="shared" si="40"/>
        <v>#DIV/0!</v>
      </c>
      <c r="I273" s="51">
        <f t="shared" si="41"/>
        <v>0</v>
      </c>
    </row>
    <row r="274" spans="1:9">
      <c r="A274" s="47">
        <v>261</v>
      </c>
      <c r="B274" s="50">
        <f t="shared" si="35"/>
        <v>0</v>
      </c>
      <c r="C274" s="51">
        <f t="shared" si="42"/>
        <v>0</v>
      </c>
      <c r="D274" s="51">
        <f t="shared" si="36"/>
        <v>0</v>
      </c>
      <c r="E274" s="51">
        <f t="shared" si="38"/>
        <v>0</v>
      </c>
      <c r="F274" s="51">
        <f t="shared" si="39"/>
        <v>0</v>
      </c>
      <c r="G274" s="51">
        <f t="shared" si="37"/>
        <v>0</v>
      </c>
      <c r="H274" s="52" t="e">
        <f t="shared" si="40"/>
        <v>#DIV/0!</v>
      </c>
      <c r="I274" s="51">
        <f t="shared" si="41"/>
        <v>0</v>
      </c>
    </row>
    <row r="275" spans="1:9">
      <c r="A275" s="47">
        <v>262</v>
      </c>
      <c r="B275" s="50">
        <f t="shared" si="35"/>
        <v>0</v>
      </c>
      <c r="C275" s="51">
        <f t="shared" si="42"/>
        <v>0</v>
      </c>
      <c r="D275" s="51">
        <f t="shared" si="36"/>
        <v>0</v>
      </c>
      <c r="E275" s="51">
        <f t="shared" si="38"/>
        <v>0</v>
      </c>
      <c r="F275" s="51">
        <f t="shared" si="39"/>
        <v>0</v>
      </c>
      <c r="G275" s="51">
        <f t="shared" si="37"/>
        <v>0</v>
      </c>
      <c r="H275" s="52" t="e">
        <f t="shared" si="40"/>
        <v>#DIV/0!</v>
      </c>
      <c r="I275" s="51">
        <f t="shared" si="41"/>
        <v>0</v>
      </c>
    </row>
    <row r="276" spans="1:9">
      <c r="A276" s="47">
        <v>263</v>
      </c>
      <c r="B276" s="50">
        <f t="shared" si="35"/>
        <v>0</v>
      </c>
      <c r="C276" s="51">
        <f t="shared" si="42"/>
        <v>0</v>
      </c>
      <c r="D276" s="51">
        <f t="shared" si="36"/>
        <v>0</v>
      </c>
      <c r="E276" s="51">
        <f t="shared" si="38"/>
        <v>0</v>
      </c>
      <c r="F276" s="51">
        <f t="shared" si="39"/>
        <v>0</v>
      </c>
      <c r="G276" s="51">
        <f t="shared" si="37"/>
        <v>0</v>
      </c>
      <c r="H276" s="52" t="e">
        <f t="shared" si="40"/>
        <v>#DIV/0!</v>
      </c>
      <c r="I276" s="51">
        <f t="shared" si="41"/>
        <v>0</v>
      </c>
    </row>
    <row r="277" spans="1:9">
      <c r="A277" s="47">
        <v>264</v>
      </c>
      <c r="B277" s="50">
        <f t="shared" si="35"/>
        <v>0</v>
      </c>
      <c r="C277" s="51">
        <f t="shared" si="42"/>
        <v>0</v>
      </c>
      <c r="D277" s="51">
        <f t="shared" si="36"/>
        <v>0</v>
      </c>
      <c r="E277" s="51">
        <f t="shared" si="38"/>
        <v>0</v>
      </c>
      <c r="F277" s="51">
        <f t="shared" si="39"/>
        <v>0</v>
      </c>
      <c r="G277" s="51">
        <f t="shared" si="37"/>
        <v>0</v>
      </c>
      <c r="H277" s="52" t="e">
        <f t="shared" si="40"/>
        <v>#DIV/0!</v>
      </c>
      <c r="I277" s="51">
        <f t="shared" si="41"/>
        <v>0</v>
      </c>
    </row>
    <row r="278" spans="1:9">
      <c r="A278" s="47">
        <v>265</v>
      </c>
      <c r="B278" s="50">
        <f t="shared" si="35"/>
        <v>0</v>
      </c>
      <c r="C278" s="51">
        <f t="shared" si="42"/>
        <v>0</v>
      </c>
      <c r="D278" s="51">
        <f t="shared" si="36"/>
        <v>0</v>
      </c>
      <c r="E278" s="51">
        <f t="shared" si="38"/>
        <v>0</v>
      </c>
      <c r="F278" s="51">
        <f t="shared" si="39"/>
        <v>0</v>
      </c>
      <c r="G278" s="51">
        <f t="shared" si="37"/>
        <v>0</v>
      </c>
      <c r="H278" s="52" t="e">
        <f t="shared" si="40"/>
        <v>#DIV/0!</v>
      </c>
      <c r="I278" s="51">
        <f t="shared" si="41"/>
        <v>0</v>
      </c>
    </row>
    <row r="279" spans="1:9">
      <c r="A279" s="47">
        <v>266</v>
      </c>
      <c r="B279" s="50">
        <f t="shared" si="35"/>
        <v>0</v>
      </c>
      <c r="C279" s="51">
        <f t="shared" si="42"/>
        <v>0</v>
      </c>
      <c r="D279" s="51">
        <f t="shared" si="36"/>
        <v>0</v>
      </c>
      <c r="E279" s="51">
        <f t="shared" si="38"/>
        <v>0</v>
      </c>
      <c r="F279" s="51">
        <f t="shared" si="39"/>
        <v>0</v>
      </c>
      <c r="G279" s="51">
        <f t="shared" si="37"/>
        <v>0</v>
      </c>
      <c r="H279" s="52" t="e">
        <f t="shared" si="40"/>
        <v>#DIV/0!</v>
      </c>
      <c r="I279" s="51">
        <f t="shared" si="41"/>
        <v>0</v>
      </c>
    </row>
    <row r="280" spans="1:9">
      <c r="A280" s="47">
        <v>267</v>
      </c>
      <c r="B280" s="50">
        <f t="shared" si="35"/>
        <v>0</v>
      </c>
      <c r="C280" s="51">
        <f t="shared" si="42"/>
        <v>0</v>
      </c>
      <c r="D280" s="51">
        <f t="shared" si="36"/>
        <v>0</v>
      </c>
      <c r="E280" s="51">
        <f t="shared" si="38"/>
        <v>0</v>
      </c>
      <c r="F280" s="51">
        <f t="shared" si="39"/>
        <v>0</v>
      </c>
      <c r="G280" s="51">
        <f t="shared" si="37"/>
        <v>0</v>
      </c>
      <c r="H280" s="52" t="e">
        <f t="shared" si="40"/>
        <v>#DIV/0!</v>
      </c>
      <c r="I280" s="51">
        <f t="shared" si="41"/>
        <v>0</v>
      </c>
    </row>
    <row r="281" spans="1:9">
      <c r="A281" s="47">
        <v>268</v>
      </c>
      <c r="B281" s="50">
        <f t="shared" si="35"/>
        <v>0</v>
      </c>
      <c r="C281" s="51">
        <f t="shared" si="42"/>
        <v>0</v>
      </c>
      <c r="D281" s="51">
        <f t="shared" si="36"/>
        <v>0</v>
      </c>
      <c r="E281" s="51">
        <f t="shared" si="38"/>
        <v>0</v>
      </c>
      <c r="F281" s="51">
        <f t="shared" si="39"/>
        <v>0</v>
      </c>
      <c r="G281" s="51">
        <f t="shared" si="37"/>
        <v>0</v>
      </c>
      <c r="H281" s="52" t="e">
        <f t="shared" si="40"/>
        <v>#DIV/0!</v>
      </c>
      <c r="I281" s="51">
        <f t="shared" si="41"/>
        <v>0</v>
      </c>
    </row>
    <row r="282" spans="1:9">
      <c r="A282" s="47">
        <v>269</v>
      </c>
      <c r="B282" s="50">
        <f t="shared" si="35"/>
        <v>0</v>
      </c>
      <c r="C282" s="51">
        <f t="shared" si="42"/>
        <v>0</v>
      </c>
      <c r="D282" s="51">
        <f t="shared" si="36"/>
        <v>0</v>
      </c>
      <c r="E282" s="51">
        <f t="shared" si="38"/>
        <v>0</v>
      </c>
      <c r="F282" s="51">
        <f t="shared" si="39"/>
        <v>0</v>
      </c>
      <c r="G282" s="51">
        <f t="shared" si="37"/>
        <v>0</v>
      </c>
      <c r="H282" s="52" t="e">
        <f t="shared" si="40"/>
        <v>#DIV/0!</v>
      </c>
      <c r="I282" s="51">
        <f t="shared" si="41"/>
        <v>0</v>
      </c>
    </row>
    <row r="283" spans="1:9">
      <c r="A283" s="47">
        <v>270</v>
      </c>
      <c r="B283" s="50">
        <f t="shared" si="35"/>
        <v>0</v>
      </c>
      <c r="C283" s="51">
        <f t="shared" si="42"/>
        <v>0</v>
      </c>
      <c r="D283" s="51">
        <f t="shared" si="36"/>
        <v>0</v>
      </c>
      <c r="E283" s="51">
        <f t="shared" si="38"/>
        <v>0</v>
      </c>
      <c r="F283" s="51">
        <f t="shared" si="39"/>
        <v>0</v>
      </c>
      <c r="G283" s="51">
        <f t="shared" si="37"/>
        <v>0</v>
      </c>
      <c r="H283" s="52" t="e">
        <f t="shared" si="40"/>
        <v>#DIV/0!</v>
      </c>
      <c r="I283" s="51">
        <f t="shared" si="41"/>
        <v>0</v>
      </c>
    </row>
    <row r="284" spans="1:9">
      <c r="A284" s="47">
        <v>271</v>
      </c>
      <c r="B284" s="50">
        <f t="shared" si="35"/>
        <v>0</v>
      </c>
      <c r="C284" s="51">
        <f t="shared" si="42"/>
        <v>0</v>
      </c>
      <c r="D284" s="51">
        <f t="shared" si="36"/>
        <v>0</v>
      </c>
      <c r="E284" s="51">
        <f t="shared" si="38"/>
        <v>0</v>
      </c>
      <c r="F284" s="51">
        <f t="shared" si="39"/>
        <v>0</v>
      </c>
      <c r="G284" s="51">
        <f t="shared" si="37"/>
        <v>0</v>
      </c>
      <c r="H284" s="52" t="e">
        <f t="shared" si="40"/>
        <v>#DIV/0!</v>
      </c>
      <c r="I284" s="51">
        <f t="shared" si="41"/>
        <v>0</v>
      </c>
    </row>
    <row r="285" spans="1:9">
      <c r="A285" s="47">
        <v>272</v>
      </c>
      <c r="B285" s="50">
        <f t="shared" si="35"/>
        <v>0</v>
      </c>
      <c r="C285" s="51">
        <f t="shared" si="42"/>
        <v>0</v>
      </c>
      <c r="D285" s="51">
        <f t="shared" si="36"/>
        <v>0</v>
      </c>
      <c r="E285" s="51">
        <f t="shared" si="38"/>
        <v>0</v>
      </c>
      <c r="F285" s="51">
        <f t="shared" si="39"/>
        <v>0</v>
      </c>
      <c r="G285" s="51">
        <f t="shared" si="37"/>
        <v>0</v>
      </c>
      <c r="H285" s="52" t="e">
        <f t="shared" si="40"/>
        <v>#DIV/0!</v>
      </c>
      <c r="I285" s="51">
        <f t="shared" si="41"/>
        <v>0</v>
      </c>
    </row>
    <row r="286" spans="1:9">
      <c r="A286" s="47">
        <v>273</v>
      </c>
      <c r="B286" s="50">
        <f t="shared" si="35"/>
        <v>0</v>
      </c>
      <c r="C286" s="51">
        <f t="shared" si="42"/>
        <v>0</v>
      </c>
      <c r="D286" s="51">
        <f t="shared" si="36"/>
        <v>0</v>
      </c>
      <c r="E286" s="51">
        <f t="shared" si="38"/>
        <v>0</v>
      </c>
      <c r="F286" s="51">
        <f t="shared" si="39"/>
        <v>0</v>
      </c>
      <c r="G286" s="51">
        <f t="shared" si="37"/>
        <v>0</v>
      </c>
      <c r="H286" s="52" t="e">
        <f t="shared" si="40"/>
        <v>#DIV/0!</v>
      </c>
      <c r="I286" s="51">
        <f t="shared" si="41"/>
        <v>0</v>
      </c>
    </row>
    <row r="287" spans="1:9">
      <c r="A287" s="47">
        <v>274</v>
      </c>
      <c r="B287" s="50">
        <f t="shared" si="35"/>
        <v>0</v>
      </c>
      <c r="C287" s="51">
        <f t="shared" si="42"/>
        <v>0</v>
      </c>
      <c r="D287" s="51">
        <f t="shared" si="36"/>
        <v>0</v>
      </c>
      <c r="E287" s="51">
        <f t="shared" si="38"/>
        <v>0</v>
      </c>
      <c r="F287" s="51">
        <f t="shared" si="39"/>
        <v>0</v>
      </c>
      <c r="G287" s="51">
        <f t="shared" si="37"/>
        <v>0</v>
      </c>
      <c r="H287" s="52" t="e">
        <f t="shared" si="40"/>
        <v>#DIV/0!</v>
      </c>
      <c r="I287" s="51">
        <f t="shared" si="41"/>
        <v>0</v>
      </c>
    </row>
    <row r="288" spans="1:9">
      <c r="A288" s="47">
        <v>275</v>
      </c>
      <c r="B288" s="50">
        <f t="shared" si="35"/>
        <v>0</v>
      </c>
      <c r="C288" s="51">
        <f t="shared" si="42"/>
        <v>0</v>
      </c>
      <c r="D288" s="51">
        <f t="shared" si="36"/>
        <v>0</v>
      </c>
      <c r="E288" s="51">
        <f t="shared" si="38"/>
        <v>0</v>
      </c>
      <c r="F288" s="51">
        <f t="shared" si="39"/>
        <v>0</v>
      </c>
      <c r="G288" s="51">
        <f t="shared" si="37"/>
        <v>0</v>
      </c>
      <c r="H288" s="52" t="e">
        <f t="shared" si="40"/>
        <v>#DIV/0!</v>
      </c>
      <c r="I288" s="51">
        <f t="shared" si="41"/>
        <v>0</v>
      </c>
    </row>
    <row r="289" spans="1:9">
      <c r="A289" s="47">
        <v>276</v>
      </c>
      <c r="B289" s="50">
        <f t="shared" si="35"/>
        <v>0</v>
      </c>
      <c r="C289" s="51">
        <f t="shared" si="42"/>
        <v>0</v>
      </c>
      <c r="D289" s="51">
        <f t="shared" si="36"/>
        <v>0</v>
      </c>
      <c r="E289" s="51">
        <f t="shared" si="38"/>
        <v>0</v>
      </c>
      <c r="F289" s="51">
        <f t="shared" si="39"/>
        <v>0</v>
      </c>
      <c r="G289" s="51">
        <f t="shared" si="37"/>
        <v>0</v>
      </c>
      <c r="H289" s="52" t="e">
        <f t="shared" si="40"/>
        <v>#DIV/0!</v>
      </c>
      <c r="I289" s="51">
        <f t="shared" si="41"/>
        <v>0</v>
      </c>
    </row>
    <row r="290" spans="1:9">
      <c r="A290" s="47">
        <v>277</v>
      </c>
      <c r="B290" s="50">
        <f t="shared" si="35"/>
        <v>0</v>
      </c>
      <c r="C290" s="51">
        <f t="shared" si="42"/>
        <v>0</v>
      </c>
      <c r="D290" s="51">
        <f t="shared" si="36"/>
        <v>0</v>
      </c>
      <c r="E290" s="51">
        <f t="shared" si="38"/>
        <v>0</v>
      </c>
      <c r="F290" s="51">
        <f t="shared" si="39"/>
        <v>0</v>
      </c>
      <c r="G290" s="51">
        <f t="shared" si="37"/>
        <v>0</v>
      </c>
      <c r="H290" s="52" t="e">
        <f t="shared" si="40"/>
        <v>#DIV/0!</v>
      </c>
      <c r="I290" s="51">
        <f t="shared" si="41"/>
        <v>0</v>
      </c>
    </row>
    <row r="291" spans="1:9">
      <c r="A291" s="47">
        <v>278</v>
      </c>
      <c r="B291" s="50">
        <f t="shared" si="35"/>
        <v>0</v>
      </c>
      <c r="C291" s="51">
        <f t="shared" si="42"/>
        <v>0</v>
      </c>
      <c r="D291" s="51">
        <f t="shared" si="36"/>
        <v>0</v>
      </c>
      <c r="E291" s="51">
        <f t="shared" si="38"/>
        <v>0</v>
      </c>
      <c r="F291" s="51">
        <f t="shared" si="39"/>
        <v>0</v>
      </c>
      <c r="G291" s="51">
        <f t="shared" si="37"/>
        <v>0</v>
      </c>
      <c r="H291" s="52" t="e">
        <f t="shared" si="40"/>
        <v>#DIV/0!</v>
      </c>
      <c r="I291" s="51">
        <f t="shared" si="41"/>
        <v>0</v>
      </c>
    </row>
    <row r="292" spans="1:9">
      <c r="A292" s="47">
        <v>279</v>
      </c>
      <c r="B292" s="50">
        <f t="shared" si="35"/>
        <v>0</v>
      </c>
      <c r="C292" s="51">
        <f t="shared" si="42"/>
        <v>0</v>
      </c>
      <c r="D292" s="51">
        <f t="shared" si="36"/>
        <v>0</v>
      </c>
      <c r="E292" s="51">
        <f t="shared" si="38"/>
        <v>0</v>
      </c>
      <c r="F292" s="51">
        <f t="shared" si="39"/>
        <v>0</v>
      </c>
      <c r="G292" s="51">
        <f t="shared" si="37"/>
        <v>0</v>
      </c>
      <c r="H292" s="52" t="e">
        <f t="shared" si="40"/>
        <v>#DIV/0!</v>
      </c>
      <c r="I292" s="51">
        <f t="shared" si="41"/>
        <v>0</v>
      </c>
    </row>
    <row r="293" spans="1:9">
      <c r="A293" s="47">
        <v>280</v>
      </c>
      <c r="B293" s="50">
        <f t="shared" si="35"/>
        <v>0</v>
      </c>
      <c r="C293" s="51">
        <f t="shared" si="42"/>
        <v>0</v>
      </c>
      <c r="D293" s="51">
        <f t="shared" si="36"/>
        <v>0</v>
      </c>
      <c r="E293" s="51">
        <f t="shared" si="38"/>
        <v>0</v>
      </c>
      <c r="F293" s="51">
        <f t="shared" si="39"/>
        <v>0</v>
      </c>
      <c r="G293" s="51">
        <f t="shared" si="37"/>
        <v>0</v>
      </c>
      <c r="H293" s="52" t="e">
        <f t="shared" si="40"/>
        <v>#DIV/0!</v>
      </c>
      <c r="I293" s="51">
        <f t="shared" si="41"/>
        <v>0</v>
      </c>
    </row>
    <row r="294" spans="1:9">
      <c r="A294" s="47">
        <v>281</v>
      </c>
      <c r="B294" s="50">
        <f t="shared" si="35"/>
        <v>0</v>
      </c>
      <c r="C294" s="51">
        <f t="shared" si="42"/>
        <v>0</v>
      </c>
      <c r="D294" s="51">
        <f t="shared" si="36"/>
        <v>0</v>
      </c>
      <c r="E294" s="51">
        <f t="shared" si="38"/>
        <v>0</v>
      </c>
      <c r="F294" s="51">
        <f t="shared" si="39"/>
        <v>0</v>
      </c>
      <c r="G294" s="51">
        <f t="shared" si="37"/>
        <v>0</v>
      </c>
      <c r="H294" s="52" t="e">
        <f t="shared" si="40"/>
        <v>#DIV/0!</v>
      </c>
      <c r="I294" s="51">
        <f t="shared" si="41"/>
        <v>0</v>
      </c>
    </row>
    <row r="295" spans="1:9">
      <c r="A295" s="47">
        <v>282</v>
      </c>
      <c r="B295" s="50">
        <f t="shared" si="35"/>
        <v>0</v>
      </c>
      <c r="C295" s="51">
        <f t="shared" si="42"/>
        <v>0</v>
      </c>
      <c r="D295" s="51">
        <f t="shared" si="36"/>
        <v>0</v>
      </c>
      <c r="E295" s="51">
        <f t="shared" si="38"/>
        <v>0</v>
      </c>
      <c r="F295" s="51">
        <f t="shared" si="39"/>
        <v>0</v>
      </c>
      <c r="G295" s="51">
        <f t="shared" si="37"/>
        <v>0</v>
      </c>
      <c r="H295" s="52" t="e">
        <f t="shared" si="40"/>
        <v>#DIV/0!</v>
      </c>
      <c r="I295" s="51">
        <f t="shared" si="41"/>
        <v>0</v>
      </c>
    </row>
    <row r="296" spans="1:9">
      <c r="A296" s="47">
        <v>283</v>
      </c>
      <c r="B296" s="50">
        <f t="shared" si="35"/>
        <v>0</v>
      </c>
      <c r="C296" s="51">
        <f t="shared" si="42"/>
        <v>0</v>
      </c>
      <c r="D296" s="51">
        <f t="shared" si="36"/>
        <v>0</v>
      </c>
      <c r="E296" s="51">
        <f t="shared" si="38"/>
        <v>0</v>
      </c>
      <c r="F296" s="51">
        <f t="shared" si="39"/>
        <v>0</v>
      </c>
      <c r="G296" s="51">
        <f t="shared" si="37"/>
        <v>0</v>
      </c>
      <c r="H296" s="52" t="e">
        <f t="shared" si="40"/>
        <v>#DIV/0!</v>
      </c>
      <c r="I296" s="51">
        <f t="shared" si="41"/>
        <v>0</v>
      </c>
    </row>
    <row r="297" spans="1:9">
      <c r="A297" s="47">
        <v>284</v>
      </c>
      <c r="B297" s="50">
        <f t="shared" si="35"/>
        <v>0</v>
      </c>
      <c r="C297" s="51">
        <f t="shared" si="42"/>
        <v>0</v>
      </c>
      <c r="D297" s="51">
        <f t="shared" si="36"/>
        <v>0</v>
      </c>
      <c r="E297" s="51">
        <f t="shared" si="38"/>
        <v>0</v>
      </c>
      <c r="F297" s="51">
        <f t="shared" si="39"/>
        <v>0</v>
      </c>
      <c r="G297" s="51">
        <f t="shared" si="37"/>
        <v>0</v>
      </c>
      <c r="H297" s="52" t="e">
        <f t="shared" si="40"/>
        <v>#DIV/0!</v>
      </c>
      <c r="I297" s="51">
        <f t="shared" si="41"/>
        <v>0</v>
      </c>
    </row>
    <row r="298" spans="1:9">
      <c r="A298" s="47">
        <v>285</v>
      </c>
      <c r="B298" s="50">
        <f t="shared" si="35"/>
        <v>0</v>
      </c>
      <c r="C298" s="51">
        <f t="shared" si="42"/>
        <v>0</v>
      </c>
      <c r="D298" s="51">
        <f t="shared" si="36"/>
        <v>0</v>
      </c>
      <c r="E298" s="51">
        <f t="shared" si="38"/>
        <v>0</v>
      </c>
      <c r="F298" s="51">
        <f t="shared" si="39"/>
        <v>0</v>
      </c>
      <c r="G298" s="51">
        <f t="shared" si="37"/>
        <v>0</v>
      </c>
      <c r="H298" s="52" t="e">
        <f t="shared" si="40"/>
        <v>#DIV/0!</v>
      </c>
      <c r="I298" s="51">
        <f t="shared" si="41"/>
        <v>0</v>
      </c>
    </row>
    <row r="299" spans="1:9">
      <c r="A299" s="47">
        <v>286</v>
      </c>
      <c r="B299" s="50">
        <f t="shared" si="35"/>
        <v>0</v>
      </c>
      <c r="C299" s="51">
        <f t="shared" si="42"/>
        <v>0</v>
      </c>
      <c r="D299" s="51">
        <f t="shared" si="36"/>
        <v>0</v>
      </c>
      <c r="E299" s="51">
        <f t="shared" si="38"/>
        <v>0</v>
      </c>
      <c r="F299" s="51">
        <f t="shared" si="39"/>
        <v>0</v>
      </c>
      <c r="G299" s="51">
        <f t="shared" si="37"/>
        <v>0</v>
      </c>
      <c r="H299" s="52" t="e">
        <f t="shared" si="40"/>
        <v>#DIV/0!</v>
      </c>
      <c r="I299" s="51">
        <f t="shared" si="41"/>
        <v>0</v>
      </c>
    </row>
    <row r="300" spans="1:9">
      <c r="A300" s="47">
        <v>287</v>
      </c>
      <c r="B300" s="50">
        <f t="shared" si="35"/>
        <v>0</v>
      </c>
      <c r="C300" s="51">
        <f t="shared" si="42"/>
        <v>0</v>
      </c>
      <c r="D300" s="51">
        <f t="shared" si="36"/>
        <v>0</v>
      </c>
      <c r="E300" s="51">
        <f t="shared" si="38"/>
        <v>0</v>
      </c>
      <c r="F300" s="51">
        <f t="shared" si="39"/>
        <v>0</v>
      </c>
      <c r="G300" s="51">
        <f t="shared" si="37"/>
        <v>0</v>
      </c>
      <c r="H300" s="52" t="e">
        <f t="shared" si="40"/>
        <v>#DIV/0!</v>
      </c>
      <c r="I300" s="51">
        <f t="shared" si="41"/>
        <v>0</v>
      </c>
    </row>
    <row r="301" spans="1:9">
      <c r="A301" s="47">
        <v>288</v>
      </c>
      <c r="B301" s="50">
        <f t="shared" si="35"/>
        <v>0</v>
      </c>
      <c r="C301" s="51">
        <f t="shared" si="42"/>
        <v>0</v>
      </c>
      <c r="D301" s="51">
        <f t="shared" si="36"/>
        <v>0</v>
      </c>
      <c r="E301" s="51">
        <f t="shared" si="38"/>
        <v>0</v>
      </c>
      <c r="F301" s="51">
        <f t="shared" si="39"/>
        <v>0</v>
      </c>
      <c r="G301" s="51">
        <f t="shared" si="37"/>
        <v>0</v>
      </c>
      <c r="H301" s="52" t="e">
        <f t="shared" si="40"/>
        <v>#DIV/0!</v>
      </c>
      <c r="I301" s="51">
        <f t="shared" si="41"/>
        <v>0</v>
      </c>
    </row>
    <row r="302" spans="1:9">
      <c r="A302" s="47">
        <v>289</v>
      </c>
      <c r="B302" s="50">
        <f t="shared" si="35"/>
        <v>0</v>
      </c>
      <c r="C302" s="51">
        <f t="shared" si="42"/>
        <v>0</v>
      </c>
      <c r="D302" s="51">
        <f t="shared" si="36"/>
        <v>0</v>
      </c>
      <c r="E302" s="51">
        <f t="shared" si="38"/>
        <v>0</v>
      </c>
      <c r="F302" s="51">
        <f t="shared" si="39"/>
        <v>0</v>
      </c>
      <c r="G302" s="51">
        <f t="shared" si="37"/>
        <v>0</v>
      </c>
      <c r="H302" s="52" t="e">
        <f t="shared" si="40"/>
        <v>#DIV/0!</v>
      </c>
      <c r="I302" s="51">
        <f t="shared" si="41"/>
        <v>0</v>
      </c>
    </row>
    <row r="303" spans="1:9">
      <c r="A303" s="47">
        <v>290</v>
      </c>
      <c r="B303" s="50">
        <f t="shared" si="35"/>
        <v>0</v>
      </c>
      <c r="C303" s="51">
        <f t="shared" si="42"/>
        <v>0</v>
      </c>
      <c r="D303" s="51">
        <f t="shared" si="36"/>
        <v>0</v>
      </c>
      <c r="E303" s="51">
        <f t="shared" si="38"/>
        <v>0</v>
      </c>
      <c r="F303" s="51">
        <f t="shared" si="39"/>
        <v>0</v>
      </c>
      <c r="G303" s="51">
        <f t="shared" si="37"/>
        <v>0</v>
      </c>
      <c r="H303" s="52" t="e">
        <f t="shared" si="40"/>
        <v>#DIV/0!</v>
      </c>
      <c r="I303" s="51">
        <f t="shared" si="41"/>
        <v>0</v>
      </c>
    </row>
    <row r="304" spans="1:9">
      <c r="A304" s="47">
        <v>291</v>
      </c>
      <c r="B304" s="50">
        <f t="shared" si="35"/>
        <v>0</v>
      </c>
      <c r="C304" s="51">
        <f t="shared" si="42"/>
        <v>0</v>
      </c>
      <c r="D304" s="51">
        <f t="shared" si="36"/>
        <v>0</v>
      </c>
      <c r="E304" s="51">
        <f t="shared" si="38"/>
        <v>0</v>
      </c>
      <c r="F304" s="51">
        <f t="shared" si="39"/>
        <v>0</v>
      </c>
      <c r="G304" s="51">
        <f t="shared" si="37"/>
        <v>0</v>
      </c>
      <c r="H304" s="52" t="e">
        <f t="shared" si="40"/>
        <v>#DIV/0!</v>
      </c>
      <c r="I304" s="51">
        <f t="shared" si="41"/>
        <v>0</v>
      </c>
    </row>
    <row r="305" spans="1:9">
      <c r="A305" s="47">
        <v>292</v>
      </c>
      <c r="B305" s="50">
        <f t="shared" si="35"/>
        <v>0</v>
      </c>
      <c r="C305" s="51">
        <f t="shared" si="42"/>
        <v>0</v>
      </c>
      <c r="D305" s="51">
        <f t="shared" si="36"/>
        <v>0</v>
      </c>
      <c r="E305" s="51">
        <f t="shared" si="38"/>
        <v>0</v>
      </c>
      <c r="F305" s="51">
        <f t="shared" si="39"/>
        <v>0</v>
      </c>
      <c r="G305" s="51">
        <f t="shared" si="37"/>
        <v>0</v>
      </c>
      <c r="H305" s="52" t="e">
        <f t="shared" si="40"/>
        <v>#DIV/0!</v>
      </c>
      <c r="I305" s="51">
        <f t="shared" si="41"/>
        <v>0</v>
      </c>
    </row>
    <row r="306" spans="1:9">
      <c r="A306" s="47">
        <v>293</v>
      </c>
      <c r="B306" s="50">
        <f t="shared" si="35"/>
        <v>0</v>
      </c>
      <c r="C306" s="51">
        <f t="shared" si="42"/>
        <v>0</v>
      </c>
      <c r="D306" s="51">
        <f t="shared" si="36"/>
        <v>0</v>
      </c>
      <c r="E306" s="51">
        <f t="shared" si="38"/>
        <v>0</v>
      </c>
      <c r="F306" s="51">
        <f t="shared" si="39"/>
        <v>0</v>
      </c>
      <c r="G306" s="51">
        <f t="shared" si="37"/>
        <v>0</v>
      </c>
      <c r="H306" s="52" t="e">
        <f t="shared" si="40"/>
        <v>#DIV/0!</v>
      </c>
      <c r="I306" s="51">
        <f t="shared" si="41"/>
        <v>0</v>
      </c>
    </row>
    <row r="307" spans="1:9">
      <c r="A307" s="47">
        <v>294</v>
      </c>
      <c r="B307" s="50">
        <f t="shared" ref="B307:B370" si="43">$C$6</f>
        <v>0</v>
      </c>
      <c r="C307" s="51">
        <f t="shared" si="42"/>
        <v>0</v>
      </c>
      <c r="D307" s="51">
        <f t="shared" si="36"/>
        <v>0</v>
      </c>
      <c r="E307" s="51">
        <f t="shared" si="38"/>
        <v>0</v>
      </c>
      <c r="F307" s="51">
        <f t="shared" si="39"/>
        <v>0</v>
      </c>
      <c r="G307" s="51">
        <f t="shared" si="37"/>
        <v>0</v>
      </c>
      <c r="H307" s="52" t="e">
        <f t="shared" si="40"/>
        <v>#DIV/0!</v>
      </c>
      <c r="I307" s="51">
        <f t="shared" si="41"/>
        <v>0</v>
      </c>
    </row>
    <row r="308" spans="1:9">
      <c r="A308" s="47">
        <v>295</v>
      </c>
      <c r="B308" s="50">
        <f t="shared" si="43"/>
        <v>0</v>
      </c>
      <c r="C308" s="51">
        <f t="shared" si="42"/>
        <v>0</v>
      </c>
      <c r="D308" s="51">
        <f t="shared" si="36"/>
        <v>0</v>
      </c>
      <c r="E308" s="51">
        <f t="shared" si="38"/>
        <v>0</v>
      </c>
      <c r="F308" s="51">
        <f t="shared" si="39"/>
        <v>0</v>
      </c>
      <c r="G308" s="51">
        <f t="shared" si="37"/>
        <v>0</v>
      </c>
      <c r="H308" s="52" t="e">
        <f t="shared" si="40"/>
        <v>#DIV/0!</v>
      </c>
      <c r="I308" s="51">
        <f t="shared" si="41"/>
        <v>0</v>
      </c>
    </row>
    <row r="309" spans="1:9">
      <c r="A309" s="47">
        <v>296</v>
      </c>
      <c r="B309" s="50">
        <f t="shared" si="43"/>
        <v>0</v>
      </c>
      <c r="C309" s="51">
        <f t="shared" si="42"/>
        <v>0</v>
      </c>
      <c r="D309" s="51">
        <f t="shared" si="36"/>
        <v>0</v>
      </c>
      <c r="E309" s="51">
        <f t="shared" si="38"/>
        <v>0</v>
      </c>
      <c r="F309" s="51">
        <f t="shared" si="39"/>
        <v>0</v>
      </c>
      <c r="G309" s="51">
        <f t="shared" si="37"/>
        <v>0</v>
      </c>
      <c r="H309" s="52" t="e">
        <f t="shared" si="40"/>
        <v>#DIV/0!</v>
      </c>
      <c r="I309" s="51">
        <f t="shared" si="41"/>
        <v>0</v>
      </c>
    </row>
    <row r="310" spans="1:9">
      <c r="A310" s="47">
        <v>297</v>
      </c>
      <c r="B310" s="50">
        <f t="shared" si="43"/>
        <v>0</v>
      </c>
      <c r="C310" s="51">
        <f t="shared" si="42"/>
        <v>0</v>
      </c>
      <c r="D310" s="51">
        <f t="shared" si="36"/>
        <v>0</v>
      </c>
      <c r="E310" s="51">
        <f t="shared" si="38"/>
        <v>0</v>
      </c>
      <c r="F310" s="51">
        <f t="shared" si="39"/>
        <v>0</v>
      </c>
      <c r="G310" s="51">
        <f t="shared" si="37"/>
        <v>0</v>
      </c>
      <c r="H310" s="52" t="e">
        <f t="shared" si="40"/>
        <v>#DIV/0!</v>
      </c>
      <c r="I310" s="51">
        <f t="shared" si="41"/>
        <v>0</v>
      </c>
    </row>
    <row r="311" spans="1:9">
      <c r="A311" s="47">
        <v>298</v>
      </c>
      <c r="B311" s="50">
        <f t="shared" si="43"/>
        <v>0</v>
      </c>
      <c r="C311" s="51">
        <f t="shared" si="42"/>
        <v>0</v>
      </c>
      <c r="D311" s="51">
        <f t="shared" si="36"/>
        <v>0</v>
      </c>
      <c r="E311" s="51">
        <f t="shared" si="38"/>
        <v>0</v>
      </c>
      <c r="F311" s="51">
        <f t="shared" si="39"/>
        <v>0</v>
      </c>
      <c r="G311" s="51">
        <f t="shared" si="37"/>
        <v>0</v>
      </c>
      <c r="H311" s="52" t="e">
        <f t="shared" si="40"/>
        <v>#DIV/0!</v>
      </c>
      <c r="I311" s="51">
        <f t="shared" si="41"/>
        <v>0</v>
      </c>
    </row>
    <row r="312" spans="1:9">
      <c r="A312" s="47">
        <v>299</v>
      </c>
      <c r="B312" s="50">
        <f t="shared" si="43"/>
        <v>0</v>
      </c>
      <c r="C312" s="51">
        <f t="shared" si="42"/>
        <v>0</v>
      </c>
      <c r="D312" s="51">
        <f t="shared" si="36"/>
        <v>0</v>
      </c>
      <c r="E312" s="51">
        <f t="shared" si="38"/>
        <v>0</v>
      </c>
      <c r="F312" s="51">
        <f t="shared" si="39"/>
        <v>0</v>
      </c>
      <c r="G312" s="51">
        <f t="shared" si="37"/>
        <v>0</v>
      </c>
      <c r="H312" s="52" t="e">
        <f t="shared" si="40"/>
        <v>#DIV/0!</v>
      </c>
      <c r="I312" s="51">
        <f t="shared" si="41"/>
        <v>0</v>
      </c>
    </row>
    <row r="313" spans="1:9">
      <c r="A313" s="47">
        <v>300</v>
      </c>
      <c r="B313" s="50">
        <f t="shared" si="43"/>
        <v>0</v>
      </c>
      <c r="C313" s="51">
        <f t="shared" si="42"/>
        <v>0</v>
      </c>
      <c r="D313" s="51">
        <f t="shared" si="36"/>
        <v>0</v>
      </c>
      <c r="E313" s="51">
        <f t="shared" si="38"/>
        <v>0</v>
      </c>
      <c r="F313" s="51">
        <f t="shared" si="39"/>
        <v>0</v>
      </c>
      <c r="G313" s="51">
        <f t="shared" si="37"/>
        <v>0</v>
      </c>
      <c r="H313" s="52" t="e">
        <f t="shared" si="40"/>
        <v>#DIV/0!</v>
      </c>
      <c r="I313" s="51">
        <f t="shared" si="41"/>
        <v>0</v>
      </c>
    </row>
    <row r="314" spans="1:9">
      <c r="A314" s="47">
        <v>301</v>
      </c>
      <c r="B314" s="50">
        <f t="shared" si="43"/>
        <v>0</v>
      </c>
      <c r="C314" s="51">
        <f t="shared" si="42"/>
        <v>0</v>
      </c>
      <c r="D314" s="51">
        <f t="shared" si="36"/>
        <v>0</v>
      </c>
      <c r="E314" s="51">
        <f t="shared" si="38"/>
        <v>0</v>
      </c>
      <c r="F314" s="51">
        <f t="shared" si="39"/>
        <v>0</v>
      </c>
      <c r="G314" s="51">
        <f t="shared" si="37"/>
        <v>0</v>
      </c>
      <c r="H314" s="52" t="e">
        <f t="shared" si="40"/>
        <v>#DIV/0!</v>
      </c>
      <c r="I314" s="51">
        <f t="shared" si="41"/>
        <v>0</v>
      </c>
    </row>
    <row r="315" spans="1:9">
      <c r="A315" s="47">
        <v>302</v>
      </c>
      <c r="B315" s="50">
        <f t="shared" si="43"/>
        <v>0</v>
      </c>
      <c r="C315" s="51">
        <f t="shared" si="42"/>
        <v>0</v>
      </c>
      <c r="D315" s="51">
        <f t="shared" si="36"/>
        <v>0</v>
      </c>
      <c r="E315" s="51">
        <f t="shared" si="38"/>
        <v>0</v>
      </c>
      <c r="F315" s="51">
        <f t="shared" si="39"/>
        <v>0</v>
      </c>
      <c r="G315" s="51">
        <f t="shared" si="37"/>
        <v>0</v>
      </c>
      <c r="H315" s="52" t="e">
        <f t="shared" si="40"/>
        <v>#DIV/0!</v>
      </c>
      <c r="I315" s="51">
        <f t="shared" si="41"/>
        <v>0</v>
      </c>
    </row>
    <row r="316" spans="1:9">
      <c r="A316" s="47">
        <v>303</v>
      </c>
      <c r="B316" s="50">
        <f t="shared" si="43"/>
        <v>0</v>
      </c>
      <c r="C316" s="51">
        <f t="shared" si="42"/>
        <v>0</v>
      </c>
      <c r="D316" s="51">
        <f t="shared" si="36"/>
        <v>0</v>
      </c>
      <c r="E316" s="51">
        <f t="shared" si="38"/>
        <v>0</v>
      </c>
      <c r="F316" s="51">
        <f t="shared" si="39"/>
        <v>0</v>
      </c>
      <c r="G316" s="51">
        <f t="shared" si="37"/>
        <v>0</v>
      </c>
      <c r="H316" s="52" t="e">
        <f t="shared" si="40"/>
        <v>#DIV/0!</v>
      </c>
      <c r="I316" s="51">
        <f t="shared" si="41"/>
        <v>0</v>
      </c>
    </row>
    <row r="317" spans="1:9">
      <c r="A317" s="47">
        <v>304</v>
      </c>
      <c r="B317" s="50">
        <f t="shared" si="43"/>
        <v>0</v>
      </c>
      <c r="C317" s="51">
        <f t="shared" si="42"/>
        <v>0</v>
      </c>
      <c r="D317" s="51">
        <f t="shared" si="36"/>
        <v>0</v>
      </c>
      <c r="E317" s="51">
        <f t="shared" si="38"/>
        <v>0</v>
      </c>
      <c r="F317" s="51">
        <f t="shared" si="39"/>
        <v>0</v>
      </c>
      <c r="G317" s="51">
        <f t="shared" si="37"/>
        <v>0</v>
      </c>
      <c r="H317" s="52" t="e">
        <f t="shared" si="40"/>
        <v>#DIV/0!</v>
      </c>
      <c r="I317" s="51">
        <f t="shared" si="41"/>
        <v>0</v>
      </c>
    </row>
    <row r="318" spans="1:9">
      <c r="A318" s="47">
        <v>305</v>
      </c>
      <c r="B318" s="50">
        <f t="shared" si="43"/>
        <v>0</v>
      </c>
      <c r="C318" s="51">
        <f t="shared" si="42"/>
        <v>0</v>
      </c>
      <c r="D318" s="51">
        <f t="shared" si="36"/>
        <v>0</v>
      </c>
      <c r="E318" s="51">
        <f t="shared" si="38"/>
        <v>0</v>
      </c>
      <c r="F318" s="51">
        <f t="shared" si="39"/>
        <v>0</v>
      </c>
      <c r="G318" s="51">
        <f t="shared" si="37"/>
        <v>0</v>
      </c>
      <c r="H318" s="52" t="e">
        <f t="shared" si="40"/>
        <v>#DIV/0!</v>
      </c>
      <c r="I318" s="51">
        <f t="shared" si="41"/>
        <v>0</v>
      </c>
    </row>
    <row r="319" spans="1:9">
      <c r="A319" s="47">
        <v>306</v>
      </c>
      <c r="B319" s="50">
        <f t="shared" si="43"/>
        <v>0</v>
      </c>
      <c r="C319" s="51">
        <f t="shared" si="42"/>
        <v>0</v>
      </c>
      <c r="D319" s="51">
        <f t="shared" si="36"/>
        <v>0</v>
      </c>
      <c r="E319" s="51">
        <f t="shared" si="38"/>
        <v>0</v>
      </c>
      <c r="F319" s="51">
        <f t="shared" si="39"/>
        <v>0</v>
      </c>
      <c r="G319" s="51">
        <f t="shared" si="37"/>
        <v>0</v>
      </c>
      <c r="H319" s="52" t="e">
        <f t="shared" si="40"/>
        <v>#DIV/0!</v>
      </c>
      <c r="I319" s="51">
        <f t="shared" si="41"/>
        <v>0</v>
      </c>
    </row>
    <row r="320" spans="1:9">
      <c r="A320" s="47">
        <v>307</v>
      </c>
      <c r="B320" s="50">
        <f t="shared" si="43"/>
        <v>0</v>
      </c>
      <c r="C320" s="51">
        <f t="shared" si="42"/>
        <v>0</v>
      </c>
      <c r="D320" s="51">
        <f t="shared" si="36"/>
        <v>0</v>
      </c>
      <c r="E320" s="51">
        <f t="shared" si="38"/>
        <v>0</v>
      </c>
      <c r="F320" s="51">
        <f t="shared" si="39"/>
        <v>0</v>
      </c>
      <c r="G320" s="51">
        <f t="shared" si="37"/>
        <v>0</v>
      </c>
      <c r="H320" s="52" t="e">
        <f t="shared" si="40"/>
        <v>#DIV/0!</v>
      </c>
      <c r="I320" s="51">
        <f t="shared" si="41"/>
        <v>0</v>
      </c>
    </row>
    <row r="321" spans="1:9">
      <c r="A321" s="47">
        <v>308</v>
      </c>
      <c r="B321" s="50">
        <f t="shared" si="43"/>
        <v>0</v>
      </c>
      <c r="C321" s="51">
        <f t="shared" si="42"/>
        <v>0</v>
      </c>
      <c r="D321" s="51">
        <f t="shared" si="36"/>
        <v>0</v>
      </c>
      <c r="E321" s="51">
        <f t="shared" si="38"/>
        <v>0</v>
      </c>
      <c r="F321" s="51">
        <f t="shared" si="39"/>
        <v>0</v>
      </c>
      <c r="G321" s="51">
        <f t="shared" si="37"/>
        <v>0</v>
      </c>
      <c r="H321" s="52" t="e">
        <f t="shared" si="40"/>
        <v>#DIV/0!</v>
      </c>
      <c r="I321" s="51">
        <f t="shared" si="41"/>
        <v>0</v>
      </c>
    </row>
    <row r="322" spans="1:9">
      <c r="A322" s="47">
        <v>309</v>
      </c>
      <c r="B322" s="50">
        <f t="shared" si="43"/>
        <v>0</v>
      </c>
      <c r="C322" s="51">
        <f t="shared" si="42"/>
        <v>0</v>
      </c>
      <c r="D322" s="51">
        <f t="shared" si="36"/>
        <v>0</v>
      </c>
      <c r="E322" s="51">
        <f t="shared" si="38"/>
        <v>0</v>
      </c>
      <c r="F322" s="51">
        <f t="shared" si="39"/>
        <v>0</v>
      </c>
      <c r="G322" s="51">
        <f t="shared" si="37"/>
        <v>0</v>
      </c>
      <c r="H322" s="52" t="e">
        <f t="shared" si="40"/>
        <v>#DIV/0!</v>
      </c>
      <c r="I322" s="51">
        <f t="shared" si="41"/>
        <v>0</v>
      </c>
    </row>
    <row r="323" spans="1:9">
      <c r="A323" s="47">
        <v>310</v>
      </c>
      <c r="B323" s="50">
        <f t="shared" si="43"/>
        <v>0</v>
      </c>
      <c r="C323" s="51">
        <f t="shared" si="42"/>
        <v>0</v>
      </c>
      <c r="D323" s="51">
        <f t="shared" si="36"/>
        <v>0</v>
      </c>
      <c r="E323" s="51">
        <f t="shared" si="38"/>
        <v>0</v>
      </c>
      <c r="F323" s="51">
        <f t="shared" si="39"/>
        <v>0</v>
      </c>
      <c r="G323" s="51">
        <f t="shared" si="37"/>
        <v>0</v>
      </c>
      <c r="H323" s="52" t="e">
        <f t="shared" si="40"/>
        <v>#DIV/0!</v>
      </c>
      <c r="I323" s="51">
        <f t="shared" si="41"/>
        <v>0</v>
      </c>
    </row>
    <row r="324" spans="1:9">
      <c r="A324" s="47">
        <v>311</v>
      </c>
      <c r="B324" s="50">
        <f t="shared" si="43"/>
        <v>0</v>
      </c>
      <c r="C324" s="51">
        <f t="shared" si="42"/>
        <v>0</v>
      </c>
      <c r="D324" s="51">
        <f t="shared" si="36"/>
        <v>0</v>
      </c>
      <c r="E324" s="51">
        <f t="shared" si="38"/>
        <v>0</v>
      </c>
      <c r="F324" s="51">
        <f t="shared" si="39"/>
        <v>0</v>
      </c>
      <c r="G324" s="51">
        <f t="shared" si="37"/>
        <v>0</v>
      </c>
      <c r="H324" s="52" t="e">
        <f t="shared" si="40"/>
        <v>#DIV/0!</v>
      </c>
      <c r="I324" s="51">
        <f t="shared" si="41"/>
        <v>0</v>
      </c>
    </row>
    <row r="325" spans="1:9">
      <c r="A325" s="47">
        <v>312</v>
      </c>
      <c r="B325" s="50">
        <f t="shared" si="43"/>
        <v>0</v>
      </c>
      <c r="C325" s="51">
        <f t="shared" si="42"/>
        <v>0</v>
      </c>
      <c r="D325" s="51">
        <f t="shared" si="36"/>
        <v>0</v>
      </c>
      <c r="E325" s="51">
        <f t="shared" si="38"/>
        <v>0</v>
      </c>
      <c r="F325" s="51">
        <f t="shared" si="39"/>
        <v>0</v>
      </c>
      <c r="G325" s="51">
        <f t="shared" si="37"/>
        <v>0</v>
      </c>
      <c r="H325" s="52" t="e">
        <f t="shared" si="40"/>
        <v>#DIV/0!</v>
      </c>
      <c r="I325" s="51">
        <f t="shared" si="41"/>
        <v>0</v>
      </c>
    </row>
    <row r="326" spans="1:9">
      <c r="A326" s="47">
        <v>313</v>
      </c>
      <c r="B326" s="50">
        <f t="shared" si="43"/>
        <v>0</v>
      </c>
      <c r="C326" s="51">
        <f t="shared" si="42"/>
        <v>0</v>
      </c>
      <c r="D326" s="51">
        <f t="shared" si="36"/>
        <v>0</v>
      </c>
      <c r="E326" s="51">
        <f t="shared" si="38"/>
        <v>0</v>
      </c>
      <c r="F326" s="51">
        <f t="shared" si="39"/>
        <v>0</v>
      </c>
      <c r="G326" s="51">
        <f t="shared" si="37"/>
        <v>0</v>
      </c>
      <c r="H326" s="52" t="e">
        <f t="shared" si="40"/>
        <v>#DIV/0!</v>
      </c>
      <c r="I326" s="51">
        <f t="shared" si="41"/>
        <v>0</v>
      </c>
    </row>
    <row r="327" spans="1:9">
      <c r="A327" s="47">
        <v>314</v>
      </c>
      <c r="B327" s="50">
        <f t="shared" si="43"/>
        <v>0</v>
      </c>
      <c r="C327" s="51">
        <f t="shared" si="42"/>
        <v>0</v>
      </c>
      <c r="D327" s="51">
        <f t="shared" si="36"/>
        <v>0</v>
      </c>
      <c r="E327" s="51">
        <f t="shared" si="38"/>
        <v>0</v>
      </c>
      <c r="F327" s="51">
        <f t="shared" si="39"/>
        <v>0</v>
      </c>
      <c r="G327" s="51">
        <f t="shared" si="37"/>
        <v>0</v>
      </c>
      <c r="H327" s="52" t="e">
        <f t="shared" si="40"/>
        <v>#DIV/0!</v>
      </c>
      <c r="I327" s="51">
        <f t="shared" si="41"/>
        <v>0</v>
      </c>
    </row>
    <row r="328" spans="1:9">
      <c r="A328" s="47">
        <v>315</v>
      </c>
      <c r="B328" s="50">
        <f t="shared" si="43"/>
        <v>0</v>
      </c>
      <c r="C328" s="51">
        <f t="shared" si="42"/>
        <v>0</v>
      </c>
      <c r="D328" s="51">
        <f t="shared" si="36"/>
        <v>0</v>
      </c>
      <c r="E328" s="51">
        <f t="shared" si="38"/>
        <v>0</v>
      </c>
      <c r="F328" s="51">
        <f t="shared" si="39"/>
        <v>0</v>
      </c>
      <c r="G328" s="51">
        <f t="shared" si="37"/>
        <v>0</v>
      </c>
      <c r="H328" s="52" t="e">
        <f t="shared" si="40"/>
        <v>#DIV/0!</v>
      </c>
      <c r="I328" s="51">
        <f t="shared" si="41"/>
        <v>0</v>
      </c>
    </row>
    <row r="329" spans="1:9">
      <c r="A329" s="47">
        <v>316</v>
      </c>
      <c r="B329" s="50">
        <f t="shared" si="43"/>
        <v>0</v>
      </c>
      <c r="C329" s="51">
        <f t="shared" si="42"/>
        <v>0</v>
      </c>
      <c r="D329" s="51">
        <f t="shared" si="36"/>
        <v>0</v>
      </c>
      <c r="E329" s="51">
        <f t="shared" si="38"/>
        <v>0</v>
      </c>
      <c r="F329" s="51">
        <f t="shared" si="39"/>
        <v>0</v>
      </c>
      <c r="G329" s="51">
        <f t="shared" si="37"/>
        <v>0</v>
      </c>
      <c r="H329" s="52" t="e">
        <f t="shared" si="40"/>
        <v>#DIV/0!</v>
      </c>
      <c r="I329" s="51">
        <f t="shared" si="41"/>
        <v>0</v>
      </c>
    </row>
    <row r="330" spans="1:9">
      <c r="A330" s="47">
        <v>317</v>
      </c>
      <c r="B330" s="50">
        <f t="shared" si="43"/>
        <v>0</v>
      </c>
      <c r="C330" s="51">
        <f t="shared" si="42"/>
        <v>0</v>
      </c>
      <c r="D330" s="51">
        <f t="shared" si="36"/>
        <v>0</v>
      </c>
      <c r="E330" s="51">
        <f t="shared" si="38"/>
        <v>0</v>
      </c>
      <c r="F330" s="51">
        <f t="shared" si="39"/>
        <v>0</v>
      </c>
      <c r="G330" s="51">
        <f t="shared" si="37"/>
        <v>0</v>
      </c>
      <c r="H330" s="52" t="e">
        <f t="shared" si="40"/>
        <v>#DIV/0!</v>
      </c>
      <c r="I330" s="51">
        <f t="shared" si="41"/>
        <v>0</v>
      </c>
    </row>
    <row r="331" spans="1:9">
      <c r="A331" s="47">
        <v>318</v>
      </c>
      <c r="B331" s="50">
        <f t="shared" si="43"/>
        <v>0</v>
      </c>
      <c r="C331" s="51">
        <f t="shared" si="42"/>
        <v>0</v>
      </c>
      <c r="D331" s="51">
        <f t="shared" si="36"/>
        <v>0</v>
      </c>
      <c r="E331" s="51">
        <f t="shared" si="38"/>
        <v>0</v>
      </c>
      <c r="F331" s="51">
        <f t="shared" si="39"/>
        <v>0</v>
      </c>
      <c r="G331" s="51">
        <f t="shared" si="37"/>
        <v>0</v>
      </c>
      <c r="H331" s="52" t="e">
        <f t="shared" si="40"/>
        <v>#DIV/0!</v>
      </c>
      <c r="I331" s="51">
        <f t="shared" si="41"/>
        <v>0</v>
      </c>
    </row>
    <row r="332" spans="1:9">
      <c r="A332" s="47">
        <v>319</v>
      </c>
      <c r="B332" s="50">
        <f t="shared" si="43"/>
        <v>0</v>
      </c>
      <c r="C332" s="51">
        <f t="shared" si="42"/>
        <v>0</v>
      </c>
      <c r="D332" s="51">
        <f t="shared" si="36"/>
        <v>0</v>
      </c>
      <c r="E332" s="51">
        <f t="shared" si="38"/>
        <v>0</v>
      </c>
      <c r="F332" s="51">
        <f t="shared" si="39"/>
        <v>0</v>
      </c>
      <c r="G332" s="51">
        <f t="shared" si="37"/>
        <v>0</v>
      </c>
      <c r="H332" s="52" t="e">
        <f t="shared" si="40"/>
        <v>#DIV/0!</v>
      </c>
      <c r="I332" s="51">
        <f t="shared" si="41"/>
        <v>0</v>
      </c>
    </row>
    <row r="333" spans="1:9">
      <c r="A333" s="47">
        <v>320</v>
      </c>
      <c r="B333" s="50">
        <f t="shared" si="43"/>
        <v>0</v>
      </c>
      <c r="C333" s="51">
        <f t="shared" si="42"/>
        <v>0</v>
      </c>
      <c r="D333" s="51">
        <f t="shared" si="36"/>
        <v>0</v>
      </c>
      <c r="E333" s="51">
        <f t="shared" si="38"/>
        <v>0</v>
      </c>
      <c r="F333" s="51">
        <f t="shared" si="39"/>
        <v>0</v>
      </c>
      <c r="G333" s="51">
        <f t="shared" si="37"/>
        <v>0</v>
      </c>
      <c r="H333" s="52" t="e">
        <f t="shared" si="40"/>
        <v>#DIV/0!</v>
      </c>
      <c r="I333" s="51">
        <f t="shared" si="41"/>
        <v>0</v>
      </c>
    </row>
    <row r="334" spans="1:9">
      <c r="A334" s="47">
        <v>321</v>
      </c>
      <c r="B334" s="50">
        <f t="shared" si="43"/>
        <v>0</v>
      </c>
      <c r="C334" s="51">
        <f t="shared" si="42"/>
        <v>0</v>
      </c>
      <c r="D334" s="51">
        <f t="shared" ref="D334:D397" si="44">IF(C334+E334&gt;$C$10,$C$10,C334+E334)</f>
        <v>0</v>
      </c>
      <c r="E334" s="51">
        <f t="shared" si="38"/>
        <v>0</v>
      </c>
      <c r="F334" s="51">
        <f t="shared" si="39"/>
        <v>0</v>
      </c>
      <c r="G334" s="51">
        <f t="shared" ref="G334:G397" si="45">C334-F334</f>
        <v>0</v>
      </c>
      <c r="H334" s="52" t="e">
        <f t="shared" si="40"/>
        <v>#DIV/0!</v>
      </c>
      <c r="I334" s="51">
        <f t="shared" si="41"/>
        <v>0</v>
      </c>
    </row>
    <row r="335" spans="1:9">
      <c r="A335" s="47">
        <v>322</v>
      </c>
      <c r="B335" s="50">
        <f t="shared" si="43"/>
        <v>0</v>
      </c>
      <c r="C335" s="51">
        <f t="shared" si="42"/>
        <v>0</v>
      </c>
      <c r="D335" s="51">
        <f t="shared" si="44"/>
        <v>0</v>
      </c>
      <c r="E335" s="51">
        <f t="shared" ref="E335:E398" si="46">C335*(B335/12)</f>
        <v>0</v>
      </c>
      <c r="F335" s="51">
        <f t="shared" ref="F335:F398" si="47">IF(C335&lt;$C$10,C335,D335-E335)</f>
        <v>0</v>
      </c>
      <c r="G335" s="51">
        <f t="shared" si="45"/>
        <v>0</v>
      </c>
      <c r="H335" s="52" t="e">
        <f t="shared" ref="H335:H398" si="48">G335/$C$1</f>
        <v>#DIV/0!</v>
      </c>
      <c r="I335" s="51">
        <f t="shared" ref="I335:I398" si="49">C335*$I$10/12</f>
        <v>0</v>
      </c>
    </row>
    <row r="336" spans="1:9">
      <c r="A336" s="47">
        <v>323</v>
      </c>
      <c r="B336" s="50">
        <f t="shared" si="43"/>
        <v>0</v>
      </c>
      <c r="C336" s="51">
        <f t="shared" ref="C336:C399" si="50">G335</f>
        <v>0</v>
      </c>
      <c r="D336" s="51">
        <f t="shared" si="44"/>
        <v>0</v>
      </c>
      <c r="E336" s="51">
        <f t="shared" si="46"/>
        <v>0</v>
      </c>
      <c r="F336" s="51">
        <f t="shared" si="47"/>
        <v>0</v>
      </c>
      <c r="G336" s="51">
        <f t="shared" si="45"/>
        <v>0</v>
      </c>
      <c r="H336" s="52" t="e">
        <f t="shared" si="48"/>
        <v>#DIV/0!</v>
      </c>
      <c r="I336" s="51">
        <f t="shared" si="49"/>
        <v>0</v>
      </c>
    </row>
    <row r="337" spans="1:9">
      <c r="A337" s="47">
        <v>324</v>
      </c>
      <c r="B337" s="50">
        <f t="shared" si="43"/>
        <v>0</v>
      </c>
      <c r="C337" s="51">
        <f t="shared" si="50"/>
        <v>0</v>
      </c>
      <c r="D337" s="51">
        <f t="shared" si="44"/>
        <v>0</v>
      </c>
      <c r="E337" s="51">
        <f t="shared" si="46"/>
        <v>0</v>
      </c>
      <c r="F337" s="51">
        <f t="shared" si="47"/>
        <v>0</v>
      </c>
      <c r="G337" s="51">
        <f t="shared" si="45"/>
        <v>0</v>
      </c>
      <c r="H337" s="52" t="e">
        <f t="shared" si="48"/>
        <v>#DIV/0!</v>
      </c>
      <c r="I337" s="51">
        <f t="shared" si="49"/>
        <v>0</v>
      </c>
    </row>
    <row r="338" spans="1:9">
      <c r="A338" s="47">
        <v>325</v>
      </c>
      <c r="B338" s="50">
        <f t="shared" si="43"/>
        <v>0</v>
      </c>
      <c r="C338" s="51">
        <f t="shared" si="50"/>
        <v>0</v>
      </c>
      <c r="D338" s="51">
        <f t="shared" si="44"/>
        <v>0</v>
      </c>
      <c r="E338" s="51">
        <f t="shared" si="46"/>
        <v>0</v>
      </c>
      <c r="F338" s="51">
        <f t="shared" si="47"/>
        <v>0</v>
      </c>
      <c r="G338" s="51">
        <f t="shared" si="45"/>
        <v>0</v>
      </c>
      <c r="H338" s="52" t="e">
        <f t="shared" si="48"/>
        <v>#DIV/0!</v>
      </c>
      <c r="I338" s="51">
        <f t="shared" si="49"/>
        <v>0</v>
      </c>
    </row>
    <row r="339" spans="1:9">
      <c r="A339" s="47">
        <v>326</v>
      </c>
      <c r="B339" s="50">
        <f t="shared" si="43"/>
        <v>0</v>
      </c>
      <c r="C339" s="51">
        <f t="shared" si="50"/>
        <v>0</v>
      </c>
      <c r="D339" s="51">
        <f t="shared" si="44"/>
        <v>0</v>
      </c>
      <c r="E339" s="51">
        <f t="shared" si="46"/>
        <v>0</v>
      </c>
      <c r="F339" s="51">
        <f t="shared" si="47"/>
        <v>0</v>
      </c>
      <c r="G339" s="51">
        <f t="shared" si="45"/>
        <v>0</v>
      </c>
      <c r="H339" s="52" t="e">
        <f t="shared" si="48"/>
        <v>#DIV/0!</v>
      </c>
      <c r="I339" s="51">
        <f t="shared" si="49"/>
        <v>0</v>
      </c>
    </row>
    <row r="340" spans="1:9">
      <c r="A340" s="47">
        <v>327</v>
      </c>
      <c r="B340" s="50">
        <f t="shared" si="43"/>
        <v>0</v>
      </c>
      <c r="C340" s="51">
        <f t="shared" si="50"/>
        <v>0</v>
      </c>
      <c r="D340" s="51">
        <f t="shared" si="44"/>
        <v>0</v>
      </c>
      <c r="E340" s="51">
        <f t="shared" si="46"/>
        <v>0</v>
      </c>
      <c r="F340" s="51">
        <f t="shared" si="47"/>
        <v>0</v>
      </c>
      <c r="G340" s="51">
        <f t="shared" si="45"/>
        <v>0</v>
      </c>
      <c r="H340" s="52" t="e">
        <f t="shared" si="48"/>
        <v>#DIV/0!</v>
      </c>
      <c r="I340" s="51">
        <f t="shared" si="49"/>
        <v>0</v>
      </c>
    </row>
    <row r="341" spans="1:9">
      <c r="A341" s="47">
        <v>328</v>
      </c>
      <c r="B341" s="50">
        <f t="shared" si="43"/>
        <v>0</v>
      </c>
      <c r="C341" s="51">
        <f t="shared" si="50"/>
        <v>0</v>
      </c>
      <c r="D341" s="51">
        <f t="shared" si="44"/>
        <v>0</v>
      </c>
      <c r="E341" s="51">
        <f t="shared" si="46"/>
        <v>0</v>
      </c>
      <c r="F341" s="51">
        <f t="shared" si="47"/>
        <v>0</v>
      </c>
      <c r="G341" s="51">
        <f t="shared" si="45"/>
        <v>0</v>
      </c>
      <c r="H341" s="52" t="e">
        <f t="shared" si="48"/>
        <v>#DIV/0!</v>
      </c>
      <c r="I341" s="51">
        <f t="shared" si="49"/>
        <v>0</v>
      </c>
    </row>
    <row r="342" spans="1:9">
      <c r="A342" s="47">
        <v>329</v>
      </c>
      <c r="B342" s="50">
        <f t="shared" si="43"/>
        <v>0</v>
      </c>
      <c r="C342" s="51">
        <f t="shared" si="50"/>
        <v>0</v>
      </c>
      <c r="D342" s="51">
        <f t="shared" si="44"/>
        <v>0</v>
      </c>
      <c r="E342" s="51">
        <f t="shared" si="46"/>
        <v>0</v>
      </c>
      <c r="F342" s="51">
        <f t="shared" si="47"/>
        <v>0</v>
      </c>
      <c r="G342" s="51">
        <f t="shared" si="45"/>
        <v>0</v>
      </c>
      <c r="H342" s="52" t="e">
        <f t="shared" si="48"/>
        <v>#DIV/0!</v>
      </c>
      <c r="I342" s="51">
        <f t="shared" si="49"/>
        <v>0</v>
      </c>
    </row>
    <row r="343" spans="1:9">
      <c r="A343" s="47">
        <v>330</v>
      </c>
      <c r="B343" s="50">
        <f t="shared" si="43"/>
        <v>0</v>
      </c>
      <c r="C343" s="51">
        <f t="shared" si="50"/>
        <v>0</v>
      </c>
      <c r="D343" s="51">
        <f t="shared" si="44"/>
        <v>0</v>
      </c>
      <c r="E343" s="51">
        <f t="shared" si="46"/>
        <v>0</v>
      </c>
      <c r="F343" s="51">
        <f t="shared" si="47"/>
        <v>0</v>
      </c>
      <c r="G343" s="51">
        <f t="shared" si="45"/>
        <v>0</v>
      </c>
      <c r="H343" s="52" t="e">
        <f t="shared" si="48"/>
        <v>#DIV/0!</v>
      </c>
      <c r="I343" s="51">
        <f t="shared" si="49"/>
        <v>0</v>
      </c>
    </row>
    <row r="344" spans="1:9">
      <c r="A344" s="47">
        <v>331</v>
      </c>
      <c r="B344" s="50">
        <f t="shared" si="43"/>
        <v>0</v>
      </c>
      <c r="C344" s="51">
        <f t="shared" si="50"/>
        <v>0</v>
      </c>
      <c r="D344" s="51">
        <f t="shared" si="44"/>
        <v>0</v>
      </c>
      <c r="E344" s="51">
        <f t="shared" si="46"/>
        <v>0</v>
      </c>
      <c r="F344" s="51">
        <f t="shared" si="47"/>
        <v>0</v>
      </c>
      <c r="G344" s="51">
        <f t="shared" si="45"/>
        <v>0</v>
      </c>
      <c r="H344" s="52" t="e">
        <f t="shared" si="48"/>
        <v>#DIV/0!</v>
      </c>
      <c r="I344" s="51">
        <f t="shared" si="49"/>
        <v>0</v>
      </c>
    </row>
    <row r="345" spans="1:9">
      <c r="A345" s="47">
        <v>332</v>
      </c>
      <c r="B345" s="50">
        <f t="shared" si="43"/>
        <v>0</v>
      </c>
      <c r="C345" s="51">
        <f t="shared" si="50"/>
        <v>0</v>
      </c>
      <c r="D345" s="51">
        <f t="shared" si="44"/>
        <v>0</v>
      </c>
      <c r="E345" s="51">
        <f t="shared" si="46"/>
        <v>0</v>
      </c>
      <c r="F345" s="51">
        <f t="shared" si="47"/>
        <v>0</v>
      </c>
      <c r="G345" s="51">
        <f t="shared" si="45"/>
        <v>0</v>
      </c>
      <c r="H345" s="52" t="e">
        <f t="shared" si="48"/>
        <v>#DIV/0!</v>
      </c>
      <c r="I345" s="51">
        <f t="shared" si="49"/>
        <v>0</v>
      </c>
    </row>
    <row r="346" spans="1:9">
      <c r="A346" s="47">
        <v>333</v>
      </c>
      <c r="B346" s="50">
        <f t="shared" si="43"/>
        <v>0</v>
      </c>
      <c r="C346" s="51">
        <f t="shared" si="50"/>
        <v>0</v>
      </c>
      <c r="D346" s="51">
        <f t="shared" si="44"/>
        <v>0</v>
      </c>
      <c r="E346" s="51">
        <f t="shared" si="46"/>
        <v>0</v>
      </c>
      <c r="F346" s="51">
        <f t="shared" si="47"/>
        <v>0</v>
      </c>
      <c r="G346" s="51">
        <f t="shared" si="45"/>
        <v>0</v>
      </c>
      <c r="H346" s="52" t="e">
        <f t="shared" si="48"/>
        <v>#DIV/0!</v>
      </c>
      <c r="I346" s="51">
        <f t="shared" si="49"/>
        <v>0</v>
      </c>
    </row>
    <row r="347" spans="1:9">
      <c r="A347" s="47">
        <v>334</v>
      </c>
      <c r="B347" s="50">
        <f t="shared" si="43"/>
        <v>0</v>
      </c>
      <c r="C347" s="51">
        <f t="shared" si="50"/>
        <v>0</v>
      </c>
      <c r="D347" s="51">
        <f t="shared" si="44"/>
        <v>0</v>
      </c>
      <c r="E347" s="51">
        <f t="shared" si="46"/>
        <v>0</v>
      </c>
      <c r="F347" s="51">
        <f t="shared" si="47"/>
        <v>0</v>
      </c>
      <c r="G347" s="51">
        <f t="shared" si="45"/>
        <v>0</v>
      </c>
      <c r="H347" s="52" t="e">
        <f t="shared" si="48"/>
        <v>#DIV/0!</v>
      </c>
      <c r="I347" s="51">
        <f t="shared" si="49"/>
        <v>0</v>
      </c>
    </row>
    <row r="348" spans="1:9">
      <c r="A348" s="47">
        <v>335</v>
      </c>
      <c r="B348" s="50">
        <f t="shared" si="43"/>
        <v>0</v>
      </c>
      <c r="C348" s="51">
        <f t="shared" si="50"/>
        <v>0</v>
      </c>
      <c r="D348" s="51">
        <f t="shared" si="44"/>
        <v>0</v>
      </c>
      <c r="E348" s="51">
        <f t="shared" si="46"/>
        <v>0</v>
      </c>
      <c r="F348" s="51">
        <f t="shared" si="47"/>
        <v>0</v>
      </c>
      <c r="G348" s="51">
        <f t="shared" si="45"/>
        <v>0</v>
      </c>
      <c r="H348" s="52" t="e">
        <f t="shared" si="48"/>
        <v>#DIV/0!</v>
      </c>
      <c r="I348" s="51">
        <f t="shared" si="49"/>
        <v>0</v>
      </c>
    </row>
    <row r="349" spans="1:9">
      <c r="A349" s="47">
        <v>336</v>
      </c>
      <c r="B349" s="50">
        <f t="shared" si="43"/>
        <v>0</v>
      </c>
      <c r="C349" s="51">
        <f t="shared" si="50"/>
        <v>0</v>
      </c>
      <c r="D349" s="51">
        <f t="shared" si="44"/>
        <v>0</v>
      </c>
      <c r="E349" s="51">
        <f t="shared" si="46"/>
        <v>0</v>
      </c>
      <c r="F349" s="51">
        <f t="shared" si="47"/>
        <v>0</v>
      </c>
      <c r="G349" s="51">
        <f t="shared" si="45"/>
        <v>0</v>
      </c>
      <c r="H349" s="52" t="e">
        <f t="shared" si="48"/>
        <v>#DIV/0!</v>
      </c>
      <c r="I349" s="51">
        <f t="shared" si="49"/>
        <v>0</v>
      </c>
    </row>
    <row r="350" spans="1:9">
      <c r="A350" s="47">
        <v>337</v>
      </c>
      <c r="B350" s="50">
        <f t="shared" si="43"/>
        <v>0</v>
      </c>
      <c r="C350" s="51">
        <f t="shared" si="50"/>
        <v>0</v>
      </c>
      <c r="D350" s="51">
        <f t="shared" si="44"/>
        <v>0</v>
      </c>
      <c r="E350" s="51">
        <f t="shared" si="46"/>
        <v>0</v>
      </c>
      <c r="F350" s="51">
        <f t="shared" si="47"/>
        <v>0</v>
      </c>
      <c r="G350" s="51">
        <f t="shared" si="45"/>
        <v>0</v>
      </c>
      <c r="H350" s="52" t="e">
        <f t="shared" si="48"/>
        <v>#DIV/0!</v>
      </c>
      <c r="I350" s="51">
        <f t="shared" si="49"/>
        <v>0</v>
      </c>
    </row>
    <row r="351" spans="1:9">
      <c r="A351" s="47">
        <v>338</v>
      </c>
      <c r="B351" s="50">
        <f t="shared" si="43"/>
        <v>0</v>
      </c>
      <c r="C351" s="51">
        <f t="shared" si="50"/>
        <v>0</v>
      </c>
      <c r="D351" s="51">
        <f t="shared" si="44"/>
        <v>0</v>
      </c>
      <c r="E351" s="51">
        <f t="shared" si="46"/>
        <v>0</v>
      </c>
      <c r="F351" s="51">
        <f t="shared" si="47"/>
        <v>0</v>
      </c>
      <c r="G351" s="51">
        <f t="shared" si="45"/>
        <v>0</v>
      </c>
      <c r="H351" s="52" t="e">
        <f t="shared" si="48"/>
        <v>#DIV/0!</v>
      </c>
      <c r="I351" s="51">
        <f t="shared" si="49"/>
        <v>0</v>
      </c>
    </row>
    <row r="352" spans="1:9">
      <c r="A352" s="47">
        <v>339</v>
      </c>
      <c r="B352" s="50">
        <f t="shared" si="43"/>
        <v>0</v>
      </c>
      <c r="C352" s="51">
        <f t="shared" si="50"/>
        <v>0</v>
      </c>
      <c r="D352" s="51">
        <f t="shared" si="44"/>
        <v>0</v>
      </c>
      <c r="E352" s="51">
        <f t="shared" si="46"/>
        <v>0</v>
      </c>
      <c r="F352" s="51">
        <f t="shared" si="47"/>
        <v>0</v>
      </c>
      <c r="G352" s="51">
        <f t="shared" si="45"/>
        <v>0</v>
      </c>
      <c r="H352" s="52" t="e">
        <f t="shared" si="48"/>
        <v>#DIV/0!</v>
      </c>
      <c r="I352" s="51">
        <f t="shared" si="49"/>
        <v>0</v>
      </c>
    </row>
    <row r="353" spans="1:9">
      <c r="A353" s="47">
        <v>340</v>
      </c>
      <c r="B353" s="50">
        <f t="shared" si="43"/>
        <v>0</v>
      </c>
      <c r="C353" s="51">
        <f t="shared" si="50"/>
        <v>0</v>
      </c>
      <c r="D353" s="51">
        <f t="shared" si="44"/>
        <v>0</v>
      </c>
      <c r="E353" s="51">
        <f t="shared" si="46"/>
        <v>0</v>
      </c>
      <c r="F353" s="51">
        <f t="shared" si="47"/>
        <v>0</v>
      </c>
      <c r="G353" s="51">
        <f t="shared" si="45"/>
        <v>0</v>
      </c>
      <c r="H353" s="52" t="e">
        <f t="shared" si="48"/>
        <v>#DIV/0!</v>
      </c>
      <c r="I353" s="51">
        <f t="shared" si="49"/>
        <v>0</v>
      </c>
    </row>
    <row r="354" spans="1:9">
      <c r="A354" s="47">
        <v>341</v>
      </c>
      <c r="B354" s="50">
        <f t="shared" si="43"/>
        <v>0</v>
      </c>
      <c r="C354" s="51">
        <f t="shared" si="50"/>
        <v>0</v>
      </c>
      <c r="D354" s="51">
        <f t="shared" si="44"/>
        <v>0</v>
      </c>
      <c r="E354" s="51">
        <f t="shared" si="46"/>
        <v>0</v>
      </c>
      <c r="F354" s="51">
        <f t="shared" si="47"/>
        <v>0</v>
      </c>
      <c r="G354" s="51">
        <f t="shared" si="45"/>
        <v>0</v>
      </c>
      <c r="H354" s="52" t="e">
        <f t="shared" si="48"/>
        <v>#DIV/0!</v>
      </c>
      <c r="I354" s="51">
        <f t="shared" si="49"/>
        <v>0</v>
      </c>
    </row>
    <row r="355" spans="1:9">
      <c r="A355" s="47">
        <v>342</v>
      </c>
      <c r="B355" s="50">
        <f t="shared" si="43"/>
        <v>0</v>
      </c>
      <c r="C355" s="51">
        <f t="shared" si="50"/>
        <v>0</v>
      </c>
      <c r="D355" s="51">
        <f t="shared" si="44"/>
        <v>0</v>
      </c>
      <c r="E355" s="51">
        <f t="shared" si="46"/>
        <v>0</v>
      </c>
      <c r="F355" s="51">
        <f t="shared" si="47"/>
        <v>0</v>
      </c>
      <c r="G355" s="51">
        <f t="shared" si="45"/>
        <v>0</v>
      </c>
      <c r="H355" s="52" t="e">
        <f t="shared" si="48"/>
        <v>#DIV/0!</v>
      </c>
      <c r="I355" s="51">
        <f t="shared" si="49"/>
        <v>0</v>
      </c>
    </row>
    <row r="356" spans="1:9">
      <c r="A356" s="47">
        <v>343</v>
      </c>
      <c r="B356" s="50">
        <f t="shared" si="43"/>
        <v>0</v>
      </c>
      <c r="C356" s="51">
        <f t="shared" si="50"/>
        <v>0</v>
      </c>
      <c r="D356" s="51">
        <f t="shared" si="44"/>
        <v>0</v>
      </c>
      <c r="E356" s="51">
        <f t="shared" si="46"/>
        <v>0</v>
      </c>
      <c r="F356" s="51">
        <f t="shared" si="47"/>
        <v>0</v>
      </c>
      <c r="G356" s="51">
        <f t="shared" si="45"/>
        <v>0</v>
      </c>
      <c r="H356" s="52" t="e">
        <f t="shared" si="48"/>
        <v>#DIV/0!</v>
      </c>
      <c r="I356" s="51">
        <f t="shared" si="49"/>
        <v>0</v>
      </c>
    </row>
    <row r="357" spans="1:9">
      <c r="A357" s="47">
        <v>344</v>
      </c>
      <c r="B357" s="50">
        <f t="shared" si="43"/>
        <v>0</v>
      </c>
      <c r="C357" s="51">
        <f t="shared" si="50"/>
        <v>0</v>
      </c>
      <c r="D357" s="51">
        <f t="shared" si="44"/>
        <v>0</v>
      </c>
      <c r="E357" s="51">
        <f t="shared" si="46"/>
        <v>0</v>
      </c>
      <c r="F357" s="51">
        <f t="shared" si="47"/>
        <v>0</v>
      </c>
      <c r="G357" s="51">
        <f t="shared" si="45"/>
        <v>0</v>
      </c>
      <c r="H357" s="52" t="e">
        <f t="shared" si="48"/>
        <v>#DIV/0!</v>
      </c>
      <c r="I357" s="51">
        <f t="shared" si="49"/>
        <v>0</v>
      </c>
    </row>
    <row r="358" spans="1:9">
      <c r="A358" s="47">
        <v>345</v>
      </c>
      <c r="B358" s="50">
        <f t="shared" si="43"/>
        <v>0</v>
      </c>
      <c r="C358" s="51">
        <f t="shared" si="50"/>
        <v>0</v>
      </c>
      <c r="D358" s="51">
        <f t="shared" si="44"/>
        <v>0</v>
      </c>
      <c r="E358" s="51">
        <f t="shared" si="46"/>
        <v>0</v>
      </c>
      <c r="F358" s="51">
        <f t="shared" si="47"/>
        <v>0</v>
      </c>
      <c r="G358" s="51">
        <f t="shared" si="45"/>
        <v>0</v>
      </c>
      <c r="H358" s="52" t="e">
        <f t="shared" si="48"/>
        <v>#DIV/0!</v>
      </c>
      <c r="I358" s="51">
        <f t="shared" si="49"/>
        <v>0</v>
      </c>
    </row>
    <row r="359" spans="1:9">
      <c r="A359" s="47">
        <v>346</v>
      </c>
      <c r="B359" s="50">
        <f t="shared" si="43"/>
        <v>0</v>
      </c>
      <c r="C359" s="51">
        <f t="shared" si="50"/>
        <v>0</v>
      </c>
      <c r="D359" s="51">
        <f t="shared" si="44"/>
        <v>0</v>
      </c>
      <c r="E359" s="51">
        <f t="shared" si="46"/>
        <v>0</v>
      </c>
      <c r="F359" s="51">
        <f t="shared" si="47"/>
        <v>0</v>
      </c>
      <c r="G359" s="51">
        <f t="shared" si="45"/>
        <v>0</v>
      </c>
      <c r="H359" s="52" t="e">
        <f t="shared" si="48"/>
        <v>#DIV/0!</v>
      </c>
      <c r="I359" s="51">
        <f t="shared" si="49"/>
        <v>0</v>
      </c>
    </row>
    <row r="360" spans="1:9">
      <c r="A360" s="47">
        <v>347</v>
      </c>
      <c r="B360" s="50">
        <f t="shared" si="43"/>
        <v>0</v>
      </c>
      <c r="C360" s="51">
        <f t="shared" si="50"/>
        <v>0</v>
      </c>
      <c r="D360" s="51">
        <f t="shared" si="44"/>
        <v>0</v>
      </c>
      <c r="E360" s="51">
        <f t="shared" si="46"/>
        <v>0</v>
      </c>
      <c r="F360" s="51">
        <f t="shared" si="47"/>
        <v>0</v>
      </c>
      <c r="G360" s="51">
        <f t="shared" si="45"/>
        <v>0</v>
      </c>
      <c r="H360" s="52" t="e">
        <f t="shared" si="48"/>
        <v>#DIV/0!</v>
      </c>
      <c r="I360" s="51">
        <f t="shared" si="49"/>
        <v>0</v>
      </c>
    </row>
    <row r="361" spans="1:9">
      <c r="A361" s="47">
        <v>348</v>
      </c>
      <c r="B361" s="50">
        <f t="shared" si="43"/>
        <v>0</v>
      </c>
      <c r="C361" s="51">
        <f t="shared" si="50"/>
        <v>0</v>
      </c>
      <c r="D361" s="51">
        <f t="shared" si="44"/>
        <v>0</v>
      </c>
      <c r="E361" s="51">
        <f t="shared" si="46"/>
        <v>0</v>
      </c>
      <c r="F361" s="51">
        <f t="shared" si="47"/>
        <v>0</v>
      </c>
      <c r="G361" s="51">
        <f t="shared" si="45"/>
        <v>0</v>
      </c>
      <c r="H361" s="52" t="e">
        <f t="shared" si="48"/>
        <v>#DIV/0!</v>
      </c>
      <c r="I361" s="51">
        <f t="shared" si="49"/>
        <v>0</v>
      </c>
    </row>
    <row r="362" spans="1:9">
      <c r="A362" s="47">
        <v>349</v>
      </c>
      <c r="B362" s="50">
        <f t="shared" si="43"/>
        <v>0</v>
      </c>
      <c r="C362" s="51">
        <f t="shared" si="50"/>
        <v>0</v>
      </c>
      <c r="D362" s="51">
        <f t="shared" si="44"/>
        <v>0</v>
      </c>
      <c r="E362" s="51">
        <f t="shared" si="46"/>
        <v>0</v>
      </c>
      <c r="F362" s="51">
        <f t="shared" si="47"/>
        <v>0</v>
      </c>
      <c r="G362" s="51">
        <f t="shared" si="45"/>
        <v>0</v>
      </c>
      <c r="H362" s="52" t="e">
        <f t="shared" si="48"/>
        <v>#DIV/0!</v>
      </c>
      <c r="I362" s="51">
        <f t="shared" si="49"/>
        <v>0</v>
      </c>
    </row>
    <row r="363" spans="1:9">
      <c r="A363" s="47">
        <v>350</v>
      </c>
      <c r="B363" s="50">
        <f t="shared" si="43"/>
        <v>0</v>
      </c>
      <c r="C363" s="51">
        <f t="shared" si="50"/>
        <v>0</v>
      </c>
      <c r="D363" s="51">
        <f t="shared" si="44"/>
        <v>0</v>
      </c>
      <c r="E363" s="51">
        <f t="shared" si="46"/>
        <v>0</v>
      </c>
      <c r="F363" s="51">
        <f t="shared" si="47"/>
        <v>0</v>
      </c>
      <c r="G363" s="51">
        <f t="shared" si="45"/>
        <v>0</v>
      </c>
      <c r="H363" s="52" t="e">
        <f t="shared" si="48"/>
        <v>#DIV/0!</v>
      </c>
      <c r="I363" s="51">
        <f t="shared" si="49"/>
        <v>0</v>
      </c>
    </row>
    <row r="364" spans="1:9">
      <c r="A364" s="47">
        <v>351</v>
      </c>
      <c r="B364" s="50">
        <f t="shared" si="43"/>
        <v>0</v>
      </c>
      <c r="C364" s="51">
        <f t="shared" si="50"/>
        <v>0</v>
      </c>
      <c r="D364" s="51">
        <f t="shared" si="44"/>
        <v>0</v>
      </c>
      <c r="E364" s="51">
        <f t="shared" si="46"/>
        <v>0</v>
      </c>
      <c r="F364" s="51">
        <f t="shared" si="47"/>
        <v>0</v>
      </c>
      <c r="G364" s="51">
        <f t="shared" si="45"/>
        <v>0</v>
      </c>
      <c r="H364" s="52" t="e">
        <f t="shared" si="48"/>
        <v>#DIV/0!</v>
      </c>
      <c r="I364" s="51">
        <f t="shared" si="49"/>
        <v>0</v>
      </c>
    </row>
    <row r="365" spans="1:9">
      <c r="A365" s="47">
        <v>352</v>
      </c>
      <c r="B365" s="50">
        <f t="shared" si="43"/>
        <v>0</v>
      </c>
      <c r="C365" s="51">
        <f t="shared" si="50"/>
        <v>0</v>
      </c>
      <c r="D365" s="51">
        <f t="shared" si="44"/>
        <v>0</v>
      </c>
      <c r="E365" s="51">
        <f t="shared" si="46"/>
        <v>0</v>
      </c>
      <c r="F365" s="51">
        <f t="shared" si="47"/>
        <v>0</v>
      </c>
      <c r="G365" s="51">
        <f t="shared" si="45"/>
        <v>0</v>
      </c>
      <c r="H365" s="52" t="e">
        <f t="shared" si="48"/>
        <v>#DIV/0!</v>
      </c>
      <c r="I365" s="51">
        <f t="shared" si="49"/>
        <v>0</v>
      </c>
    </row>
    <row r="366" spans="1:9">
      <c r="A366" s="47">
        <v>353</v>
      </c>
      <c r="B366" s="50">
        <f t="shared" si="43"/>
        <v>0</v>
      </c>
      <c r="C366" s="51">
        <f t="shared" si="50"/>
        <v>0</v>
      </c>
      <c r="D366" s="51">
        <f t="shared" si="44"/>
        <v>0</v>
      </c>
      <c r="E366" s="51">
        <f t="shared" si="46"/>
        <v>0</v>
      </c>
      <c r="F366" s="51">
        <f t="shared" si="47"/>
        <v>0</v>
      </c>
      <c r="G366" s="51">
        <f t="shared" si="45"/>
        <v>0</v>
      </c>
      <c r="H366" s="52" t="e">
        <f t="shared" si="48"/>
        <v>#DIV/0!</v>
      </c>
      <c r="I366" s="51">
        <f t="shared" si="49"/>
        <v>0</v>
      </c>
    </row>
    <row r="367" spans="1:9">
      <c r="A367" s="47">
        <v>354</v>
      </c>
      <c r="B367" s="50">
        <f t="shared" si="43"/>
        <v>0</v>
      </c>
      <c r="C367" s="51">
        <f t="shared" si="50"/>
        <v>0</v>
      </c>
      <c r="D367" s="51">
        <f t="shared" si="44"/>
        <v>0</v>
      </c>
      <c r="E367" s="51">
        <f t="shared" si="46"/>
        <v>0</v>
      </c>
      <c r="F367" s="51">
        <f t="shared" si="47"/>
        <v>0</v>
      </c>
      <c r="G367" s="51">
        <f t="shared" si="45"/>
        <v>0</v>
      </c>
      <c r="H367" s="52" t="e">
        <f t="shared" si="48"/>
        <v>#DIV/0!</v>
      </c>
      <c r="I367" s="51">
        <f t="shared" si="49"/>
        <v>0</v>
      </c>
    </row>
    <row r="368" spans="1:9">
      <c r="A368" s="47">
        <v>355</v>
      </c>
      <c r="B368" s="50">
        <f t="shared" si="43"/>
        <v>0</v>
      </c>
      <c r="C368" s="51">
        <f t="shared" si="50"/>
        <v>0</v>
      </c>
      <c r="D368" s="51">
        <f t="shared" si="44"/>
        <v>0</v>
      </c>
      <c r="E368" s="51">
        <f t="shared" si="46"/>
        <v>0</v>
      </c>
      <c r="F368" s="51">
        <f t="shared" si="47"/>
        <v>0</v>
      </c>
      <c r="G368" s="51">
        <f t="shared" si="45"/>
        <v>0</v>
      </c>
      <c r="H368" s="52" t="e">
        <f t="shared" si="48"/>
        <v>#DIV/0!</v>
      </c>
      <c r="I368" s="51">
        <f t="shared" si="49"/>
        <v>0</v>
      </c>
    </row>
    <row r="369" spans="1:9">
      <c r="A369" s="47">
        <v>356</v>
      </c>
      <c r="B369" s="50">
        <f t="shared" si="43"/>
        <v>0</v>
      </c>
      <c r="C369" s="51">
        <f t="shared" si="50"/>
        <v>0</v>
      </c>
      <c r="D369" s="51">
        <f t="shared" si="44"/>
        <v>0</v>
      </c>
      <c r="E369" s="51">
        <f t="shared" si="46"/>
        <v>0</v>
      </c>
      <c r="F369" s="51">
        <f t="shared" si="47"/>
        <v>0</v>
      </c>
      <c r="G369" s="51">
        <f t="shared" si="45"/>
        <v>0</v>
      </c>
      <c r="H369" s="52" t="e">
        <f t="shared" si="48"/>
        <v>#DIV/0!</v>
      </c>
      <c r="I369" s="51">
        <f t="shared" si="49"/>
        <v>0</v>
      </c>
    </row>
    <row r="370" spans="1:9">
      <c r="A370" s="47">
        <v>357</v>
      </c>
      <c r="B370" s="50">
        <f t="shared" si="43"/>
        <v>0</v>
      </c>
      <c r="C370" s="51">
        <f t="shared" si="50"/>
        <v>0</v>
      </c>
      <c r="D370" s="51">
        <f t="shared" si="44"/>
        <v>0</v>
      </c>
      <c r="E370" s="51">
        <f t="shared" si="46"/>
        <v>0</v>
      </c>
      <c r="F370" s="51">
        <f t="shared" si="47"/>
        <v>0</v>
      </c>
      <c r="G370" s="51">
        <f t="shared" si="45"/>
        <v>0</v>
      </c>
      <c r="H370" s="52" t="e">
        <f t="shared" si="48"/>
        <v>#DIV/0!</v>
      </c>
      <c r="I370" s="51">
        <f t="shared" si="49"/>
        <v>0</v>
      </c>
    </row>
    <row r="371" spans="1:9">
      <c r="A371" s="47">
        <v>358</v>
      </c>
      <c r="B371" s="50">
        <f t="shared" ref="B371:B434" si="51">$C$6</f>
        <v>0</v>
      </c>
      <c r="C371" s="51">
        <f t="shared" si="50"/>
        <v>0</v>
      </c>
      <c r="D371" s="51">
        <f t="shared" si="44"/>
        <v>0</v>
      </c>
      <c r="E371" s="51">
        <f t="shared" si="46"/>
        <v>0</v>
      </c>
      <c r="F371" s="51">
        <f t="shared" si="47"/>
        <v>0</v>
      </c>
      <c r="G371" s="51">
        <f t="shared" si="45"/>
        <v>0</v>
      </c>
      <c r="H371" s="52" t="e">
        <f t="shared" si="48"/>
        <v>#DIV/0!</v>
      </c>
      <c r="I371" s="51">
        <f t="shared" si="49"/>
        <v>0</v>
      </c>
    </row>
    <row r="372" spans="1:9">
      <c r="A372" s="47">
        <v>359</v>
      </c>
      <c r="B372" s="50">
        <f t="shared" si="51"/>
        <v>0</v>
      </c>
      <c r="C372" s="51">
        <f t="shared" si="50"/>
        <v>0</v>
      </c>
      <c r="D372" s="51">
        <f t="shared" si="44"/>
        <v>0</v>
      </c>
      <c r="E372" s="51">
        <f t="shared" si="46"/>
        <v>0</v>
      </c>
      <c r="F372" s="51">
        <f t="shared" si="47"/>
        <v>0</v>
      </c>
      <c r="G372" s="51">
        <f t="shared" si="45"/>
        <v>0</v>
      </c>
      <c r="H372" s="52" t="e">
        <f t="shared" si="48"/>
        <v>#DIV/0!</v>
      </c>
      <c r="I372" s="51">
        <f t="shared" si="49"/>
        <v>0</v>
      </c>
    </row>
    <row r="373" spans="1:9">
      <c r="A373" s="47">
        <v>360</v>
      </c>
      <c r="B373" s="50">
        <f t="shared" si="51"/>
        <v>0</v>
      </c>
      <c r="C373" s="51">
        <f t="shared" si="50"/>
        <v>0</v>
      </c>
      <c r="D373" s="51">
        <f t="shared" si="44"/>
        <v>0</v>
      </c>
      <c r="E373" s="51">
        <f t="shared" si="46"/>
        <v>0</v>
      </c>
      <c r="F373" s="51">
        <f t="shared" si="47"/>
        <v>0</v>
      </c>
      <c r="G373" s="51">
        <f t="shared" si="45"/>
        <v>0</v>
      </c>
      <c r="H373" s="52" t="e">
        <f t="shared" si="48"/>
        <v>#DIV/0!</v>
      </c>
      <c r="I373" s="51">
        <f t="shared" si="49"/>
        <v>0</v>
      </c>
    </row>
    <row r="374" spans="1:9">
      <c r="A374" s="47">
        <v>361</v>
      </c>
      <c r="B374" s="50">
        <f t="shared" si="51"/>
        <v>0</v>
      </c>
      <c r="C374" s="51">
        <f t="shared" si="50"/>
        <v>0</v>
      </c>
      <c r="D374" s="51">
        <f t="shared" si="44"/>
        <v>0</v>
      </c>
      <c r="E374" s="51">
        <f t="shared" si="46"/>
        <v>0</v>
      </c>
      <c r="F374" s="51">
        <f t="shared" si="47"/>
        <v>0</v>
      </c>
      <c r="G374" s="51">
        <f t="shared" si="45"/>
        <v>0</v>
      </c>
      <c r="H374" s="52" t="e">
        <f t="shared" si="48"/>
        <v>#DIV/0!</v>
      </c>
      <c r="I374" s="51">
        <f t="shared" si="49"/>
        <v>0</v>
      </c>
    </row>
    <row r="375" spans="1:9">
      <c r="A375" s="47">
        <v>362</v>
      </c>
      <c r="B375" s="50">
        <f t="shared" si="51"/>
        <v>0</v>
      </c>
      <c r="C375" s="51">
        <f t="shared" si="50"/>
        <v>0</v>
      </c>
      <c r="D375" s="51">
        <f t="shared" si="44"/>
        <v>0</v>
      </c>
      <c r="E375" s="51">
        <f t="shared" si="46"/>
        <v>0</v>
      </c>
      <c r="F375" s="51">
        <f t="shared" si="47"/>
        <v>0</v>
      </c>
      <c r="G375" s="51">
        <f t="shared" si="45"/>
        <v>0</v>
      </c>
      <c r="H375" s="52" t="e">
        <f t="shared" si="48"/>
        <v>#DIV/0!</v>
      </c>
      <c r="I375" s="51">
        <f t="shared" si="49"/>
        <v>0</v>
      </c>
    </row>
    <row r="376" spans="1:9">
      <c r="A376" s="47">
        <v>363</v>
      </c>
      <c r="B376" s="50">
        <f t="shared" si="51"/>
        <v>0</v>
      </c>
      <c r="C376" s="51">
        <f t="shared" si="50"/>
        <v>0</v>
      </c>
      <c r="D376" s="51">
        <f t="shared" si="44"/>
        <v>0</v>
      </c>
      <c r="E376" s="51">
        <f t="shared" si="46"/>
        <v>0</v>
      </c>
      <c r="F376" s="51">
        <f t="shared" si="47"/>
        <v>0</v>
      </c>
      <c r="G376" s="51">
        <f t="shared" si="45"/>
        <v>0</v>
      </c>
      <c r="H376" s="52" t="e">
        <f t="shared" si="48"/>
        <v>#DIV/0!</v>
      </c>
      <c r="I376" s="51">
        <f t="shared" si="49"/>
        <v>0</v>
      </c>
    </row>
    <row r="377" spans="1:9">
      <c r="A377" s="47">
        <v>364</v>
      </c>
      <c r="B377" s="50">
        <f t="shared" si="51"/>
        <v>0</v>
      </c>
      <c r="C377" s="51">
        <f t="shared" si="50"/>
        <v>0</v>
      </c>
      <c r="D377" s="51">
        <f t="shared" si="44"/>
        <v>0</v>
      </c>
      <c r="E377" s="51">
        <f t="shared" si="46"/>
        <v>0</v>
      </c>
      <c r="F377" s="51">
        <f t="shared" si="47"/>
        <v>0</v>
      </c>
      <c r="G377" s="51">
        <f t="shared" si="45"/>
        <v>0</v>
      </c>
      <c r="H377" s="52" t="e">
        <f t="shared" si="48"/>
        <v>#DIV/0!</v>
      </c>
      <c r="I377" s="51">
        <f t="shared" si="49"/>
        <v>0</v>
      </c>
    </row>
    <row r="378" spans="1:9">
      <c r="A378" s="47">
        <v>365</v>
      </c>
      <c r="B378" s="50">
        <f t="shared" si="51"/>
        <v>0</v>
      </c>
      <c r="C378" s="51">
        <f t="shared" si="50"/>
        <v>0</v>
      </c>
      <c r="D378" s="51">
        <f t="shared" si="44"/>
        <v>0</v>
      </c>
      <c r="E378" s="51">
        <f t="shared" si="46"/>
        <v>0</v>
      </c>
      <c r="F378" s="51">
        <f t="shared" si="47"/>
        <v>0</v>
      </c>
      <c r="G378" s="51">
        <f t="shared" si="45"/>
        <v>0</v>
      </c>
      <c r="H378" s="52" t="e">
        <f t="shared" si="48"/>
        <v>#DIV/0!</v>
      </c>
      <c r="I378" s="51">
        <f t="shared" si="49"/>
        <v>0</v>
      </c>
    </row>
    <row r="379" spans="1:9">
      <c r="A379" s="47">
        <v>366</v>
      </c>
      <c r="B379" s="50">
        <f t="shared" si="51"/>
        <v>0</v>
      </c>
      <c r="C379" s="51">
        <f t="shared" si="50"/>
        <v>0</v>
      </c>
      <c r="D379" s="51">
        <f t="shared" si="44"/>
        <v>0</v>
      </c>
      <c r="E379" s="51">
        <f t="shared" si="46"/>
        <v>0</v>
      </c>
      <c r="F379" s="51">
        <f t="shared" si="47"/>
        <v>0</v>
      </c>
      <c r="G379" s="51">
        <f t="shared" si="45"/>
        <v>0</v>
      </c>
      <c r="H379" s="52" t="e">
        <f t="shared" si="48"/>
        <v>#DIV/0!</v>
      </c>
      <c r="I379" s="51">
        <f t="shared" si="49"/>
        <v>0</v>
      </c>
    </row>
    <row r="380" spans="1:9">
      <c r="A380" s="47">
        <v>367</v>
      </c>
      <c r="B380" s="50">
        <f t="shared" si="51"/>
        <v>0</v>
      </c>
      <c r="C380" s="51">
        <f t="shared" si="50"/>
        <v>0</v>
      </c>
      <c r="D380" s="51">
        <f t="shared" si="44"/>
        <v>0</v>
      </c>
      <c r="E380" s="51">
        <f t="shared" si="46"/>
        <v>0</v>
      </c>
      <c r="F380" s="51">
        <f t="shared" si="47"/>
        <v>0</v>
      </c>
      <c r="G380" s="51">
        <f t="shared" si="45"/>
        <v>0</v>
      </c>
      <c r="H380" s="52" t="e">
        <f t="shared" si="48"/>
        <v>#DIV/0!</v>
      </c>
      <c r="I380" s="51">
        <f t="shared" si="49"/>
        <v>0</v>
      </c>
    </row>
    <row r="381" spans="1:9">
      <c r="A381" s="47">
        <v>368</v>
      </c>
      <c r="B381" s="50">
        <f t="shared" si="51"/>
        <v>0</v>
      </c>
      <c r="C381" s="51">
        <f t="shared" si="50"/>
        <v>0</v>
      </c>
      <c r="D381" s="51">
        <f t="shared" si="44"/>
        <v>0</v>
      </c>
      <c r="E381" s="51">
        <f t="shared" si="46"/>
        <v>0</v>
      </c>
      <c r="F381" s="51">
        <f t="shared" si="47"/>
        <v>0</v>
      </c>
      <c r="G381" s="51">
        <f t="shared" si="45"/>
        <v>0</v>
      </c>
      <c r="H381" s="52" t="e">
        <f t="shared" si="48"/>
        <v>#DIV/0!</v>
      </c>
      <c r="I381" s="51">
        <f t="shared" si="49"/>
        <v>0</v>
      </c>
    </row>
    <row r="382" spans="1:9">
      <c r="A382" s="47">
        <v>369</v>
      </c>
      <c r="B382" s="50">
        <f t="shared" si="51"/>
        <v>0</v>
      </c>
      <c r="C382" s="51">
        <f t="shared" si="50"/>
        <v>0</v>
      </c>
      <c r="D382" s="51">
        <f t="shared" si="44"/>
        <v>0</v>
      </c>
      <c r="E382" s="51">
        <f t="shared" si="46"/>
        <v>0</v>
      </c>
      <c r="F382" s="51">
        <f t="shared" si="47"/>
        <v>0</v>
      </c>
      <c r="G382" s="51">
        <f t="shared" si="45"/>
        <v>0</v>
      </c>
      <c r="H382" s="52" t="e">
        <f t="shared" si="48"/>
        <v>#DIV/0!</v>
      </c>
      <c r="I382" s="51">
        <f t="shared" si="49"/>
        <v>0</v>
      </c>
    </row>
    <row r="383" spans="1:9">
      <c r="A383" s="47">
        <v>370</v>
      </c>
      <c r="B383" s="50">
        <f t="shared" si="51"/>
        <v>0</v>
      </c>
      <c r="C383" s="51">
        <f t="shared" si="50"/>
        <v>0</v>
      </c>
      <c r="D383" s="51">
        <f t="shared" si="44"/>
        <v>0</v>
      </c>
      <c r="E383" s="51">
        <f t="shared" si="46"/>
        <v>0</v>
      </c>
      <c r="F383" s="51">
        <f t="shared" si="47"/>
        <v>0</v>
      </c>
      <c r="G383" s="51">
        <f t="shared" si="45"/>
        <v>0</v>
      </c>
      <c r="H383" s="52" t="e">
        <f t="shared" si="48"/>
        <v>#DIV/0!</v>
      </c>
      <c r="I383" s="51">
        <f t="shared" si="49"/>
        <v>0</v>
      </c>
    </row>
    <row r="384" spans="1:9">
      <c r="A384" s="47">
        <v>371</v>
      </c>
      <c r="B384" s="50">
        <f t="shared" si="51"/>
        <v>0</v>
      </c>
      <c r="C384" s="51">
        <f t="shared" si="50"/>
        <v>0</v>
      </c>
      <c r="D384" s="51">
        <f t="shared" si="44"/>
        <v>0</v>
      </c>
      <c r="E384" s="51">
        <f t="shared" si="46"/>
        <v>0</v>
      </c>
      <c r="F384" s="51">
        <f t="shared" si="47"/>
        <v>0</v>
      </c>
      <c r="G384" s="51">
        <f t="shared" si="45"/>
        <v>0</v>
      </c>
      <c r="H384" s="52" t="e">
        <f t="shared" si="48"/>
        <v>#DIV/0!</v>
      </c>
      <c r="I384" s="51">
        <f t="shared" si="49"/>
        <v>0</v>
      </c>
    </row>
    <row r="385" spans="1:9">
      <c r="A385" s="47">
        <v>372</v>
      </c>
      <c r="B385" s="50">
        <f t="shared" si="51"/>
        <v>0</v>
      </c>
      <c r="C385" s="51">
        <f t="shared" si="50"/>
        <v>0</v>
      </c>
      <c r="D385" s="51">
        <f t="shared" si="44"/>
        <v>0</v>
      </c>
      <c r="E385" s="51">
        <f t="shared" si="46"/>
        <v>0</v>
      </c>
      <c r="F385" s="51">
        <f t="shared" si="47"/>
        <v>0</v>
      </c>
      <c r="G385" s="51">
        <f t="shared" si="45"/>
        <v>0</v>
      </c>
      <c r="H385" s="52" t="e">
        <f t="shared" si="48"/>
        <v>#DIV/0!</v>
      </c>
      <c r="I385" s="51">
        <f t="shared" si="49"/>
        <v>0</v>
      </c>
    </row>
    <row r="386" spans="1:9">
      <c r="A386" s="47">
        <v>373</v>
      </c>
      <c r="B386" s="50">
        <f t="shared" si="51"/>
        <v>0</v>
      </c>
      <c r="C386" s="51">
        <f t="shared" si="50"/>
        <v>0</v>
      </c>
      <c r="D386" s="51">
        <f t="shared" si="44"/>
        <v>0</v>
      </c>
      <c r="E386" s="51">
        <f t="shared" si="46"/>
        <v>0</v>
      </c>
      <c r="F386" s="51">
        <f t="shared" si="47"/>
        <v>0</v>
      </c>
      <c r="G386" s="51">
        <f t="shared" si="45"/>
        <v>0</v>
      </c>
      <c r="H386" s="52" t="e">
        <f t="shared" si="48"/>
        <v>#DIV/0!</v>
      </c>
      <c r="I386" s="51">
        <f t="shared" si="49"/>
        <v>0</v>
      </c>
    </row>
    <row r="387" spans="1:9">
      <c r="A387" s="47">
        <v>374</v>
      </c>
      <c r="B387" s="50">
        <f t="shared" si="51"/>
        <v>0</v>
      </c>
      <c r="C387" s="51">
        <f t="shared" si="50"/>
        <v>0</v>
      </c>
      <c r="D387" s="51">
        <f t="shared" si="44"/>
        <v>0</v>
      </c>
      <c r="E387" s="51">
        <f t="shared" si="46"/>
        <v>0</v>
      </c>
      <c r="F387" s="51">
        <f t="shared" si="47"/>
        <v>0</v>
      </c>
      <c r="G387" s="51">
        <f t="shared" si="45"/>
        <v>0</v>
      </c>
      <c r="H387" s="52" t="e">
        <f t="shared" si="48"/>
        <v>#DIV/0!</v>
      </c>
      <c r="I387" s="51">
        <f t="shared" si="49"/>
        <v>0</v>
      </c>
    </row>
    <row r="388" spans="1:9">
      <c r="A388" s="47">
        <v>375</v>
      </c>
      <c r="B388" s="50">
        <f t="shared" si="51"/>
        <v>0</v>
      </c>
      <c r="C388" s="51">
        <f t="shared" si="50"/>
        <v>0</v>
      </c>
      <c r="D388" s="51">
        <f t="shared" si="44"/>
        <v>0</v>
      </c>
      <c r="E388" s="51">
        <f t="shared" si="46"/>
        <v>0</v>
      </c>
      <c r="F388" s="51">
        <f t="shared" si="47"/>
        <v>0</v>
      </c>
      <c r="G388" s="51">
        <f t="shared" si="45"/>
        <v>0</v>
      </c>
      <c r="H388" s="52" t="e">
        <f t="shared" si="48"/>
        <v>#DIV/0!</v>
      </c>
      <c r="I388" s="51">
        <f t="shared" si="49"/>
        <v>0</v>
      </c>
    </row>
    <row r="389" spans="1:9">
      <c r="A389" s="47">
        <v>376</v>
      </c>
      <c r="B389" s="50">
        <f t="shared" si="51"/>
        <v>0</v>
      </c>
      <c r="C389" s="51">
        <f t="shared" si="50"/>
        <v>0</v>
      </c>
      <c r="D389" s="51">
        <f t="shared" si="44"/>
        <v>0</v>
      </c>
      <c r="E389" s="51">
        <f t="shared" si="46"/>
        <v>0</v>
      </c>
      <c r="F389" s="51">
        <f t="shared" si="47"/>
        <v>0</v>
      </c>
      <c r="G389" s="51">
        <f t="shared" si="45"/>
        <v>0</v>
      </c>
      <c r="H389" s="52" t="e">
        <f t="shared" si="48"/>
        <v>#DIV/0!</v>
      </c>
      <c r="I389" s="51">
        <f t="shared" si="49"/>
        <v>0</v>
      </c>
    </row>
    <row r="390" spans="1:9">
      <c r="A390" s="47">
        <v>377</v>
      </c>
      <c r="B390" s="50">
        <f t="shared" si="51"/>
        <v>0</v>
      </c>
      <c r="C390" s="51">
        <f t="shared" si="50"/>
        <v>0</v>
      </c>
      <c r="D390" s="51">
        <f t="shared" si="44"/>
        <v>0</v>
      </c>
      <c r="E390" s="51">
        <f t="shared" si="46"/>
        <v>0</v>
      </c>
      <c r="F390" s="51">
        <f t="shared" si="47"/>
        <v>0</v>
      </c>
      <c r="G390" s="51">
        <f t="shared" si="45"/>
        <v>0</v>
      </c>
      <c r="H390" s="52" t="e">
        <f t="shared" si="48"/>
        <v>#DIV/0!</v>
      </c>
      <c r="I390" s="51">
        <f t="shared" si="49"/>
        <v>0</v>
      </c>
    </row>
    <row r="391" spans="1:9">
      <c r="A391" s="47">
        <v>378</v>
      </c>
      <c r="B391" s="50">
        <f t="shared" si="51"/>
        <v>0</v>
      </c>
      <c r="C391" s="51">
        <f t="shared" si="50"/>
        <v>0</v>
      </c>
      <c r="D391" s="51">
        <f t="shared" si="44"/>
        <v>0</v>
      </c>
      <c r="E391" s="51">
        <f t="shared" si="46"/>
        <v>0</v>
      </c>
      <c r="F391" s="51">
        <f t="shared" si="47"/>
        <v>0</v>
      </c>
      <c r="G391" s="51">
        <f t="shared" si="45"/>
        <v>0</v>
      </c>
      <c r="H391" s="52" t="e">
        <f t="shared" si="48"/>
        <v>#DIV/0!</v>
      </c>
      <c r="I391" s="51">
        <f t="shared" si="49"/>
        <v>0</v>
      </c>
    </row>
    <row r="392" spans="1:9">
      <c r="A392" s="47">
        <v>379</v>
      </c>
      <c r="B392" s="50">
        <f t="shared" si="51"/>
        <v>0</v>
      </c>
      <c r="C392" s="51">
        <f t="shared" si="50"/>
        <v>0</v>
      </c>
      <c r="D392" s="51">
        <f t="shared" si="44"/>
        <v>0</v>
      </c>
      <c r="E392" s="51">
        <f t="shared" si="46"/>
        <v>0</v>
      </c>
      <c r="F392" s="51">
        <f t="shared" si="47"/>
        <v>0</v>
      </c>
      <c r="G392" s="51">
        <f t="shared" si="45"/>
        <v>0</v>
      </c>
      <c r="H392" s="52" t="e">
        <f t="shared" si="48"/>
        <v>#DIV/0!</v>
      </c>
      <c r="I392" s="51">
        <f t="shared" si="49"/>
        <v>0</v>
      </c>
    </row>
    <row r="393" spans="1:9">
      <c r="A393" s="47">
        <v>380</v>
      </c>
      <c r="B393" s="50">
        <f t="shared" si="51"/>
        <v>0</v>
      </c>
      <c r="C393" s="51">
        <f t="shared" si="50"/>
        <v>0</v>
      </c>
      <c r="D393" s="51">
        <f t="shared" si="44"/>
        <v>0</v>
      </c>
      <c r="E393" s="51">
        <f t="shared" si="46"/>
        <v>0</v>
      </c>
      <c r="F393" s="51">
        <f t="shared" si="47"/>
        <v>0</v>
      </c>
      <c r="G393" s="51">
        <f t="shared" si="45"/>
        <v>0</v>
      </c>
      <c r="H393" s="52" t="e">
        <f t="shared" si="48"/>
        <v>#DIV/0!</v>
      </c>
      <c r="I393" s="51">
        <f t="shared" si="49"/>
        <v>0</v>
      </c>
    </row>
    <row r="394" spans="1:9">
      <c r="A394" s="47">
        <v>381</v>
      </c>
      <c r="B394" s="50">
        <f t="shared" si="51"/>
        <v>0</v>
      </c>
      <c r="C394" s="51">
        <f t="shared" si="50"/>
        <v>0</v>
      </c>
      <c r="D394" s="51">
        <f t="shared" si="44"/>
        <v>0</v>
      </c>
      <c r="E394" s="51">
        <f t="shared" si="46"/>
        <v>0</v>
      </c>
      <c r="F394" s="51">
        <f t="shared" si="47"/>
        <v>0</v>
      </c>
      <c r="G394" s="51">
        <f t="shared" si="45"/>
        <v>0</v>
      </c>
      <c r="H394" s="52" t="e">
        <f t="shared" si="48"/>
        <v>#DIV/0!</v>
      </c>
      <c r="I394" s="51">
        <f t="shared" si="49"/>
        <v>0</v>
      </c>
    </row>
    <row r="395" spans="1:9">
      <c r="A395" s="47">
        <v>382</v>
      </c>
      <c r="B395" s="50">
        <f t="shared" si="51"/>
        <v>0</v>
      </c>
      <c r="C395" s="51">
        <f t="shared" si="50"/>
        <v>0</v>
      </c>
      <c r="D395" s="51">
        <f t="shared" si="44"/>
        <v>0</v>
      </c>
      <c r="E395" s="51">
        <f t="shared" si="46"/>
        <v>0</v>
      </c>
      <c r="F395" s="51">
        <f t="shared" si="47"/>
        <v>0</v>
      </c>
      <c r="G395" s="51">
        <f t="shared" si="45"/>
        <v>0</v>
      </c>
      <c r="H395" s="52" t="e">
        <f t="shared" si="48"/>
        <v>#DIV/0!</v>
      </c>
      <c r="I395" s="51">
        <f t="shared" si="49"/>
        <v>0</v>
      </c>
    </row>
    <row r="396" spans="1:9">
      <c r="A396" s="47">
        <v>383</v>
      </c>
      <c r="B396" s="50">
        <f t="shared" si="51"/>
        <v>0</v>
      </c>
      <c r="C396" s="51">
        <f t="shared" si="50"/>
        <v>0</v>
      </c>
      <c r="D396" s="51">
        <f t="shared" si="44"/>
        <v>0</v>
      </c>
      <c r="E396" s="51">
        <f t="shared" si="46"/>
        <v>0</v>
      </c>
      <c r="F396" s="51">
        <f t="shared" si="47"/>
        <v>0</v>
      </c>
      <c r="G396" s="51">
        <f t="shared" si="45"/>
        <v>0</v>
      </c>
      <c r="H396" s="52" t="e">
        <f t="shared" si="48"/>
        <v>#DIV/0!</v>
      </c>
      <c r="I396" s="51">
        <f t="shared" si="49"/>
        <v>0</v>
      </c>
    </row>
    <row r="397" spans="1:9">
      <c r="A397" s="47">
        <v>384</v>
      </c>
      <c r="B397" s="50">
        <f t="shared" si="51"/>
        <v>0</v>
      </c>
      <c r="C397" s="51">
        <f t="shared" si="50"/>
        <v>0</v>
      </c>
      <c r="D397" s="51">
        <f t="shared" si="44"/>
        <v>0</v>
      </c>
      <c r="E397" s="51">
        <f t="shared" si="46"/>
        <v>0</v>
      </c>
      <c r="F397" s="51">
        <f t="shared" si="47"/>
        <v>0</v>
      </c>
      <c r="G397" s="51">
        <f t="shared" si="45"/>
        <v>0</v>
      </c>
      <c r="H397" s="52" t="e">
        <f t="shared" si="48"/>
        <v>#DIV/0!</v>
      </c>
      <c r="I397" s="51">
        <f t="shared" si="49"/>
        <v>0</v>
      </c>
    </row>
    <row r="398" spans="1:9">
      <c r="A398" s="47">
        <v>385</v>
      </c>
      <c r="B398" s="50">
        <f t="shared" si="51"/>
        <v>0</v>
      </c>
      <c r="C398" s="51">
        <f t="shared" si="50"/>
        <v>0</v>
      </c>
      <c r="D398" s="51">
        <f t="shared" ref="D398:D461" si="52">IF(C398+E398&gt;$C$10,$C$10,C398+E398)</f>
        <v>0</v>
      </c>
      <c r="E398" s="51">
        <f t="shared" si="46"/>
        <v>0</v>
      </c>
      <c r="F398" s="51">
        <f t="shared" si="47"/>
        <v>0</v>
      </c>
      <c r="G398" s="51">
        <f t="shared" ref="G398:G461" si="53">C398-F398</f>
        <v>0</v>
      </c>
      <c r="H398" s="52" t="e">
        <f t="shared" si="48"/>
        <v>#DIV/0!</v>
      </c>
      <c r="I398" s="51">
        <f t="shared" si="49"/>
        <v>0</v>
      </c>
    </row>
    <row r="399" spans="1:9">
      <c r="A399" s="47">
        <v>386</v>
      </c>
      <c r="B399" s="50">
        <f t="shared" si="51"/>
        <v>0</v>
      </c>
      <c r="C399" s="51">
        <f t="shared" si="50"/>
        <v>0</v>
      </c>
      <c r="D399" s="51">
        <f t="shared" si="52"/>
        <v>0</v>
      </c>
      <c r="E399" s="51">
        <f t="shared" ref="E399:E462" si="54">C399*(B399/12)</f>
        <v>0</v>
      </c>
      <c r="F399" s="51">
        <f t="shared" ref="F399:F462" si="55">IF(C399&lt;$C$10,C399,D399-E399)</f>
        <v>0</v>
      </c>
      <c r="G399" s="51">
        <f t="shared" si="53"/>
        <v>0</v>
      </c>
      <c r="H399" s="52" t="e">
        <f t="shared" ref="H399:H462" si="56">G399/$C$1</f>
        <v>#DIV/0!</v>
      </c>
      <c r="I399" s="51">
        <f t="shared" ref="I399:I462" si="57">C399*$I$10/12</f>
        <v>0</v>
      </c>
    </row>
    <row r="400" spans="1:9">
      <c r="A400" s="47">
        <v>387</v>
      </c>
      <c r="B400" s="50">
        <f t="shared" si="51"/>
        <v>0</v>
      </c>
      <c r="C400" s="51">
        <f t="shared" ref="C400:C463" si="58">G399</f>
        <v>0</v>
      </c>
      <c r="D400" s="51">
        <f t="shared" si="52"/>
        <v>0</v>
      </c>
      <c r="E400" s="51">
        <f t="shared" si="54"/>
        <v>0</v>
      </c>
      <c r="F400" s="51">
        <f t="shared" si="55"/>
        <v>0</v>
      </c>
      <c r="G400" s="51">
        <f t="shared" si="53"/>
        <v>0</v>
      </c>
      <c r="H400" s="52" t="e">
        <f t="shared" si="56"/>
        <v>#DIV/0!</v>
      </c>
      <c r="I400" s="51">
        <f t="shared" si="57"/>
        <v>0</v>
      </c>
    </row>
    <row r="401" spans="1:9">
      <c r="A401" s="47">
        <v>388</v>
      </c>
      <c r="B401" s="50">
        <f t="shared" si="51"/>
        <v>0</v>
      </c>
      <c r="C401" s="51">
        <f t="shared" si="58"/>
        <v>0</v>
      </c>
      <c r="D401" s="51">
        <f t="shared" si="52"/>
        <v>0</v>
      </c>
      <c r="E401" s="51">
        <f t="shared" si="54"/>
        <v>0</v>
      </c>
      <c r="F401" s="51">
        <f t="shared" si="55"/>
        <v>0</v>
      </c>
      <c r="G401" s="51">
        <f t="shared" si="53"/>
        <v>0</v>
      </c>
      <c r="H401" s="52" t="e">
        <f t="shared" si="56"/>
        <v>#DIV/0!</v>
      </c>
      <c r="I401" s="51">
        <f t="shared" si="57"/>
        <v>0</v>
      </c>
    </row>
    <row r="402" spans="1:9">
      <c r="A402" s="47">
        <v>389</v>
      </c>
      <c r="B402" s="50">
        <f t="shared" si="51"/>
        <v>0</v>
      </c>
      <c r="C402" s="51">
        <f t="shared" si="58"/>
        <v>0</v>
      </c>
      <c r="D402" s="51">
        <f t="shared" si="52"/>
        <v>0</v>
      </c>
      <c r="E402" s="51">
        <f t="shared" si="54"/>
        <v>0</v>
      </c>
      <c r="F402" s="51">
        <f t="shared" si="55"/>
        <v>0</v>
      </c>
      <c r="G402" s="51">
        <f t="shared" si="53"/>
        <v>0</v>
      </c>
      <c r="H402" s="52" t="e">
        <f t="shared" si="56"/>
        <v>#DIV/0!</v>
      </c>
      <c r="I402" s="51">
        <f t="shared" si="57"/>
        <v>0</v>
      </c>
    </row>
    <row r="403" spans="1:9">
      <c r="A403" s="47">
        <v>390</v>
      </c>
      <c r="B403" s="50">
        <f t="shared" si="51"/>
        <v>0</v>
      </c>
      <c r="C403" s="51">
        <f t="shared" si="58"/>
        <v>0</v>
      </c>
      <c r="D403" s="51">
        <f t="shared" si="52"/>
        <v>0</v>
      </c>
      <c r="E403" s="51">
        <f t="shared" si="54"/>
        <v>0</v>
      </c>
      <c r="F403" s="51">
        <f t="shared" si="55"/>
        <v>0</v>
      </c>
      <c r="G403" s="51">
        <f t="shared" si="53"/>
        <v>0</v>
      </c>
      <c r="H403" s="52" t="e">
        <f t="shared" si="56"/>
        <v>#DIV/0!</v>
      </c>
      <c r="I403" s="51">
        <f t="shared" si="57"/>
        <v>0</v>
      </c>
    </row>
    <row r="404" spans="1:9">
      <c r="A404" s="47">
        <v>391</v>
      </c>
      <c r="B404" s="50">
        <f t="shared" si="51"/>
        <v>0</v>
      </c>
      <c r="C404" s="51">
        <f t="shared" si="58"/>
        <v>0</v>
      </c>
      <c r="D404" s="51">
        <f t="shared" si="52"/>
        <v>0</v>
      </c>
      <c r="E404" s="51">
        <f t="shared" si="54"/>
        <v>0</v>
      </c>
      <c r="F404" s="51">
        <f t="shared" si="55"/>
        <v>0</v>
      </c>
      <c r="G404" s="51">
        <f t="shared" si="53"/>
        <v>0</v>
      </c>
      <c r="H404" s="52" t="e">
        <f t="shared" si="56"/>
        <v>#DIV/0!</v>
      </c>
      <c r="I404" s="51">
        <f t="shared" si="57"/>
        <v>0</v>
      </c>
    </row>
    <row r="405" spans="1:9">
      <c r="A405" s="47">
        <v>392</v>
      </c>
      <c r="B405" s="50">
        <f t="shared" si="51"/>
        <v>0</v>
      </c>
      <c r="C405" s="51">
        <f t="shared" si="58"/>
        <v>0</v>
      </c>
      <c r="D405" s="51">
        <f t="shared" si="52"/>
        <v>0</v>
      </c>
      <c r="E405" s="51">
        <f t="shared" si="54"/>
        <v>0</v>
      </c>
      <c r="F405" s="51">
        <f t="shared" si="55"/>
        <v>0</v>
      </c>
      <c r="G405" s="51">
        <f t="shared" si="53"/>
        <v>0</v>
      </c>
      <c r="H405" s="52" t="e">
        <f t="shared" si="56"/>
        <v>#DIV/0!</v>
      </c>
      <c r="I405" s="51">
        <f t="shared" si="57"/>
        <v>0</v>
      </c>
    </row>
    <row r="406" spans="1:9">
      <c r="A406" s="47">
        <v>393</v>
      </c>
      <c r="B406" s="50">
        <f t="shared" si="51"/>
        <v>0</v>
      </c>
      <c r="C406" s="51">
        <f t="shared" si="58"/>
        <v>0</v>
      </c>
      <c r="D406" s="51">
        <f t="shared" si="52"/>
        <v>0</v>
      </c>
      <c r="E406" s="51">
        <f t="shared" si="54"/>
        <v>0</v>
      </c>
      <c r="F406" s="51">
        <f t="shared" si="55"/>
        <v>0</v>
      </c>
      <c r="G406" s="51">
        <f t="shared" si="53"/>
        <v>0</v>
      </c>
      <c r="H406" s="52" t="e">
        <f t="shared" si="56"/>
        <v>#DIV/0!</v>
      </c>
      <c r="I406" s="51">
        <f t="shared" si="57"/>
        <v>0</v>
      </c>
    </row>
    <row r="407" spans="1:9">
      <c r="A407" s="47">
        <v>394</v>
      </c>
      <c r="B407" s="50">
        <f t="shared" si="51"/>
        <v>0</v>
      </c>
      <c r="C407" s="51">
        <f t="shared" si="58"/>
        <v>0</v>
      </c>
      <c r="D407" s="51">
        <f t="shared" si="52"/>
        <v>0</v>
      </c>
      <c r="E407" s="51">
        <f t="shared" si="54"/>
        <v>0</v>
      </c>
      <c r="F407" s="51">
        <f t="shared" si="55"/>
        <v>0</v>
      </c>
      <c r="G407" s="51">
        <f t="shared" si="53"/>
        <v>0</v>
      </c>
      <c r="H407" s="52" t="e">
        <f t="shared" si="56"/>
        <v>#DIV/0!</v>
      </c>
      <c r="I407" s="51">
        <f t="shared" si="57"/>
        <v>0</v>
      </c>
    </row>
    <row r="408" spans="1:9">
      <c r="A408" s="47">
        <v>395</v>
      </c>
      <c r="B408" s="50">
        <f t="shared" si="51"/>
        <v>0</v>
      </c>
      <c r="C408" s="51">
        <f t="shared" si="58"/>
        <v>0</v>
      </c>
      <c r="D408" s="51">
        <f t="shared" si="52"/>
        <v>0</v>
      </c>
      <c r="E408" s="51">
        <f t="shared" si="54"/>
        <v>0</v>
      </c>
      <c r="F408" s="51">
        <f t="shared" si="55"/>
        <v>0</v>
      </c>
      <c r="G408" s="51">
        <f t="shared" si="53"/>
        <v>0</v>
      </c>
      <c r="H408" s="52" t="e">
        <f t="shared" si="56"/>
        <v>#DIV/0!</v>
      </c>
      <c r="I408" s="51">
        <f t="shared" si="57"/>
        <v>0</v>
      </c>
    </row>
    <row r="409" spans="1:9">
      <c r="A409" s="47">
        <v>396</v>
      </c>
      <c r="B409" s="50">
        <f t="shared" si="51"/>
        <v>0</v>
      </c>
      <c r="C409" s="51">
        <f t="shared" si="58"/>
        <v>0</v>
      </c>
      <c r="D409" s="51">
        <f t="shared" si="52"/>
        <v>0</v>
      </c>
      <c r="E409" s="51">
        <f t="shared" si="54"/>
        <v>0</v>
      </c>
      <c r="F409" s="51">
        <f t="shared" si="55"/>
        <v>0</v>
      </c>
      <c r="G409" s="51">
        <f t="shared" si="53"/>
        <v>0</v>
      </c>
      <c r="H409" s="52" t="e">
        <f t="shared" si="56"/>
        <v>#DIV/0!</v>
      </c>
      <c r="I409" s="51">
        <f t="shared" si="57"/>
        <v>0</v>
      </c>
    </row>
    <row r="410" spans="1:9">
      <c r="A410" s="47">
        <v>397</v>
      </c>
      <c r="B410" s="50">
        <f t="shared" si="51"/>
        <v>0</v>
      </c>
      <c r="C410" s="51">
        <f t="shared" si="58"/>
        <v>0</v>
      </c>
      <c r="D410" s="51">
        <f t="shared" si="52"/>
        <v>0</v>
      </c>
      <c r="E410" s="51">
        <f t="shared" si="54"/>
        <v>0</v>
      </c>
      <c r="F410" s="51">
        <f t="shared" si="55"/>
        <v>0</v>
      </c>
      <c r="G410" s="51">
        <f t="shared" si="53"/>
        <v>0</v>
      </c>
      <c r="H410" s="52" t="e">
        <f t="shared" si="56"/>
        <v>#DIV/0!</v>
      </c>
      <c r="I410" s="51">
        <f t="shared" si="57"/>
        <v>0</v>
      </c>
    </row>
    <row r="411" spans="1:9">
      <c r="A411" s="47">
        <v>398</v>
      </c>
      <c r="B411" s="50">
        <f t="shared" si="51"/>
        <v>0</v>
      </c>
      <c r="C411" s="51">
        <f t="shared" si="58"/>
        <v>0</v>
      </c>
      <c r="D411" s="51">
        <f t="shared" si="52"/>
        <v>0</v>
      </c>
      <c r="E411" s="51">
        <f t="shared" si="54"/>
        <v>0</v>
      </c>
      <c r="F411" s="51">
        <f t="shared" si="55"/>
        <v>0</v>
      </c>
      <c r="G411" s="51">
        <f t="shared" si="53"/>
        <v>0</v>
      </c>
      <c r="H411" s="52" t="e">
        <f t="shared" si="56"/>
        <v>#DIV/0!</v>
      </c>
      <c r="I411" s="51">
        <f t="shared" si="57"/>
        <v>0</v>
      </c>
    </row>
    <row r="412" spans="1:9">
      <c r="A412" s="47">
        <v>399</v>
      </c>
      <c r="B412" s="50">
        <f t="shared" si="51"/>
        <v>0</v>
      </c>
      <c r="C412" s="51">
        <f t="shared" si="58"/>
        <v>0</v>
      </c>
      <c r="D412" s="51">
        <f t="shared" si="52"/>
        <v>0</v>
      </c>
      <c r="E412" s="51">
        <f t="shared" si="54"/>
        <v>0</v>
      </c>
      <c r="F412" s="51">
        <f t="shared" si="55"/>
        <v>0</v>
      </c>
      <c r="G412" s="51">
        <f t="shared" si="53"/>
        <v>0</v>
      </c>
      <c r="H412" s="52" t="e">
        <f t="shared" si="56"/>
        <v>#DIV/0!</v>
      </c>
      <c r="I412" s="51">
        <f t="shared" si="57"/>
        <v>0</v>
      </c>
    </row>
    <row r="413" spans="1:9">
      <c r="A413" s="47">
        <v>400</v>
      </c>
      <c r="B413" s="50">
        <f t="shared" si="51"/>
        <v>0</v>
      </c>
      <c r="C413" s="51">
        <f t="shared" si="58"/>
        <v>0</v>
      </c>
      <c r="D413" s="51">
        <f t="shared" si="52"/>
        <v>0</v>
      </c>
      <c r="E413" s="51">
        <f t="shared" si="54"/>
        <v>0</v>
      </c>
      <c r="F413" s="51">
        <f t="shared" si="55"/>
        <v>0</v>
      </c>
      <c r="G413" s="51">
        <f t="shared" si="53"/>
        <v>0</v>
      </c>
      <c r="H413" s="52" t="e">
        <f t="shared" si="56"/>
        <v>#DIV/0!</v>
      </c>
      <c r="I413" s="51">
        <f t="shared" si="57"/>
        <v>0</v>
      </c>
    </row>
    <row r="414" spans="1:9">
      <c r="A414" s="47">
        <v>401</v>
      </c>
      <c r="B414" s="50">
        <f t="shared" si="51"/>
        <v>0</v>
      </c>
      <c r="C414" s="51">
        <f t="shared" si="58"/>
        <v>0</v>
      </c>
      <c r="D414" s="51">
        <f t="shared" si="52"/>
        <v>0</v>
      </c>
      <c r="E414" s="51">
        <f t="shared" si="54"/>
        <v>0</v>
      </c>
      <c r="F414" s="51">
        <f t="shared" si="55"/>
        <v>0</v>
      </c>
      <c r="G414" s="51">
        <f t="shared" si="53"/>
        <v>0</v>
      </c>
      <c r="H414" s="52" t="e">
        <f t="shared" si="56"/>
        <v>#DIV/0!</v>
      </c>
      <c r="I414" s="51">
        <f t="shared" si="57"/>
        <v>0</v>
      </c>
    </row>
    <row r="415" spans="1:9">
      <c r="A415" s="47">
        <v>402</v>
      </c>
      <c r="B415" s="50">
        <f t="shared" si="51"/>
        <v>0</v>
      </c>
      <c r="C415" s="51">
        <f t="shared" si="58"/>
        <v>0</v>
      </c>
      <c r="D415" s="51">
        <f t="shared" si="52"/>
        <v>0</v>
      </c>
      <c r="E415" s="51">
        <f t="shared" si="54"/>
        <v>0</v>
      </c>
      <c r="F415" s="51">
        <f t="shared" si="55"/>
        <v>0</v>
      </c>
      <c r="G415" s="51">
        <f t="shared" si="53"/>
        <v>0</v>
      </c>
      <c r="H415" s="52" t="e">
        <f t="shared" si="56"/>
        <v>#DIV/0!</v>
      </c>
      <c r="I415" s="51">
        <f t="shared" si="57"/>
        <v>0</v>
      </c>
    </row>
    <row r="416" spans="1:9">
      <c r="A416" s="47">
        <v>403</v>
      </c>
      <c r="B416" s="50">
        <f t="shared" si="51"/>
        <v>0</v>
      </c>
      <c r="C416" s="51">
        <f t="shared" si="58"/>
        <v>0</v>
      </c>
      <c r="D416" s="51">
        <f t="shared" si="52"/>
        <v>0</v>
      </c>
      <c r="E416" s="51">
        <f t="shared" si="54"/>
        <v>0</v>
      </c>
      <c r="F416" s="51">
        <f t="shared" si="55"/>
        <v>0</v>
      </c>
      <c r="G416" s="51">
        <f t="shared" si="53"/>
        <v>0</v>
      </c>
      <c r="H416" s="52" t="e">
        <f t="shared" si="56"/>
        <v>#DIV/0!</v>
      </c>
      <c r="I416" s="51">
        <f t="shared" si="57"/>
        <v>0</v>
      </c>
    </row>
    <row r="417" spans="1:9">
      <c r="A417" s="47">
        <v>404</v>
      </c>
      <c r="B417" s="50">
        <f t="shared" si="51"/>
        <v>0</v>
      </c>
      <c r="C417" s="51">
        <f t="shared" si="58"/>
        <v>0</v>
      </c>
      <c r="D417" s="51">
        <f t="shared" si="52"/>
        <v>0</v>
      </c>
      <c r="E417" s="51">
        <f t="shared" si="54"/>
        <v>0</v>
      </c>
      <c r="F417" s="51">
        <f t="shared" si="55"/>
        <v>0</v>
      </c>
      <c r="G417" s="51">
        <f t="shared" si="53"/>
        <v>0</v>
      </c>
      <c r="H417" s="52" t="e">
        <f t="shared" si="56"/>
        <v>#DIV/0!</v>
      </c>
      <c r="I417" s="51">
        <f t="shared" si="57"/>
        <v>0</v>
      </c>
    </row>
    <row r="418" spans="1:9">
      <c r="A418" s="47">
        <v>405</v>
      </c>
      <c r="B418" s="50">
        <f t="shared" si="51"/>
        <v>0</v>
      </c>
      <c r="C418" s="51">
        <f t="shared" si="58"/>
        <v>0</v>
      </c>
      <c r="D418" s="51">
        <f t="shared" si="52"/>
        <v>0</v>
      </c>
      <c r="E418" s="51">
        <f t="shared" si="54"/>
        <v>0</v>
      </c>
      <c r="F418" s="51">
        <f t="shared" si="55"/>
        <v>0</v>
      </c>
      <c r="G418" s="51">
        <f t="shared" si="53"/>
        <v>0</v>
      </c>
      <c r="H418" s="52" t="e">
        <f t="shared" si="56"/>
        <v>#DIV/0!</v>
      </c>
      <c r="I418" s="51">
        <f t="shared" si="57"/>
        <v>0</v>
      </c>
    </row>
    <row r="419" spans="1:9">
      <c r="A419" s="47">
        <v>406</v>
      </c>
      <c r="B419" s="50">
        <f t="shared" si="51"/>
        <v>0</v>
      </c>
      <c r="C419" s="51">
        <f t="shared" si="58"/>
        <v>0</v>
      </c>
      <c r="D419" s="51">
        <f t="shared" si="52"/>
        <v>0</v>
      </c>
      <c r="E419" s="51">
        <f t="shared" si="54"/>
        <v>0</v>
      </c>
      <c r="F419" s="51">
        <f t="shared" si="55"/>
        <v>0</v>
      </c>
      <c r="G419" s="51">
        <f t="shared" si="53"/>
        <v>0</v>
      </c>
      <c r="H419" s="52" t="e">
        <f t="shared" si="56"/>
        <v>#DIV/0!</v>
      </c>
      <c r="I419" s="51">
        <f t="shared" si="57"/>
        <v>0</v>
      </c>
    </row>
    <row r="420" spans="1:9">
      <c r="A420" s="47">
        <v>407</v>
      </c>
      <c r="B420" s="50">
        <f t="shared" si="51"/>
        <v>0</v>
      </c>
      <c r="C420" s="51">
        <f t="shared" si="58"/>
        <v>0</v>
      </c>
      <c r="D420" s="51">
        <f t="shared" si="52"/>
        <v>0</v>
      </c>
      <c r="E420" s="51">
        <f t="shared" si="54"/>
        <v>0</v>
      </c>
      <c r="F420" s="51">
        <f t="shared" si="55"/>
        <v>0</v>
      </c>
      <c r="G420" s="51">
        <f t="shared" si="53"/>
        <v>0</v>
      </c>
      <c r="H420" s="52" t="e">
        <f t="shared" si="56"/>
        <v>#DIV/0!</v>
      </c>
      <c r="I420" s="51">
        <f t="shared" si="57"/>
        <v>0</v>
      </c>
    </row>
    <row r="421" spans="1:9">
      <c r="A421" s="47">
        <v>408</v>
      </c>
      <c r="B421" s="50">
        <f t="shared" si="51"/>
        <v>0</v>
      </c>
      <c r="C421" s="51">
        <f t="shared" si="58"/>
        <v>0</v>
      </c>
      <c r="D421" s="51">
        <f t="shared" si="52"/>
        <v>0</v>
      </c>
      <c r="E421" s="51">
        <f t="shared" si="54"/>
        <v>0</v>
      </c>
      <c r="F421" s="51">
        <f t="shared" si="55"/>
        <v>0</v>
      </c>
      <c r="G421" s="51">
        <f t="shared" si="53"/>
        <v>0</v>
      </c>
      <c r="H421" s="52" t="e">
        <f t="shared" si="56"/>
        <v>#DIV/0!</v>
      </c>
      <c r="I421" s="51">
        <f t="shared" si="57"/>
        <v>0</v>
      </c>
    </row>
    <row r="422" spans="1:9">
      <c r="A422" s="47">
        <v>409</v>
      </c>
      <c r="B422" s="50">
        <f t="shared" si="51"/>
        <v>0</v>
      </c>
      <c r="C422" s="51">
        <f t="shared" si="58"/>
        <v>0</v>
      </c>
      <c r="D422" s="51">
        <f t="shared" si="52"/>
        <v>0</v>
      </c>
      <c r="E422" s="51">
        <f t="shared" si="54"/>
        <v>0</v>
      </c>
      <c r="F422" s="51">
        <f t="shared" si="55"/>
        <v>0</v>
      </c>
      <c r="G422" s="51">
        <f t="shared" si="53"/>
        <v>0</v>
      </c>
      <c r="H422" s="52" t="e">
        <f t="shared" si="56"/>
        <v>#DIV/0!</v>
      </c>
      <c r="I422" s="51">
        <f t="shared" si="57"/>
        <v>0</v>
      </c>
    </row>
    <row r="423" spans="1:9">
      <c r="A423" s="47">
        <v>410</v>
      </c>
      <c r="B423" s="50">
        <f t="shared" si="51"/>
        <v>0</v>
      </c>
      <c r="C423" s="51">
        <f t="shared" si="58"/>
        <v>0</v>
      </c>
      <c r="D423" s="51">
        <f t="shared" si="52"/>
        <v>0</v>
      </c>
      <c r="E423" s="51">
        <f t="shared" si="54"/>
        <v>0</v>
      </c>
      <c r="F423" s="51">
        <f t="shared" si="55"/>
        <v>0</v>
      </c>
      <c r="G423" s="51">
        <f t="shared" si="53"/>
        <v>0</v>
      </c>
      <c r="H423" s="52" t="e">
        <f t="shared" si="56"/>
        <v>#DIV/0!</v>
      </c>
      <c r="I423" s="51">
        <f t="shared" si="57"/>
        <v>0</v>
      </c>
    </row>
    <row r="424" spans="1:9">
      <c r="A424" s="47">
        <v>411</v>
      </c>
      <c r="B424" s="50">
        <f t="shared" si="51"/>
        <v>0</v>
      </c>
      <c r="C424" s="51">
        <f t="shared" si="58"/>
        <v>0</v>
      </c>
      <c r="D424" s="51">
        <f t="shared" si="52"/>
        <v>0</v>
      </c>
      <c r="E424" s="51">
        <f t="shared" si="54"/>
        <v>0</v>
      </c>
      <c r="F424" s="51">
        <f t="shared" si="55"/>
        <v>0</v>
      </c>
      <c r="G424" s="51">
        <f t="shared" si="53"/>
        <v>0</v>
      </c>
      <c r="H424" s="52" t="e">
        <f t="shared" si="56"/>
        <v>#DIV/0!</v>
      </c>
      <c r="I424" s="51">
        <f t="shared" si="57"/>
        <v>0</v>
      </c>
    </row>
    <row r="425" spans="1:9">
      <c r="A425" s="47">
        <v>412</v>
      </c>
      <c r="B425" s="50">
        <f t="shared" si="51"/>
        <v>0</v>
      </c>
      <c r="C425" s="51">
        <f t="shared" si="58"/>
        <v>0</v>
      </c>
      <c r="D425" s="51">
        <f t="shared" si="52"/>
        <v>0</v>
      </c>
      <c r="E425" s="51">
        <f t="shared" si="54"/>
        <v>0</v>
      </c>
      <c r="F425" s="51">
        <f t="shared" si="55"/>
        <v>0</v>
      </c>
      <c r="G425" s="51">
        <f t="shared" si="53"/>
        <v>0</v>
      </c>
      <c r="H425" s="52" t="e">
        <f t="shared" si="56"/>
        <v>#DIV/0!</v>
      </c>
      <c r="I425" s="51">
        <f t="shared" si="57"/>
        <v>0</v>
      </c>
    </row>
    <row r="426" spans="1:9">
      <c r="A426" s="47">
        <v>413</v>
      </c>
      <c r="B426" s="50">
        <f t="shared" si="51"/>
        <v>0</v>
      </c>
      <c r="C426" s="51">
        <f t="shared" si="58"/>
        <v>0</v>
      </c>
      <c r="D426" s="51">
        <f t="shared" si="52"/>
        <v>0</v>
      </c>
      <c r="E426" s="51">
        <f t="shared" si="54"/>
        <v>0</v>
      </c>
      <c r="F426" s="51">
        <f t="shared" si="55"/>
        <v>0</v>
      </c>
      <c r="G426" s="51">
        <f t="shared" si="53"/>
        <v>0</v>
      </c>
      <c r="H426" s="52" t="e">
        <f t="shared" si="56"/>
        <v>#DIV/0!</v>
      </c>
      <c r="I426" s="51">
        <f t="shared" si="57"/>
        <v>0</v>
      </c>
    </row>
    <row r="427" spans="1:9">
      <c r="A427" s="47">
        <v>414</v>
      </c>
      <c r="B427" s="50">
        <f t="shared" si="51"/>
        <v>0</v>
      </c>
      <c r="C427" s="51">
        <f t="shared" si="58"/>
        <v>0</v>
      </c>
      <c r="D427" s="51">
        <f t="shared" si="52"/>
        <v>0</v>
      </c>
      <c r="E427" s="51">
        <f t="shared" si="54"/>
        <v>0</v>
      </c>
      <c r="F427" s="51">
        <f t="shared" si="55"/>
        <v>0</v>
      </c>
      <c r="G427" s="51">
        <f t="shared" si="53"/>
        <v>0</v>
      </c>
      <c r="H427" s="52" t="e">
        <f t="shared" si="56"/>
        <v>#DIV/0!</v>
      </c>
      <c r="I427" s="51">
        <f t="shared" si="57"/>
        <v>0</v>
      </c>
    </row>
    <row r="428" spans="1:9">
      <c r="A428" s="47">
        <v>415</v>
      </c>
      <c r="B428" s="50">
        <f t="shared" si="51"/>
        <v>0</v>
      </c>
      <c r="C428" s="51">
        <f t="shared" si="58"/>
        <v>0</v>
      </c>
      <c r="D428" s="51">
        <f t="shared" si="52"/>
        <v>0</v>
      </c>
      <c r="E428" s="51">
        <f t="shared" si="54"/>
        <v>0</v>
      </c>
      <c r="F428" s="51">
        <f t="shared" si="55"/>
        <v>0</v>
      </c>
      <c r="G428" s="51">
        <f t="shared" si="53"/>
        <v>0</v>
      </c>
      <c r="H428" s="52" t="e">
        <f t="shared" si="56"/>
        <v>#DIV/0!</v>
      </c>
      <c r="I428" s="51">
        <f t="shared" si="57"/>
        <v>0</v>
      </c>
    </row>
    <row r="429" spans="1:9">
      <c r="A429" s="47">
        <v>416</v>
      </c>
      <c r="B429" s="50">
        <f t="shared" si="51"/>
        <v>0</v>
      </c>
      <c r="C429" s="51">
        <f t="shared" si="58"/>
        <v>0</v>
      </c>
      <c r="D429" s="51">
        <f t="shared" si="52"/>
        <v>0</v>
      </c>
      <c r="E429" s="51">
        <f t="shared" si="54"/>
        <v>0</v>
      </c>
      <c r="F429" s="51">
        <f t="shared" si="55"/>
        <v>0</v>
      </c>
      <c r="G429" s="51">
        <f t="shared" si="53"/>
        <v>0</v>
      </c>
      <c r="H429" s="52" t="e">
        <f t="shared" si="56"/>
        <v>#DIV/0!</v>
      </c>
      <c r="I429" s="51">
        <f t="shared" si="57"/>
        <v>0</v>
      </c>
    </row>
    <row r="430" spans="1:9">
      <c r="A430" s="47">
        <v>417</v>
      </c>
      <c r="B430" s="50">
        <f t="shared" si="51"/>
        <v>0</v>
      </c>
      <c r="C430" s="51">
        <f t="shared" si="58"/>
        <v>0</v>
      </c>
      <c r="D430" s="51">
        <f t="shared" si="52"/>
        <v>0</v>
      </c>
      <c r="E430" s="51">
        <f t="shared" si="54"/>
        <v>0</v>
      </c>
      <c r="F430" s="51">
        <f t="shared" si="55"/>
        <v>0</v>
      </c>
      <c r="G430" s="51">
        <f t="shared" si="53"/>
        <v>0</v>
      </c>
      <c r="H430" s="52" t="e">
        <f t="shared" si="56"/>
        <v>#DIV/0!</v>
      </c>
      <c r="I430" s="51">
        <f t="shared" si="57"/>
        <v>0</v>
      </c>
    </row>
    <row r="431" spans="1:9">
      <c r="A431" s="47">
        <v>418</v>
      </c>
      <c r="B431" s="50">
        <f t="shared" si="51"/>
        <v>0</v>
      </c>
      <c r="C431" s="51">
        <f t="shared" si="58"/>
        <v>0</v>
      </c>
      <c r="D431" s="51">
        <f t="shared" si="52"/>
        <v>0</v>
      </c>
      <c r="E431" s="51">
        <f t="shared" si="54"/>
        <v>0</v>
      </c>
      <c r="F431" s="51">
        <f t="shared" si="55"/>
        <v>0</v>
      </c>
      <c r="G431" s="51">
        <f t="shared" si="53"/>
        <v>0</v>
      </c>
      <c r="H431" s="52" t="e">
        <f t="shared" si="56"/>
        <v>#DIV/0!</v>
      </c>
      <c r="I431" s="51">
        <f t="shared" si="57"/>
        <v>0</v>
      </c>
    </row>
    <row r="432" spans="1:9">
      <c r="A432" s="47">
        <v>419</v>
      </c>
      <c r="B432" s="50">
        <f t="shared" si="51"/>
        <v>0</v>
      </c>
      <c r="C432" s="51">
        <f t="shared" si="58"/>
        <v>0</v>
      </c>
      <c r="D432" s="51">
        <f t="shared" si="52"/>
        <v>0</v>
      </c>
      <c r="E432" s="51">
        <f t="shared" si="54"/>
        <v>0</v>
      </c>
      <c r="F432" s="51">
        <f t="shared" si="55"/>
        <v>0</v>
      </c>
      <c r="G432" s="51">
        <f t="shared" si="53"/>
        <v>0</v>
      </c>
      <c r="H432" s="52" t="e">
        <f t="shared" si="56"/>
        <v>#DIV/0!</v>
      </c>
      <c r="I432" s="51">
        <f t="shared" si="57"/>
        <v>0</v>
      </c>
    </row>
    <row r="433" spans="1:9">
      <c r="A433" s="47">
        <v>420</v>
      </c>
      <c r="B433" s="50">
        <f t="shared" si="51"/>
        <v>0</v>
      </c>
      <c r="C433" s="51">
        <f t="shared" si="58"/>
        <v>0</v>
      </c>
      <c r="D433" s="51">
        <f t="shared" si="52"/>
        <v>0</v>
      </c>
      <c r="E433" s="51">
        <f t="shared" si="54"/>
        <v>0</v>
      </c>
      <c r="F433" s="51">
        <f t="shared" si="55"/>
        <v>0</v>
      </c>
      <c r="G433" s="51">
        <f t="shared" si="53"/>
        <v>0</v>
      </c>
      <c r="H433" s="52" t="e">
        <f t="shared" si="56"/>
        <v>#DIV/0!</v>
      </c>
      <c r="I433" s="51">
        <f t="shared" si="57"/>
        <v>0</v>
      </c>
    </row>
    <row r="434" spans="1:9">
      <c r="A434" s="47">
        <v>421</v>
      </c>
      <c r="B434" s="50">
        <f t="shared" si="51"/>
        <v>0</v>
      </c>
      <c r="C434" s="51">
        <f t="shared" si="58"/>
        <v>0</v>
      </c>
      <c r="D434" s="51">
        <f t="shared" si="52"/>
        <v>0</v>
      </c>
      <c r="E434" s="51">
        <f t="shared" si="54"/>
        <v>0</v>
      </c>
      <c r="F434" s="51">
        <f t="shared" si="55"/>
        <v>0</v>
      </c>
      <c r="G434" s="51">
        <f t="shared" si="53"/>
        <v>0</v>
      </c>
      <c r="H434" s="52" t="e">
        <f t="shared" si="56"/>
        <v>#DIV/0!</v>
      </c>
      <c r="I434" s="51">
        <f t="shared" si="57"/>
        <v>0</v>
      </c>
    </row>
    <row r="435" spans="1:9">
      <c r="A435" s="47">
        <v>422</v>
      </c>
      <c r="B435" s="50">
        <f t="shared" ref="B435:B493" si="59">$C$6</f>
        <v>0</v>
      </c>
      <c r="C435" s="51">
        <f t="shared" si="58"/>
        <v>0</v>
      </c>
      <c r="D435" s="51">
        <f t="shared" si="52"/>
        <v>0</v>
      </c>
      <c r="E435" s="51">
        <f t="shared" si="54"/>
        <v>0</v>
      </c>
      <c r="F435" s="51">
        <f t="shared" si="55"/>
        <v>0</v>
      </c>
      <c r="G435" s="51">
        <f t="shared" si="53"/>
        <v>0</v>
      </c>
      <c r="H435" s="52" t="e">
        <f t="shared" si="56"/>
        <v>#DIV/0!</v>
      </c>
      <c r="I435" s="51">
        <f t="shared" si="57"/>
        <v>0</v>
      </c>
    </row>
    <row r="436" spans="1:9">
      <c r="A436" s="47">
        <v>423</v>
      </c>
      <c r="B436" s="50">
        <f t="shared" si="59"/>
        <v>0</v>
      </c>
      <c r="C436" s="51">
        <f t="shared" si="58"/>
        <v>0</v>
      </c>
      <c r="D436" s="51">
        <f t="shared" si="52"/>
        <v>0</v>
      </c>
      <c r="E436" s="51">
        <f t="shared" si="54"/>
        <v>0</v>
      </c>
      <c r="F436" s="51">
        <f t="shared" si="55"/>
        <v>0</v>
      </c>
      <c r="G436" s="51">
        <f t="shared" si="53"/>
        <v>0</v>
      </c>
      <c r="H436" s="52" t="e">
        <f t="shared" si="56"/>
        <v>#DIV/0!</v>
      </c>
      <c r="I436" s="51">
        <f t="shared" si="57"/>
        <v>0</v>
      </c>
    </row>
    <row r="437" spans="1:9">
      <c r="A437" s="47">
        <v>424</v>
      </c>
      <c r="B437" s="50">
        <f t="shared" si="59"/>
        <v>0</v>
      </c>
      <c r="C437" s="51">
        <f t="shared" si="58"/>
        <v>0</v>
      </c>
      <c r="D437" s="51">
        <f t="shared" si="52"/>
        <v>0</v>
      </c>
      <c r="E437" s="51">
        <f t="shared" si="54"/>
        <v>0</v>
      </c>
      <c r="F437" s="51">
        <f t="shared" si="55"/>
        <v>0</v>
      </c>
      <c r="G437" s="51">
        <f t="shared" si="53"/>
        <v>0</v>
      </c>
      <c r="H437" s="52" t="e">
        <f t="shared" si="56"/>
        <v>#DIV/0!</v>
      </c>
      <c r="I437" s="51">
        <f t="shared" si="57"/>
        <v>0</v>
      </c>
    </row>
    <row r="438" spans="1:9">
      <c r="A438" s="47">
        <v>425</v>
      </c>
      <c r="B438" s="50">
        <f t="shared" si="59"/>
        <v>0</v>
      </c>
      <c r="C438" s="51">
        <f t="shared" si="58"/>
        <v>0</v>
      </c>
      <c r="D438" s="51">
        <f t="shared" si="52"/>
        <v>0</v>
      </c>
      <c r="E438" s="51">
        <f t="shared" si="54"/>
        <v>0</v>
      </c>
      <c r="F438" s="51">
        <f t="shared" si="55"/>
        <v>0</v>
      </c>
      <c r="G438" s="51">
        <f t="shared" si="53"/>
        <v>0</v>
      </c>
      <c r="H438" s="52" t="e">
        <f t="shared" si="56"/>
        <v>#DIV/0!</v>
      </c>
      <c r="I438" s="51">
        <f t="shared" si="57"/>
        <v>0</v>
      </c>
    </row>
    <row r="439" spans="1:9">
      <c r="A439" s="47">
        <v>426</v>
      </c>
      <c r="B439" s="50">
        <f t="shared" si="59"/>
        <v>0</v>
      </c>
      <c r="C439" s="51">
        <f t="shared" si="58"/>
        <v>0</v>
      </c>
      <c r="D439" s="51">
        <f t="shared" si="52"/>
        <v>0</v>
      </c>
      <c r="E439" s="51">
        <f t="shared" si="54"/>
        <v>0</v>
      </c>
      <c r="F439" s="51">
        <f t="shared" si="55"/>
        <v>0</v>
      </c>
      <c r="G439" s="51">
        <f t="shared" si="53"/>
        <v>0</v>
      </c>
      <c r="H439" s="52" t="e">
        <f t="shared" si="56"/>
        <v>#DIV/0!</v>
      </c>
      <c r="I439" s="51">
        <f t="shared" si="57"/>
        <v>0</v>
      </c>
    </row>
    <row r="440" spans="1:9">
      <c r="A440" s="47">
        <v>427</v>
      </c>
      <c r="B440" s="50">
        <f t="shared" si="59"/>
        <v>0</v>
      </c>
      <c r="C440" s="51">
        <f t="shared" si="58"/>
        <v>0</v>
      </c>
      <c r="D440" s="51">
        <f t="shared" si="52"/>
        <v>0</v>
      </c>
      <c r="E440" s="51">
        <f t="shared" si="54"/>
        <v>0</v>
      </c>
      <c r="F440" s="51">
        <f t="shared" si="55"/>
        <v>0</v>
      </c>
      <c r="G440" s="51">
        <f t="shared" si="53"/>
        <v>0</v>
      </c>
      <c r="H440" s="52" t="e">
        <f t="shared" si="56"/>
        <v>#DIV/0!</v>
      </c>
      <c r="I440" s="51">
        <f t="shared" si="57"/>
        <v>0</v>
      </c>
    </row>
    <row r="441" spans="1:9">
      <c r="A441" s="47">
        <v>428</v>
      </c>
      <c r="B441" s="50">
        <f t="shared" si="59"/>
        <v>0</v>
      </c>
      <c r="C441" s="51">
        <f t="shared" si="58"/>
        <v>0</v>
      </c>
      <c r="D441" s="51">
        <f t="shared" si="52"/>
        <v>0</v>
      </c>
      <c r="E441" s="51">
        <f t="shared" si="54"/>
        <v>0</v>
      </c>
      <c r="F441" s="51">
        <f t="shared" si="55"/>
        <v>0</v>
      </c>
      <c r="G441" s="51">
        <f t="shared" si="53"/>
        <v>0</v>
      </c>
      <c r="H441" s="52" t="e">
        <f t="shared" si="56"/>
        <v>#DIV/0!</v>
      </c>
      <c r="I441" s="51">
        <f t="shared" si="57"/>
        <v>0</v>
      </c>
    </row>
    <row r="442" spans="1:9">
      <c r="A442" s="47">
        <v>429</v>
      </c>
      <c r="B442" s="50">
        <f t="shared" si="59"/>
        <v>0</v>
      </c>
      <c r="C442" s="51">
        <f t="shared" si="58"/>
        <v>0</v>
      </c>
      <c r="D442" s="51">
        <f t="shared" si="52"/>
        <v>0</v>
      </c>
      <c r="E442" s="51">
        <f t="shared" si="54"/>
        <v>0</v>
      </c>
      <c r="F442" s="51">
        <f t="shared" si="55"/>
        <v>0</v>
      </c>
      <c r="G442" s="51">
        <f t="shared" si="53"/>
        <v>0</v>
      </c>
      <c r="H442" s="52" t="e">
        <f t="shared" si="56"/>
        <v>#DIV/0!</v>
      </c>
      <c r="I442" s="51">
        <f t="shared" si="57"/>
        <v>0</v>
      </c>
    </row>
    <row r="443" spans="1:9">
      <c r="A443" s="47">
        <v>430</v>
      </c>
      <c r="B443" s="50">
        <f t="shared" si="59"/>
        <v>0</v>
      </c>
      <c r="C443" s="51">
        <f t="shared" si="58"/>
        <v>0</v>
      </c>
      <c r="D443" s="51">
        <f t="shared" si="52"/>
        <v>0</v>
      </c>
      <c r="E443" s="51">
        <f t="shared" si="54"/>
        <v>0</v>
      </c>
      <c r="F443" s="51">
        <f t="shared" si="55"/>
        <v>0</v>
      </c>
      <c r="G443" s="51">
        <f t="shared" si="53"/>
        <v>0</v>
      </c>
      <c r="H443" s="52" t="e">
        <f t="shared" si="56"/>
        <v>#DIV/0!</v>
      </c>
      <c r="I443" s="51">
        <f t="shared" si="57"/>
        <v>0</v>
      </c>
    </row>
    <row r="444" spans="1:9">
      <c r="A444" s="47">
        <v>431</v>
      </c>
      <c r="B444" s="50">
        <f t="shared" si="59"/>
        <v>0</v>
      </c>
      <c r="C444" s="51">
        <f t="shared" si="58"/>
        <v>0</v>
      </c>
      <c r="D444" s="51">
        <f t="shared" si="52"/>
        <v>0</v>
      </c>
      <c r="E444" s="51">
        <f t="shared" si="54"/>
        <v>0</v>
      </c>
      <c r="F444" s="51">
        <f t="shared" si="55"/>
        <v>0</v>
      </c>
      <c r="G444" s="51">
        <f t="shared" si="53"/>
        <v>0</v>
      </c>
      <c r="H444" s="52" t="e">
        <f t="shared" si="56"/>
        <v>#DIV/0!</v>
      </c>
      <c r="I444" s="51">
        <f t="shared" si="57"/>
        <v>0</v>
      </c>
    </row>
    <row r="445" spans="1:9">
      <c r="A445" s="47">
        <v>432</v>
      </c>
      <c r="B445" s="50">
        <f t="shared" si="59"/>
        <v>0</v>
      </c>
      <c r="C445" s="51">
        <f t="shared" si="58"/>
        <v>0</v>
      </c>
      <c r="D445" s="51">
        <f t="shared" si="52"/>
        <v>0</v>
      </c>
      <c r="E445" s="51">
        <f t="shared" si="54"/>
        <v>0</v>
      </c>
      <c r="F445" s="51">
        <f t="shared" si="55"/>
        <v>0</v>
      </c>
      <c r="G445" s="51">
        <f t="shared" si="53"/>
        <v>0</v>
      </c>
      <c r="H445" s="52" t="e">
        <f t="shared" si="56"/>
        <v>#DIV/0!</v>
      </c>
      <c r="I445" s="51">
        <f t="shared" si="57"/>
        <v>0</v>
      </c>
    </row>
    <row r="446" spans="1:9">
      <c r="A446" s="47">
        <v>433</v>
      </c>
      <c r="B446" s="50">
        <f t="shared" si="59"/>
        <v>0</v>
      </c>
      <c r="C446" s="51">
        <f t="shared" si="58"/>
        <v>0</v>
      </c>
      <c r="D446" s="51">
        <f t="shared" si="52"/>
        <v>0</v>
      </c>
      <c r="E446" s="51">
        <f t="shared" si="54"/>
        <v>0</v>
      </c>
      <c r="F446" s="51">
        <f t="shared" si="55"/>
        <v>0</v>
      </c>
      <c r="G446" s="51">
        <f t="shared" si="53"/>
        <v>0</v>
      </c>
      <c r="H446" s="52" t="e">
        <f t="shared" si="56"/>
        <v>#DIV/0!</v>
      </c>
      <c r="I446" s="51">
        <f t="shared" si="57"/>
        <v>0</v>
      </c>
    </row>
    <row r="447" spans="1:9">
      <c r="A447" s="47">
        <v>434</v>
      </c>
      <c r="B447" s="50">
        <f t="shared" si="59"/>
        <v>0</v>
      </c>
      <c r="C447" s="51">
        <f t="shared" si="58"/>
        <v>0</v>
      </c>
      <c r="D447" s="51">
        <f t="shared" si="52"/>
        <v>0</v>
      </c>
      <c r="E447" s="51">
        <f t="shared" si="54"/>
        <v>0</v>
      </c>
      <c r="F447" s="51">
        <f t="shared" si="55"/>
        <v>0</v>
      </c>
      <c r="G447" s="51">
        <f t="shared" si="53"/>
        <v>0</v>
      </c>
      <c r="H447" s="52" t="e">
        <f t="shared" si="56"/>
        <v>#DIV/0!</v>
      </c>
      <c r="I447" s="51">
        <f t="shared" si="57"/>
        <v>0</v>
      </c>
    </row>
    <row r="448" spans="1:9">
      <c r="A448" s="47">
        <v>435</v>
      </c>
      <c r="B448" s="50">
        <f t="shared" si="59"/>
        <v>0</v>
      </c>
      <c r="C448" s="51">
        <f t="shared" si="58"/>
        <v>0</v>
      </c>
      <c r="D448" s="51">
        <f t="shared" si="52"/>
        <v>0</v>
      </c>
      <c r="E448" s="51">
        <f t="shared" si="54"/>
        <v>0</v>
      </c>
      <c r="F448" s="51">
        <f t="shared" si="55"/>
        <v>0</v>
      </c>
      <c r="G448" s="51">
        <f t="shared" si="53"/>
        <v>0</v>
      </c>
      <c r="H448" s="52" t="e">
        <f t="shared" si="56"/>
        <v>#DIV/0!</v>
      </c>
      <c r="I448" s="51">
        <f t="shared" si="57"/>
        <v>0</v>
      </c>
    </row>
    <row r="449" spans="1:9">
      <c r="A449" s="47">
        <v>436</v>
      </c>
      <c r="B449" s="50">
        <f t="shared" si="59"/>
        <v>0</v>
      </c>
      <c r="C449" s="51">
        <f t="shared" si="58"/>
        <v>0</v>
      </c>
      <c r="D449" s="51">
        <f t="shared" si="52"/>
        <v>0</v>
      </c>
      <c r="E449" s="51">
        <f t="shared" si="54"/>
        <v>0</v>
      </c>
      <c r="F449" s="51">
        <f t="shared" si="55"/>
        <v>0</v>
      </c>
      <c r="G449" s="51">
        <f t="shared" si="53"/>
        <v>0</v>
      </c>
      <c r="H449" s="52" t="e">
        <f t="shared" si="56"/>
        <v>#DIV/0!</v>
      </c>
      <c r="I449" s="51">
        <f t="shared" si="57"/>
        <v>0</v>
      </c>
    </row>
    <row r="450" spans="1:9">
      <c r="A450" s="47">
        <v>437</v>
      </c>
      <c r="B450" s="50">
        <f t="shared" si="59"/>
        <v>0</v>
      </c>
      <c r="C450" s="51">
        <f t="shared" si="58"/>
        <v>0</v>
      </c>
      <c r="D450" s="51">
        <f t="shared" si="52"/>
        <v>0</v>
      </c>
      <c r="E450" s="51">
        <f t="shared" si="54"/>
        <v>0</v>
      </c>
      <c r="F450" s="51">
        <f t="shared" si="55"/>
        <v>0</v>
      </c>
      <c r="G450" s="51">
        <f t="shared" si="53"/>
        <v>0</v>
      </c>
      <c r="H450" s="52" t="e">
        <f t="shared" si="56"/>
        <v>#DIV/0!</v>
      </c>
      <c r="I450" s="51">
        <f t="shared" si="57"/>
        <v>0</v>
      </c>
    </row>
    <row r="451" spans="1:9">
      <c r="A451" s="47">
        <v>438</v>
      </c>
      <c r="B451" s="50">
        <f t="shared" si="59"/>
        <v>0</v>
      </c>
      <c r="C451" s="51">
        <f t="shared" si="58"/>
        <v>0</v>
      </c>
      <c r="D451" s="51">
        <f t="shared" si="52"/>
        <v>0</v>
      </c>
      <c r="E451" s="51">
        <f t="shared" si="54"/>
        <v>0</v>
      </c>
      <c r="F451" s="51">
        <f t="shared" si="55"/>
        <v>0</v>
      </c>
      <c r="G451" s="51">
        <f t="shared" si="53"/>
        <v>0</v>
      </c>
      <c r="H451" s="52" t="e">
        <f t="shared" si="56"/>
        <v>#DIV/0!</v>
      </c>
      <c r="I451" s="51">
        <f t="shared" si="57"/>
        <v>0</v>
      </c>
    </row>
    <row r="452" spans="1:9">
      <c r="A452" s="47">
        <v>439</v>
      </c>
      <c r="B452" s="50">
        <f t="shared" si="59"/>
        <v>0</v>
      </c>
      <c r="C452" s="51">
        <f t="shared" si="58"/>
        <v>0</v>
      </c>
      <c r="D452" s="51">
        <f t="shared" si="52"/>
        <v>0</v>
      </c>
      <c r="E452" s="51">
        <f t="shared" si="54"/>
        <v>0</v>
      </c>
      <c r="F452" s="51">
        <f t="shared" si="55"/>
        <v>0</v>
      </c>
      <c r="G452" s="51">
        <f t="shared" si="53"/>
        <v>0</v>
      </c>
      <c r="H452" s="52" t="e">
        <f t="shared" si="56"/>
        <v>#DIV/0!</v>
      </c>
      <c r="I452" s="51">
        <f t="shared" si="57"/>
        <v>0</v>
      </c>
    </row>
    <row r="453" spans="1:9">
      <c r="A453" s="47">
        <v>440</v>
      </c>
      <c r="B453" s="50">
        <f t="shared" si="59"/>
        <v>0</v>
      </c>
      <c r="C453" s="51">
        <f t="shared" si="58"/>
        <v>0</v>
      </c>
      <c r="D453" s="51">
        <f t="shared" si="52"/>
        <v>0</v>
      </c>
      <c r="E453" s="51">
        <f t="shared" si="54"/>
        <v>0</v>
      </c>
      <c r="F453" s="51">
        <f t="shared" si="55"/>
        <v>0</v>
      </c>
      <c r="G453" s="51">
        <f t="shared" si="53"/>
        <v>0</v>
      </c>
      <c r="H453" s="52" t="e">
        <f t="shared" si="56"/>
        <v>#DIV/0!</v>
      </c>
      <c r="I453" s="51">
        <f t="shared" si="57"/>
        <v>0</v>
      </c>
    </row>
    <row r="454" spans="1:9">
      <c r="A454" s="47">
        <v>441</v>
      </c>
      <c r="B454" s="50">
        <f t="shared" si="59"/>
        <v>0</v>
      </c>
      <c r="C454" s="51">
        <f t="shared" si="58"/>
        <v>0</v>
      </c>
      <c r="D454" s="51">
        <f t="shared" si="52"/>
        <v>0</v>
      </c>
      <c r="E454" s="51">
        <f t="shared" si="54"/>
        <v>0</v>
      </c>
      <c r="F454" s="51">
        <f t="shared" si="55"/>
        <v>0</v>
      </c>
      <c r="G454" s="51">
        <f t="shared" si="53"/>
        <v>0</v>
      </c>
      <c r="H454" s="52" t="e">
        <f t="shared" si="56"/>
        <v>#DIV/0!</v>
      </c>
      <c r="I454" s="51">
        <f t="shared" si="57"/>
        <v>0</v>
      </c>
    </row>
    <row r="455" spans="1:9">
      <c r="A455" s="47">
        <v>442</v>
      </c>
      <c r="B455" s="50">
        <f t="shared" si="59"/>
        <v>0</v>
      </c>
      <c r="C455" s="51">
        <f t="shared" si="58"/>
        <v>0</v>
      </c>
      <c r="D455" s="51">
        <f t="shared" si="52"/>
        <v>0</v>
      </c>
      <c r="E455" s="51">
        <f t="shared" si="54"/>
        <v>0</v>
      </c>
      <c r="F455" s="51">
        <f t="shared" si="55"/>
        <v>0</v>
      </c>
      <c r="G455" s="51">
        <f t="shared" si="53"/>
        <v>0</v>
      </c>
      <c r="H455" s="52" t="e">
        <f t="shared" si="56"/>
        <v>#DIV/0!</v>
      </c>
      <c r="I455" s="51">
        <f t="shared" si="57"/>
        <v>0</v>
      </c>
    </row>
    <row r="456" spans="1:9">
      <c r="A456" s="47">
        <v>443</v>
      </c>
      <c r="B456" s="50">
        <f t="shared" si="59"/>
        <v>0</v>
      </c>
      <c r="C456" s="51">
        <f t="shared" si="58"/>
        <v>0</v>
      </c>
      <c r="D456" s="51">
        <f t="shared" si="52"/>
        <v>0</v>
      </c>
      <c r="E456" s="51">
        <f t="shared" si="54"/>
        <v>0</v>
      </c>
      <c r="F456" s="51">
        <f t="shared" si="55"/>
        <v>0</v>
      </c>
      <c r="G456" s="51">
        <f t="shared" si="53"/>
        <v>0</v>
      </c>
      <c r="H456" s="52" t="e">
        <f t="shared" si="56"/>
        <v>#DIV/0!</v>
      </c>
      <c r="I456" s="51">
        <f t="shared" si="57"/>
        <v>0</v>
      </c>
    </row>
    <row r="457" spans="1:9">
      <c r="A457" s="47">
        <v>444</v>
      </c>
      <c r="B457" s="50">
        <f t="shared" si="59"/>
        <v>0</v>
      </c>
      <c r="C457" s="51">
        <f t="shared" si="58"/>
        <v>0</v>
      </c>
      <c r="D457" s="51">
        <f t="shared" si="52"/>
        <v>0</v>
      </c>
      <c r="E457" s="51">
        <f t="shared" si="54"/>
        <v>0</v>
      </c>
      <c r="F457" s="51">
        <f t="shared" si="55"/>
        <v>0</v>
      </c>
      <c r="G457" s="51">
        <f t="shared" si="53"/>
        <v>0</v>
      </c>
      <c r="H457" s="52" t="e">
        <f t="shared" si="56"/>
        <v>#DIV/0!</v>
      </c>
      <c r="I457" s="51">
        <f t="shared" si="57"/>
        <v>0</v>
      </c>
    </row>
    <row r="458" spans="1:9">
      <c r="A458" s="47">
        <v>445</v>
      </c>
      <c r="B458" s="50">
        <f t="shared" si="59"/>
        <v>0</v>
      </c>
      <c r="C458" s="51">
        <f t="shared" si="58"/>
        <v>0</v>
      </c>
      <c r="D458" s="51">
        <f t="shared" si="52"/>
        <v>0</v>
      </c>
      <c r="E458" s="51">
        <f t="shared" si="54"/>
        <v>0</v>
      </c>
      <c r="F458" s="51">
        <f t="shared" si="55"/>
        <v>0</v>
      </c>
      <c r="G458" s="51">
        <f t="shared" si="53"/>
        <v>0</v>
      </c>
      <c r="H458" s="52" t="e">
        <f t="shared" si="56"/>
        <v>#DIV/0!</v>
      </c>
      <c r="I458" s="51">
        <f t="shared" si="57"/>
        <v>0</v>
      </c>
    </row>
    <row r="459" spans="1:9">
      <c r="A459" s="47">
        <v>446</v>
      </c>
      <c r="B459" s="50">
        <f t="shared" si="59"/>
        <v>0</v>
      </c>
      <c r="C459" s="51">
        <f t="shared" si="58"/>
        <v>0</v>
      </c>
      <c r="D459" s="51">
        <f t="shared" si="52"/>
        <v>0</v>
      </c>
      <c r="E459" s="51">
        <f t="shared" si="54"/>
        <v>0</v>
      </c>
      <c r="F459" s="51">
        <f t="shared" si="55"/>
        <v>0</v>
      </c>
      <c r="G459" s="51">
        <f t="shared" si="53"/>
        <v>0</v>
      </c>
      <c r="H459" s="52" t="e">
        <f t="shared" si="56"/>
        <v>#DIV/0!</v>
      </c>
      <c r="I459" s="51">
        <f t="shared" si="57"/>
        <v>0</v>
      </c>
    </row>
    <row r="460" spans="1:9">
      <c r="A460" s="47">
        <v>447</v>
      </c>
      <c r="B460" s="50">
        <f t="shared" si="59"/>
        <v>0</v>
      </c>
      <c r="C460" s="51">
        <f t="shared" si="58"/>
        <v>0</v>
      </c>
      <c r="D460" s="51">
        <f t="shared" si="52"/>
        <v>0</v>
      </c>
      <c r="E460" s="51">
        <f t="shared" si="54"/>
        <v>0</v>
      </c>
      <c r="F460" s="51">
        <f t="shared" si="55"/>
        <v>0</v>
      </c>
      <c r="G460" s="51">
        <f t="shared" si="53"/>
        <v>0</v>
      </c>
      <c r="H460" s="52" t="e">
        <f t="shared" si="56"/>
        <v>#DIV/0!</v>
      </c>
      <c r="I460" s="51">
        <f t="shared" si="57"/>
        <v>0</v>
      </c>
    </row>
    <row r="461" spans="1:9">
      <c r="A461" s="47">
        <v>448</v>
      </c>
      <c r="B461" s="50">
        <f t="shared" si="59"/>
        <v>0</v>
      </c>
      <c r="C461" s="51">
        <f t="shared" si="58"/>
        <v>0</v>
      </c>
      <c r="D461" s="51">
        <f t="shared" si="52"/>
        <v>0</v>
      </c>
      <c r="E461" s="51">
        <f t="shared" si="54"/>
        <v>0</v>
      </c>
      <c r="F461" s="51">
        <f t="shared" si="55"/>
        <v>0</v>
      </c>
      <c r="G461" s="51">
        <f t="shared" si="53"/>
        <v>0</v>
      </c>
      <c r="H461" s="52" t="e">
        <f t="shared" si="56"/>
        <v>#DIV/0!</v>
      </c>
      <c r="I461" s="51">
        <f t="shared" si="57"/>
        <v>0</v>
      </c>
    </row>
    <row r="462" spans="1:9">
      <c r="A462" s="47">
        <v>449</v>
      </c>
      <c r="B462" s="50">
        <f t="shared" si="59"/>
        <v>0</v>
      </c>
      <c r="C462" s="51">
        <f t="shared" si="58"/>
        <v>0</v>
      </c>
      <c r="D462" s="51">
        <f t="shared" ref="D462:D493" si="60">IF(C462+E462&gt;$C$10,$C$10,C462+E462)</f>
        <v>0</v>
      </c>
      <c r="E462" s="51">
        <f t="shared" si="54"/>
        <v>0</v>
      </c>
      <c r="F462" s="51">
        <f t="shared" si="55"/>
        <v>0</v>
      </c>
      <c r="G462" s="51">
        <f t="shared" ref="G462:G493" si="61">C462-F462</f>
        <v>0</v>
      </c>
      <c r="H462" s="52" t="e">
        <f t="shared" si="56"/>
        <v>#DIV/0!</v>
      </c>
      <c r="I462" s="51">
        <f t="shared" si="57"/>
        <v>0</v>
      </c>
    </row>
    <row r="463" spans="1:9">
      <c r="A463" s="47">
        <v>450</v>
      </c>
      <c r="B463" s="50">
        <f t="shared" si="59"/>
        <v>0</v>
      </c>
      <c r="C463" s="51">
        <f t="shared" si="58"/>
        <v>0</v>
      </c>
      <c r="D463" s="51">
        <f t="shared" si="60"/>
        <v>0</v>
      </c>
      <c r="E463" s="51">
        <f t="shared" ref="E463:E493" si="62">C463*(B463/12)</f>
        <v>0</v>
      </c>
      <c r="F463" s="51">
        <f t="shared" ref="F463:F493" si="63">IF(C463&lt;$C$10,C463,D463-E463)</f>
        <v>0</v>
      </c>
      <c r="G463" s="51">
        <f t="shared" si="61"/>
        <v>0</v>
      </c>
      <c r="H463" s="52" t="e">
        <f t="shared" ref="H463:H493" si="64">G463/$C$1</f>
        <v>#DIV/0!</v>
      </c>
      <c r="I463" s="51">
        <f t="shared" ref="I463:I493" si="65">C463*$I$10/12</f>
        <v>0</v>
      </c>
    </row>
    <row r="464" spans="1:9">
      <c r="A464" s="47">
        <v>451</v>
      </c>
      <c r="B464" s="50">
        <f t="shared" si="59"/>
        <v>0</v>
      </c>
      <c r="C464" s="51">
        <f t="shared" ref="C464:C493" si="66">G463</f>
        <v>0</v>
      </c>
      <c r="D464" s="51">
        <f t="shared" si="60"/>
        <v>0</v>
      </c>
      <c r="E464" s="51">
        <f t="shared" si="62"/>
        <v>0</v>
      </c>
      <c r="F464" s="51">
        <f t="shared" si="63"/>
        <v>0</v>
      </c>
      <c r="G464" s="51">
        <f t="shared" si="61"/>
        <v>0</v>
      </c>
      <c r="H464" s="52" t="e">
        <f t="shared" si="64"/>
        <v>#DIV/0!</v>
      </c>
      <c r="I464" s="51">
        <f t="shared" si="65"/>
        <v>0</v>
      </c>
    </row>
    <row r="465" spans="1:9">
      <c r="A465" s="47">
        <v>452</v>
      </c>
      <c r="B465" s="50">
        <f t="shared" si="59"/>
        <v>0</v>
      </c>
      <c r="C465" s="51">
        <f t="shared" si="66"/>
        <v>0</v>
      </c>
      <c r="D465" s="51">
        <f t="shared" si="60"/>
        <v>0</v>
      </c>
      <c r="E465" s="51">
        <f t="shared" si="62"/>
        <v>0</v>
      </c>
      <c r="F465" s="51">
        <f t="shared" si="63"/>
        <v>0</v>
      </c>
      <c r="G465" s="51">
        <f t="shared" si="61"/>
        <v>0</v>
      </c>
      <c r="H465" s="52" t="e">
        <f t="shared" si="64"/>
        <v>#DIV/0!</v>
      </c>
      <c r="I465" s="51">
        <f t="shared" si="65"/>
        <v>0</v>
      </c>
    </row>
    <row r="466" spans="1:9">
      <c r="A466" s="47">
        <v>453</v>
      </c>
      <c r="B466" s="50">
        <f t="shared" si="59"/>
        <v>0</v>
      </c>
      <c r="C466" s="51">
        <f t="shared" si="66"/>
        <v>0</v>
      </c>
      <c r="D466" s="51">
        <f t="shared" si="60"/>
        <v>0</v>
      </c>
      <c r="E466" s="51">
        <f t="shared" si="62"/>
        <v>0</v>
      </c>
      <c r="F466" s="51">
        <f t="shared" si="63"/>
        <v>0</v>
      </c>
      <c r="G466" s="51">
        <f t="shared" si="61"/>
        <v>0</v>
      </c>
      <c r="H466" s="52" t="e">
        <f t="shared" si="64"/>
        <v>#DIV/0!</v>
      </c>
      <c r="I466" s="51">
        <f t="shared" si="65"/>
        <v>0</v>
      </c>
    </row>
    <row r="467" spans="1:9">
      <c r="A467" s="47">
        <v>454</v>
      </c>
      <c r="B467" s="50">
        <f t="shared" si="59"/>
        <v>0</v>
      </c>
      <c r="C467" s="51">
        <f t="shared" si="66"/>
        <v>0</v>
      </c>
      <c r="D467" s="51">
        <f t="shared" si="60"/>
        <v>0</v>
      </c>
      <c r="E467" s="51">
        <f t="shared" si="62"/>
        <v>0</v>
      </c>
      <c r="F467" s="51">
        <f t="shared" si="63"/>
        <v>0</v>
      </c>
      <c r="G467" s="51">
        <f t="shared" si="61"/>
        <v>0</v>
      </c>
      <c r="H467" s="52" t="e">
        <f t="shared" si="64"/>
        <v>#DIV/0!</v>
      </c>
      <c r="I467" s="51">
        <f t="shared" si="65"/>
        <v>0</v>
      </c>
    </row>
    <row r="468" spans="1:9">
      <c r="A468" s="47">
        <v>455</v>
      </c>
      <c r="B468" s="50">
        <f t="shared" si="59"/>
        <v>0</v>
      </c>
      <c r="C468" s="51">
        <f t="shared" si="66"/>
        <v>0</v>
      </c>
      <c r="D468" s="51">
        <f t="shared" si="60"/>
        <v>0</v>
      </c>
      <c r="E468" s="51">
        <f t="shared" si="62"/>
        <v>0</v>
      </c>
      <c r="F468" s="51">
        <f t="shared" si="63"/>
        <v>0</v>
      </c>
      <c r="G468" s="51">
        <f t="shared" si="61"/>
        <v>0</v>
      </c>
      <c r="H468" s="52" t="e">
        <f t="shared" si="64"/>
        <v>#DIV/0!</v>
      </c>
      <c r="I468" s="51">
        <f t="shared" si="65"/>
        <v>0</v>
      </c>
    </row>
    <row r="469" spans="1:9">
      <c r="A469" s="47">
        <v>456</v>
      </c>
      <c r="B469" s="50">
        <f t="shared" si="59"/>
        <v>0</v>
      </c>
      <c r="C469" s="51">
        <f t="shared" si="66"/>
        <v>0</v>
      </c>
      <c r="D469" s="51">
        <f t="shared" si="60"/>
        <v>0</v>
      </c>
      <c r="E469" s="51">
        <f t="shared" si="62"/>
        <v>0</v>
      </c>
      <c r="F469" s="51">
        <f t="shared" si="63"/>
        <v>0</v>
      </c>
      <c r="G469" s="51">
        <f t="shared" si="61"/>
        <v>0</v>
      </c>
      <c r="H469" s="52" t="e">
        <f t="shared" si="64"/>
        <v>#DIV/0!</v>
      </c>
      <c r="I469" s="51">
        <f t="shared" si="65"/>
        <v>0</v>
      </c>
    </row>
    <row r="470" spans="1:9">
      <c r="A470" s="47">
        <v>457</v>
      </c>
      <c r="B470" s="50">
        <f t="shared" si="59"/>
        <v>0</v>
      </c>
      <c r="C470" s="51">
        <f t="shared" si="66"/>
        <v>0</v>
      </c>
      <c r="D470" s="51">
        <f t="shared" si="60"/>
        <v>0</v>
      </c>
      <c r="E470" s="51">
        <f t="shared" si="62"/>
        <v>0</v>
      </c>
      <c r="F470" s="51">
        <f t="shared" si="63"/>
        <v>0</v>
      </c>
      <c r="G470" s="51">
        <f t="shared" si="61"/>
        <v>0</v>
      </c>
      <c r="H470" s="52" t="e">
        <f t="shared" si="64"/>
        <v>#DIV/0!</v>
      </c>
      <c r="I470" s="51">
        <f t="shared" si="65"/>
        <v>0</v>
      </c>
    </row>
    <row r="471" spans="1:9">
      <c r="A471" s="47">
        <v>458</v>
      </c>
      <c r="B471" s="50">
        <f t="shared" si="59"/>
        <v>0</v>
      </c>
      <c r="C471" s="51">
        <f t="shared" si="66"/>
        <v>0</v>
      </c>
      <c r="D471" s="51">
        <f t="shared" si="60"/>
        <v>0</v>
      </c>
      <c r="E471" s="51">
        <f t="shared" si="62"/>
        <v>0</v>
      </c>
      <c r="F471" s="51">
        <f t="shared" si="63"/>
        <v>0</v>
      </c>
      <c r="G471" s="51">
        <f t="shared" si="61"/>
        <v>0</v>
      </c>
      <c r="H471" s="52" t="e">
        <f t="shared" si="64"/>
        <v>#DIV/0!</v>
      </c>
      <c r="I471" s="51">
        <f t="shared" si="65"/>
        <v>0</v>
      </c>
    </row>
    <row r="472" spans="1:9">
      <c r="A472" s="47">
        <v>459</v>
      </c>
      <c r="B472" s="50">
        <f t="shared" si="59"/>
        <v>0</v>
      </c>
      <c r="C472" s="51">
        <f t="shared" si="66"/>
        <v>0</v>
      </c>
      <c r="D472" s="51">
        <f t="shared" si="60"/>
        <v>0</v>
      </c>
      <c r="E472" s="51">
        <f t="shared" si="62"/>
        <v>0</v>
      </c>
      <c r="F472" s="51">
        <f t="shared" si="63"/>
        <v>0</v>
      </c>
      <c r="G472" s="51">
        <f t="shared" si="61"/>
        <v>0</v>
      </c>
      <c r="H472" s="52" t="e">
        <f t="shared" si="64"/>
        <v>#DIV/0!</v>
      </c>
      <c r="I472" s="51">
        <f t="shared" si="65"/>
        <v>0</v>
      </c>
    </row>
    <row r="473" spans="1:9">
      <c r="A473" s="47">
        <v>460</v>
      </c>
      <c r="B473" s="50">
        <f t="shared" si="59"/>
        <v>0</v>
      </c>
      <c r="C473" s="51">
        <f t="shared" si="66"/>
        <v>0</v>
      </c>
      <c r="D473" s="51">
        <f t="shared" si="60"/>
        <v>0</v>
      </c>
      <c r="E473" s="51">
        <f t="shared" si="62"/>
        <v>0</v>
      </c>
      <c r="F473" s="51">
        <f t="shared" si="63"/>
        <v>0</v>
      </c>
      <c r="G473" s="51">
        <f t="shared" si="61"/>
        <v>0</v>
      </c>
      <c r="H473" s="52" t="e">
        <f t="shared" si="64"/>
        <v>#DIV/0!</v>
      </c>
      <c r="I473" s="51">
        <f t="shared" si="65"/>
        <v>0</v>
      </c>
    </row>
    <row r="474" spans="1:9">
      <c r="A474" s="47">
        <v>461</v>
      </c>
      <c r="B474" s="50">
        <f t="shared" si="59"/>
        <v>0</v>
      </c>
      <c r="C474" s="51">
        <f t="shared" si="66"/>
        <v>0</v>
      </c>
      <c r="D474" s="51">
        <f t="shared" si="60"/>
        <v>0</v>
      </c>
      <c r="E474" s="51">
        <f t="shared" si="62"/>
        <v>0</v>
      </c>
      <c r="F474" s="51">
        <f t="shared" si="63"/>
        <v>0</v>
      </c>
      <c r="G474" s="51">
        <f t="shared" si="61"/>
        <v>0</v>
      </c>
      <c r="H474" s="52" t="e">
        <f t="shared" si="64"/>
        <v>#DIV/0!</v>
      </c>
      <c r="I474" s="51">
        <f t="shared" si="65"/>
        <v>0</v>
      </c>
    </row>
    <row r="475" spans="1:9">
      <c r="A475" s="47">
        <v>462</v>
      </c>
      <c r="B475" s="50">
        <f t="shared" si="59"/>
        <v>0</v>
      </c>
      <c r="C475" s="51">
        <f t="shared" si="66"/>
        <v>0</v>
      </c>
      <c r="D475" s="51">
        <f t="shared" si="60"/>
        <v>0</v>
      </c>
      <c r="E475" s="51">
        <f t="shared" si="62"/>
        <v>0</v>
      </c>
      <c r="F475" s="51">
        <f t="shared" si="63"/>
        <v>0</v>
      </c>
      <c r="G475" s="51">
        <f t="shared" si="61"/>
        <v>0</v>
      </c>
      <c r="H475" s="52" t="e">
        <f t="shared" si="64"/>
        <v>#DIV/0!</v>
      </c>
      <c r="I475" s="51">
        <f t="shared" si="65"/>
        <v>0</v>
      </c>
    </row>
    <row r="476" spans="1:9">
      <c r="A476" s="47">
        <v>463</v>
      </c>
      <c r="B476" s="50">
        <f t="shared" si="59"/>
        <v>0</v>
      </c>
      <c r="C476" s="51">
        <f t="shared" si="66"/>
        <v>0</v>
      </c>
      <c r="D476" s="51">
        <f t="shared" si="60"/>
        <v>0</v>
      </c>
      <c r="E476" s="51">
        <f t="shared" si="62"/>
        <v>0</v>
      </c>
      <c r="F476" s="51">
        <f t="shared" si="63"/>
        <v>0</v>
      </c>
      <c r="G476" s="51">
        <f t="shared" si="61"/>
        <v>0</v>
      </c>
      <c r="H476" s="52" t="e">
        <f t="shared" si="64"/>
        <v>#DIV/0!</v>
      </c>
      <c r="I476" s="51">
        <f t="shared" si="65"/>
        <v>0</v>
      </c>
    </row>
    <row r="477" spans="1:9">
      <c r="A477" s="47">
        <v>464</v>
      </c>
      <c r="B477" s="50">
        <f t="shared" si="59"/>
        <v>0</v>
      </c>
      <c r="C477" s="51">
        <f t="shared" si="66"/>
        <v>0</v>
      </c>
      <c r="D477" s="51">
        <f t="shared" si="60"/>
        <v>0</v>
      </c>
      <c r="E477" s="51">
        <f t="shared" si="62"/>
        <v>0</v>
      </c>
      <c r="F477" s="51">
        <f t="shared" si="63"/>
        <v>0</v>
      </c>
      <c r="G477" s="51">
        <f t="shared" si="61"/>
        <v>0</v>
      </c>
      <c r="H477" s="52" t="e">
        <f t="shared" si="64"/>
        <v>#DIV/0!</v>
      </c>
      <c r="I477" s="51">
        <f t="shared" si="65"/>
        <v>0</v>
      </c>
    </row>
    <row r="478" spans="1:9">
      <c r="A478" s="47">
        <v>465</v>
      </c>
      <c r="B478" s="50">
        <f t="shared" si="59"/>
        <v>0</v>
      </c>
      <c r="C478" s="51">
        <f t="shared" si="66"/>
        <v>0</v>
      </c>
      <c r="D478" s="51">
        <f t="shared" si="60"/>
        <v>0</v>
      </c>
      <c r="E478" s="51">
        <f t="shared" si="62"/>
        <v>0</v>
      </c>
      <c r="F478" s="51">
        <f t="shared" si="63"/>
        <v>0</v>
      </c>
      <c r="G478" s="51">
        <f t="shared" si="61"/>
        <v>0</v>
      </c>
      <c r="H478" s="52" t="e">
        <f t="shared" si="64"/>
        <v>#DIV/0!</v>
      </c>
      <c r="I478" s="51">
        <f t="shared" si="65"/>
        <v>0</v>
      </c>
    </row>
    <row r="479" spans="1:9">
      <c r="A479" s="47">
        <v>466</v>
      </c>
      <c r="B479" s="50">
        <f t="shared" si="59"/>
        <v>0</v>
      </c>
      <c r="C479" s="51">
        <f t="shared" si="66"/>
        <v>0</v>
      </c>
      <c r="D479" s="51">
        <f t="shared" si="60"/>
        <v>0</v>
      </c>
      <c r="E479" s="51">
        <f t="shared" si="62"/>
        <v>0</v>
      </c>
      <c r="F479" s="51">
        <f t="shared" si="63"/>
        <v>0</v>
      </c>
      <c r="G479" s="51">
        <f t="shared" si="61"/>
        <v>0</v>
      </c>
      <c r="H479" s="52" t="e">
        <f t="shared" si="64"/>
        <v>#DIV/0!</v>
      </c>
      <c r="I479" s="51">
        <f t="shared" si="65"/>
        <v>0</v>
      </c>
    </row>
    <row r="480" spans="1:9">
      <c r="A480" s="47">
        <v>467</v>
      </c>
      <c r="B480" s="50">
        <f t="shared" si="59"/>
        <v>0</v>
      </c>
      <c r="C480" s="51">
        <f t="shared" si="66"/>
        <v>0</v>
      </c>
      <c r="D480" s="51">
        <f t="shared" si="60"/>
        <v>0</v>
      </c>
      <c r="E480" s="51">
        <f t="shared" si="62"/>
        <v>0</v>
      </c>
      <c r="F480" s="51">
        <f t="shared" si="63"/>
        <v>0</v>
      </c>
      <c r="G480" s="51">
        <f t="shared" si="61"/>
        <v>0</v>
      </c>
      <c r="H480" s="52" t="e">
        <f t="shared" si="64"/>
        <v>#DIV/0!</v>
      </c>
      <c r="I480" s="51">
        <f t="shared" si="65"/>
        <v>0</v>
      </c>
    </row>
    <row r="481" spans="1:9">
      <c r="A481" s="47">
        <v>468</v>
      </c>
      <c r="B481" s="50">
        <f t="shared" si="59"/>
        <v>0</v>
      </c>
      <c r="C481" s="51">
        <f t="shared" si="66"/>
        <v>0</v>
      </c>
      <c r="D481" s="51">
        <f t="shared" si="60"/>
        <v>0</v>
      </c>
      <c r="E481" s="51">
        <f t="shared" si="62"/>
        <v>0</v>
      </c>
      <c r="F481" s="51">
        <f t="shared" si="63"/>
        <v>0</v>
      </c>
      <c r="G481" s="51">
        <f t="shared" si="61"/>
        <v>0</v>
      </c>
      <c r="H481" s="52" t="e">
        <f t="shared" si="64"/>
        <v>#DIV/0!</v>
      </c>
      <c r="I481" s="51">
        <f t="shared" si="65"/>
        <v>0</v>
      </c>
    </row>
    <row r="482" spans="1:9">
      <c r="A482" s="47">
        <v>469</v>
      </c>
      <c r="B482" s="50">
        <f t="shared" si="59"/>
        <v>0</v>
      </c>
      <c r="C482" s="51">
        <f t="shared" si="66"/>
        <v>0</v>
      </c>
      <c r="D482" s="51">
        <f t="shared" si="60"/>
        <v>0</v>
      </c>
      <c r="E482" s="51">
        <f t="shared" si="62"/>
        <v>0</v>
      </c>
      <c r="F482" s="51">
        <f t="shared" si="63"/>
        <v>0</v>
      </c>
      <c r="G482" s="51">
        <f t="shared" si="61"/>
        <v>0</v>
      </c>
      <c r="H482" s="52" t="e">
        <f t="shared" si="64"/>
        <v>#DIV/0!</v>
      </c>
      <c r="I482" s="51">
        <f t="shared" si="65"/>
        <v>0</v>
      </c>
    </row>
    <row r="483" spans="1:9">
      <c r="A483" s="47">
        <v>470</v>
      </c>
      <c r="B483" s="50">
        <f t="shared" si="59"/>
        <v>0</v>
      </c>
      <c r="C483" s="51">
        <f t="shared" si="66"/>
        <v>0</v>
      </c>
      <c r="D483" s="51">
        <f t="shared" si="60"/>
        <v>0</v>
      </c>
      <c r="E483" s="51">
        <f t="shared" si="62"/>
        <v>0</v>
      </c>
      <c r="F483" s="51">
        <f t="shared" si="63"/>
        <v>0</v>
      </c>
      <c r="G483" s="51">
        <f t="shared" si="61"/>
        <v>0</v>
      </c>
      <c r="H483" s="52" t="e">
        <f t="shared" si="64"/>
        <v>#DIV/0!</v>
      </c>
      <c r="I483" s="51">
        <f t="shared" si="65"/>
        <v>0</v>
      </c>
    </row>
    <row r="484" spans="1:9">
      <c r="A484" s="47">
        <v>471</v>
      </c>
      <c r="B484" s="50">
        <f t="shared" si="59"/>
        <v>0</v>
      </c>
      <c r="C484" s="51">
        <f t="shared" si="66"/>
        <v>0</v>
      </c>
      <c r="D484" s="51">
        <f t="shared" si="60"/>
        <v>0</v>
      </c>
      <c r="E484" s="51">
        <f t="shared" si="62"/>
        <v>0</v>
      </c>
      <c r="F484" s="51">
        <f t="shared" si="63"/>
        <v>0</v>
      </c>
      <c r="G484" s="51">
        <f t="shared" si="61"/>
        <v>0</v>
      </c>
      <c r="H484" s="52" t="e">
        <f t="shared" si="64"/>
        <v>#DIV/0!</v>
      </c>
      <c r="I484" s="51">
        <f t="shared" si="65"/>
        <v>0</v>
      </c>
    </row>
    <row r="485" spans="1:9">
      <c r="A485" s="47">
        <v>472</v>
      </c>
      <c r="B485" s="50">
        <f t="shared" si="59"/>
        <v>0</v>
      </c>
      <c r="C485" s="51">
        <f t="shared" si="66"/>
        <v>0</v>
      </c>
      <c r="D485" s="51">
        <f t="shared" si="60"/>
        <v>0</v>
      </c>
      <c r="E485" s="51">
        <f t="shared" si="62"/>
        <v>0</v>
      </c>
      <c r="F485" s="51">
        <f t="shared" si="63"/>
        <v>0</v>
      </c>
      <c r="G485" s="51">
        <f t="shared" si="61"/>
        <v>0</v>
      </c>
      <c r="H485" s="52" t="e">
        <f t="shared" si="64"/>
        <v>#DIV/0!</v>
      </c>
      <c r="I485" s="51">
        <f t="shared" si="65"/>
        <v>0</v>
      </c>
    </row>
    <row r="486" spans="1:9">
      <c r="A486" s="47">
        <v>473</v>
      </c>
      <c r="B486" s="50">
        <f t="shared" si="59"/>
        <v>0</v>
      </c>
      <c r="C486" s="51">
        <f t="shared" si="66"/>
        <v>0</v>
      </c>
      <c r="D486" s="51">
        <f t="shared" si="60"/>
        <v>0</v>
      </c>
      <c r="E486" s="51">
        <f t="shared" si="62"/>
        <v>0</v>
      </c>
      <c r="F486" s="51">
        <f t="shared" si="63"/>
        <v>0</v>
      </c>
      <c r="G486" s="51">
        <f t="shared" si="61"/>
        <v>0</v>
      </c>
      <c r="H486" s="52" t="e">
        <f t="shared" si="64"/>
        <v>#DIV/0!</v>
      </c>
      <c r="I486" s="51">
        <f t="shared" si="65"/>
        <v>0</v>
      </c>
    </row>
    <row r="487" spans="1:9">
      <c r="A487" s="47">
        <v>474</v>
      </c>
      <c r="B487" s="50">
        <f t="shared" si="59"/>
        <v>0</v>
      </c>
      <c r="C487" s="51">
        <f t="shared" si="66"/>
        <v>0</v>
      </c>
      <c r="D487" s="51">
        <f t="shared" si="60"/>
        <v>0</v>
      </c>
      <c r="E487" s="51">
        <f t="shared" si="62"/>
        <v>0</v>
      </c>
      <c r="F487" s="51">
        <f t="shared" si="63"/>
        <v>0</v>
      </c>
      <c r="G487" s="51">
        <f t="shared" si="61"/>
        <v>0</v>
      </c>
      <c r="H487" s="52" t="e">
        <f t="shared" si="64"/>
        <v>#DIV/0!</v>
      </c>
      <c r="I487" s="51">
        <f t="shared" si="65"/>
        <v>0</v>
      </c>
    </row>
    <row r="488" spans="1:9">
      <c r="A488" s="47">
        <v>475</v>
      </c>
      <c r="B488" s="50">
        <f t="shared" si="59"/>
        <v>0</v>
      </c>
      <c r="C488" s="51">
        <f t="shared" si="66"/>
        <v>0</v>
      </c>
      <c r="D488" s="51">
        <f t="shared" si="60"/>
        <v>0</v>
      </c>
      <c r="E488" s="51">
        <f t="shared" si="62"/>
        <v>0</v>
      </c>
      <c r="F488" s="51">
        <f t="shared" si="63"/>
        <v>0</v>
      </c>
      <c r="G488" s="51">
        <f t="shared" si="61"/>
        <v>0</v>
      </c>
      <c r="H488" s="52" t="e">
        <f t="shared" si="64"/>
        <v>#DIV/0!</v>
      </c>
      <c r="I488" s="51">
        <f t="shared" si="65"/>
        <v>0</v>
      </c>
    </row>
    <row r="489" spans="1:9">
      <c r="A489" s="47">
        <v>476</v>
      </c>
      <c r="B489" s="50">
        <f t="shared" si="59"/>
        <v>0</v>
      </c>
      <c r="C489" s="51">
        <f t="shared" si="66"/>
        <v>0</v>
      </c>
      <c r="D489" s="51">
        <f t="shared" si="60"/>
        <v>0</v>
      </c>
      <c r="E489" s="51">
        <f t="shared" si="62"/>
        <v>0</v>
      </c>
      <c r="F489" s="51">
        <f t="shared" si="63"/>
        <v>0</v>
      </c>
      <c r="G489" s="51">
        <f t="shared" si="61"/>
        <v>0</v>
      </c>
      <c r="H489" s="52" t="e">
        <f t="shared" si="64"/>
        <v>#DIV/0!</v>
      </c>
      <c r="I489" s="51">
        <f t="shared" si="65"/>
        <v>0</v>
      </c>
    </row>
    <row r="490" spans="1:9">
      <c r="A490" s="47">
        <v>477</v>
      </c>
      <c r="B490" s="50">
        <f t="shared" si="59"/>
        <v>0</v>
      </c>
      <c r="C490" s="51">
        <f t="shared" si="66"/>
        <v>0</v>
      </c>
      <c r="D490" s="51">
        <f t="shared" si="60"/>
        <v>0</v>
      </c>
      <c r="E490" s="51">
        <f t="shared" si="62"/>
        <v>0</v>
      </c>
      <c r="F490" s="51">
        <f t="shared" si="63"/>
        <v>0</v>
      </c>
      <c r="G490" s="51">
        <f t="shared" si="61"/>
        <v>0</v>
      </c>
      <c r="H490" s="52" t="e">
        <f t="shared" si="64"/>
        <v>#DIV/0!</v>
      </c>
      <c r="I490" s="51">
        <f t="shared" si="65"/>
        <v>0</v>
      </c>
    </row>
    <row r="491" spans="1:9">
      <c r="A491" s="47">
        <v>478</v>
      </c>
      <c r="B491" s="50">
        <f t="shared" si="59"/>
        <v>0</v>
      </c>
      <c r="C491" s="51">
        <f t="shared" si="66"/>
        <v>0</v>
      </c>
      <c r="D491" s="51">
        <f t="shared" si="60"/>
        <v>0</v>
      </c>
      <c r="E491" s="51">
        <f t="shared" si="62"/>
        <v>0</v>
      </c>
      <c r="F491" s="51">
        <f t="shared" si="63"/>
        <v>0</v>
      </c>
      <c r="G491" s="51">
        <f t="shared" si="61"/>
        <v>0</v>
      </c>
      <c r="H491" s="52" t="e">
        <f t="shared" si="64"/>
        <v>#DIV/0!</v>
      </c>
      <c r="I491" s="51">
        <f t="shared" si="65"/>
        <v>0</v>
      </c>
    </row>
    <row r="492" spans="1:9">
      <c r="A492" s="47">
        <v>479</v>
      </c>
      <c r="B492" s="50">
        <f t="shared" si="59"/>
        <v>0</v>
      </c>
      <c r="C492" s="51">
        <f t="shared" si="66"/>
        <v>0</v>
      </c>
      <c r="D492" s="51">
        <f t="shared" si="60"/>
        <v>0</v>
      </c>
      <c r="E492" s="51">
        <f t="shared" si="62"/>
        <v>0</v>
      </c>
      <c r="F492" s="51">
        <f t="shared" si="63"/>
        <v>0</v>
      </c>
      <c r="G492" s="51">
        <f t="shared" si="61"/>
        <v>0</v>
      </c>
      <c r="H492" s="52" t="e">
        <f t="shared" si="64"/>
        <v>#DIV/0!</v>
      </c>
      <c r="I492" s="51">
        <f t="shared" si="65"/>
        <v>0</v>
      </c>
    </row>
    <row r="493" spans="1:9">
      <c r="A493" s="47">
        <v>480</v>
      </c>
      <c r="B493" s="50">
        <f t="shared" si="59"/>
        <v>0</v>
      </c>
      <c r="C493" s="51">
        <f t="shared" si="66"/>
        <v>0</v>
      </c>
      <c r="D493" s="51">
        <f t="shared" si="60"/>
        <v>0</v>
      </c>
      <c r="E493" s="51">
        <f t="shared" si="62"/>
        <v>0</v>
      </c>
      <c r="F493" s="51">
        <f t="shared" si="63"/>
        <v>0</v>
      </c>
      <c r="G493" s="51">
        <f t="shared" si="61"/>
        <v>0</v>
      </c>
      <c r="H493" s="52" t="e">
        <f t="shared" si="64"/>
        <v>#DIV/0!</v>
      </c>
      <c r="I493" s="51">
        <f t="shared" si="65"/>
        <v>0</v>
      </c>
    </row>
  </sheetData>
  <sheetProtection algorithmName="SHA-512" hashValue="VrXhEsEHQL/DLm7ryQbl3azC59tr6ChHbL92+XEu2K2ZwLiUDfQR4vEXT5LSlF7qIuuuUPfvrrb56AXIvCDmfg==" saltValue="B39AI9BDJ/o4VFVFknDnHg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4BD8-C3B7-4E8D-B8FF-54E7419A7A61}">
  <sheetPr codeName="Sheet5"/>
  <dimension ref="A1:AD415"/>
  <sheetViews>
    <sheetView topLeftCell="AF1" workbookViewId="0">
      <selection activeCell="L1" sqref="A1:L1048576"/>
    </sheetView>
  </sheetViews>
  <sheetFormatPr defaultRowHeight="12.75"/>
  <cols>
    <col min="1" max="1" width="16.28515625" style="174" hidden="1" customWidth="1"/>
    <col min="2" max="2" width="13" style="174" hidden="1" customWidth="1"/>
    <col min="3" max="3" width="11" style="174" hidden="1" customWidth="1"/>
    <col min="4" max="4" width="10.42578125" style="174" hidden="1" customWidth="1"/>
    <col min="5" max="5" width="11.42578125" style="174" hidden="1" customWidth="1"/>
    <col min="6" max="7" width="9.140625" style="174" hidden="1" customWidth="1"/>
    <col min="8" max="8" width="13.42578125" style="174" hidden="1" customWidth="1"/>
    <col min="9" max="9" width="11.7109375" style="174" hidden="1" customWidth="1"/>
    <col min="10" max="10" width="0" style="174" hidden="1" customWidth="1"/>
    <col min="11" max="11" width="11.7109375" style="174" hidden="1" customWidth="1"/>
    <col min="12" max="12" width="12.5703125" style="174" hidden="1" customWidth="1"/>
    <col min="13" max="13" width="13.140625" style="174" hidden="1" customWidth="1"/>
    <col min="14" max="14" width="9.140625" style="174" hidden="1" customWidth="1"/>
    <col min="15" max="15" width="10.42578125" style="174" hidden="1" customWidth="1"/>
    <col min="16" max="16" width="14.5703125" style="174" hidden="1" customWidth="1"/>
    <col min="17" max="17" width="9.140625" style="174" hidden="1" customWidth="1"/>
    <col min="18" max="18" width="11.42578125" style="174" hidden="1" customWidth="1"/>
    <col min="19" max="20" width="9.140625" style="174" hidden="1" customWidth="1"/>
    <col min="21" max="21" width="12.7109375" style="174" hidden="1" customWidth="1"/>
    <col min="22" max="30" width="9.140625" style="174" hidden="1" customWidth="1"/>
    <col min="31" max="31" width="0" style="174" hidden="1" customWidth="1"/>
    <col min="32" max="16384" width="9.140625" style="174"/>
  </cols>
  <sheetData>
    <row r="1" spans="1:29" s="61" customFormat="1" ht="11.25">
      <c r="A1" s="58" t="s">
        <v>117</v>
      </c>
      <c r="B1" s="59">
        <f>'1.ลดดอกเบี้ย'!C8</f>
        <v>0</v>
      </c>
      <c r="C1" s="60" t="s">
        <v>118</v>
      </c>
    </row>
    <row r="2" spans="1:29" s="61" customFormat="1" ht="12" thickBot="1">
      <c r="A2" s="62" t="s">
        <v>119</v>
      </c>
      <c r="B2" s="63">
        <f>$C$2*12</f>
        <v>0</v>
      </c>
      <c r="C2" s="64">
        <f>'1.ลดดอกเบี้ย'!C9</f>
        <v>0</v>
      </c>
      <c r="I2" s="65"/>
      <c r="J2" s="65"/>
      <c r="K2" s="65"/>
      <c r="L2" s="65"/>
    </row>
    <row r="3" spans="1:29" s="61" customFormat="1" ht="12" thickBot="1">
      <c r="A3" s="66" t="s">
        <v>120</v>
      </c>
      <c r="B3" s="67">
        <v>2.2499999999999999E-2</v>
      </c>
      <c r="C3" s="68"/>
    </row>
    <row r="4" spans="1:29" s="61" customFormat="1" ht="11.25">
      <c r="A4" s="69" t="s">
        <v>121</v>
      </c>
      <c r="B4" s="70" t="s">
        <v>122</v>
      </c>
      <c r="C4" s="68"/>
    </row>
    <row r="5" spans="1:29" s="61" customFormat="1" ht="11.25">
      <c r="A5" s="71" t="s">
        <v>123</v>
      </c>
      <c r="B5" s="72">
        <v>7.4999999999999997E-3</v>
      </c>
      <c r="C5" s="68"/>
    </row>
    <row r="6" spans="1:29" s="61" customFormat="1" ht="12" thickBot="1">
      <c r="A6" s="73" t="s">
        <v>124</v>
      </c>
      <c r="B6" s="74">
        <v>7.4999999999999997E-3</v>
      </c>
      <c r="C6" s="68"/>
    </row>
    <row r="7" spans="1:29" s="61" customFormat="1" ht="12" thickBot="1">
      <c r="A7" s="75" t="s">
        <v>125</v>
      </c>
      <c r="B7" s="76"/>
      <c r="C7" s="68"/>
      <c r="D7" s="76"/>
    </row>
    <row r="8" spans="1:29" s="61" customFormat="1" ht="12" thickBot="1">
      <c r="A8" s="77"/>
      <c r="B8" s="76"/>
      <c r="C8" s="76"/>
      <c r="D8" s="76"/>
      <c r="E8" s="78" t="s">
        <v>126</v>
      </c>
      <c r="F8" s="79"/>
      <c r="G8" s="80"/>
      <c r="H8" s="81"/>
      <c r="I8" s="78" t="s">
        <v>127</v>
      </c>
      <c r="J8" s="79"/>
      <c r="K8" s="80"/>
      <c r="L8" s="81"/>
      <c r="M8" s="78" t="s">
        <v>128</v>
      </c>
      <c r="N8" s="79"/>
      <c r="O8" s="80"/>
      <c r="P8" s="81"/>
    </row>
    <row r="9" spans="1:29" s="61" customFormat="1" ht="11.25">
      <c r="A9" s="82" t="s">
        <v>129</v>
      </c>
      <c r="B9" s="83" t="s">
        <v>130</v>
      </c>
      <c r="C9" s="83" t="s">
        <v>131</v>
      </c>
      <c r="D9" s="84" t="s">
        <v>132</v>
      </c>
      <c r="E9" s="85" t="s">
        <v>133</v>
      </c>
      <c r="F9" s="86" t="s">
        <v>134</v>
      </c>
      <c r="G9" s="86" t="s">
        <v>130</v>
      </c>
      <c r="H9" s="87" t="s">
        <v>107</v>
      </c>
      <c r="I9" s="85" t="s">
        <v>133</v>
      </c>
      <c r="J9" s="86" t="s">
        <v>134</v>
      </c>
      <c r="K9" s="86" t="s">
        <v>130</v>
      </c>
      <c r="L9" s="87" t="s">
        <v>107</v>
      </c>
      <c r="M9" s="85" t="s">
        <v>133</v>
      </c>
      <c r="N9" s="86" t="s">
        <v>134</v>
      </c>
      <c r="O9" s="86" t="s">
        <v>130</v>
      </c>
      <c r="P9" s="87" t="s">
        <v>107</v>
      </c>
    </row>
    <row r="10" spans="1:29" s="61" customFormat="1" ht="11.25">
      <c r="A10" s="88">
        <v>1</v>
      </c>
      <c r="B10" s="89">
        <v>12</v>
      </c>
      <c r="C10" s="90">
        <f>'1.ลดดอกเบี้ย'!D11</f>
        <v>0</v>
      </c>
      <c r="D10" s="91">
        <v>1</v>
      </c>
      <c r="E10" s="92">
        <f>$B$1</f>
        <v>0</v>
      </c>
      <c r="F10" s="93">
        <f>$C10</f>
        <v>0</v>
      </c>
      <c r="G10" s="94">
        <f>$B$2</f>
        <v>0</v>
      </c>
      <c r="H10" s="95" t="e">
        <f>PMT(F10/12,G10,E10*-1)</f>
        <v>#NUM!</v>
      </c>
      <c r="I10" s="92">
        <f>$B$1</f>
        <v>0</v>
      </c>
      <c r="J10" s="96">
        <f>$C10+$B$5+$B$6</f>
        <v>1.4999999999999999E-2</v>
      </c>
      <c r="K10" s="94">
        <f>$B$2</f>
        <v>0</v>
      </c>
      <c r="L10" s="97">
        <f>ROUNDUP($I$10*J10/12,-1)</f>
        <v>0</v>
      </c>
      <c r="M10" s="92">
        <f>$B$1</f>
        <v>0</v>
      </c>
      <c r="N10" s="98">
        <f>$C10</f>
        <v>0</v>
      </c>
      <c r="O10" s="94">
        <f>$B$2</f>
        <v>0</v>
      </c>
      <c r="P10" s="99">
        <f>ROUNDUP($M$10*N10/12,-1)</f>
        <v>0</v>
      </c>
    </row>
    <row r="11" spans="1:29" s="61" customFormat="1" ht="11.25">
      <c r="A11" s="100">
        <f>A10+B10</f>
        <v>13</v>
      </c>
      <c r="B11" s="101">
        <v>12</v>
      </c>
      <c r="C11" s="90">
        <f>'1.ลดดอกเบี้ย'!D12</f>
        <v>0</v>
      </c>
      <c r="D11" s="102">
        <v>2</v>
      </c>
      <c r="E11" s="103">
        <f>E32</f>
        <v>0</v>
      </c>
      <c r="F11" s="104">
        <f>$C11</f>
        <v>0</v>
      </c>
      <c r="G11" s="105">
        <f>G10-12</f>
        <v>-12</v>
      </c>
      <c r="H11" s="106">
        <f>PMT(F11/12,G11,E11*-1)</f>
        <v>0</v>
      </c>
      <c r="I11" s="103">
        <f>I32</f>
        <v>0</v>
      </c>
      <c r="J11" s="107">
        <f>$C11+$B$5+$B$6</f>
        <v>1.4999999999999999E-2</v>
      </c>
      <c r="K11" s="108">
        <f>K10-$B$10</f>
        <v>-12</v>
      </c>
      <c r="L11" s="109">
        <f>ROUNDUP($I$10*J11/12,-1)</f>
        <v>0</v>
      </c>
      <c r="M11" s="103">
        <f>M32</f>
        <v>0</v>
      </c>
      <c r="N11" s="107">
        <f>$C11+$B$5+$B$6</f>
        <v>1.4999999999999999E-2</v>
      </c>
      <c r="O11" s="108">
        <f>O10-$B$10</f>
        <v>-12</v>
      </c>
      <c r="P11" s="109">
        <f>ROUNDUP($M$10*N11/12,-1)</f>
        <v>0</v>
      </c>
    </row>
    <row r="12" spans="1:29" s="61" customFormat="1" ht="11.25">
      <c r="A12" s="100">
        <f>A11+B11</f>
        <v>25</v>
      </c>
      <c r="B12" s="101">
        <v>12</v>
      </c>
      <c r="C12" s="90">
        <f>'1.ลดดอกเบี้ย'!D13</f>
        <v>0</v>
      </c>
      <c r="D12" s="110">
        <v>3</v>
      </c>
      <c r="E12" s="103">
        <f>E44</f>
        <v>0</v>
      </c>
      <c r="F12" s="104">
        <f>$C12</f>
        <v>0</v>
      </c>
      <c r="G12" s="105">
        <f>G11-12</f>
        <v>-24</v>
      </c>
      <c r="H12" s="106">
        <f>PMT(F12/12,G12,E12*-1)</f>
        <v>0</v>
      </c>
      <c r="I12" s="103">
        <f>I44</f>
        <v>0</v>
      </c>
      <c r="J12" s="107">
        <f>$C12+$B$5+$B$6</f>
        <v>1.4999999999999999E-2</v>
      </c>
      <c r="K12" s="108">
        <f>K11-$B$11</f>
        <v>-24</v>
      </c>
      <c r="L12" s="109">
        <f>ROUNDUP($I$10*J12/12,-1)</f>
        <v>0</v>
      </c>
      <c r="M12" s="103">
        <f>M44</f>
        <v>0</v>
      </c>
      <c r="N12" s="107">
        <f>$C12+$B$5+$B$6</f>
        <v>1.4999999999999999E-2</v>
      </c>
      <c r="O12" s="108">
        <f>O11-$B$11</f>
        <v>-24</v>
      </c>
      <c r="P12" s="109">
        <f>ROUNDUP($M$10*N12/12,-1)</f>
        <v>0</v>
      </c>
    </row>
    <row r="13" spans="1:29" s="61" customFormat="1" ht="11.25">
      <c r="A13" s="100">
        <f>A12+B12</f>
        <v>37</v>
      </c>
      <c r="B13" s="101">
        <v>12</v>
      </c>
      <c r="C13" s="90">
        <f>'1.ลดดอกเบี้ย'!D14</f>
        <v>0</v>
      </c>
      <c r="D13" s="102">
        <v>4</v>
      </c>
      <c r="E13" s="103">
        <f>E56</f>
        <v>0</v>
      </c>
      <c r="F13" s="104">
        <f>$C13</f>
        <v>0</v>
      </c>
      <c r="G13" s="105">
        <f>G12-12</f>
        <v>-36</v>
      </c>
      <c r="H13" s="106">
        <f>PMT(F13/12,G13,E13*-1)</f>
        <v>0</v>
      </c>
      <c r="I13" s="103">
        <f>I56</f>
        <v>0</v>
      </c>
      <c r="J13" s="111">
        <f>($C$14)+$B$5</f>
        <v>7.4999999999999997E-3</v>
      </c>
      <c r="K13" s="108">
        <f>K12-$B$12</f>
        <v>-36</v>
      </c>
      <c r="L13" s="106">
        <f>ROUNDUP(PMT(J13/12,B2-36,$I$13*-1),-1)</f>
        <v>0</v>
      </c>
      <c r="M13" s="103">
        <f>M56</f>
        <v>0</v>
      </c>
      <c r="N13" s="107">
        <f>$C13+$B$5+$B$6</f>
        <v>1.4999999999999999E-2</v>
      </c>
      <c r="O13" s="108">
        <f>O12-$B$12</f>
        <v>-36</v>
      </c>
      <c r="P13" s="109">
        <f>ROUNDUP($M$10*N13/12,-1)</f>
        <v>0</v>
      </c>
    </row>
    <row r="14" spans="1:29" s="61" customFormat="1" ht="12" thickBot="1">
      <c r="A14" s="112">
        <f>A13+B13</f>
        <v>49</v>
      </c>
      <c r="B14" s="113">
        <f>$B$2-SUM(B10:B13)</f>
        <v>-48</v>
      </c>
      <c r="C14" s="175">
        <f>'1.ลดดอกเบี้ย'!D14</f>
        <v>0</v>
      </c>
      <c r="D14" s="114" t="s">
        <v>135</v>
      </c>
      <c r="E14" s="115">
        <f>E68</f>
        <v>0</v>
      </c>
      <c r="F14" s="116">
        <f>$C14</f>
        <v>0</v>
      </c>
      <c r="G14" s="117">
        <f>G13-12</f>
        <v>-48</v>
      </c>
      <c r="H14" s="118">
        <f>ROUNDUP(PMT(F14/12,G14,E14*-1),-1)</f>
        <v>0</v>
      </c>
      <c r="I14" s="115"/>
      <c r="J14" s="119"/>
      <c r="K14" s="117"/>
      <c r="L14" s="118"/>
      <c r="M14" s="103">
        <f>M68</f>
        <v>0</v>
      </c>
      <c r="N14" s="120">
        <f>$C14+$B$5</f>
        <v>7.4999999999999997E-3</v>
      </c>
      <c r="O14" s="108">
        <f>O13-$B$13</f>
        <v>-48</v>
      </c>
      <c r="P14" s="118">
        <f>ROUNDUP(PMT(N14/12,B2-48,$M$14*-1),-1)</f>
        <v>0</v>
      </c>
    </row>
    <row r="15" spans="1:29" s="76" customFormat="1" ht="12" thickBot="1">
      <c r="A15" s="121" t="s">
        <v>136</v>
      </c>
      <c r="B15" s="122">
        <f>SUM(B10:B14)</f>
        <v>0</v>
      </c>
      <c r="G15" s="123" t="s">
        <v>137</v>
      </c>
      <c r="H15" s="124">
        <f>396-COUNTIF(H$19:H$415,0)</f>
        <v>-1</v>
      </c>
      <c r="K15" s="123" t="s">
        <v>137</v>
      </c>
      <c r="L15" s="125">
        <f>396-COUNTIF(L$19:L$415,0)</f>
        <v>-1</v>
      </c>
      <c r="O15" s="123" t="s">
        <v>137</v>
      </c>
      <c r="P15" s="125">
        <f>396-COUNTIF(P$19:P$415,0)</f>
        <v>-1</v>
      </c>
      <c r="T15" s="61"/>
      <c r="U15" s="61"/>
      <c r="X15" s="76" t="s">
        <v>138</v>
      </c>
      <c r="Y15" s="126" t="e">
        <f>PMT(Y16/12,B2,B1*-1)</f>
        <v>#NUM!</v>
      </c>
    </row>
    <row r="16" spans="1:29" s="76" customFormat="1" ht="12" thickBot="1">
      <c r="T16" s="127" t="s">
        <v>139</v>
      </c>
      <c r="U16" s="128" t="e">
        <f>IRR(U$19:U$415)*12</f>
        <v>#NUM!</v>
      </c>
      <c r="X16" s="127" t="s">
        <v>139</v>
      </c>
      <c r="Y16" s="128" t="e">
        <f>IRR(Y$19:Y$415)*12</f>
        <v>#NUM!</v>
      </c>
      <c r="Z16" s="128" t="e">
        <f>IRR(Z$19:Z$415)*12</f>
        <v>#NUM!</v>
      </c>
      <c r="AA16" s="128" t="e">
        <f>IRR(AA$19:AA$415)*12</f>
        <v>#NUM!</v>
      </c>
      <c r="AB16" s="128" t="e">
        <f>IRR(AB$19:AB$415)*12</f>
        <v>#NUM!</v>
      </c>
      <c r="AC16" s="128" t="e">
        <f>IRR(AC$19:AC$415)*12</f>
        <v>#NUM!</v>
      </c>
    </row>
    <row r="17" spans="1:29" s="61" customFormat="1" ht="12" thickBot="1">
      <c r="A17" s="76"/>
      <c r="B17" s="76"/>
      <c r="C17" s="76"/>
      <c r="D17" s="76"/>
      <c r="E17" s="129" t="s">
        <v>140</v>
      </c>
      <c r="F17" s="130"/>
      <c r="G17" s="131"/>
      <c r="H17" s="132"/>
      <c r="I17" s="129" t="s">
        <v>141</v>
      </c>
      <c r="J17" s="130"/>
      <c r="K17" s="131"/>
      <c r="L17" s="132"/>
      <c r="M17" s="129" t="s">
        <v>141</v>
      </c>
      <c r="N17" s="130"/>
      <c r="O17" s="131"/>
      <c r="P17" s="132"/>
      <c r="R17" s="78" t="s">
        <v>142</v>
      </c>
      <c r="S17" s="79"/>
      <c r="T17" s="80"/>
      <c r="U17" s="81"/>
      <c r="V17" s="78" t="s">
        <v>143</v>
      </c>
      <c r="W17" s="79"/>
      <c r="X17" s="80"/>
      <c r="Y17" s="81"/>
    </row>
    <row r="18" spans="1:29" s="61" customFormat="1" ht="11.25">
      <c r="A18" s="133" t="s">
        <v>144</v>
      </c>
      <c r="B18" s="134" t="s">
        <v>145</v>
      </c>
      <c r="C18" s="134" t="s">
        <v>132</v>
      </c>
      <c r="D18" s="135" t="s">
        <v>146</v>
      </c>
      <c r="E18" s="136" t="s">
        <v>147</v>
      </c>
      <c r="F18" s="137" t="s">
        <v>148</v>
      </c>
      <c r="G18" s="137" t="s">
        <v>149</v>
      </c>
      <c r="H18" s="138" t="s">
        <v>150</v>
      </c>
      <c r="I18" s="136" t="s">
        <v>147</v>
      </c>
      <c r="J18" s="137" t="s">
        <v>148</v>
      </c>
      <c r="K18" s="137" t="s">
        <v>149</v>
      </c>
      <c r="L18" s="138" t="s">
        <v>150</v>
      </c>
      <c r="M18" s="136" t="s">
        <v>147</v>
      </c>
      <c r="N18" s="137" t="s">
        <v>148</v>
      </c>
      <c r="O18" s="137" t="s">
        <v>149</v>
      </c>
      <c r="P18" s="138" t="s">
        <v>150</v>
      </c>
      <c r="R18" s="136" t="s">
        <v>147</v>
      </c>
      <c r="S18" s="137" t="s">
        <v>148</v>
      </c>
      <c r="T18" s="137" t="s">
        <v>149</v>
      </c>
      <c r="U18" s="138" t="s">
        <v>150</v>
      </c>
      <c r="V18" s="136" t="s">
        <v>147</v>
      </c>
      <c r="W18" s="137" t="s">
        <v>148</v>
      </c>
      <c r="X18" s="137" t="s">
        <v>149</v>
      </c>
      <c r="Y18" s="138" t="s">
        <v>150</v>
      </c>
    </row>
    <row r="19" spans="1:29" s="61" customFormat="1" ht="11.25">
      <c r="A19" s="139"/>
      <c r="B19" s="140"/>
      <c r="C19" s="141">
        <v>0</v>
      </c>
      <c r="D19" s="142">
        <v>0</v>
      </c>
      <c r="E19" s="143"/>
      <c r="F19" s="144"/>
      <c r="G19" s="145"/>
      <c r="H19" s="146">
        <f>-E20</f>
        <v>0</v>
      </c>
      <c r="I19" s="143"/>
      <c r="J19" s="144"/>
      <c r="K19" s="145"/>
      <c r="L19" s="146">
        <f>-I20</f>
        <v>0</v>
      </c>
      <c r="M19" s="143"/>
      <c r="N19" s="144"/>
      <c r="O19" s="145"/>
      <c r="P19" s="146">
        <f>-M20</f>
        <v>0</v>
      </c>
      <c r="R19" s="143"/>
      <c r="S19" s="144"/>
      <c r="T19" s="145"/>
      <c r="U19" s="146">
        <f>-R20</f>
        <v>0</v>
      </c>
      <c r="V19" s="143"/>
      <c r="W19" s="144"/>
      <c r="X19" s="145"/>
      <c r="Y19" s="146">
        <f>-V20</f>
        <v>0</v>
      </c>
      <c r="Z19" s="61">
        <f>Y19</f>
        <v>0</v>
      </c>
      <c r="AA19" s="61">
        <f>Z19</f>
        <v>0</v>
      </c>
      <c r="AB19" s="61">
        <f>AA19</f>
        <v>0</v>
      </c>
      <c r="AC19" s="61">
        <f>AB19</f>
        <v>0</v>
      </c>
    </row>
    <row r="20" spans="1:29" s="61" customFormat="1" ht="11.25">
      <c r="A20" s="147">
        <f t="shared" ref="A20:A83" si="0">VLOOKUP(D20,$A$10:$C$14,3)</f>
        <v>0</v>
      </c>
      <c r="B20" s="140">
        <f t="shared" ref="B20:B83" si="1">A20/12</f>
        <v>0</v>
      </c>
      <c r="C20" s="141">
        <f t="shared" ref="C20:C83" si="2">INT((D20+11)/12)</f>
        <v>1</v>
      </c>
      <c r="D20" s="142">
        <v>1</v>
      </c>
      <c r="E20" s="148">
        <f>$B$1</f>
        <v>0</v>
      </c>
      <c r="F20" s="144">
        <f t="shared" ref="F20:F83" si="3">ROUND(E20*$B20,2)</f>
        <v>0</v>
      </c>
      <c r="G20" s="144">
        <f t="shared" ref="G20:G83" si="4">IF(E20&lt;H20,E20,H20-F20)</f>
        <v>0</v>
      </c>
      <c r="H20" s="149">
        <f>IF(E20&lt;=0,0,H$10)</f>
        <v>0</v>
      </c>
      <c r="I20" s="148">
        <f>$B$1</f>
        <v>0</v>
      </c>
      <c r="J20" s="144">
        <f t="shared" ref="J20:J83" si="5">ROUND(I20*$B20,2)</f>
        <v>0</v>
      </c>
      <c r="K20" s="144">
        <f t="shared" ref="K20:K83" si="6">IF(I20&lt;L20,I20,L20-J20)</f>
        <v>0</v>
      </c>
      <c r="L20" s="149">
        <f>IF(I20&lt;=0,0,L$10)</f>
        <v>0</v>
      </c>
      <c r="M20" s="148">
        <f>$B$1</f>
        <v>0</v>
      </c>
      <c r="N20" s="144">
        <f t="shared" ref="N20:N83" si="7">ROUND(M20*$B20,2)</f>
        <v>0</v>
      </c>
      <c r="O20" s="144">
        <f t="shared" ref="O20:O83" si="8">IF(M20&lt;P20,M20,P20-N20)</f>
        <v>0</v>
      </c>
      <c r="P20" s="149">
        <f>IF(M20&lt;=0,0,P$10)</f>
        <v>0</v>
      </c>
      <c r="R20" s="148">
        <f>$B$1</f>
        <v>0</v>
      </c>
      <c r="S20" s="144">
        <f t="shared" ref="S20:S83" si="9">ROUND(R20*$B20,2)</f>
        <v>0</v>
      </c>
      <c r="T20" s="144">
        <f t="shared" ref="T20:T83" si="10">IF(R20&lt;U20,R20,U20-S20)</f>
        <v>0</v>
      </c>
      <c r="U20" s="150">
        <f t="shared" ref="U20:U83" si="11">IF(R20&lt;=0,0,$Y$15)</f>
        <v>0</v>
      </c>
      <c r="V20" s="148">
        <f>$B$1</f>
        <v>0</v>
      </c>
      <c r="W20" s="144">
        <f t="shared" ref="W20:W83" si="12">ROUND(V20*$B20,2)</f>
        <v>0</v>
      </c>
      <c r="X20" s="144">
        <f t="shared" ref="X20:X83" si="13">IF(V20&lt;Y20,V20,Y20-W20)</f>
        <v>0</v>
      </c>
      <c r="Y20" s="150">
        <f t="shared" ref="Y20:Y83" si="14">IF(V20&lt;=0,0,PMT(B20,($B$2-D20+1),V20*-1))</f>
        <v>0</v>
      </c>
      <c r="Z20" s="151">
        <f>$Y20</f>
        <v>0</v>
      </c>
      <c r="AA20" s="151">
        <f t="shared" ref="AA20:AC35" si="15">$Y20</f>
        <v>0</v>
      </c>
      <c r="AB20" s="151">
        <f t="shared" si="15"/>
        <v>0</v>
      </c>
      <c r="AC20" s="151">
        <f t="shared" si="15"/>
        <v>0</v>
      </c>
    </row>
    <row r="21" spans="1:29" s="61" customFormat="1" ht="11.25">
      <c r="A21" s="147">
        <f t="shared" si="0"/>
        <v>0</v>
      </c>
      <c r="B21" s="140">
        <f t="shared" si="1"/>
        <v>0</v>
      </c>
      <c r="C21" s="141">
        <f t="shared" si="2"/>
        <v>1</v>
      </c>
      <c r="D21" s="142">
        <v>2</v>
      </c>
      <c r="E21" s="143">
        <f t="shared" ref="E21:E84" si="16">IF(E20&lt;H20,0,E20-G20)</f>
        <v>0</v>
      </c>
      <c r="F21" s="144">
        <f t="shared" si="3"/>
        <v>0</v>
      </c>
      <c r="G21" s="144">
        <f t="shared" si="4"/>
        <v>0</v>
      </c>
      <c r="H21" s="149">
        <f t="shared" ref="H21:H31" si="17">IF(E21&lt;=0,0,H$10)</f>
        <v>0</v>
      </c>
      <c r="I21" s="143">
        <f t="shared" ref="I21:I84" si="18">IF(I20&lt;L20,0,I20-K20)</f>
        <v>0</v>
      </c>
      <c r="J21" s="144">
        <f t="shared" si="5"/>
        <v>0</v>
      </c>
      <c r="K21" s="144">
        <f t="shared" si="6"/>
        <v>0</v>
      </c>
      <c r="L21" s="149">
        <f t="shared" ref="L21:L31" si="19">IF(I21&lt;=0,0,L$10)</f>
        <v>0</v>
      </c>
      <c r="M21" s="143">
        <f t="shared" ref="M21:M84" si="20">IF(M20&lt;P20,0,M20-O20)</f>
        <v>0</v>
      </c>
      <c r="N21" s="144">
        <f t="shared" si="7"/>
        <v>0</v>
      </c>
      <c r="O21" s="144">
        <f t="shared" si="8"/>
        <v>0</v>
      </c>
      <c r="P21" s="149">
        <f t="shared" ref="P21:P31" si="21">IF(M21&lt;=0,0,P$10)</f>
        <v>0</v>
      </c>
      <c r="R21" s="143">
        <f t="shared" ref="R21:R84" si="22">IF(R20&lt;U20,0,R20-T20)</f>
        <v>0</v>
      </c>
      <c r="S21" s="144">
        <f t="shared" si="9"/>
        <v>0</v>
      </c>
      <c r="T21" s="144">
        <f t="shared" si="10"/>
        <v>0</v>
      </c>
      <c r="U21" s="150">
        <f t="shared" si="11"/>
        <v>0</v>
      </c>
      <c r="V21" s="143">
        <f t="shared" ref="V21:V84" si="23">IF(V20&lt;Y20,0,V20-X20)</f>
        <v>0</v>
      </c>
      <c r="W21" s="144">
        <f t="shared" si="12"/>
        <v>0</v>
      </c>
      <c r="X21" s="144">
        <f t="shared" si="13"/>
        <v>0</v>
      </c>
      <c r="Y21" s="150">
        <f t="shared" si="14"/>
        <v>0</v>
      </c>
      <c r="Z21" s="151">
        <f t="shared" ref="Z21:Z30" si="24">$Y21</f>
        <v>0</v>
      </c>
      <c r="AA21" s="151">
        <f t="shared" si="15"/>
        <v>0</v>
      </c>
      <c r="AB21" s="151">
        <f t="shared" si="15"/>
        <v>0</v>
      </c>
      <c r="AC21" s="151">
        <f t="shared" si="15"/>
        <v>0</v>
      </c>
    </row>
    <row r="22" spans="1:29" s="61" customFormat="1" ht="11.25">
      <c r="A22" s="147">
        <f t="shared" si="0"/>
        <v>0</v>
      </c>
      <c r="B22" s="140">
        <f t="shared" si="1"/>
        <v>0</v>
      </c>
      <c r="C22" s="141">
        <f t="shared" si="2"/>
        <v>1</v>
      </c>
      <c r="D22" s="142">
        <v>3</v>
      </c>
      <c r="E22" s="143">
        <f t="shared" si="16"/>
        <v>0</v>
      </c>
      <c r="F22" s="144">
        <f t="shared" si="3"/>
        <v>0</v>
      </c>
      <c r="G22" s="144">
        <f t="shared" si="4"/>
        <v>0</v>
      </c>
      <c r="H22" s="149">
        <f t="shared" si="17"/>
        <v>0</v>
      </c>
      <c r="I22" s="143">
        <f t="shared" si="18"/>
        <v>0</v>
      </c>
      <c r="J22" s="144">
        <f t="shared" si="5"/>
        <v>0</v>
      </c>
      <c r="K22" s="144">
        <f t="shared" si="6"/>
        <v>0</v>
      </c>
      <c r="L22" s="149">
        <f t="shared" si="19"/>
        <v>0</v>
      </c>
      <c r="M22" s="143">
        <f t="shared" si="20"/>
        <v>0</v>
      </c>
      <c r="N22" s="144">
        <f t="shared" si="7"/>
        <v>0</v>
      </c>
      <c r="O22" s="144">
        <f t="shared" si="8"/>
        <v>0</v>
      </c>
      <c r="P22" s="149">
        <f t="shared" si="21"/>
        <v>0</v>
      </c>
      <c r="R22" s="143">
        <f t="shared" si="22"/>
        <v>0</v>
      </c>
      <c r="S22" s="144">
        <f t="shared" si="9"/>
        <v>0</v>
      </c>
      <c r="T22" s="144">
        <f t="shared" si="10"/>
        <v>0</v>
      </c>
      <c r="U22" s="150">
        <f t="shared" si="11"/>
        <v>0</v>
      </c>
      <c r="V22" s="143">
        <f t="shared" si="23"/>
        <v>0</v>
      </c>
      <c r="W22" s="144">
        <f t="shared" si="12"/>
        <v>0</v>
      </c>
      <c r="X22" s="144">
        <f t="shared" si="13"/>
        <v>0</v>
      </c>
      <c r="Y22" s="150">
        <f t="shared" si="14"/>
        <v>0</v>
      </c>
      <c r="Z22" s="151">
        <f t="shared" si="24"/>
        <v>0</v>
      </c>
      <c r="AA22" s="151">
        <f t="shared" si="15"/>
        <v>0</v>
      </c>
      <c r="AB22" s="151">
        <f t="shared" si="15"/>
        <v>0</v>
      </c>
      <c r="AC22" s="151">
        <f t="shared" si="15"/>
        <v>0</v>
      </c>
    </row>
    <row r="23" spans="1:29" s="61" customFormat="1" ht="11.25">
      <c r="A23" s="147">
        <f t="shared" si="0"/>
        <v>0</v>
      </c>
      <c r="B23" s="140">
        <f t="shared" si="1"/>
        <v>0</v>
      </c>
      <c r="C23" s="141">
        <f t="shared" si="2"/>
        <v>1</v>
      </c>
      <c r="D23" s="142">
        <v>4</v>
      </c>
      <c r="E23" s="143">
        <f t="shared" si="16"/>
        <v>0</v>
      </c>
      <c r="F23" s="144">
        <f t="shared" si="3"/>
        <v>0</v>
      </c>
      <c r="G23" s="144">
        <f t="shared" si="4"/>
        <v>0</v>
      </c>
      <c r="H23" s="149">
        <f t="shared" si="17"/>
        <v>0</v>
      </c>
      <c r="I23" s="143">
        <f t="shared" si="18"/>
        <v>0</v>
      </c>
      <c r="J23" s="144">
        <f t="shared" si="5"/>
        <v>0</v>
      </c>
      <c r="K23" s="144">
        <f t="shared" si="6"/>
        <v>0</v>
      </c>
      <c r="L23" s="149">
        <f t="shared" si="19"/>
        <v>0</v>
      </c>
      <c r="M23" s="143">
        <f t="shared" si="20"/>
        <v>0</v>
      </c>
      <c r="N23" s="144">
        <f t="shared" si="7"/>
        <v>0</v>
      </c>
      <c r="O23" s="144">
        <f t="shared" si="8"/>
        <v>0</v>
      </c>
      <c r="P23" s="149">
        <f t="shared" si="21"/>
        <v>0</v>
      </c>
      <c r="R23" s="143">
        <f t="shared" si="22"/>
        <v>0</v>
      </c>
      <c r="S23" s="144">
        <f t="shared" si="9"/>
        <v>0</v>
      </c>
      <c r="T23" s="144">
        <f t="shared" si="10"/>
        <v>0</v>
      </c>
      <c r="U23" s="150">
        <f t="shared" si="11"/>
        <v>0</v>
      </c>
      <c r="V23" s="143">
        <f t="shared" si="23"/>
        <v>0</v>
      </c>
      <c r="W23" s="144">
        <f t="shared" si="12"/>
        <v>0</v>
      </c>
      <c r="X23" s="144">
        <f t="shared" si="13"/>
        <v>0</v>
      </c>
      <c r="Y23" s="150">
        <f t="shared" si="14"/>
        <v>0</v>
      </c>
      <c r="Z23" s="151">
        <f t="shared" si="24"/>
        <v>0</v>
      </c>
      <c r="AA23" s="151">
        <f t="shared" si="15"/>
        <v>0</v>
      </c>
      <c r="AB23" s="151">
        <f t="shared" si="15"/>
        <v>0</v>
      </c>
      <c r="AC23" s="151">
        <f t="shared" si="15"/>
        <v>0</v>
      </c>
    </row>
    <row r="24" spans="1:29" s="61" customFormat="1" ht="11.25">
      <c r="A24" s="147">
        <f t="shared" si="0"/>
        <v>0</v>
      </c>
      <c r="B24" s="140">
        <f t="shared" si="1"/>
        <v>0</v>
      </c>
      <c r="C24" s="141">
        <f t="shared" si="2"/>
        <v>1</v>
      </c>
      <c r="D24" s="142">
        <v>5</v>
      </c>
      <c r="E24" s="143">
        <f t="shared" si="16"/>
        <v>0</v>
      </c>
      <c r="F24" s="144">
        <f t="shared" si="3"/>
        <v>0</v>
      </c>
      <c r="G24" s="144">
        <f t="shared" si="4"/>
        <v>0</v>
      </c>
      <c r="H24" s="149">
        <f t="shared" si="17"/>
        <v>0</v>
      </c>
      <c r="I24" s="143">
        <f t="shared" si="18"/>
        <v>0</v>
      </c>
      <c r="J24" s="144">
        <f t="shared" si="5"/>
        <v>0</v>
      </c>
      <c r="K24" s="144">
        <f t="shared" si="6"/>
        <v>0</v>
      </c>
      <c r="L24" s="149">
        <f t="shared" si="19"/>
        <v>0</v>
      </c>
      <c r="M24" s="143">
        <f t="shared" si="20"/>
        <v>0</v>
      </c>
      <c r="N24" s="144">
        <f t="shared" si="7"/>
        <v>0</v>
      </c>
      <c r="O24" s="144">
        <f t="shared" si="8"/>
        <v>0</v>
      </c>
      <c r="P24" s="149">
        <f t="shared" si="21"/>
        <v>0</v>
      </c>
      <c r="R24" s="143">
        <f t="shared" si="22"/>
        <v>0</v>
      </c>
      <c r="S24" s="144">
        <f t="shared" si="9"/>
        <v>0</v>
      </c>
      <c r="T24" s="144">
        <f t="shared" si="10"/>
        <v>0</v>
      </c>
      <c r="U24" s="150">
        <f t="shared" si="11"/>
        <v>0</v>
      </c>
      <c r="V24" s="143">
        <f t="shared" si="23"/>
        <v>0</v>
      </c>
      <c r="W24" s="144">
        <f t="shared" si="12"/>
        <v>0</v>
      </c>
      <c r="X24" s="144">
        <f t="shared" si="13"/>
        <v>0</v>
      </c>
      <c r="Y24" s="150">
        <f t="shared" si="14"/>
        <v>0</v>
      </c>
      <c r="Z24" s="151">
        <f t="shared" si="24"/>
        <v>0</v>
      </c>
      <c r="AA24" s="151">
        <f t="shared" si="15"/>
        <v>0</v>
      </c>
      <c r="AB24" s="151">
        <f t="shared" si="15"/>
        <v>0</v>
      </c>
      <c r="AC24" s="151">
        <f t="shared" si="15"/>
        <v>0</v>
      </c>
    </row>
    <row r="25" spans="1:29" s="61" customFormat="1" ht="11.25">
      <c r="A25" s="147">
        <f t="shared" si="0"/>
        <v>0</v>
      </c>
      <c r="B25" s="140">
        <f t="shared" si="1"/>
        <v>0</v>
      </c>
      <c r="C25" s="141">
        <f t="shared" si="2"/>
        <v>1</v>
      </c>
      <c r="D25" s="142">
        <v>6</v>
      </c>
      <c r="E25" s="143">
        <f t="shared" si="16"/>
        <v>0</v>
      </c>
      <c r="F25" s="144">
        <f t="shared" si="3"/>
        <v>0</v>
      </c>
      <c r="G25" s="144">
        <f t="shared" si="4"/>
        <v>0</v>
      </c>
      <c r="H25" s="149">
        <f t="shared" si="17"/>
        <v>0</v>
      </c>
      <c r="I25" s="143">
        <f t="shared" si="18"/>
        <v>0</v>
      </c>
      <c r="J25" s="144">
        <f t="shared" si="5"/>
        <v>0</v>
      </c>
      <c r="K25" s="144">
        <f t="shared" si="6"/>
        <v>0</v>
      </c>
      <c r="L25" s="149">
        <f t="shared" si="19"/>
        <v>0</v>
      </c>
      <c r="M25" s="143">
        <f t="shared" si="20"/>
        <v>0</v>
      </c>
      <c r="N25" s="144">
        <f t="shared" si="7"/>
        <v>0</v>
      </c>
      <c r="O25" s="144">
        <f t="shared" si="8"/>
        <v>0</v>
      </c>
      <c r="P25" s="149">
        <f t="shared" si="21"/>
        <v>0</v>
      </c>
      <c r="R25" s="143">
        <f t="shared" si="22"/>
        <v>0</v>
      </c>
      <c r="S25" s="144">
        <f t="shared" si="9"/>
        <v>0</v>
      </c>
      <c r="T25" s="144">
        <f t="shared" si="10"/>
        <v>0</v>
      </c>
      <c r="U25" s="150">
        <f t="shared" si="11"/>
        <v>0</v>
      </c>
      <c r="V25" s="143">
        <f t="shared" si="23"/>
        <v>0</v>
      </c>
      <c r="W25" s="144">
        <f t="shared" si="12"/>
        <v>0</v>
      </c>
      <c r="X25" s="144">
        <f t="shared" si="13"/>
        <v>0</v>
      </c>
      <c r="Y25" s="150">
        <f t="shared" si="14"/>
        <v>0</v>
      </c>
      <c r="Z25" s="151">
        <f t="shared" si="24"/>
        <v>0</v>
      </c>
      <c r="AA25" s="151">
        <f t="shared" si="15"/>
        <v>0</v>
      </c>
      <c r="AB25" s="151">
        <f t="shared" si="15"/>
        <v>0</v>
      </c>
      <c r="AC25" s="151">
        <f t="shared" si="15"/>
        <v>0</v>
      </c>
    </row>
    <row r="26" spans="1:29" s="61" customFormat="1" ht="11.25">
      <c r="A26" s="147">
        <f t="shared" si="0"/>
        <v>0</v>
      </c>
      <c r="B26" s="152">
        <f t="shared" si="1"/>
        <v>0</v>
      </c>
      <c r="C26" s="141">
        <f t="shared" si="2"/>
        <v>1</v>
      </c>
      <c r="D26" s="142">
        <v>7</v>
      </c>
      <c r="E26" s="143">
        <f t="shared" si="16"/>
        <v>0</v>
      </c>
      <c r="F26" s="144">
        <f t="shared" si="3"/>
        <v>0</v>
      </c>
      <c r="G26" s="144">
        <f t="shared" si="4"/>
        <v>0</v>
      </c>
      <c r="H26" s="149">
        <f t="shared" si="17"/>
        <v>0</v>
      </c>
      <c r="I26" s="143">
        <f t="shared" si="18"/>
        <v>0</v>
      </c>
      <c r="J26" s="144">
        <f t="shared" si="5"/>
        <v>0</v>
      </c>
      <c r="K26" s="144">
        <f t="shared" si="6"/>
        <v>0</v>
      </c>
      <c r="L26" s="149">
        <f t="shared" si="19"/>
        <v>0</v>
      </c>
      <c r="M26" s="143">
        <f t="shared" si="20"/>
        <v>0</v>
      </c>
      <c r="N26" s="144">
        <f t="shared" si="7"/>
        <v>0</v>
      </c>
      <c r="O26" s="144">
        <f t="shared" si="8"/>
        <v>0</v>
      </c>
      <c r="P26" s="149">
        <f t="shared" si="21"/>
        <v>0</v>
      </c>
      <c r="R26" s="143">
        <f t="shared" si="22"/>
        <v>0</v>
      </c>
      <c r="S26" s="144">
        <f t="shared" si="9"/>
        <v>0</v>
      </c>
      <c r="T26" s="144">
        <f t="shared" si="10"/>
        <v>0</v>
      </c>
      <c r="U26" s="150">
        <f t="shared" si="11"/>
        <v>0</v>
      </c>
      <c r="V26" s="143">
        <f t="shared" si="23"/>
        <v>0</v>
      </c>
      <c r="W26" s="144">
        <f t="shared" si="12"/>
        <v>0</v>
      </c>
      <c r="X26" s="144">
        <f t="shared" si="13"/>
        <v>0</v>
      </c>
      <c r="Y26" s="150">
        <f t="shared" si="14"/>
        <v>0</v>
      </c>
      <c r="Z26" s="151">
        <f t="shared" si="24"/>
        <v>0</v>
      </c>
      <c r="AA26" s="151">
        <f t="shared" si="15"/>
        <v>0</v>
      </c>
      <c r="AB26" s="151">
        <f t="shared" si="15"/>
        <v>0</v>
      </c>
      <c r="AC26" s="151">
        <f t="shared" si="15"/>
        <v>0</v>
      </c>
    </row>
    <row r="27" spans="1:29" s="61" customFormat="1" ht="11.25">
      <c r="A27" s="147">
        <f t="shared" si="0"/>
        <v>0</v>
      </c>
      <c r="B27" s="152">
        <f t="shared" si="1"/>
        <v>0</v>
      </c>
      <c r="C27" s="141">
        <f t="shared" si="2"/>
        <v>1</v>
      </c>
      <c r="D27" s="142">
        <v>8</v>
      </c>
      <c r="E27" s="143">
        <f t="shared" si="16"/>
        <v>0</v>
      </c>
      <c r="F27" s="144">
        <f t="shared" si="3"/>
        <v>0</v>
      </c>
      <c r="G27" s="144">
        <f t="shared" si="4"/>
        <v>0</v>
      </c>
      <c r="H27" s="149">
        <f t="shared" si="17"/>
        <v>0</v>
      </c>
      <c r="I27" s="143">
        <f t="shared" si="18"/>
        <v>0</v>
      </c>
      <c r="J27" s="144">
        <f t="shared" si="5"/>
        <v>0</v>
      </c>
      <c r="K27" s="144">
        <f t="shared" si="6"/>
        <v>0</v>
      </c>
      <c r="L27" s="149">
        <f t="shared" si="19"/>
        <v>0</v>
      </c>
      <c r="M27" s="143">
        <f t="shared" si="20"/>
        <v>0</v>
      </c>
      <c r="N27" s="144">
        <f t="shared" si="7"/>
        <v>0</v>
      </c>
      <c r="O27" s="144">
        <f t="shared" si="8"/>
        <v>0</v>
      </c>
      <c r="P27" s="149">
        <f t="shared" si="21"/>
        <v>0</v>
      </c>
      <c r="R27" s="143">
        <f t="shared" si="22"/>
        <v>0</v>
      </c>
      <c r="S27" s="144">
        <f t="shared" si="9"/>
        <v>0</v>
      </c>
      <c r="T27" s="144">
        <f t="shared" si="10"/>
        <v>0</v>
      </c>
      <c r="U27" s="150">
        <f t="shared" si="11"/>
        <v>0</v>
      </c>
      <c r="V27" s="143">
        <f t="shared" si="23"/>
        <v>0</v>
      </c>
      <c r="W27" s="144">
        <f t="shared" si="12"/>
        <v>0</v>
      </c>
      <c r="X27" s="144">
        <f t="shared" si="13"/>
        <v>0</v>
      </c>
      <c r="Y27" s="150">
        <f t="shared" si="14"/>
        <v>0</v>
      </c>
      <c r="Z27" s="151">
        <f t="shared" si="24"/>
        <v>0</v>
      </c>
      <c r="AA27" s="151">
        <f t="shared" si="15"/>
        <v>0</v>
      </c>
      <c r="AB27" s="151">
        <f t="shared" si="15"/>
        <v>0</v>
      </c>
      <c r="AC27" s="151">
        <f t="shared" si="15"/>
        <v>0</v>
      </c>
    </row>
    <row r="28" spans="1:29" s="61" customFormat="1" ht="11.25">
      <c r="A28" s="147">
        <f t="shared" si="0"/>
        <v>0</v>
      </c>
      <c r="B28" s="152">
        <f t="shared" si="1"/>
        <v>0</v>
      </c>
      <c r="C28" s="141">
        <f t="shared" si="2"/>
        <v>1</v>
      </c>
      <c r="D28" s="142">
        <v>9</v>
      </c>
      <c r="E28" s="143">
        <f t="shared" si="16"/>
        <v>0</v>
      </c>
      <c r="F28" s="144">
        <f t="shared" si="3"/>
        <v>0</v>
      </c>
      <c r="G28" s="144">
        <f t="shared" si="4"/>
        <v>0</v>
      </c>
      <c r="H28" s="149">
        <f t="shared" si="17"/>
        <v>0</v>
      </c>
      <c r="I28" s="143">
        <f t="shared" si="18"/>
        <v>0</v>
      </c>
      <c r="J28" s="144">
        <f t="shared" si="5"/>
        <v>0</v>
      </c>
      <c r="K28" s="144">
        <f t="shared" si="6"/>
        <v>0</v>
      </c>
      <c r="L28" s="149">
        <f t="shared" si="19"/>
        <v>0</v>
      </c>
      <c r="M28" s="143">
        <f t="shared" si="20"/>
        <v>0</v>
      </c>
      <c r="N28" s="144">
        <f t="shared" si="7"/>
        <v>0</v>
      </c>
      <c r="O28" s="144">
        <f t="shared" si="8"/>
        <v>0</v>
      </c>
      <c r="P28" s="149">
        <f t="shared" si="21"/>
        <v>0</v>
      </c>
      <c r="R28" s="143">
        <f t="shared" si="22"/>
        <v>0</v>
      </c>
      <c r="S28" s="144">
        <f t="shared" si="9"/>
        <v>0</v>
      </c>
      <c r="T28" s="144">
        <f t="shared" si="10"/>
        <v>0</v>
      </c>
      <c r="U28" s="150">
        <f t="shared" si="11"/>
        <v>0</v>
      </c>
      <c r="V28" s="143">
        <f t="shared" si="23"/>
        <v>0</v>
      </c>
      <c r="W28" s="144">
        <f t="shared" si="12"/>
        <v>0</v>
      </c>
      <c r="X28" s="144">
        <f t="shared" si="13"/>
        <v>0</v>
      </c>
      <c r="Y28" s="150">
        <f t="shared" si="14"/>
        <v>0</v>
      </c>
      <c r="Z28" s="151">
        <f t="shared" si="24"/>
        <v>0</v>
      </c>
      <c r="AA28" s="151">
        <f t="shared" si="15"/>
        <v>0</v>
      </c>
      <c r="AB28" s="151">
        <f t="shared" si="15"/>
        <v>0</v>
      </c>
      <c r="AC28" s="151">
        <f t="shared" si="15"/>
        <v>0</v>
      </c>
    </row>
    <row r="29" spans="1:29" s="61" customFormat="1" ht="11.25">
      <c r="A29" s="147">
        <f t="shared" si="0"/>
        <v>0</v>
      </c>
      <c r="B29" s="152">
        <f t="shared" si="1"/>
        <v>0</v>
      </c>
      <c r="C29" s="141">
        <f t="shared" si="2"/>
        <v>1</v>
      </c>
      <c r="D29" s="142">
        <v>10</v>
      </c>
      <c r="E29" s="143">
        <f t="shared" si="16"/>
        <v>0</v>
      </c>
      <c r="F29" s="144">
        <f t="shared" si="3"/>
        <v>0</v>
      </c>
      <c r="G29" s="144">
        <f t="shared" si="4"/>
        <v>0</v>
      </c>
      <c r="H29" s="149">
        <f t="shared" si="17"/>
        <v>0</v>
      </c>
      <c r="I29" s="143">
        <f t="shared" si="18"/>
        <v>0</v>
      </c>
      <c r="J29" s="144">
        <f t="shared" si="5"/>
        <v>0</v>
      </c>
      <c r="K29" s="144">
        <f t="shared" si="6"/>
        <v>0</v>
      </c>
      <c r="L29" s="149">
        <f t="shared" si="19"/>
        <v>0</v>
      </c>
      <c r="M29" s="143">
        <f t="shared" si="20"/>
        <v>0</v>
      </c>
      <c r="N29" s="144">
        <f t="shared" si="7"/>
        <v>0</v>
      </c>
      <c r="O29" s="144">
        <f t="shared" si="8"/>
        <v>0</v>
      </c>
      <c r="P29" s="149">
        <f t="shared" si="21"/>
        <v>0</v>
      </c>
      <c r="R29" s="143">
        <f t="shared" si="22"/>
        <v>0</v>
      </c>
      <c r="S29" s="144">
        <f t="shared" si="9"/>
        <v>0</v>
      </c>
      <c r="T29" s="144">
        <f t="shared" si="10"/>
        <v>0</v>
      </c>
      <c r="U29" s="150">
        <f t="shared" si="11"/>
        <v>0</v>
      </c>
      <c r="V29" s="143">
        <f t="shared" si="23"/>
        <v>0</v>
      </c>
      <c r="W29" s="144">
        <f t="shared" si="12"/>
        <v>0</v>
      </c>
      <c r="X29" s="144">
        <f t="shared" si="13"/>
        <v>0</v>
      </c>
      <c r="Y29" s="150">
        <f t="shared" si="14"/>
        <v>0</v>
      </c>
      <c r="Z29" s="151">
        <f t="shared" si="24"/>
        <v>0</v>
      </c>
      <c r="AA29" s="151">
        <f t="shared" si="15"/>
        <v>0</v>
      </c>
      <c r="AB29" s="151">
        <f t="shared" si="15"/>
        <v>0</v>
      </c>
      <c r="AC29" s="151">
        <f t="shared" si="15"/>
        <v>0</v>
      </c>
    </row>
    <row r="30" spans="1:29" s="61" customFormat="1" ht="11.25">
      <c r="A30" s="147">
        <f t="shared" si="0"/>
        <v>0</v>
      </c>
      <c r="B30" s="152">
        <f t="shared" si="1"/>
        <v>0</v>
      </c>
      <c r="C30" s="141">
        <f t="shared" si="2"/>
        <v>1</v>
      </c>
      <c r="D30" s="142">
        <v>11</v>
      </c>
      <c r="E30" s="143">
        <f t="shared" si="16"/>
        <v>0</v>
      </c>
      <c r="F30" s="144">
        <f t="shared" si="3"/>
        <v>0</v>
      </c>
      <c r="G30" s="144">
        <f t="shared" si="4"/>
        <v>0</v>
      </c>
      <c r="H30" s="149">
        <f t="shared" si="17"/>
        <v>0</v>
      </c>
      <c r="I30" s="143">
        <f t="shared" si="18"/>
        <v>0</v>
      </c>
      <c r="J30" s="144">
        <f t="shared" si="5"/>
        <v>0</v>
      </c>
      <c r="K30" s="144">
        <f t="shared" si="6"/>
        <v>0</v>
      </c>
      <c r="L30" s="149">
        <f t="shared" si="19"/>
        <v>0</v>
      </c>
      <c r="M30" s="143">
        <f t="shared" si="20"/>
        <v>0</v>
      </c>
      <c r="N30" s="144">
        <f t="shared" si="7"/>
        <v>0</v>
      </c>
      <c r="O30" s="144">
        <f t="shared" si="8"/>
        <v>0</v>
      </c>
      <c r="P30" s="149">
        <f t="shared" si="21"/>
        <v>0</v>
      </c>
      <c r="R30" s="143">
        <f t="shared" si="22"/>
        <v>0</v>
      </c>
      <c r="S30" s="144">
        <f t="shared" si="9"/>
        <v>0</v>
      </c>
      <c r="T30" s="144">
        <f t="shared" si="10"/>
        <v>0</v>
      </c>
      <c r="U30" s="150">
        <f t="shared" si="11"/>
        <v>0</v>
      </c>
      <c r="V30" s="143">
        <f t="shared" si="23"/>
        <v>0</v>
      </c>
      <c r="W30" s="144">
        <f t="shared" si="12"/>
        <v>0</v>
      </c>
      <c r="X30" s="144">
        <f t="shared" si="13"/>
        <v>0</v>
      </c>
      <c r="Y30" s="150">
        <f t="shared" si="14"/>
        <v>0</v>
      </c>
      <c r="Z30" s="151">
        <f t="shared" si="24"/>
        <v>0</v>
      </c>
      <c r="AA30" s="151">
        <f t="shared" si="15"/>
        <v>0</v>
      </c>
      <c r="AB30" s="151">
        <f t="shared" si="15"/>
        <v>0</v>
      </c>
      <c r="AC30" s="151">
        <f t="shared" si="15"/>
        <v>0</v>
      </c>
    </row>
    <row r="31" spans="1:29" s="61" customFormat="1" ht="12" thickBot="1">
      <c r="A31" s="153">
        <f t="shared" si="0"/>
        <v>0</v>
      </c>
      <c r="B31" s="154">
        <f t="shared" si="1"/>
        <v>0</v>
      </c>
      <c r="C31" s="155">
        <f t="shared" si="2"/>
        <v>1</v>
      </c>
      <c r="D31" s="156">
        <v>12</v>
      </c>
      <c r="E31" s="157">
        <f t="shared" si="16"/>
        <v>0</v>
      </c>
      <c r="F31" s="158">
        <f t="shared" si="3"/>
        <v>0</v>
      </c>
      <c r="G31" s="158">
        <f t="shared" si="4"/>
        <v>0</v>
      </c>
      <c r="H31" s="159">
        <f t="shared" si="17"/>
        <v>0</v>
      </c>
      <c r="I31" s="157">
        <f t="shared" si="18"/>
        <v>0</v>
      </c>
      <c r="J31" s="158">
        <f t="shared" si="5"/>
        <v>0</v>
      </c>
      <c r="K31" s="158">
        <f t="shared" si="6"/>
        <v>0</v>
      </c>
      <c r="L31" s="159">
        <f t="shared" si="19"/>
        <v>0</v>
      </c>
      <c r="M31" s="157">
        <f t="shared" si="20"/>
        <v>0</v>
      </c>
      <c r="N31" s="158">
        <f t="shared" si="7"/>
        <v>0</v>
      </c>
      <c r="O31" s="158">
        <f t="shared" si="8"/>
        <v>0</v>
      </c>
      <c r="P31" s="159">
        <f t="shared" si="21"/>
        <v>0</v>
      </c>
      <c r="R31" s="157">
        <f t="shared" si="22"/>
        <v>0</v>
      </c>
      <c r="S31" s="158">
        <f t="shared" si="9"/>
        <v>0</v>
      </c>
      <c r="T31" s="158">
        <f t="shared" si="10"/>
        <v>0</v>
      </c>
      <c r="U31" s="160">
        <f t="shared" si="11"/>
        <v>0</v>
      </c>
      <c r="V31" s="157">
        <f t="shared" si="23"/>
        <v>0</v>
      </c>
      <c r="W31" s="158">
        <f t="shared" si="12"/>
        <v>0</v>
      </c>
      <c r="X31" s="158">
        <f t="shared" si="13"/>
        <v>0</v>
      </c>
      <c r="Y31" s="160">
        <f t="shared" si="14"/>
        <v>0</v>
      </c>
      <c r="Z31" s="151">
        <f>$V31+$W31</f>
        <v>0</v>
      </c>
      <c r="AA31" s="151">
        <f t="shared" si="15"/>
        <v>0</v>
      </c>
      <c r="AB31" s="151">
        <f t="shared" si="15"/>
        <v>0</v>
      </c>
      <c r="AC31" s="151">
        <f t="shared" si="15"/>
        <v>0</v>
      </c>
    </row>
    <row r="32" spans="1:29" s="61" customFormat="1" ht="11.25">
      <c r="A32" s="147">
        <f t="shared" si="0"/>
        <v>0</v>
      </c>
      <c r="B32" s="152">
        <f t="shared" si="1"/>
        <v>0</v>
      </c>
      <c r="C32" s="141">
        <f t="shared" si="2"/>
        <v>2</v>
      </c>
      <c r="D32" s="142">
        <v>13</v>
      </c>
      <c r="E32" s="143">
        <f t="shared" si="16"/>
        <v>0</v>
      </c>
      <c r="F32" s="144">
        <f t="shared" si="3"/>
        <v>0</v>
      </c>
      <c r="G32" s="144">
        <f t="shared" si="4"/>
        <v>0</v>
      </c>
      <c r="H32" s="161">
        <f>IF(E32&lt;=0,0,H$11)</f>
        <v>0</v>
      </c>
      <c r="I32" s="162">
        <f t="shared" si="18"/>
        <v>0</v>
      </c>
      <c r="J32" s="144">
        <f t="shared" si="5"/>
        <v>0</v>
      </c>
      <c r="K32" s="144">
        <f t="shared" si="6"/>
        <v>0</v>
      </c>
      <c r="L32" s="161">
        <f>IF(I32&lt;=0,0,L$11)</f>
        <v>0</v>
      </c>
      <c r="M32" s="143">
        <f t="shared" si="20"/>
        <v>0</v>
      </c>
      <c r="N32" s="144">
        <f t="shared" si="7"/>
        <v>0</v>
      </c>
      <c r="O32" s="144">
        <f t="shared" si="8"/>
        <v>0</v>
      </c>
      <c r="P32" s="161">
        <f>IF(M32&lt;=0,0,P$11)</f>
        <v>0</v>
      </c>
      <c r="R32" s="143">
        <f t="shared" si="22"/>
        <v>0</v>
      </c>
      <c r="S32" s="144">
        <f t="shared" si="9"/>
        <v>0</v>
      </c>
      <c r="T32" s="144">
        <f t="shared" si="10"/>
        <v>0</v>
      </c>
      <c r="U32" s="163">
        <f t="shared" si="11"/>
        <v>0</v>
      </c>
      <c r="V32" s="143">
        <f t="shared" si="23"/>
        <v>0</v>
      </c>
      <c r="W32" s="144">
        <f t="shared" si="12"/>
        <v>0</v>
      </c>
      <c r="X32" s="144">
        <f t="shared" si="13"/>
        <v>0</v>
      </c>
      <c r="Y32" s="163">
        <f t="shared" si="14"/>
        <v>0</v>
      </c>
      <c r="Z32" s="151">
        <v>0</v>
      </c>
      <c r="AA32" s="151">
        <f t="shared" si="15"/>
        <v>0</v>
      </c>
      <c r="AB32" s="151">
        <f t="shared" si="15"/>
        <v>0</v>
      </c>
      <c r="AC32" s="151">
        <f t="shared" si="15"/>
        <v>0</v>
      </c>
    </row>
    <row r="33" spans="1:29" s="61" customFormat="1" ht="11.25">
      <c r="A33" s="147">
        <f t="shared" si="0"/>
        <v>0</v>
      </c>
      <c r="B33" s="152">
        <f t="shared" si="1"/>
        <v>0</v>
      </c>
      <c r="C33" s="141">
        <f t="shared" si="2"/>
        <v>2</v>
      </c>
      <c r="D33" s="142">
        <v>14</v>
      </c>
      <c r="E33" s="143">
        <f t="shared" si="16"/>
        <v>0</v>
      </c>
      <c r="F33" s="144">
        <f t="shared" si="3"/>
        <v>0</v>
      </c>
      <c r="G33" s="144">
        <f t="shared" si="4"/>
        <v>0</v>
      </c>
      <c r="H33" s="161">
        <f t="shared" ref="H33:H43" si="25">IF(E33&lt;=0,0,H$11)</f>
        <v>0</v>
      </c>
      <c r="I33" s="143">
        <f t="shared" si="18"/>
        <v>0</v>
      </c>
      <c r="J33" s="144">
        <f t="shared" si="5"/>
        <v>0</v>
      </c>
      <c r="K33" s="144">
        <f t="shared" si="6"/>
        <v>0</v>
      </c>
      <c r="L33" s="161">
        <f t="shared" ref="L33:L43" si="26">IF(I33&lt;=0,0,L$11)</f>
        <v>0</v>
      </c>
      <c r="M33" s="143">
        <f t="shared" si="20"/>
        <v>0</v>
      </c>
      <c r="N33" s="144">
        <f t="shared" si="7"/>
        <v>0</v>
      </c>
      <c r="O33" s="144">
        <f t="shared" si="8"/>
        <v>0</v>
      </c>
      <c r="P33" s="161">
        <f t="shared" ref="P33:P43" si="27">IF(M33&lt;=0,0,P$11)</f>
        <v>0</v>
      </c>
      <c r="R33" s="143">
        <f t="shared" si="22"/>
        <v>0</v>
      </c>
      <c r="S33" s="144">
        <f t="shared" si="9"/>
        <v>0</v>
      </c>
      <c r="T33" s="144">
        <f t="shared" si="10"/>
        <v>0</v>
      </c>
      <c r="U33" s="163">
        <f t="shared" si="11"/>
        <v>0</v>
      </c>
      <c r="V33" s="143">
        <f t="shared" si="23"/>
        <v>0</v>
      </c>
      <c r="W33" s="144">
        <f t="shared" si="12"/>
        <v>0</v>
      </c>
      <c r="X33" s="144">
        <f t="shared" si="13"/>
        <v>0</v>
      </c>
      <c r="Y33" s="163">
        <f t="shared" si="14"/>
        <v>0</v>
      </c>
      <c r="Z33" s="151">
        <v>0</v>
      </c>
      <c r="AA33" s="151">
        <f t="shared" si="15"/>
        <v>0</v>
      </c>
      <c r="AB33" s="151">
        <f t="shared" si="15"/>
        <v>0</v>
      </c>
      <c r="AC33" s="151">
        <f t="shared" si="15"/>
        <v>0</v>
      </c>
    </row>
    <row r="34" spans="1:29" s="61" customFormat="1" ht="11.25">
      <c r="A34" s="147">
        <f t="shared" si="0"/>
        <v>0</v>
      </c>
      <c r="B34" s="152">
        <f t="shared" si="1"/>
        <v>0</v>
      </c>
      <c r="C34" s="141">
        <f t="shared" si="2"/>
        <v>2</v>
      </c>
      <c r="D34" s="142">
        <v>15</v>
      </c>
      <c r="E34" s="143">
        <f t="shared" si="16"/>
        <v>0</v>
      </c>
      <c r="F34" s="144">
        <f t="shared" si="3"/>
        <v>0</v>
      </c>
      <c r="G34" s="144">
        <f t="shared" si="4"/>
        <v>0</v>
      </c>
      <c r="H34" s="161">
        <f t="shared" si="25"/>
        <v>0</v>
      </c>
      <c r="I34" s="143">
        <f t="shared" si="18"/>
        <v>0</v>
      </c>
      <c r="J34" s="144">
        <f t="shared" si="5"/>
        <v>0</v>
      </c>
      <c r="K34" s="144">
        <f t="shared" si="6"/>
        <v>0</v>
      </c>
      <c r="L34" s="161">
        <f t="shared" si="26"/>
        <v>0</v>
      </c>
      <c r="M34" s="143">
        <f t="shared" si="20"/>
        <v>0</v>
      </c>
      <c r="N34" s="144">
        <f t="shared" si="7"/>
        <v>0</v>
      </c>
      <c r="O34" s="144">
        <f t="shared" si="8"/>
        <v>0</v>
      </c>
      <c r="P34" s="161">
        <f t="shared" si="27"/>
        <v>0</v>
      </c>
      <c r="R34" s="143">
        <f t="shared" si="22"/>
        <v>0</v>
      </c>
      <c r="S34" s="144">
        <f t="shared" si="9"/>
        <v>0</v>
      </c>
      <c r="T34" s="144">
        <f t="shared" si="10"/>
        <v>0</v>
      </c>
      <c r="U34" s="163">
        <f t="shared" si="11"/>
        <v>0</v>
      </c>
      <c r="V34" s="143">
        <f t="shared" si="23"/>
        <v>0</v>
      </c>
      <c r="W34" s="144">
        <f t="shared" si="12"/>
        <v>0</v>
      </c>
      <c r="X34" s="144">
        <f t="shared" si="13"/>
        <v>0</v>
      </c>
      <c r="Y34" s="163">
        <f t="shared" si="14"/>
        <v>0</v>
      </c>
      <c r="Z34" s="151">
        <v>0</v>
      </c>
      <c r="AA34" s="151">
        <f t="shared" si="15"/>
        <v>0</v>
      </c>
      <c r="AB34" s="151">
        <f t="shared" si="15"/>
        <v>0</v>
      </c>
      <c r="AC34" s="151">
        <f t="shared" si="15"/>
        <v>0</v>
      </c>
    </row>
    <row r="35" spans="1:29" s="61" customFormat="1" ht="11.25">
      <c r="A35" s="147">
        <f t="shared" si="0"/>
        <v>0</v>
      </c>
      <c r="B35" s="152">
        <f t="shared" si="1"/>
        <v>0</v>
      </c>
      <c r="C35" s="141">
        <f t="shared" si="2"/>
        <v>2</v>
      </c>
      <c r="D35" s="142">
        <v>16</v>
      </c>
      <c r="E35" s="143">
        <f t="shared" si="16"/>
        <v>0</v>
      </c>
      <c r="F35" s="144">
        <f t="shared" si="3"/>
        <v>0</v>
      </c>
      <c r="G35" s="144">
        <f t="shared" si="4"/>
        <v>0</v>
      </c>
      <c r="H35" s="161">
        <f t="shared" si="25"/>
        <v>0</v>
      </c>
      <c r="I35" s="143">
        <f t="shared" si="18"/>
        <v>0</v>
      </c>
      <c r="J35" s="144">
        <f t="shared" si="5"/>
        <v>0</v>
      </c>
      <c r="K35" s="144">
        <f t="shared" si="6"/>
        <v>0</v>
      </c>
      <c r="L35" s="161">
        <f t="shared" si="26"/>
        <v>0</v>
      </c>
      <c r="M35" s="143">
        <f t="shared" si="20"/>
        <v>0</v>
      </c>
      <c r="N35" s="144">
        <f t="shared" si="7"/>
        <v>0</v>
      </c>
      <c r="O35" s="144">
        <f t="shared" si="8"/>
        <v>0</v>
      </c>
      <c r="P35" s="161">
        <f t="shared" si="27"/>
        <v>0</v>
      </c>
      <c r="R35" s="143">
        <f t="shared" si="22"/>
        <v>0</v>
      </c>
      <c r="S35" s="144">
        <f t="shared" si="9"/>
        <v>0</v>
      </c>
      <c r="T35" s="144">
        <f t="shared" si="10"/>
        <v>0</v>
      </c>
      <c r="U35" s="163">
        <f t="shared" si="11"/>
        <v>0</v>
      </c>
      <c r="V35" s="143">
        <f t="shared" si="23"/>
        <v>0</v>
      </c>
      <c r="W35" s="144">
        <f t="shared" si="12"/>
        <v>0</v>
      </c>
      <c r="X35" s="144">
        <f t="shared" si="13"/>
        <v>0</v>
      </c>
      <c r="Y35" s="163">
        <f t="shared" si="14"/>
        <v>0</v>
      </c>
      <c r="Z35" s="151">
        <v>0</v>
      </c>
      <c r="AA35" s="151">
        <f t="shared" si="15"/>
        <v>0</v>
      </c>
      <c r="AB35" s="151">
        <f t="shared" si="15"/>
        <v>0</v>
      </c>
      <c r="AC35" s="151">
        <f t="shared" si="15"/>
        <v>0</v>
      </c>
    </row>
    <row r="36" spans="1:29" s="61" customFormat="1" ht="11.25">
      <c r="A36" s="147">
        <f t="shared" si="0"/>
        <v>0</v>
      </c>
      <c r="B36" s="152">
        <f t="shared" si="1"/>
        <v>0</v>
      </c>
      <c r="C36" s="141">
        <f t="shared" si="2"/>
        <v>2</v>
      </c>
      <c r="D36" s="142">
        <v>17</v>
      </c>
      <c r="E36" s="143">
        <f t="shared" si="16"/>
        <v>0</v>
      </c>
      <c r="F36" s="144">
        <f t="shared" si="3"/>
        <v>0</v>
      </c>
      <c r="G36" s="144">
        <f t="shared" si="4"/>
        <v>0</v>
      </c>
      <c r="H36" s="161">
        <f t="shared" si="25"/>
        <v>0</v>
      </c>
      <c r="I36" s="143">
        <f t="shared" si="18"/>
        <v>0</v>
      </c>
      <c r="J36" s="144">
        <f t="shared" si="5"/>
        <v>0</v>
      </c>
      <c r="K36" s="144">
        <f t="shared" si="6"/>
        <v>0</v>
      </c>
      <c r="L36" s="161">
        <f t="shared" si="26"/>
        <v>0</v>
      </c>
      <c r="M36" s="143">
        <f t="shared" si="20"/>
        <v>0</v>
      </c>
      <c r="N36" s="144">
        <f t="shared" si="7"/>
        <v>0</v>
      </c>
      <c r="O36" s="144">
        <f t="shared" si="8"/>
        <v>0</v>
      </c>
      <c r="P36" s="161">
        <f t="shared" si="27"/>
        <v>0</v>
      </c>
      <c r="R36" s="143">
        <f t="shared" si="22"/>
        <v>0</v>
      </c>
      <c r="S36" s="144">
        <f t="shared" si="9"/>
        <v>0</v>
      </c>
      <c r="T36" s="144">
        <f t="shared" si="10"/>
        <v>0</v>
      </c>
      <c r="U36" s="163">
        <f t="shared" si="11"/>
        <v>0</v>
      </c>
      <c r="V36" s="143">
        <f t="shared" si="23"/>
        <v>0</v>
      </c>
      <c r="W36" s="144">
        <f t="shared" si="12"/>
        <v>0</v>
      </c>
      <c r="X36" s="144">
        <f t="shared" si="13"/>
        <v>0</v>
      </c>
      <c r="Y36" s="163">
        <f t="shared" si="14"/>
        <v>0</v>
      </c>
      <c r="Z36" s="151">
        <v>0</v>
      </c>
      <c r="AA36" s="151">
        <f t="shared" ref="AA36:AC51" si="28">$Y36</f>
        <v>0</v>
      </c>
      <c r="AB36" s="151">
        <f t="shared" si="28"/>
        <v>0</v>
      </c>
      <c r="AC36" s="151">
        <f t="shared" si="28"/>
        <v>0</v>
      </c>
    </row>
    <row r="37" spans="1:29" s="61" customFormat="1" ht="11.25">
      <c r="A37" s="147">
        <f t="shared" si="0"/>
        <v>0</v>
      </c>
      <c r="B37" s="152">
        <f t="shared" si="1"/>
        <v>0</v>
      </c>
      <c r="C37" s="141">
        <f t="shared" si="2"/>
        <v>2</v>
      </c>
      <c r="D37" s="142">
        <v>18</v>
      </c>
      <c r="E37" s="143">
        <f t="shared" si="16"/>
        <v>0</v>
      </c>
      <c r="F37" s="144">
        <f t="shared" si="3"/>
        <v>0</v>
      </c>
      <c r="G37" s="144">
        <f t="shared" si="4"/>
        <v>0</v>
      </c>
      <c r="H37" s="161">
        <f t="shared" si="25"/>
        <v>0</v>
      </c>
      <c r="I37" s="143">
        <f t="shared" si="18"/>
        <v>0</v>
      </c>
      <c r="J37" s="144">
        <f t="shared" si="5"/>
        <v>0</v>
      </c>
      <c r="K37" s="144">
        <f t="shared" si="6"/>
        <v>0</v>
      </c>
      <c r="L37" s="161">
        <f t="shared" si="26"/>
        <v>0</v>
      </c>
      <c r="M37" s="143">
        <f t="shared" si="20"/>
        <v>0</v>
      </c>
      <c r="N37" s="144">
        <f t="shared" si="7"/>
        <v>0</v>
      </c>
      <c r="O37" s="144">
        <f t="shared" si="8"/>
        <v>0</v>
      </c>
      <c r="P37" s="161">
        <f t="shared" si="27"/>
        <v>0</v>
      </c>
      <c r="R37" s="143">
        <f t="shared" si="22"/>
        <v>0</v>
      </c>
      <c r="S37" s="144">
        <f t="shared" si="9"/>
        <v>0</v>
      </c>
      <c r="T37" s="144">
        <f t="shared" si="10"/>
        <v>0</v>
      </c>
      <c r="U37" s="163">
        <f t="shared" si="11"/>
        <v>0</v>
      </c>
      <c r="V37" s="143">
        <f t="shared" si="23"/>
        <v>0</v>
      </c>
      <c r="W37" s="144">
        <f t="shared" si="12"/>
        <v>0</v>
      </c>
      <c r="X37" s="144">
        <f t="shared" si="13"/>
        <v>0</v>
      </c>
      <c r="Y37" s="163">
        <f t="shared" si="14"/>
        <v>0</v>
      </c>
      <c r="Z37" s="151">
        <v>0</v>
      </c>
      <c r="AA37" s="151">
        <f t="shared" si="28"/>
        <v>0</v>
      </c>
      <c r="AB37" s="151">
        <f t="shared" si="28"/>
        <v>0</v>
      </c>
      <c r="AC37" s="151">
        <f t="shared" si="28"/>
        <v>0</v>
      </c>
    </row>
    <row r="38" spans="1:29" s="61" customFormat="1" ht="11.25">
      <c r="A38" s="147">
        <f t="shared" si="0"/>
        <v>0</v>
      </c>
      <c r="B38" s="152">
        <f t="shared" si="1"/>
        <v>0</v>
      </c>
      <c r="C38" s="141">
        <f t="shared" si="2"/>
        <v>2</v>
      </c>
      <c r="D38" s="142">
        <v>19</v>
      </c>
      <c r="E38" s="143">
        <f t="shared" si="16"/>
        <v>0</v>
      </c>
      <c r="F38" s="144">
        <f t="shared" si="3"/>
        <v>0</v>
      </c>
      <c r="G38" s="144">
        <f t="shared" si="4"/>
        <v>0</v>
      </c>
      <c r="H38" s="161">
        <f t="shared" si="25"/>
        <v>0</v>
      </c>
      <c r="I38" s="143">
        <f t="shared" si="18"/>
        <v>0</v>
      </c>
      <c r="J38" s="144">
        <f t="shared" si="5"/>
        <v>0</v>
      </c>
      <c r="K38" s="144">
        <f t="shared" si="6"/>
        <v>0</v>
      </c>
      <c r="L38" s="161">
        <f t="shared" si="26"/>
        <v>0</v>
      </c>
      <c r="M38" s="143">
        <f t="shared" si="20"/>
        <v>0</v>
      </c>
      <c r="N38" s="144">
        <f t="shared" si="7"/>
        <v>0</v>
      </c>
      <c r="O38" s="144">
        <f t="shared" si="8"/>
        <v>0</v>
      </c>
      <c r="P38" s="161">
        <f t="shared" si="27"/>
        <v>0</v>
      </c>
      <c r="R38" s="143">
        <f t="shared" si="22"/>
        <v>0</v>
      </c>
      <c r="S38" s="144">
        <f t="shared" si="9"/>
        <v>0</v>
      </c>
      <c r="T38" s="144">
        <f t="shared" si="10"/>
        <v>0</v>
      </c>
      <c r="U38" s="163">
        <f t="shared" si="11"/>
        <v>0</v>
      </c>
      <c r="V38" s="143">
        <f t="shared" si="23"/>
        <v>0</v>
      </c>
      <c r="W38" s="144">
        <f t="shared" si="12"/>
        <v>0</v>
      </c>
      <c r="X38" s="144">
        <f t="shared" si="13"/>
        <v>0</v>
      </c>
      <c r="Y38" s="163">
        <f t="shared" si="14"/>
        <v>0</v>
      </c>
      <c r="Z38" s="151">
        <v>0</v>
      </c>
      <c r="AA38" s="151">
        <f t="shared" si="28"/>
        <v>0</v>
      </c>
      <c r="AB38" s="151">
        <f t="shared" si="28"/>
        <v>0</v>
      </c>
      <c r="AC38" s="151">
        <f t="shared" si="28"/>
        <v>0</v>
      </c>
    </row>
    <row r="39" spans="1:29" s="61" customFormat="1" ht="11.25">
      <c r="A39" s="147">
        <f t="shared" si="0"/>
        <v>0</v>
      </c>
      <c r="B39" s="152">
        <f t="shared" si="1"/>
        <v>0</v>
      </c>
      <c r="C39" s="141">
        <f t="shared" si="2"/>
        <v>2</v>
      </c>
      <c r="D39" s="142">
        <v>20</v>
      </c>
      <c r="E39" s="143">
        <f t="shared" si="16"/>
        <v>0</v>
      </c>
      <c r="F39" s="144">
        <f t="shared" si="3"/>
        <v>0</v>
      </c>
      <c r="G39" s="144">
        <f t="shared" si="4"/>
        <v>0</v>
      </c>
      <c r="H39" s="161">
        <f t="shared" si="25"/>
        <v>0</v>
      </c>
      <c r="I39" s="143">
        <f t="shared" si="18"/>
        <v>0</v>
      </c>
      <c r="J39" s="144">
        <f t="shared" si="5"/>
        <v>0</v>
      </c>
      <c r="K39" s="144">
        <f t="shared" si="6"/>
        <v>0</v>
      </c>
      <c r="L39" s="161">
        <f t="shared" si="26"/>
        <v>0</v>
      </c>
      <c r="M39" s="143">
        <f t="shared" si="20"/>
        <v>0</v>
      </c>
      <c r="N39" s="144">
        <f t="shared" si="7"/>
        <v>0</v>
      </c>
      <c r="O39" s="144">
        <f t="shared" si="8"/>
        <v>0</v>
      </c>
      <c r="P39" s="161">
        <f t="shared" si="27"/>
        <v>0</v>
      </c>
      <c r="R39" s="143">
        <f t="shared" si="22"/>
        <v>0</v>
      </c>
      <c r="S39" s="144">
        <f t="shared" si="9"/>
        <v>0</v>
      </c>
      <c r="T39" s="144">
        <f t="shared" si="10"/>
        <v>0</v>
      </c>
      <c r="U39" s="163">
        <f t="shared" si="11"/>
        <v>0</v>
      </c>
      <c r="V39" s="143">
        <f t="shared" si="23"/>
        <v>0</v>
      </c>
      <c r="W39" s="144">
        <f t="shared" si="12"/>
        <v>0</v>
      </c>
      <c r="X39" s="144">
        <f t="shared" si="13"/>
        <v>0</v>
      </c>
      <c r="Y39" s="163">
        <f t="shared" si="14"/>
        <v>0</v>
      </c>
      <c r="Z39" s="151">
        <v>0</v>
      </c>
      <c r="AA39" s="151">
        <f t="shared" si="28"/>
        <v>0</v>
      </c>
      <c r="AB39" s="151">
        <f t="shared" si="28"/>
        <v>0</v>
      </c>
      <c r="AC39" s="151">
        <f t="shared" si="28"/>
        <v>0</v>
      </c>
    </row>
    <row r="40" spans="1:29" s="61" customFormat="1" ht="11.25">
      <c r="A40" s="147">
        <f t="shared" si="0"/>
        <v>0</v>
      </c>
      <c r="B40" s="152">
        <f t="shared" si="1"/>
        <v>0</v>
      </c>
      <c r="C40" s="141">
        <f t="shared" si="2"/>
        <v>2</v>
      </c>
      <c r="D40" s="142">
        <v>21</v>
      </c>
      <c r="E40" s="143">
        <f t="shared" si="16"/>
        <v>0</v>
      </c>
      <c r="F40" s="144">
        <f t="shared" si="3"/>
        <v>0</v>
      </c>
      <c r="G40" s="144">
        <f t="shared" si="4"/>
        <v>0</v>
      </c>
      <c r="H40" s="161">
        <f t="shared" si="25"/>
        <v>0</v>
      </c>
      <c r="I40" s="143">
        <f t="shared" si="18"/>
        <v>0</v>
      </c>
      <c r="J40" s="144">
        <f t="shared" si="5"/>
        <v>0</v>
      </c>
      <c r="K40" s="144">
        <f t="shared" si="6"/>
        <v>0</v>
      </c>
      <c r="L40" s="161">
        <f t="shared" si="26"/>
        <v>0</v>
      </c>
      <c r="M40" s="143">
        <f t="shared" si="20"/>
        <v>0</v>
      </c>
      <c r="N40" s="144">
        <f t="shared" si="7"/>
        <v>0</v>
      </c>
      <c r="O40" s="144">
        <f t="shared" si="8"/>
        <v>0</v>
      </c>
      <c r="P40" s="161">
        <f t="shared" si="27"/>
        <v>0</v>
      </c>
      <c r="R40" s="143">
        <f t="shared" si="22"/>
        <v>0</v>
      </c>
      <c r="S40" s="144">
        <f t="shared" si="9"/>
        <v>0</v>
      </c>
      <c r="T40" s="144">
        <f t="shared" si="10"/>
        <v>0</v>
      </c>
      <c r="U40" s="163">
        <f t="shared" si="11"/>
        <v>0</v>
      </c>
      <c r="V40" s="143">
        <f t="shared" si="23"/>
        <v>0</v>
      </c>
      <c r="W40" s="144">
        <f t="shared" si="12"/>
        <v>0</v>
      </c>
      <c r="X40" s="144">
        <f t="shared" si="13"/>
        <v>0</v>
      </c>
      <c r="Y40" s="163">
        <f t="shared" si="14"/>
        <v>0</v>
      </c>
      <c r="Z40" s="151">
        <v>0</v>
      </c>
      <c r="AA40" s="151">
        <f t="shared" si="28"/>
        <v>0</v>
      </c>
      <c r="AB40" s="151">
        <f t="shared" si="28"/>
        <v>0</v>
      </c>
      <c r="AC40" s="151">
        <f t="shared" si="28"/>
        <v>0</v>
      </c>
    </row>
    <row r="41" spans="1:29" s="61" customFormat="1" ht="11.25">
      <c r="A41" s="147">
        <f t="shared" si="0"/>
        <v>0</v>
      </c>
      <c r="B41" s="152">
        <f t="shared" si="1"/>
        <v>0</v>
      </c>
      <c r="C41" s="141">
        <f t="shared" si="2"/>
        <v>2</v>
      </c>
      <c r="D41" s="142">
        <v>22</v>
      </c>
      <c r="E41" s="143">
        <f t="shared" si="16"/>
        <v>0</v>
      </c>
      <c r="F41" s="144">
        <f t="shared" si="3"/>
        <v>0</v>
      </c>
      <c r="G41" s="144">
        <f t="shared" si="4"/>
        <v>0</v>
      </c>
      <c r="H41" s="161">
        <f t="shared" si="25"/>
        <v>0</v>
      </c>
      <c r="I41" s="143">
        <f t="shared" si="18"/>
        <v>0</v>
      </c>
      <c r="J41" s="144">
        <f t="shared" si="5"/>
        <v>0</v>
      </c>
      <c r="K41" s="144">
        <f t="shared" si="6"/>
        <v>0</v>
      </c>
      <c r="L41" s="161">
        <f t="shared" si="26"/>
        <v>0</v>
      </c>
      <c r="M41" s="143">
        <f t="shared" si="20"/>
        <v>0</v>
      </c>
      <c r="N41" s="144">
        <f t="shared" si="7"/>
        <v>0</v>
      </c>
      <c r="O41" s="144">
        <f t="shared" si="8"/>
        <v>0</v>
      </c>
      <c r="P41" s="161">
        <f t="shared" si="27"/>
        <v>0</v>
      </c>
      <c r="R41" s="143">
        <f t="shared" si="22"/>
        <v>0</v>
      </c>
      <c r="S41" s="144">
        <f t="shared" si="9"/>
        <v>0</v>
      </c>
      <c r="T41" s="144">
        <f t="shared" si="10"/>
        <v>0</v>
      </c>
      <c r="U41" s="163">
        <f t="shared" si="11"/>
        <v>0</v>
      </c>
      <c r="V41" s="143">
        <f t="shared" si="23"/>
        <v>0</v>
      </c>
      <c r="W41" s="144">
        <f t="shared" si="12"/>
        <v>0</v>
      </c>
      <c r="X41" s="144">
        <f t="shared" si="13"/>
        <v>0</v>
      </c>
      <c r="Y41" s="163">
        <f t="shared" si="14"/>
        <v>0</v>
      </c>
      <c r="Z41" s="151">
        <v>0</v>
      </c>
      <c r="AA41" s="151">
        <f t="shared" si="28"/>
        <v>0</v>
      </c>
      <c r="AB41" s="151">
        <f t="shared" si="28"/>
        <v>0</v>
      </c>
      <c r="AC41" s="151">
        <f t="shared" si="28"/>
        <v>0</v>
      </c>
    </row>
    <row r="42" spans="1:29" s="61" customFormat="1" ht="11.25">
      <c r="A42" s="147">
        <f t="shared" si="0"/>
        <v>0</v>
      </c>
      <c r="B42" s="152">
        <f t="shared" si="1"/>
        <v>0</v>
      </c>
      <c r="C42" s="141">
        <f t="shared" si="2"/>
        <v>2</v>
      </c>
      <c r="D42" s="142">
        <v>23</v>
      </c>
      <c r="E42" s="143">
        <f t="shared" si="16"/>
        <v>0</v>
      </c>
      <c r="F42" s="144">
        <f t="shared" si="3"/>
        <v>0</v>
      </c>
      <c r="G42" s="144">
        <f t="shared" si="4"/>
        <v>0</v>
      </c>
      <c r="H42" s="161">
        <f t="shared" si="25"/>
        <v>0</v>
      </c>
      <c r="I42" s="143">
        <f t="shared" si="18"/>
        <v>0</v>
      </c>
      <c r="J42" s="144">
        <f t="shared" si="5"/>
        <v>0</v>
      </c>
      <c r="K42" s="144">
        <f t="shared" si="6"/>
        <v>0</v>
      </c>
      <c r="L42" s="161">
        <f t="shared" si="26"/>
        <v>0</v>
      </c>
      <c r="M42" s="143">
        <f t="shared" si="20"/>
        <v>0</v>
      </c>
      <c r="N42" s="144">
        <f t="shared" si="7"/>
        <v>0</v>
      </c>
      <c r="O42" s="144">
        <f t="shared" si="8"/>
        <v>0</v>
      </c>
      <c r="P42" s="161">
        <f t="shared" si="27"/>
        <v>0</v>
      </c>
      <c r="R42" s="143">
        <f t="shared" si="22"/>
        <v>0</v>
      </c>
      <c r="S42" s="144">
        <f t="shared" si="9"/>
        <v>0</v>
      </c>
      <c r="T42" s="144">
        <f t="shared" si="10"/>
        <v>0</v>
      </c>
      <c r="U42" s="163">
        <f t="shared" si="11"/>
        <v>0</v>
      </c>
      <c r="V42" s="143">
        <f t="shared" si="23"/>
        <v>0</v>
      </c>
      <c r="W42" s="144">
        <f t="shared" si="12"/>
        <v>0</v>
      </c>
      <c r="X42" s="144">
        <f t="shared" si="13"/>
        <v>0</v>
      </c>
      <c r="Y42" s="163">
        <f t="shared" si="14"/>
        <v>0</v>
      </c>
      <c r="Z42" s="151">
        <v>0</v>
      </c>
      <c r="AA42" s="151">
        <f t="shared" si="28"/>
        <v>0</v>
      </c>
      <c r="AB42" s="151">
        <f t="shared" si="28"/>
        <v>0</v>
      </c>
      <c r="AC42" s="151">
        <f t="shared" si="28"/>
        <v>0</v>
      </c>
    </row>
    <row r="43" spans="1:29" s="61" customFormat="1" ht="12" thickBot="1">
      <c r="A43" s="153">
        <f t="shared" si="0"/>
        <v>0</v>
      </c>
      <c r="B43" s="154">
        <f t="shared" si="1"/>
        <v>0</v>
      </c>
      <c r="C43" s="155">
        <f t="shared" si="2"/>
        <v>2</v>
      </c>
      <c r="D43" s="156">
        <v>24</v>
      </c>
      <c r="E43" s="157">
        <f t="shared" si="16"/>
        <v>0</v>
      </c>
      <c r="F43" s="158">
        <f t="shared" si="3"/>
        <v>0</v>
      </c>
      <c r="G43" s="158">
        <f t="shared" si="4"/>
        <v>0</v>
      </c>
      <c r="H43" s="164">
        <f t="shared" si="25"/>
        <v>0</v>
      </c>
      <c r="I43" s="157">
        <f t="shared" si="18"/>
        <v>0</v>
      </c>
      <c r="J43" s="158">
        <f t="shared" si="5"/>
        <v>0</v>
      </c>
      <c r="K43" s="158">
        <f t="shared" si="6"/>
        <v>0</v>
      </c>
      <c r="L43" s="164">
        <f t="shared" si="26"/>
        <v>0</v>
      </c>
      <c r="M43" s="157">
        <f t="shared" si="20"/>
        <v>0</v>
      </c>
      <c r="N43" s="158">
        <f t="shared" si="7"/>
        <v>0</v>
      </c>
      <c r="O43" s="158">
        <f t="shared" si="8"/>
        <v>0</v>
      </c>
      <c r="P43" s="164">
        <f t="shared" si="27"/>
        <v>0</v>
      </c>
      <c r="R43" s="157">
        <f t="shared" si="22"/>
        <v>0</v>
      </c>
      <c r="S43" s="158">
        <f t="shared" si="9"/>
        <v>0</v>
      </c>
      <c r="T43" s="158">
        <f t="shared" si="10"/>
        <v>0</v>
      </c>
      <c r="U43" s="165">
        <f t="shared" si="11"/>
        <v>0</v>
      </c>
      <c r="V43" s="157">
        <f t="shared" si="23"/>
        <v>0</v>
      </c>
      <c r="W43" s="158">
        <f t="shared" si="12"/>
        <v>0</v>
      </c>
      <c r="X43" s="158">
        <f t="shared" si="13"/>
        <v>0</v>
      </c>
      <c r="Y43" s="165">
        <f t="shared" si="14"/>
        <v>0</v>
      </c>
      <c r="Z43" s="151">
        <v>0</v>
      </c>
      <c r="AA43" s="151">
        <f>$V43+$W43</f>
        <v>0</v>
      </c>
      <c r="AB43" s="151">
        <f t="shared" si="28"/>
        <v>0</v>
      </c>
      <c r="AC43" s="151">
        <f t="shared" si="28"/>
        <v>0</v>
      </c>
    </row>
    <row r="44" spans="1:29" s="61" customFormat="1" ht="11.25">
      <c r="A44" s="147">
        <f t="shared" si="0"/>
        <v>0</v>
      </c>
      <c r="B44" s="152">
        <f t="shared" si="1"/>
        <v>0</v>
      </c>
      <c r="C44" s="141">
        <f t="shared" si="2"/>
        <v>3</v>
      </c>
      <c r="D44" s="142">
        <v>25</v>
      </c>
      <c r="E44" s="143">
        <f t="shared" si="16"/>
        <v>0</v>
      </c>
      <c r="F44" s="144">
        <f t="shared" si="3"/>
        <v>0</v>
      </c>
      <c r="G44" s="144">
        <f t="shared" si="4"/>
        <v>0</v>
      </c>
      <c r="H44" s="166">
        <f>IF(E44&lt;=0,0,H$12)</f>
        <v>0</v>
      </c>
      <c r="I44" s="162">
        <f t="shared" si="18"/>
        <v>0</v>
      </c>
      <c r="J44" s="144">
        <f t="shared" si="5"/>
        <v>0</v>
      </c>
      <c r="K44" s="144">
        <f t="shared" si="6"/>
        <v>0</v>
      </c>
      <c r="L44" s="166">
        <f>IF(I44&lt;=0,0,L$12)</f>
        <v>0</v>
      </c>
      <c r="M44" s="143">
        <f t="shared" si="20"/>
        <v>0</v>
      </c>
      <c r="N44" s="144">
        <f t="shared" si="7"/>
        <v>0</v>
      </c>
      <c r="O44" s="144">
        <f t="shared" si="8"/>
        <v>0</v>
      </c>
      <c r="P44" s="166">
        <f>IF(M44&lt;=0,0,P$12)</f>
        <v>0</v>
      </c>
      <c r="R44" s="143">
        <f t="shared" si="22"/>
        <v>0</v>
      </c>
      <c r="S44" s="144">
        <f t="shared" si="9"/>
        <v>0</v>
      </c>
      <c r="T44" s="144">
        <f t="shared" si="10"/>
        <v>0</v>
      </c>
      <c r="U44" s="163">
        <f t="shared" si="11"/>
        <v>0</v>
      </c>
      <c r="V44" s="143">
        <f t="shared" si="23"/>
        <v>0</v>
      </c>
      <c r="W44" s="144">
        <f t="shared" si="12"/>
        <v>0</v>
      </c>
      <c r="X44" s="144">
        <f t="shared" si="13"/>
        <v>0</v>
      </c>
      <c r="Y44" s="163">
        <f t="shared" si="14"/>
        <v>0</v>
      </c>
      <c r="Z44" s="151">
        <v>0</v>
      </c>
      <c r="AA44" s="151">
        <v>0</v>
      </c>
      <c r="AB44" s="151">
        <f t="shared" si="28"/>
        <v>0</v>
      </c>
      <c r="AC44" s="151">
        <f t="shared" si="28"/>
        <v>0</v>
      </c>
    </row>
    <row r="45" spans="1:29" s="61" customFormat="1" ht="11.25">
      <c r="A45" s="147">
        <f t="shared" si="0"/>
        <v>0</v>
      </c>
      <c r="B45" s="152">
        <f t="shared" si="1"/>
        <v>0</v>
      </c>
      <c r="C45" s="141">
        <f t="shared" si="2"/>
        <v>3</v>
      </c>
      <c r="D45" s="142">
        <v>26</v>
      </c>
      <c r="E45" s="143">
        <f t="shared" si="16"/>
        <v>0</v>
      </c>
      <c r="F45" s="144">
        <f t="shared" si="3"/>
        <v>0</v>
      </c>
      <c r="G45" s="144">
        <f t="shared" si="4"/>
        <v>0</v>
      </c>
      <c r="H45" s="166">
        <f t="shared" ref="H45:H55" si="29">IF(E45&lt;=0,0,H$12)</f>
        <v>0</v>
      </c>
      <c r="I45" s="143">
        <f t="shared" si="18"/>
        <v>0</v>
      </c>
      <c r="J45" s="144">
        <f t="shared" si="5"/>
        <v>0</v>
      </c>
      <c r="K45" s="144">
        <f t="shared" si="6"/>
        <v>0</v>
      </c>
      <c r="L45" s="166">
        <f t="shared" ref="L45:L55" si="30">IF(I45&lt;=0,0,L$12)</f>
        <v>0</v>
      </c>
      <c r="M45" s="143">
        <f t="shared" si="20"/>
        <v>0</v>
      </c>
      <c r="N45" s="144">
        <f t="shared" si="7"/>
        <v>0</v>
      </c>
      <c r="O45" s="144">
        <f t="shared" si="8"/>
        <v>0</v>
      </c>
      <c r="P45" s="166">
        <f t="shared" ref="P45:P55" si="31">IF(M45&lt;=0,0,P$12)</f>
        <v>0</v>
      </c>
      <c r="R45" s="143">
        <f t="shared" si="22"/>
        <v>0</v>
      </c>
      <c r="S45" s="144">
        <f t="shared" si="9"/>
        <v>0</v>
      </c>
      <c r="T45" s="144">
        <f t="shared" si="10"/>
        <v>0</v>
      </c>
      <c r="U45" s="163">
        <f t="shared" si="11"/>
        <v>0</v>
      </c>
      <c r="V45" s="143">
        <f t="shared" si="23"/>
        <v>0</v>
      </c>
      <c r="W45" s="144">
        <f t="shared" si="12"/>
        <v>0</v>
      </c>
      <c r="X45" s="144">
        <f t="shared" si="13"/>
        <v>0</v>
      </c>
      <c r="Y45" s="163">
        <f t="shared" si="14"/>
        <v>0</v>
      </c>
      <c r="Z45" s="151">
        <v>0</v>
      </c>
      <c r="AA45" s="151">
        <v>0</v>
      </c>
      <c r="AB45" s="151">
        <f t="shared" si="28"/>
        <v>0</v>
      </c>
      <c r="AC45" s="151">
        <f t="shared" si="28"/>
        <v>0</v>
      </c>
    </row>
    <row r="46" spans="1:29" s="61" customFormat="1" ht="11.25">
      <c r="A46" s="147">
        <f t="shared" si="0"/>
        <v>0</v>
      </c>
      <c r="B46" s="152">
        <f t="shared" si="1"/>
        <v>0</v>
      </c>
      <c r="C46" s="141">
        <f t="shared" si="2"/>
        <v>3</v>
      </c>
      <c r="D46" s="142">
        <v>27</v>
      </c>
      <c r="E46" s="143">
        <f t="shared" si="16"/>
        <v>0</v>
      </c>
      <c r="F46" s="144">
        <f t="shared" si="3"/>
        <v>0</v>
      </c>
      <c r="G46" s="144">
        <f t="shared" si="4"/>
        <v>0</v>
      </c>
      <c r="H46" s="166">
        <f t="shared" si="29"/>
        <v>0</v>
      </c>
      <c r="I46" s="143">
        <f t="shared" si="18"/>
        <v>0</v>
      </c>
      <c r="J46" s="144">
        <f t="shared" si="5"/>
        <v>0</v>
      </c>
      <c r="K46" s="144">
        <f t="shared" si="6"/>
        <v>0</v>
      </c>
      <c r="L46" s="166">
        <f t="shared" si="30"/>
        <v>0</v>
      </c>
      <c r="M46" s="143">
        <f t="shared" si="20"/>
        <v>0</v>
      </c>
      <c r="N46" s="144">
        <f t="shared" si="7"/>
        <v>0</v>
      </c>
      <c r="O46" s="144">
        <f t="shared" si="8"/>
        <v>0</v>
      </c>
      <c r="P46" s="166">
        <f t="shared" si="31"/>
        <v>0</v>
      </c>
      <c r="R46" s="143">
        <f t="shared" si="22"/>
        <v>0</v>
      </c>
      <c r="S46" s="144">
        <f t="shared" si="9"/>
        <v>0</v>
      </c>
      <c r="T46" s="144">
        <f t="shared" si="10"/>
        <v>0</v>
      </c>
      <c r="U46" s="163">
        <f t="shared" si="11"/>
        <v>0</v>
      </c>
      <c r="V46" s="143">
        <f t="shared" si="23"/>
        <v>0</v>
      </c>
      <c r="W46" s="144">
        <f t="shared" si="12"/>
        <v>0</v>
      </c>
      <c r="X46" s="144">
        <f t="shared" si="13"/>
        <v>0</v>
      </c>
      <c r="Y46" s="163">
        <f t="shared" si="14"/>
        <v>0</v>
      </c>
      <c r="Z46" s="151">
        <v>0</v>
      </c>
      <c r="AA46" s="151">
        <v>0</v>
      </c>
      <c r="AB46" s="151">
        <f t="shared" si="28"/>
        <v>0</v>
      </c>
      <c r="AC46" s="151">
        <f t="shared" si="28"/>
        <v>0</v>
      </c>
    </row>
    <row r="47" spans="1:29" s="61" customFormat="1" ht="11.25">
      <c r="A47" s="147">
        <f t="shared" si="0"/>
        <v>0</v>
      </c>
      <c r="B47" s="152">
        <f t="shared" si="1"/>
        <v>0</v>
      </c>
      <c r="C47" s="141">
        <f t="shared" si="2"/>
        <v>3</v>
      </c>
      <c r="D47" s="142">
        <v>28</v>
      </c>
      <c r="E47" s="143">
        <f t="shared" si="16"/>
        <v>0</v>
      </c>
      <c r="F47" s="144">
        <f t="shared" si="3"/>
        <v>0</v>
      </c>
      <c r="G47" s="144">
        <f t="shared" si="4"/>
        <v>0</v>
      </c>
      <c r="H47" s="166">
        <f t="shared" si="29"/>
        <v>0</v>
      </c>
      <c r="I47" s="143">
        <f t="shared" si="18"/>
        <v>0</v>
      </c>
      <c r="J47" s="144">
        <f t="shared" si="5"/>
        <v>0</v>
      </c>
      <c r="K47" s="144">
        <f t="shared" si="6"/>
        <v>0</v>
      </c>
      <c r="L47" s="166">
        <f t="shared" si="30"/>
        <v>0</v>
      </c>
      <c r="M47" s="143">
        <f t="shared" si="20"/>
        <v>0</v>
      </c>
      <c r="N47" s="144">
        <f t="shared" si="7"/>
        <v>0</v>
      </c>
      <c r="O47" s="144">
        <f t="shared" si="8"/>
        <v>0</v>
      </c>
      <c r="P47" s="166">
        <f t="shared" si="31"/>
        <v>0</v>
      </c>
      <c r="R47" s="143">
        <f t="shared" si="22"/>
        <v>0</v>
      </c>
      <c r="S47" s="144">
        <f t="shared" si="9"/>
        <v>0</v>
      </c>
      <c r="T47" s="144">
        <f t="shared" si="10"/>
        <v>0</v>
      </c>
      <c r="U47" s="163">
        <f t="shared" si="11"/>
        <v>0</v>
      </c>
      <c r="V47" s="143">
        <f t="shared" si="23"/>
        <v>0</v>
      </c>
      <c r="W47" s="144">
        <f t="shared" si="12"/>
        <v>0</v>
      </c>
      <c r="X47" s="144">
        <f t="shared" si="13"/>
        <v>0</v>
      </c>
      <c r="Y47" s="163">
        <f t="shared" si="14"/>
        <v>0</v>
      </c>
      <c r="Z47" s="151">
        <v>0</v>
      </c>
      <c r="AA47" s="151">
        <v>0</v>
      </c>
      <c r="AB47" s="151">
        <f t="shared" si="28"/>
        <v>0</v>
      </c>
      <c r="AC47" s="151">
        <f t="shared" si="28"/>
        <v>0</v>
      </c>
    </row>
    <row r="48" spans="1:29" s="61" customFormat="1" ht="11.25">
      <c r="A48" s="147">
        <f t="shared" si="0"/>
        <v>0</v>
      </c>
      <c r="B48" s="152">
        <f t="shared" si="1"/>
        <v>0</v>
      </c>
      <c r="C48" s="141">
        <f t="shared" si="2"/>
        <v>3</v>
      </c>
      <c r="D48" s="142">
        <v>29</v>
      </c>
      <c r="E48" s="143">
        <f t="shared" si="16"/>
        <v>0</v>
      </c>
      <c r="F48" s="144">
        <f t="shared" si="3"/>
        <v>0</v>
      </c>
      <c r="G48" s="144">
        <f t="shared" si="4"/>
        <v>0</v>
      </c>
      <c r="H48" s="166">
        <f t="shared" si="29"/>
        <v>0</v>
      </c>
      <c r="I48" s="143">
        <f t="shared" si="18"/>
        <v>0</v>
      </c>
      <c r="J48" s="144">
        <f t="shared" si="5"/>
        <v>0</v>
      </c>
      <c r="K48" s="144">
        <f t="shared" si="6"/>
        <v>0</v>
      </c>
      <c r="L48" s="166">
        <f t="shared" si="30"/>
        <v>0</v>
      </c>
      <c r="M48" s="143">
        <f t="shared" si="20"/>
        <v>0</v>
      </c>
      <c r="N48" s="144">
        <f t="shared" si="7"/>
        <v>0</v>
      </c>
      <c r="O48" s="144">
        <f t="shared" si="8"/>
        <v>0</v>
      </c>
      <c r="P48" s="166">
        <f t="shared" si="31"/>
        <v>0</v>
      </c>
      <c r="R48" s="143">
        <f t="shared" si="22"/>
        <v>0</v>
      </c>
      <c r="S48" s="144">
        <f t="shared" si="9"/>
        <v>0</v>
      </c>
      <c r="T48" s="144">
        <f t="shared" si="10"/>
        <v>0</v>
      </c>
      <c r="U48" s="163">
        <f t="shared" si="11"/>
        <v>0</v>
      </c>
      <c r="V48" s="143">
        <f t="shared" si="23"/>
        <v>0</v>
      </c>
      <c r="W48" s="144">
        <f t="shared" si="12"/>
        <v>0</v>
      </c>
      <c r="X48" s="144">
        <f t="shared" si="13"/>
        <v>0</v>
      </c>
      <c r="Y48" s="163">
        <f t="shared" si="14"/>
        <v>0</v>
      </c>
      <c r="Z48" s="151">
        <v>0</v>
      </c>
      <c r="AA48" s="151">
        <v>0</v>
      </c>
      <c r="AB48" s="151">
        <f t="shared" si="28"/>
        <v>0</v>
      </c>
      <c r="AC48" s="151">
        <f t="shared" si="28"/>
        <v>0</v>
      </c>
    </row>
    <row r="49" spans="1:29" s="61" customFormat="1" ht="11.25">
      <c r="A49" s="147">
        <f t="shared" si="0"/>
        <v>0</v>
      </c>
      <c r="B49" s="152">
        <f t="shared" si="1"/>
        <v>0</v>
      </c>
      <c r="C49" s="141">
        <f t="shared" si="2"/>
        <v>3</v>
      </c>
      <c r="D49" s="142">
        <v>30</v>
      </c>
      <c r="E49" s="143">
        <f t="shared" si="16"/>
        <v>0</v>
      </c>
      <c r="F49" s="144">
        <f t="shared" si="3"/>
        <v>0</v>
      </c>
      <c r="G49" s="144">
        <f t="shared" si="4"/>
        <v>0</v>
      </c>
      <c r="H49" s="166">
        <f t="shared" si="29"/>
        <v>0</v>
      </c>
      <c r="I49" s="143">
        <f t="shared" si="18"/>
        <v>0</v>
      </c>
      <c r="J49" s="144">
        <f t="shared" si="5"/>
        <v>0</v>
      </c>
      <c r="K49" s="144">
        <f t="shared" si="6"/>
        <v>0</v>
      </c>
      <c r="L49" s="166">
        <f t="shared" si="30"/>
        <v>0</v>
      </c>
      <c r="M49" s="143">
        <f t="shared" si="20"/>
        <v>0</v>
      </c>
      <c r="N49" s="144">
        <f t="shared" si="7"/>
        <v>0</v>
      </c>
      <c r="O49" s="144">
        <f t="shared" si="8"/>
        <v>0</v>
      </c>
      <c r="P49" s="166">
        <f t="shared" si="31"/>
        <v>0</v>
      </c>
      <c r="R49" s="143">
        <f t="shared" si="22"/>
        <v>0</v>
      </c>
      <c r="S49" s="144">
        <f t="shared" si="9"/>
        <v>0</v>
      </c>
      <c r="T49" s="144">
        <f t="shared" si="10"/>
        <v>0</v>
      </c>
      <c r="U49" s="163">
        <f t="shared" si="11"/>
        <v>0</v>
      </c>
      <c r="V49" s="143">
        <f t="shared" si="23"/>
        <v>0</v>
      </c>
      <c r="W49" s="144">
        <f t="shared" si="12"/>
        <v>0</v>
      </c>
      <c r="X49" s="144">
        <f t="shared" si="13"/>
        <v>0</v>
      </c>
      <c r="Y49" s="163">
        <f t="shared" si="14"/>
        <v>0</v>
      </c>
      <c r="Z49" s="151">
        <v>0</v>
      </c>
      <c r="AA49" s="151">
        <v>0</v>
      </c>
      <c r="AB49" s="151">
        <f t="shared" si="28"/>
        <v>0</v>
      </c>
      <c r="AC49" s="151">
        <f t="shared" si="28"/>
        <v>0</v>
      </c>
    </row>
    <row r="50" spans="1:29" s="61" customFormat="1" ht="11.25">
      <c r="A50" s="147">
        <f t="shared" si="0"/>
        <v>0</v>
      </c>
      <c r="B50" s="152">
        <f t="shared" si="1"/>
        <v>0</v>
      </c>
      <c r="C50" s="141">
        <f t="shared" si="2"/>
        <v>3</v>
      </c>
      <c r="D50" s="142">
        <v>31</v>
      </c>
      <c r="E50" s="143">
        <f t="shared" si="16"/>
        <v>0</v>
      </c>
      <c r="F50" s="144">
        <f t="shared" si="3"/>
        <v>0</v>
      </c>
      <c r="G50" s="144">
        <f t="shared" si="4"/>
        <v>0</v>
      </c>
      <c r="H50" s="166">
        <f t="shared" si="29"/>
        <v>0</v>
      </c>
      <c r="I50" s="143">
        <f t="shared" si="18"/>
        <v>0</v>
      </c>
      <c r="J50" s="144">
        <f t="shared" si="5"/>
        <v>0</v>
      </c>
      <c r="K50" s="144">
        <f t="shared" si="6"/>
        <v>0</v>
      </c>
      <c r="L50" s="166">
        <f t="shared" si="30"/>
        <v>0</v>
      </c>
      <c r="M50" s="143">
        <f t="shared" si="20"/>
        <v>0</v>
      </c>
      <c r="N50" s="144">
        <f t="shared" si="7"/>
        <v>0</v>
      </c>
      <c r="O50" s="144">
        <f t="shared" si="8"/>
        <v>0</v>
      </c>
      <c r="P50" s="166">
        <f t="shared" si="31"/>
        <v>0</v>
      </c>
      <c r="R50" s="143">
        <f t="shared" si="22"/>
        <v>0</v>
      </c>
      <c r="S50" s="144">
        <f t="shared" si="9"/>
        <v>0</v>
      </c>
      <c r="T50" s="144">
        <f t="shared" si="10"/>
        <v>0</v>
      </c>
      <c r="U50" s="163">
        <f t="shared" si="11"/>
        <v>0</v>
      </c>
      <c r="V50" s="143">
        <f t="shared" si="23"/>
        <v>0</v>
      </c>
      <c r="W50" s="144">
        <f t="shared" si="12"/>
        <v>0</v>
      </c>
      <c r="X50" s="144">
        <f t="shared" si="13"/>
        <v>0</v>
      </c>
      <c r="Y50" s="163">
        <f t="shared" si="14"/>
        <v>0</v>
      </c>
      <c r="Z50" s="151">
        <v>0</v>
      </c>
      <c r="AA50" s="151">
        <v>0</v>
      </c>
      <c r="AB50" s="151">
        <f t="shared" si="28"/>
        <v>0</v>
      </c>
      <c r="AC50" s="151">
        <f t="shared" si="28"/>
        <v>0</v>
      </c>
    </row>
    <row r="51" spans="1:29" s="61" customFormat="1" ht="11.25">
      <c r="A51" s="147">
        <f t="shared" si="0"/>
        <v>0</v>
      </c>
      <c r="B51" s="152">
        <f t="shared" si="1"/>
        <v>0</v>
      </c>
      <c r="C51" s="141">
        <f t="shared" si="2"/>
        <v>3</v>
      </c>
      <c r="D51" s="142">
        <v>32</v>
      </c>
      <c r="E51" s="143">
        <f t="shared" si="16"/>
        <v>0</v>
      </c>
      <c r="F51" s="144">
        <f t="shared" si="3"/>
        <v>0</v>
      </c>
      <c r="G51" s="144">
        <f t="shared" si="4"/>
        <v>0</v>
      </c>
      <c r="H51" s="166">
        <f t="shared" si="29"/>
        <v>0</v>
      </c>
      <c r="I51" s="143">
        <f t="shared" si="18"/>
        <v>0</v>
      </c>
      <c r="J51" s="144">
        <f t="shared" si="5"/>
        <v>0</v>
      </c>
      <c r="K51" s="144">
        <f t="shared" si="6"/>
        <v>0</v>
      </c>
      <c r="L51" s="166">
        <f t="shared" si="30"/>
        <v>0</v>
      </c>
      <c r="M51" s="143">
        <f t="shared" si="20"/>
        <v>0</v>
      </c>
      <c r="N51" s="144">
        <f t="shared" si="7"/>
        <v>0</v>
      </c>
      <c r="O51" s="144">
        <f t="shared" si="8"/>
        <v>0</v>
      </c>
      <c r="P51" s="166">
        <f t="shared" si="31"/>
        <v>0</v>
      </c>
      <c r="R51" s="143">
        <f t="shared" si="22"/>
        <v>0</v>
      </c>
      <c r="S51" s="144">
        <f t="shared" si="9"/>
        <v>0</v>
      </c>
      <c r="T51" s="144">
        <f t="shared" si="10"/>
        <v>0</v>
      </c>
      <c r="U51" s="163">
        <f t="shared" si="11"/>
        <v>0</v>
      </c>
      <c r="V51" s="143">
        <f t="shared" si="23"/>
        <v>0</v>
      </c>
      <c r="W51" s="144">
        <f t="shared" si="12"/>
        <v>0</v>
      </c>
      <c r="X51" s="144">
        <f t="shared" si="13"/>
        <v>0</v>
      </c>
      <c r="Y51" s="163">
        <f t="shared" si="14"/>
        <v>0</v>
      </c>
      <c r="Z51" s="151">
        <v>0</v>
      </c>
      <c r="AA51" s="151">
        <v>0</v>
      </c>
      <c r="AB51" s="151">
        <f t="shared" si="28"/>
        <v>0</v>
      </c>
      <c r="AC51" s="151">
        <f t="shared" si="28"/>
        <v>0</v>
      </c>
    </row>
    <row r="52" spans="1:29" s="61" customFormat="1" ht="11.25">
      <c r="A52" s="147">
        <f t="shared" si="0"/>
        <v>0</v>
      </c>
      <c r="B52" s="152">
        <f t="shared" si="1"/>
        <v>0</v>
      </c>
      <c r="C52" s="141">
        <f t="shared" si="2"/>
        <v>3</v>
      </c>
      <c r="D52" s="142">
        <v>33</v>
      </c>
      <c r="E52" s="143">
        <f t="shared" si="16"/>
        <v>0</v>
      </c>
      <c r="F52" s="144">
        <f t="shared" si="3"/>
        <v>0</v>
      </c>
      <c r="G52" s="144">
        <f t="shared" si="4"/>
        <v>0</v>
      </c>
      <c r="H52" s="166">
        <f t="shared" si="29"/>
        <v>0</v>
      </c>
      <c r="I52" s="143">
        <f t="shared" si="18"/>
        <v>0</v>
      </c>
      <c r="J52" s="144">
        <f t="shared" si="5"/>
        <v>0</v>
      </c>
      <c r="K52" s="144">
        <f t="shared" si="6"/>
        <v>0</v>
      </c>
      <c r="L52" s="166">
        <f t="shared" si="30"/>
        <v>0</v>
      </c>
      <c r="M52" s="143">
        <f t="shared" si="20"/>
        <v>0</v>
      </c>
      <c r="N52" s="144">
        <f t="shared" si="7"/>
        <v>0</v>
      </c>
      <c r="O52" s="144">
        <f t="shared" si="8"/>
        <v>0</v>
      </c>
      <c r="P52" s="166">
        <f t="shared" si="31"/>
        <v>0</v>
      </c>
      <c r="R52" s="143">
        <f t="shared" si="22"/>
        <v>0</v>
      </c>
      <c r="S52" s="144">
        <f t="shared" si="9"/>
        <v>0</v>
      </c>
      <c r="T52" s="144">
        <f t="shared" si="10"/>
        <v>0</v>
      </c>
      <c r="U52" s="163">
        <f t="shared" si="11"/>
        <v>0</v>
      </c>
      <c r="V52" s="143">
        <f t="shared" si="23"/>
        <v>0</v>
      </c>
      <c r="W52" s="144">
        <f t="shared" si="12"/>
        <v>0</v>
      </c>
      <c r="X52" s="144">
        <f t="shared" si="13"/>
        <v>0</v>
      </c>
      <c r="Y52" s="163">
        <f t="shared" si="14"/>
        <v>0</v>
      </c>
      <c r="Z52" s="151">
        <v>0</v>
      </c>
      <c r="AA52" s="151">
        <v>0</v>
      </c>
      <c r="AB52" s="151">
        <f t="shared" ref="AB52:AC66" si="32">$Y52</f>
        <v>0</v>
      </c>
      <c r="AC52" s="151">
        <f t="shared" si="32"/>
        <v>0</v>
      </c>
    </row>
    <row r="53" spans="1:29" s="61" customFormat="1" ht="11.25">
      <c r="A53" s="147">
        <f t="shared" si="0"/>
        <v>0</v>
      </c>
      <c r="B53" s="152">
        <f t="shared" si="1"/>
        <v>0</v>
      </c>
      <c r="C53" s="141">
        <f t="shared" si="2"/>
        <v>3</v>
      </c>
      <c r="D53" s="142">
        <v>34</v>
      </c>
      <c r="E53" s="143">
        <f t="shared" si="16"/>
        <v>0</v>
      </c>
      <c r="F53" s="144">
        <f t="shared" si="3"/>
        <v>0</v>
      </c>
      <c r="G53" s="144">
        <f t="shared" si="4"/>
        <v>0</v>
      </c>
      <c r="H53" s="166">
        <f t="shared" si="29"/>
        <v>0</v>
      </c>
      <c r="I53" s="143">
        <f t="shared" si="18"/>
        <v>0</v>
      </c>
      <c r="J53" s="144">
        <f t="shared" si="5"/>
        <v>0</v>
      </c>
      <c r="K53" s="144">
        <f t="shared" si="6"/>
        <v>0</v>
      </c>
      <c r="L53" s="166">
        <f t="shared" si="30"/>
        <v>0</v>
      </c>
      <c r="M53" s="143">
        <f t="shared" si="20"/>
        <v>0</v>
      </c>
      <c r="N53" s="144">
        <f t="shared" si="7"/>
        <v>0</v>
      </c>
      <c r="O53" s="144">
        <f t="shared" si="8"/>
        <v>0</v>
      </c>
      <c r="P53" s="166">
        <f t="shared" si="31"/>
        <v>0</v>
      </c>
      <c r="R53" s="143">
        <f t="shared" si="22"/>
        <v>0</v>
      </c>
      <c r="S53" s="144">
        <f t="shared" si="9"/>
        <v>0</v>
      </c>
      <c r="T53" s="144">
        <f t="shared" si="10"/>
        <v>0</v>
      </c>
      <c r="U53" s="163">
        <f t="shared" si="11"/>
        <v>0</v>
      </c>
      <c r="V53" s="143">
        <f t="shared" si="23"/>
        <v>0</v>
      </c>
      <c r="W53" s="144">
        <f t="shared" si="12"/>
        <v>0</v>
      </c>
      <c r="X53" s="144">
        <f t="shared" si="13"/>
        <v>0</v>
      </c>
      <c r="Y53" s="163">
        <f t="shared" si="14"/>
        <v>0</v>
      </c>
      <c r="Z53" s="151">
        <v>0</v>
      </c>
      <c r="AA53" s="151">
        <v>0</v>
      </c>
      <c r="AB53" s="151">
        <f t="shared" si="32"/>
        <v>0</v>
      </c>
      <c r="AC53" s="151">
        <f t="shared" si="32"/>
        <v>0</v>
      </c>
    </row>
    <row r="54" spans="1:29" s="61" customFormat="1" ht="11.25">
      <c r="A54" s="147">
        <f t="shared" si="0"/>
        <v>0</v>
      </c>
      <c r="B54" s="152">
        <f t="shared" si="1"/>
        <v>0</v>
      </c>
      <c r="C54" s="141">
        <f t="shared" si="2"/>
        <v>3</v>
      </c>
      <c r="D54" s="142">
        <v>35</v>
      </c>
      <c r="E54" s="143">
        <f t="shared" si="16"/>
        <v>0</v>
      </c>
      <c r="F54" s="144">
        <f t="shared" si="3"/>
        <v>0</v>
      </c>
      <c r="G54" s="144">
        <f t="shared" si="4"/>
        <v>0</v>
      </c>
      <c r="H54" s="166">
        <f t="shared" si="29"/>
        <v>0</v>
      </c>
      <c r="I54" s="143">
        <f t="shared" si="18"/>
        <v>0</v>
      </c>
      <c r="J54" s="144">
        <f t="shared" si="5"/>
        <v>0</v>
      </c>
      <c r="K54" s="144">
        <f t="shared" si="6"/>
        <v>0</v>
      </c>
      <c r="L54" s="166">
        <f t="shared" si="30"/>
        <v>0</v>
      </c>
      <c r="M54" s="143">
        <f t="shared" si="20"/>
        <v>0</v>
      </c>
      <c r="N54" s="144">
        <f t="shared" si="7"/>
        <v>0</v>
      </c>
      <c r="O54" s="144">
        <f t="shared" si="8"/>
        <v>0</v>
      </c>
      <c r="P54" s="166">
        <f t="shared" si="31"/>
        <v>0</v>
      </c>
      <c r="R54" s="143">
        <f t="shared" si="22"/>
        <v>0</v>
      </c>
      <c r="S54" s="144">
        <f t="shared" si="9"/>
        <v>0</v>
      </c>
      <c r="T54" s="144">
        <f t="shared" si="10"/>
        <v>0</v>
      </c>
      <c r="U54" s="163">
        <f t="shared" si="11"/>
        <v>0</v>
      </c>
      <c r="V54" s="143">
        <f t="shared" si="23"/>
        <v>0</v>
      </c>
      <c r="W54" s="144">
        <f t="shared" si="12"/>
        <v>0</v>
      </c>
      <c r="X54" s="144">
        <f t="shared" si="13"/>
        <v>0</v>
      </c>
      <c r="Y54" s="163">
        <f t="shared" si="14"/>
        <v>0</v>
      </c>
      <c r="Z54" s="151">
        <v>0</v>
      </c>
      <c r="AA54" s="151">
        <v>0</v>
      </c>
      <c r="AB54" s="151">
        <f t="shared" si="32"/>
        <v>0</v>
      </c>
      <c r="AC54" s="151">
        <f t="shared" si="32"/>
        <v>0</v>
      </c>
    </row>
    <row r="55" spans="1:29" s="61" customFormat="1" ht="12" thickBot="1">
      <c r="A55" s="153">
        <f t="shared" si="0"/>
        <v>0</v>
      </c>
      <c r="B55" s="154">
        <f t="shared" si="1"/>
        <v>0</v>
      </c>
      <c r="C55" s="155">
        <f t="shared" si="2"/>
        <v>3</v>
      </c>
      <c r="D55" s="156">
        <v>36</v>
      </c>
      <c r="E55" s="157">
        <f t="shared" si="16"/>
        <v>0</v>
      </c>
      <c r="F55" s="158">
        <f t="shared" si="3"/>
        <v>0</v>
      </c>
      <c r="G55" s="158">
        <f t="shared" si="4"/>
        <v>0</v>
      </c>
      <c r="H55" s="167">
        <f t="shared" si="29"/>
        <v>0</v>
      </c>
      <c r="I55" s="157">
        <f t="shared" si="18"/>
        <v>0</v>
      </c>
      <c r="J55" s="158">
        <f t="shared" si="5"/>
        <v>0</v>
      </c>
      <c r="K55" s="158">
        <f t="shared" si="6"/>
        <v>0</v>
      </c>
      <c r="L55" s="167">
        <f t="shared" si="30"/>
        <v>0</v>
      </c>
      <c r="M55" s="157">
        <f t="shared" si="20"/>
        <v>0</v>
      </c>
      <c r="N55" s="158">
        <f t="shared" si="7"/>
        <v>0</v>
      </c>
      <c r="O55" s="158">
        <f t="shared" si="8"/>
        <v>0</v>
      </c>
      <c r="P55" s="167">
        <f t="shared" si="31"/>
        <v>0</v>
      </c>
      <c r="R55" s="157">
        <f t="shared" si="22"/>
        <v>0</v>
      </c>
      <c r="S55" s="158">
        <f t="shared" si="9"/>
        <v>0</v>
      </c>
      <c r="T55" s="158">
        <f t="shared" si="10"/>
        <v>0</v>
      </c>
      <c r="U55" s="165">
        <f t="shared" si="11"/>
        <v>0</v>
      </c>
      <c r="V55" s="157">
        <f t="shared" si="23"/>
        <v>0</v>
      </c>
      <c r="W55" s="158">
        <f t="shared" si="12"/>
        <v>0</v>
      </c>
      <c r="X55" s="158">
        <f t="shared" si="13"/>
        <v>0</v>
      </c>
      <c r="Y55" s="165">
        <f t="shared" si="14"/>
        <v>0</v>
      </c>
      <c r="Z55" s="151">
        <v>0</v>
      </c>
      <c r="AA55" s="151">
        <v>0</v>
      </c>
      <c r="AB55" s="151">
        <f>$V55+$W55</f>
        <v>0</v>
      </c>
      <c r="AC55" s="151">
        <f t="shared" si="32"/>
        <v>0</v>
      </c>
    </row>
    <row r="56" spans="1:29" s="61" customFormat="1" ht="11.25">
      <c r="A56" s="147">
        <f t="shared" si="0"/>
        <v>0</v>
      </c>
      <c r="B56" s="152">
        <f t="shared" si="1"/>
        <v>0</v>
      </c>
      <c r="C56" s="141">
        <f t="shared" si="2"/>
        <v>4</v>
      </c>
      <c r="D56" s="142">
        <v>37</v>
      </c>
      <c r="E56" s="143">
        <f t="shared" si="16"/>
        <v>0</v>
      </c>
      <c r="F56" s="144">
        <f t="shared" si="3"/>
        <v>0</v>
      </c>
      <c r="G56" s="144">
        <f t="shared" si="4"/>
        <v>0</v>
      </c>
      <c r="H56" s="168">
        <f>IF(E56&lt;=0,0,H$13)</f>
        <v>0</v>
      </c>
      <c r="I56" s="162">
        <f t="shared" si="18"/>
        <v>0</v>
      </c>
      <c r="J56" s="144">
        <f t="shared" si="5"/>
        <v>0</v>
      </c>
      <c r="K56" s="144">
        <f t="shared" si="6"/>
        <v>0</v>
      </c>
      <c r="L56" s="169">
        <f>IF(I56&lt;=0,0,L$13)</f>
        <v>0</v>
      </c>
      <c r="M56" s="143">
        <f t="shared" si="20"/>
        <v>0</v>
      </c>
      <c r="N56" s="144">
        <f t="shared" si="7"/>
        <v>0</v>
      </c>
      <c r="O56" s="144">
        <f t="shared" si="8"/>
        <v>0</v>
      </c>
      <c r="P56" s="168">
        <f>IF(M56&lt;=0,0,P$13)</f>
        <v>0</v>
      </c>
      <c r="R56" s="143">
        <f t="shared" si="22"/>
        <v>0</v>
      </c>
      <c r="S56" s="144">
        <f t="shared" si="9"/>
        <v>0</v>
      </c>
      <c r="T56" s="144">
        <f t="shared" si="10"/>
        <v>0</v>
      </c>
      <c r="U56" s="170">
        <f t="shared" si="11"/>
        <v>0</v>
      </c>
      <c r="V56" s="143">
        <f t="shared" si="23"/>
        <v>0</v>
      </c>
      <c r="W56" s="144">
        <f t="shared" si="12"/>
        <v>0</v>
      </c>
      <c r="X56" s="144">
        <f t="shared" si="13"/>
        <v>0</v>
      </c>
      <c r="Y56" s="170">
        <f t="shared" si="14"/>
        <v>0</v>
      </c>
      <c r="Z56" s="151">
        <v>0</v>
      </c>
      <c r="AA56" s="151">
        <v>0</v>
      </c>
      <c r="AB56" s="151">
        <v>0</v>
      </c>
      <c r="AC56" s="151">
        <f t="shared" si="32"/>
        <v>0</v>
      </c>
    </row>
    <row r="57" spans="1:29" s="61" customFormat="1" ht="11.25">
      <c r="A57" s="147">
        <f t="shared" si="0"/>
        <v>0</v>
      </c>
      <c r="B57" s="152">
        <f t="shared" si="1"/>
        <v>0</v>
      </c>
      <c r="C57" s="141">
        <f t="shared" si="2"/>
        <v>4</v>
      </c>
      <c r="D57" s="142">
        <v>38</v>
      </c>
      <c r="E57" s="143">
        <f t="shared" si="16"/>
        <v>0</v>
      </c>
      <c r="F57" s="144">
        <f t="shared" si="3"/>
        <v>0</v>
      </c>
      <c r="G57" s="144">
        <f t="shared" si="4"/>
        <v>0</v>
      </c>
      <c r="H57" s="168">
        <f t="shared" ref="H57:H67" si="33">IF(E57&lt;=0,0,H$13)</f>
        <v>0</v>
      </c>
      <c r="I57" s="143">
        <f t="shared" si="18"/>
        <v>0</v>
      </c>
      <c r="J57" s="144">
        <f t="shared" si="5"/>
        <v>0</v>
      </c>
      <c r="K57" s="144">
        <f t="shared" si="6"/>
        <v>0</v>
      </c>
      <c r="L57" s="169">
        <f t="shared" ref="L57:L120" si="34">IF(I57&lt;=0,0,L$13)</f>
        <v>0</v>
      </c>
      <c r="M57" s="143">
        <f t="shared" si="20"/>
        <v>0</v>
      </c>
      <c r="N57" s="144">
        <f t="shared" si="7"/>
        <v>0</v>
      </c>
      <c r="O57" s="144">
        <f t="shared" si="8"/>
        <v>0</v>
      </c>
      <c r="P57" s="168">
        <f t="shared" ref="P57:P67" si="35">IF(M57&lt;=0,0,P$13)</f>
        <v>0</v>
      </c>
      <c r="R57" s="143">
        <f t="shared" si="22"/>
        <v>0</v>
      </c>
      <c r="S57" s="144">
        <f t="shared" si="9"/>
        <v>0</v>
      </c>
      <c r="T57" s="144">
        <f t="shared" si="10"/>
        <v>0</v>
      </c>
      <c r="U57" s="170">
        <f t="shared" si="11"/>
        <v>0</v>
      </c>
      <c r="V57" s="143">
        <f t="shared" si="23"/>
        <v>0</v>
      </c>
      <c r="W57" s="144">
        <f t="shared" si="12"/>
        <v>0</v>
      </c>
      <c r="X57" s="144">
        <f t="shared" si="13"/>
        <v>0</v>
      </c>
      <c r="Y57" s="170">
        <f t="shared" si="14"/>
        <v>0</v>
      </c>
      <c r="Z57" s="151">
        <v>0</v>
      </c>
      <c r="AA57" s="151">
        <v>0</v>
      </c>
      <c r="AB57" s="151">
        <v>0</v>
      </c>
      <c r="AC57" s="151">
        <f t="shared" si="32"/>
        <v>0</v>
      </c>
    </row>
    <row r="58" spans="1:29" s="61" customFormat="1" ht="11.25">
      <c r="A58" s="147">
        <f t="shared" si="0"/>
        <v>0</v>
      </c>
      <c r="B58" s="152">
        <f t="shared" si="1"/>
        <v>0</v>
      </c>
      <c r="C58" s="141">
        <f t="shared" si="2"/>
        <v>4</v>
      </c>
      <c r="D58" s="142">
        <v>39</v>
      </c>
      <c r="E58" s="143">
        <f t="shared" si="16"/>
        <v>0</v>
      </c>
      <c r="F58" s="144">
        <f t="shared" si="3"/>
        <v>0</v>
      </c>
      <c r="G58" s="144">
        <f t="shared" si="4"/>
        <v>0</v>
      </c>
      <c r="H58" s="168">
        <f t="shared" si="33"/>
        <v>0</v>
      </c>
      <c r="I58" s="143">
        <f t="shared" si="18"/>
        <v>0</v>
      </c>
      <c r="J58" s="144">
        <f t="shared" si="5"/>
        <v>0</v>
      </c>
      <c r="K58" s="144">
        <f t="shared" si="6"/>
        <v>0</v>
      </c>
      <c r="L58" s="169">
        <f t="shared" si="34"/>
        <v>0</v>
      </c>
      <c r="M58" s="143">
        <f t="shared" si="20"/>
        <v>0</v>
      </c>
      <c r="N58" s="144">
        <f t="shared" si="7"/>
        <v>0</v>
      </c>
      <c r="O58" s="144">
        <f t="shared" si="8"/>
        <v>0</v>
      </c>
      <c r="P58" s="168">
        <f t="shared" si="35"/>
        <v>0</v>
      </c>
      <c r="R58" s="143">
        <f t="shared" si="22"/>
        <v>0</v>
      </c>
      <c r="S58" s="144">
        <f t="shared" si="9"/>
        <v>0</v>
      </c>
      <c r="T58" s="144">
        <f t="shared" si="10"/>
        <v>0</v>
      </c>
      <c r="U58" s="170">
        <f t="shared" si="11"/>
        <v>0</v>
      </c>
      <c r="V58" s="143">
        <f t="shared" si="23"/>
        <v>0</v>
      </c>
      <c r="W58" s="144">
        <f t="shared" si="12"/>
        <v>0</v>
      </c>
      <c r="X58" s="144">
        <f t="shared" si="13"/>
        <v>0</v>
      </c>
      <c r="Y58" s="170">
        <f t="shared" si="14"/>
        <v>0</v>
      </c>
      <c r="Z58" s="151">
        <v>0</v>
      </c>
      <c r="AA58" s="151">
        <v>0</v>
      </c>
      <c r="AB58" s="151">
        <v>0</v>
      </c>
      <c r="AC58" s="151">
        <f t="shared" si="32"/>
        <v>0</v>
      </c>
    </row>
    <row r="59" spans="1:29" s="61" customFormat="1" ht="11.25">
      <c r="A59" s="147">
        <f t="shared" si="0"/>
        <v>0</v>
      </c>
      <c r="B59" s="152">
        <f t="shared" si="1"/>
        <v>0</v>
      </c>
      <c r="C59" s="141">
        <f t="shared" si="2"/>
        <v>4</v>
      </c>
      <c r="D59" s="142">
        <v>40</v>
      </c>
      <c r="E59" s="143">
        <f t="shared" si="16"/>
        <v>0</v>
      </c>
      <c r="F59" s="144">
        <f t="shared" si="3"/>
        <v>0</v>
      </c>
      <c r="G59" s="144">
        <f t="shared" si="4"/>
        <v>0</v>
      </c>
      <c r="H59" s="168">
        <f t="shared" si="33"/>
        <v>0</v>
      </c>
      <c r="I59" s="143">
        <f t="shared" si="18"/>
        <v>0</v>
      </c>
      <c r="J59" s="144">
        <f t="shared" si="5"/>
        <v>0</v>
      </c>
      <c r="K59" s="144">
        <f t="shared" si="6"/>
        <v>0</v>
      </c>
      <c r="L59" s="169">
        <f t="shared" si="34"/>
        <v>0</v>
      </c>
      <c r="M59" s="143">
        <f t="shared" si="20"/>
        <v>0</v>
      </c>
      <c r="N59" s="144">
        <f t="shared" si="7"/>
        <v>0</v>
      </c>
      <c r="O59" s="144">
        <f t="shared" si="8"/>
        <v>0</v>
      </c>
      <c r="P59" s="168">
        <f t="shared" si="35"/>
        <v>0</v>
      </c>
      <c r="R59" s="143">
        <f t="shared" si="22"/>
        <v>0</v>
      </c>
      <c r="S59" s="144">
        <f t="shared" si="9"/>
        <v>0</v>
      </c>
      <c r="T59" s="144">
        <f t="shared" si="10"/>
        <v>0</v>
      </c>
      <c r="U59" s="170">
        <f t="shared" si="11"/>
        <v>0</v>
      </c>
      <c r="V59" s="143">
        <f t="shared" si="23"/>
        <v>0</v>
      </c>
      <c r="W59" s="144">
        <f t="shared" si="12"/>
        <v>0</v>
      </c>
      <c r="X59" s="144">
        <f t="shared" si="13"/>
        <v>0</v>
      </c>
      <c r="Y59" s="170">
        <f t="shared" si="14"/>
        <v>0</v>
      </c>
      <c r="Z59" s="151">
        <v>0</v>
      </c>
      <c r="AA59" s="151">
        <v>0</v>
      </c>
      <c r="AB59" s="151">
        <v>0</v>
      </c>
      <c r="AC59" s="151">
        <f t="shared" si="32"/>
        <v>0</v>
      </c>
    </row>
    <row r="60" spans="1:29" s="61" customFormat="1" ht="11.25">
      <c r="A60" s="147">
        <f t="shared" si="0"/>
        <v>0</v>
      </c>
      <c r="B60" s="152">
        <f t="shared" si="1"/>
        <v>0</v>
      </c>
      <c r="C60" s="141">
        <f t="shared" si="2"/>
        <v>4</v>
      </c>
      <c r="D60" s="142">
        <v>41</v>
      </c>
      <c r="E60" s="143">
        <f t="shared" si="16"/>
        <v>0</v>
      </c>
      <c r="F60" s="144">
        <f t="shared" si="3"/>
        <v>0</v>
      </c>
      <c r="G60" s="144">
        <f t="shared" si="4"/>
        <v>0</v>
      </c>
      <c r="H60" s="168">
        <f t="shared" si="33"/>
        <v>0</v>
      </c>
      <c r="I60" s="143">
        <f t="shared" si="18"/>
        <v>0</v>
      </c>
      <c r="J60" s="144">
        <f t="shared" si="5"/>
        <v>0</v>
      </c>
      <c r="K60" s="144">
        <f t="shared" si="6"/>
        <v>0</v>
      </c>
      <c r="L60" s="169">
        <f t="shared" si="34"/>
        <v>0</v>
      </c>
      <c r="M60" s="143">
        <f t="shared" si="20"/>
        <v>0</v>
      </c>
      <c r="N60" s="144">
        <f t="shared" si="7"/>
        <v>0</v>
      </c>
      <c r="O60" s="144">
        <f t="shared" si="8"/>
        <v>0</v>
      </c>
      <c r="P60" s="168">
        <f t="shared" si="35"/>
        <v>0</v>
      </c>
      <c r="R60" s="143">
        <f t="shared" si="22"/>
        <v>0</v>
      </c>
      <c r="S60" s="144">
        <f t="shared" si="9"/>
        <v>0</v>
      </c>
      <c r="T60" s="144">
        <f t="shared" si="10"/>
        <v>0</v>
      </c>
      <c r="U60" s="170">
        <f t="shared" si="11"/>
        <v>0</v>
      </c>
      <c r="V60" s="143">
        <f t="shared" si="23"/>
        <v>0</v>
      </c>
      <c r="W60" s="144">
        <f t="shared" si="12"/>
        <v>0</v>
      </c>
      <c r="X60" s="144">
        <f t="shared" si="13"/>
        <v>0</v>
      </c>
      <c r="Y60" s="170">
        <f t="shared" si="14"/>
        <v>0</v>
      </c>
      <c r="Z60" s="151">
        <v>0</v>
      </c>
      <c r="AA60" s="151">
        <v>0</v>
      </c>
      <c r="AB60" s="151">
        <v>0</v>
      </c>
      <c r="AC60" s="151">
        <f t="shared" si="32"/>
        <v>0</v>
      </c>
    </row>
    <row r="61" spans="1:29" s="61" customFormat="1" ht="11.25">
      <c r="A61" s="147">
        <f t="shared" si="0"/>
        <v>0</v>
      </c>
      <c r="B61" s="152">
        <f t="shared" si="1"/>
        <v>0</v>
      </c>
      <c r="C61" s="141">
        <f t="shared" si="2"/>
        <v>4</v>
      </c>
      <c r="D61" s="142">
        <v>42</v>
      </c>
      <c r="E61" s="143">
        <f t="shared" si="16"/>
        <v>0</v>
      </c>
      <c r="F61" s="144">
        <f t="shared" si="3"/>
        <v>0</v>
      </c>
      <c r="G61" s="144">
        <f t="shared" si="4"/>
        <v>0</v>
      </c>
      <c r="H61" s="168">
        <f t="shared" si="33"/>
        <v>0</v>
      </c>
      <c r="I61" s="143">
        <f t="shared" si="18"/>
        <v>0</v>
      </c>
      <c r="J61" s="144">
        <f t="shared" si="5"/>
        <v>0</v>
      </c>
      <c r="K61" s="144">
        <f t="shared" si="6"/>
        <v>0</v>
      </c>
      <c r="L61" s="169">
        <f t="shared" si="34"/>
        <v>0</v>
      </c>
      <c r="M61" s="143">
        <f t="shared" si="20"/>
        <v>0</v>
      </c>
      <c r="N61" s="144">
        <f t="shared" si="7"/>
        <v>0</v>
      </c>
      <c r="O61" s="144">
        <f t="shared" si="8"/>
        <v>0</v>
      </c>
      <c r="P61" s="168">
        <f t="shared" si="35"/>
        <v>0</v>
      </c>
      <c r="R61" s="143">
        <f t="shared" si="22"/>
        <v>0</v>
      </c>
      <c r="S61" s="144">
        <f t="shared" si="9"/>
        <v>0</v>
      </c>
      <c r="T61" s="144">
        <f t="shared" si="10"/>
        <v>0</v>
      </c>
      <c r="U61" s="170">
        <f t="shared" si="11"/>
        <v>0</v>
      </c>
      <c r="V61" s="143">
        <f t="shared" si="23"/>
        <v>0</v>
      </c>
      <c r="W61" s="144">
        <f t="shared" si="12"/>
        <v>0</v>
      </c>
      <c r="X61" s="144">
        <f t="shared" si="13"/>
        <v>0</v>
      </c>
      <c r="Y61" s="170">
        <f t="shared" si="14"/>
        <v>0</v>
      </c>
      <c r="Z61" s="151">
        <v>0</v>
      </c>
      <c r="AA61" s="151">
        <v>0</v>
      </c>
      <c r="AB61" s="151">
        <v>0</v>
      </c>
      <c r="AC61" s="151">
        <f t="shared" si="32"/>
        <v>0</v>
      </c>
    </row>
    <row r="62" spans="1:29" s="61" customFormat="1" ht="11.25">
      <c r="A62" s="147">
        <f t="shared" si="0"/>
        <v>0</v>
      </c>
      <c r="B62" s="152">
        <f t="shared" si="1"/>
        <v>0</v>
      </c>
      <c r="C62" s="141">
        <f t="shared" si="2"/>
        <v>4</v>
      </c>
      <c r="D62" s="142">
        <v>43</v>
      </c>
      <c r="E62" s="143">
        <f t="shared" si="16"/>
        <v>0</v>
      </c>
      <c r="F62" s="144">
        <f t="shared" si="3"/>
        <v>0</v>
      </c>
      <c r="G62" s="144">
        <f t="shared" si="4"/>
        <v>0</v>
      </c>
      <c r="H62" s="168">
        <f t="shared" si="33"/>
        <v>0</v>
      </c>
      <c r="I62" s="143">
        <f t="shared" si="18"/>
        <v>0</v>
      </c>
      <c r="J62" s="144">
        <f t="shared" si="5"/>
        <v>0</v>
      </c>
      <c r="K62" s="144">
        <f t="shared" si="6"/>
        <v>0</v>
      </c>
      <c r="L62" s="169">
        <f t="shared" si="34"/>
        <v>0</v>
      </c>
      <c r="M62" s="143">
        <f t="shared" si="20"/>
        <v>0</v>
      </c>
      <c r="N62" s="144">
        <f t="shared" si="7"/>
        <v>0</v>
      </c>
      <c r="O62" s="144">
        <f t="shared" si="8"/>
        <v>0</v>
      </c>
      <c r="P62" s="168">
        <f t="shared" si="35"/>
        <v>0</v>
      </c>
      <c r="R62" s="143">
        <f t="shared" si="22"/>
        <v>0</v>
      </c>
      <c r="S62" s="144">
        <f t="shared" si="9"/>
        <v>0</v>
      </c>
      <c r="T62" s="144">
        <f t="shared" si="10"/>
        <v>0</v>
      </c>
      <c r="U62" s="170">
        <f t="shared" si="11"/>
        <v>0</v>
      </c>
      <c r="V62" s="143">
        <f t="shared" si="23"/>
        <v>0</v>
      </c>
      <c r="W62" s="144">
        <f t="shared" si="12"/>
        <v>0</v>
      </c>
      <c r="X62" s="144">
        <f t="shared" si="13"/>
        <v>0</v>
      </c>
      <c r="Y62" s="170">
        <f t="shared" si="14"/>
        <v>0</v>
      </c>
      <c r="Z62" s="151">
        <v>0</v>
      </c>
      <c r="AA62" s="151">
        <v>0</v>
      </c>
      <c r="AB62" s="151">
        <v>0</v>
      </c>
      <c r="AC62" s="151">
        <f t="shared" si="32"/>
        <v>0</v>
      </c>
    </row>
    <row r="63" spans="1:29" s="61" customFormat="1" ht="11.25">
      <c r="A63" s="147">
        <f t="shared" si="0"/>
        <v>0</v>
      </c>
      <c r="B63" s="152">
        <f t="shared" si="1"/>
        <v>0</v>
      </c>
      <c r="C63" s="141">
        <f t="shared" si="2"/>
        <v>4</v>
      </c>
      <c r="D63" s="142">
        <v>44</v>
      </c>
      <c r="E63" s="143">
        <f t="shared" si="16"/>
        <v>0</v>
      </c>
      <c r="F63" s="144">
        <f t="shared" si="3"/>
        <v>0</v>
      </c>
      <c r="G63" s="144">
        <f t="shared" si="4"/>
        <v>0</v>
      </c>
      <c r="H63" s="168">
        <f t="shared" si="33"/>
        <v>0</v>
      </c>
      <c r="I63" s="143">
        <f t="shared" si="18"/>
        <v>0</v>
      </c>
      <c r="J63" s="144">
        <f t="shared" si="5"/>
        <v>0</v>
      </c>
      <c r="K63" s="144">
        <f t="shared" si="6"/>
        <v>0</v>
      </c>
      <c r="L63" s="169">
        <f t="shared" si="34"/>
        <v>0</v>
      </c>
      <c r="M63" s="143">
        <f t="shared" si="20"/>
        <v>0</v>
      </c>
      <c r="N63" s="144">
        <f t="shared" si="7"/>
        <v>0</v>
      </c>
      <c r="O63" s="144">
        <f t="shared" si="8"/>
        <v>0</v>
      </c>
      <c r="P63" s="168">
        <f t="shared" si="35"/>
        <v>0</v>
      </c>
      <c r="R63" s="143">
        <f t="shared" si="22"/>
        <v>0</v>
      </c>
      <c r="S63" s="144">
        <f t="shared" si="9"/>
        <v>0</v>
      </c>
      <c r="T63" s="144">
        <f t="shared" si="10"/>
        <v>0</v>
      </c>
      <c r="U63" s="170">
        <f t="shared" si="11"/>
        <v>0</v>
      </c>
      <c r="V63" s="143">
        <f t="shared" si="23"/>
        <v>0</v>
      </c>
      <c r="W63" s="144">
        <f t="shared" si="12"/>
        <v>0</v>
      </c>
      <c r="X63" s="144">
        <f t="shared" si="13"/>
        <v>0</v>
      </c>
      <c r="Y63" s="170">
        <f t="shared" si="14"/>
        <v>0</v>
      </c>
      <c r="Z63" s="151">
        <v>0</v>
      </c>
      <c r="AA63" s="151">
        <v>0</v>
      </c>
      <c r="AB63" s="151">
        <v>0</v>
      </c>
      <c r="AC63" s="151">
        <f t="shared" si="32"/>
        <v>0</v>
      </c>
    </row>
    <row r="64" spans="1:29" s="61" customFormat="1" ht="11.25">
      <c r="A64" s="147">
        <f t="shared" si="0"/>
        <v>0</v>
      </c>
      <c r="B64" s="152">
        <f t="shared" si="1"/>
        <v>0</v>
      </c>
      <c r="C64" s="141">
        <f t="shared" si="2"/>
        <v>4</v>
      </c>
      <c r="D64" s="142">
        <v>45</v>
      </c>
      <c r="E64" s="143">
        <f t="shared" si="16"/>
        <v>0</v>
      </c>
      <c r="F64" s="144">
        <f t="shared" si="3"/>
        <v>0</v>
      </c>
      <c r="G64" s="144">
        <f t="shared" si="4"/>
        <v>0</v>
      </c>
      <c r="H64" s="168">
        <f t="shared" si="33"/>
        <v>0</v>
      </c>
      <c r="I64" s="143">
        <f t="shared" si="18"/>
        <v>0</v>
      </c>
      <c r="J64" s="144">
        <f t="shared" si="5"/>
        <v>0</v>
      </c>
      <c r="K64" s="144">
        <f t="shared" si="6"/>
        <v>0</v>
      </c>
      <c r="L64" s="169">
        <f t="shared" si="34"/>
        <v>0</v>
      </c>
      <c r="M64" s="143">
        <f t="shared" si="20"/>
        <v>0</v>
      </c>
      <c r="N64" s="144">
        <f t="shared" si="7"/>
        <v>0</v>
      </c>
      <c r="O64" s="144">
        <f t="shared" si="8"/>
        <v>0</v>
      </c>
      <c r="P64" s="168">
        <f t="shared" si="35"/>
        <v>0</v>
      </c>
      <c r="R64" s="143">
        <f t="shared" si="22"/>
        <v>0</v>
      </c>
      <c r="S64" s="144">
        <f t="shared" si="9"/>
        <v>0</v>
      </c>
      <c r="T64" s="144">
        <f t="shared" si="10"/>
        <v>0</v>
      </c>
      <c r="U64" s="170">
        <f t="shared" si="11"/>
        <v>0</v>
      </c>
      <c r="V64" s="143">
        <f t="shared" si="23"/>
        <v>0</v>
      </c>
      <c r="W64" s="144">
        <f t="shared" si="12"/>
        <v>0</v>
      </c>
      <c r="X64" s="144">
        <f t="shared" si="13"/>
        <v>0</v>
      </c>
      <c r="Y64" s="170">
        <f t="shared" si="14"/>
        <v>0</v>
      </c>
      <c r="Z64" s="151">
        <v>0</v>
      </c>
      <c r="AA64" s="151">
        <v>0</v>
      </c>
      <c r="AB64" s="151">
        <v>0</v>
      </c>
      <c r="AC64" s="151">
        <f t="shared" si="32"/>
        <v>0</v>
      </c>
    </row>
    <row r="65" spans="1:29" s="61" customFormat="1" ht="11.25">
      <c r="A65" s="147">
        <f t="shared" si="0"/>
        <v>0</v>
      </c>
      <c r="B65" s="152">
        <f t="shared" si="1"/>
        <v>0</v>
      </c>
      <c r="C65" s="141">
        <f t="shared" si="2"/>
        <v>4</v>
      </c>
      <c r="D65" s="142">
        <v>46</v>
      </c>
      <c r="E65" s="143">
        <f t="shared" si="16"/>
        <v>0</v>
      </c>
      <c r="F65" s="144">
        <f t="shared" si="3"/>
        <v>0</v>
      </c>
      <c r="G65" s="144">
        <f t="shared" si="4"/>
        <v>0</v>
      </c>
      <c r="H65" s="168">
        <f t="shared" si="33"/>
        <v>0</v>
      </c>
      <c r="I65" s="143">
        <f t="shared" si="18"/>
        <v>0</v>
      </c>
      <c r="J65" s="144">
        <f t="shared" si="5"/>
        <v>0</v>
      </c>
      <c r="K65" s="144">
        <f t="shared" si="6"/>
        <v>0</v>
      </c>
      <c r="L65" s="169">
        <f t="shared" si="34"/>
        <v>0</v>
      </c>
      <c r="M65" s="143">
        <f t="shared" si="20"/>
        <v>0</v>
      </c>
      <c r="N65" s="144">
        <f t="shared" si="7"/>
        <v>0</v>
      </c>
      <c r="O65" s="144">
        <f t="shared" si="8"/>
        <v>0</v>
      </c>
      <c r="P65" s="168">
        <f t="shared" si="35"/>
        <v>0</v>
      </c>
      <c r="R65" s="143">
        <f t="shared" si="22"/>
        <v>0</v>
      </c>
      <c r="S65" s="144">
        <f t="shared" si="9"/>
        <v>0</v>
      </c>
      <c r="T65" s="144">
        <f t="shared" si="10"/>
        <v>0</v>
      </c>
      <c r="U65" s="170">
        <f t="shared" si="11"/>
        <v>0</v>
      </c>
      <c r="V65" s="143">
        <f t="shared" si="23"/>
        <v>0</v>
      </c>
      <c r="W65" s="144">
        <f t="shared" si="12"/>
        <v>0</v>
      </c>
      <c r="X65" s="144">
        <f t="shared" si="13"/>
        <v>0</v>
      </c>
      <c r="Y65" s="170">
        <f t="shared" si="14"/>
        <v>0</v>
      </c>
      <c r="Z65" s="151">
        <v>0</v>
      </c>
      <c r="AA65" s="151">
        <v>0</v>
      </c>
      <c r="AB65" s="151">
        <v>0</v>
      </c>
      <c r="AC65" s="151">
        <f t="shared" si="32"/>
        <v>0</v>
      </c>
    </row>
    <row r="66" spans="1:29" s="61" customFormat="1" ht="11.25">
      <c r="A66" s="147">
        <f t="shared" si="0"/>
        <v>0</v>
      </c>
      <c r="B66" s="152">
        <f t="shared" si="1"/>
        <v>0</v>
      </c>
      <c r="C66" s="141">
        <f t="shared" si="2"/>
        <v>4</v>
      </c>
      <c r="D66" s="142">
        <v>47</v>
      </c>
      <c r="E66" s="143">
        <f t="shared" si="16"/>
        <v>0</v>
      </c>
      <c r="F66" s="144">
        <f t="shared" si="3"/>
        <v>0</v>
      </c>
      <c r="G66" s="144">
        <f t="shared" si="4"/>
        <v>0</v>
      </c>
      <c r="H66" s="168">
        <f t="shared" si="33"/>
        <v>0</v>
      </c>
      <c r="I66" s="143">
        <f t="shared" si="18"/>
        <v>0</v>
      </c>
      <c r="J66" s="144">
        <f t="shared" si="5"/>
        <v>0</v>
      </c>
      <c r="K66" s="144">
        <f t="shared" si="6"/>
        <v>0</v>
      </c>
      <c r="L66" s="169">
        <f t="shared" si="34"/>
        <v>0</v>
      </c>
      <c r="M66" s="143">
        <f t="shared" si="20"/>
        <v>0</v>
      </c>
      <c r="N66" s="144">
        <f t="shared" si="7"/>
        <v>0</v>
      </c>
      <c r="O66" s="144">
        <f t="shared" si="8"/>
        <v>0</v>
      </c>
      <c r="P66" s="168">
        <f t="shared" si="35"/>
        <v>0</v>
      </c>
      <c r="R66" s="143">
        <f t="shared" si="22"/>
        <v>0</v>
      </c>
      <c r="S66" s="144">
        <f t="shared" si="9"/>
        <v>0</v>
      </c>
      <c r="T66" s="144">
        <f t="shared" si="10"/>
        <v>0</v>
      </c>
      <c r="U66" s="170">
        <f t="shared" si="11"/>
        <v>0</v>
      </c>
      <c r="V66" s="143">
        <f t="shared" si="23"/>
        <v>0</v>
      </c>
      <c r="W66" s="144">
        <f t="shared" si="12"/>
        <v>0</v>
      </c>
      <c r="X66" s="144">
        <f t="shared" si="13"/>
        <v>0</v>
      </c>
      <c r="Y66" s="170">
        <f t="shared" si="14"/>
        <v>0</v>
      </c>
      <c r="Z66" s="151">
        <v>0</v>
      </c>
      <c r="AA66" s="151">
        <v>0</v>
      </c>
      <c r="AB66" s="151">
        <v>0</v>
      </c>
      <c r="AC66" s="151">
        <f t="shared" si="32"/>
        <v>0</v>
      </c>
    </row>
    <row r="67" spans="1:29" s="61" customFormat="1" ht="12" thickBot="1">
      <c r="A67" s="153">
        <f t="shared" si="0"/>
        <v>0</v>
      </c>
      <c r="B67" s="154">
        <f t="shared" si="1"/>
        <v>0</v>
      </c>
      <c r="C67" s="155">
        <f t="shared" si="2"/>
        <v>4</v>
      </c>
      <c r="D67" s="156">
        <v>48</v>
      </c>
      <c r="E67" s="157">
        <f t="shared" si="16"/>
        <v>0</v>
      </c>
      <c r="F67" s="158">
        <f t="shared" si="3"/>
        <v>0</v>
      </c>
      <c r="G67" s="158">
        <f t="shared" si="4"/>
        <v>0</v>
      </c>
      <c r="H67" s="171">
        <f t="shared" si="33"/>
        <v>0</v>
      </c>
      <c r="I67" s="157">
        <f t="shared" si="18"/>
        <v>0</v>
      </c>
      <c r="J67" s="158">
        <f t="shared" si="5"/>
        <v>0</v>
      </c>
      <c r="K67" s="158">
        <f t="shared" si="6"/>
        <v>0</v>
      </c>
      <c r="L67" s="172">
        <f t="shared" si="34"/>
        <v>0</v>
      </c>
      <c r="M67" s="157">
        <f t="shared" si="20"/>
        <v>0</v>
      </c>
      <c r="N67" s="158">
        <f t="shared" si="7"/>
        <v>0</v>
      </c>
      <c r="O67" s="158">
        <f t="shared" si="8"/>
        <v>0</v>
      </c>
      <c r="P67" s="171">
        <f t="shared" si="35"/>
        <v>0</v>
      </c>
      <c r="R67" s="157">
        <f t="shared" si="22"/>
        <v>0</v>
      </c>
      <c r="S67" s="158">
        <f t="shared" si="9"/>
        <v>0</v>
      </c>
      <c r="T67" s="158">
        <f t="shared" si="10"/>
        <v>0</v>
      </c>
      <c r="U67" s="173">
        <f t="shared" si="11"/>
        <v>0</v>
      </c>
      <c r="V67" s="157">
        <f t="shared" si="23"/>
        <v>0</v>
      </c>
      <c r="W67" s="158">
        <f t="shared" si="12"/>
        <v>0</v>
      </c>
      <c r="X67" s="158">
        <f t="shared" si="13"/>
        <v>0</v>
      </c>
      <c r="Y67" s="173">
        <f t="shared" si="14"/>
        <v>0</v>
      </c>
      <c r="Z67" s="151">
        <v>0</v>
      </c>
      <c r="AA67" s="151">
        <v>0</v>
      </c>
      <c r="AB67" s="151">
        <v>0</v>
      </c>
      <c r="AC67" s="151">
        <f>$V67+$W67</f>
        <v>0</v>
      </c>
    </row>
    <row r="68" spans="1:29" s="61" customFormat="1" ht="11.25">
      <c r="A68" s="147">
        <f t="shared" si="0"/>
        <v>0</v>
      </c>
      <c r="B68" s="152">
        <f t="shared" si="1"/>
        <v>0</v>
      </c>
      <c r="C68" s="141">
        <f t="shared" si="2"/>
        <v>5</v>
      </c>
      <c r="D68" s="142">
        <v>49</v>
      </c>
      <c r="E68" s="143">
        <f t="shared" si="16"/>
        <v>0</v>
      </c>
      <c r="F68" s="144">
        <f t="shared" si="3"/>
        <v>0</v>
      </c>
      <c r="G68" s="144">
        <f t="shared" si="4"/>
        <v>0</v>
      </c>
      <c r="H68" s="169">
        <f>IF(E68&lt;=0,0,H$14)</f>
        <v>0</v>
      </c>
      <c r="I68" s="143">
        <f t="shared" si="18"/>
        <v>0</v>
      </c>
      <c r="J68" s="144">
        <f t="shared" si="5"/>
        <v>0</v>
      </c>
      <c r="K68" s="144">
        <f t="shared" si="6"/>
        <v>0</v>
      </c>
      <c r="L68" s="169">
        <f t="shared" si="34"/>
        <v>0</v>
      </c>
      <c r="M68" s="143">
        <f t="shared" si="20"/>
        <v>0</v>
      </c>
      <c r="N68" s="144">
        <f t="shared" si="7"/>
        <v>0</v>
      </c>
      <c r="O68" s="144">
        <f t="shared" si="8"/>
        <v>0</v>
      </c>
      <c r="P68" s="169">
        <f>IF(M68&lt;=0,0,P$14)</f>
        <v>0</v>
      </c>
      <c r="R68" s="143">
        <f t="shared" si="22"/>
        <v>0</v>
      </c>
      <c r="S68" s="144">
        <f t="shared" si="9"/>
        <v>0</v>
      </c>
      <c r="T68" s="144">
        <f t="shared" si="10"/>
        <v>0</v>
      </c>
      <c r="U68" s="170">
        <f t="shared" si="11"/>
        <v>0</v>
      </c>
      <c r="V68" s="143">
        <f t="shared" si="23"/>
        <v>0</v>
      </c>
      <c r="W68" s="144">
        <f t="shared" si="12"/>
        <v>0</v>
      </c>
      <c r="X68" s="144">
        <f t="shared" si="13"/>
        <v>0</v>
      </c>
      <c r="Y68" s="170">
        <f t="shared" si="14"/>
        <v>0</v>
      </c>
      <c r="Z68" s="151">
        <v>0</v>
      </c>
      <c r="AA68" s="151">
        <v>0</v>
      </c>
      <c r="AB68" s="151">
        <v>0</v>
      </c>
      <c r="AC68" s="151">
        <v>0</v>
      </c>
    </row>
    <row r="69" spans="1:29" s="61" customFormat="1" ht="11.25">
      <c r="A69" s="147">
        <f t="shared" si="0"/>
        <v>0</v>
      </c>
      <c r="B69" s="152">
        <f t="shared" si="1"/>
        <v>0</v>
      </c>
      <c r="C69" s="141">
        <f t="shared" si="2"/>
        <v>5</v>
      </c>
      <c r="D69" s="142">
        <v>50</v>
      </c>
      <c r="E69" s="143">
        <f t="shared" si="16"/>
        <v>0</v>
      </c>
      <c r="F69" s="144">
        <f t="shared" si="3"/>
        <v>0</v>
      </c>
      <c r="G69" s="144">
        <f t="shared" si="4"/>
        <v>0</v>
      </c>
      <c r="H69" s="169">
        <f t="shared" ref="H69:H132" si="36">IF(E69&lt;=0,0,H$14)</f>
        <v>0</v>
      </c>
      <c r="I69" s="143">
        <f t="shared" si="18"/>
        <v>0</v>
      </c>
      <c r="J69" s="144">
        <f t="shared" si="5"/>
        <v>0</v>
      </c>
      <c r="K69" s="144">
        <f t="shared" si="6"/>
        <v>0</v>
      </c>
      <c r="L69" s="169">
        <f t="shared" si="34"/>
        <v>0</v>
      </c>
      <c r="M69" s="143">
        <f t="shared" si="20"/>
        <v>0</v>
      </c>
      <c r="N69" s="144">
        <f t="shared" si="7"/>
        <v>0</v>
      </c>
      <c r="O69" s="144">
        <f t="shared" si="8"/>
        <v>0</v>
      </c>
      <c r="P69" s="169">
        <f t="shared" ref="P69:P132" si="37">IF(M69&lt;=0,0,P$14)</f>
        <v>0</v>
      </c>
      <c r="R69" s="143">
        <f t="shared" si="22"/>
        <v>0</v>
      </c>
      <c r="S69" s="144">
        <f t="shared" si="9"/>
        <v>0</v>
      </c>
      <c r="T69" s="144">
        <f t="shared" si="10"/>
        <v>0</v>
      </c>
      <c r="U69" s="170">
        <f t="shared" si="11"/>
        <v>0</v>
      </c>
      <c r="V69" s="143">
        <f t="shared" si="23"/>
        <v>0</v>
      </c>
      <c r="W69" s="144">
        <f t="shared" si="12"/>
        <v>0</v>
      </c>
      <c r="X69" s="144">
        <f t="shared" si="13"/>
        <v>0</v>
      </c>
      <c r="Y69" s="170">
        <f t="shared" si="14"/>
        <v>0</v>
      </c>
      <c r="Z69" s="151">
        <v>0</v>
      </c>
      <c r="AA69" s="151">
        <v>0</v>
      </c>
      <c r="AB69" s="151">
        <v>0</v>
      </c>
      <c r="AC69" s="151">
        <v>0</v>
      </c>
    </row>
    <row r="70" spans="1:29" s="61" customFormat="1" ht="11.25">
      <c r="A70" s="147">
        <f t="shared" si="0"/>
        <v>0</v>
      </c>
      <c r="B70" s="152">
        <f t="shared" si="1"/>
        <v>0</v>
      </c>
      <c r="C70" s="141">
        <f t="shared" si="2"/>
        <v>5</v>
      </c>
      <c r="D70" s="142">
        <v>51</v>
      </c>
      <c r="E70" s="143">
        <f t="shared" si="16"/>
        <v>0</v>
      </c>
      <c r="F70" s="144">
        <f t="shared" si="3"/>
        <v>0</v>
      </c>
      <c r="G70" s="144">
        <f t="shared" si="4"/>
        <v>0</v>
      </c>
      <c r="H70" s="169">
        <f t="shared" si="36"/>
        <v>0</v>
      </c>
      <c r="I70" s="143">
        <f t="shared" si="18"/>
        <v>0</v>
      </c>
      <c r="J70" s="144">
        <f t="shared" si="5"/>
        <v>0</v>
      </c>
      <c r="K70" s="144">
        <f t="shared" si="6"/>
        <v>0</v>
      </c>
      <c r="L70" s="169">
        <f t="shared" si="34"/>
        <v>0</v>
      </c>
      <c r="M70" s="143">
        <f t="shared" si="20"/>
        <v>0</v>
      </c>
      <c r="N70" s="144">
        <f t="shared" si="7"/>
        <v>0</v>
      </c>
      <c r="O70" s="144">
        <f t="shared" si="8"/>
        <v>0</v>
      </c>
      <c r="P70" s="169">
        <f t="shared" si="37"/>
        <v>0</v>
      </c>
      <c r="R70" s="143">
        <f t="shared" si="22"/>
        <v>0</v>
      </c>
      <c r="S70" s="144">
        <f t="shared" si="9"/>
        <v>0</v>
      </c>
      <c r="T70" s="144">
        <f t="shared" si="10"/>
        <v>0</v>
      </c>
      <c r="U70" s="170">
        <f t="shared" si="11"/>
        <v>0</v>
      </c>
      <c r="V70" s="143">
        <f t="shared" si="23"/>
        <v>0</v>
      </c>
      <c r="W70" s="144">
        <f t="shared" si="12"/>
        <v>0</v>
      </c>
      <c r="X70" s="144">
        <f t="shared" si="13"/>
        <v>0</v>
      </c>
      <c r="Y70" s="170">
        <f t="shared" si="14"/>
        <v>0</v>
      </c>
      <c r="Z70" s="151">
        <v>0</v>
      </c>
      <c r="AA70" s="151">
        <v>0</v>
      </c>
      <c r="AB70" s="151">
        <v>0</v>
      </c>
      <c r="AC70" s="151">
        <v>0</v>
      </c>
    </row>
    <row r="71" spans="1:29" s="61" customFormat="1" ht="11.25">
      <c r="A71" s="147">
        <f t="shared" si="0"/>
        <v>0</v>
      </c>
      <c r="B71" s="152">
        <f t="shared" si="1"/>
        <v>0</v>
      </c>
      <c r="C71" s="141">
        <f t="shared" si="2"/>
        <v>5</v>
      </c>
      <c r="D71" s="142">
        <v>52</v>
      </c>
      <c r="E71" s="143">
        <f t="shared" si="16"/>
        <v>0</v>
      </c>
      <c r="F71" s="144">
        <f t="shared" si="3"/>
        <v>0</v>
      </c>
      <c r="G71" s="144">
        <f t="shared" si="4"/>
        <v>0</v>
      </c>
      <c r="H71" s="169">
        <f t="shared" si="36"/>
        <v>0</v>
      </c>
      <c r="I71" s="143">
        <f t="shared" si="18"/>
        <v>0</v>
      </c>
      <c r="J71" s="144">
        <f t="shared" si="5"/>
        <v>0</v>
      </c>
      <c r="K71" s="144">
        <f t="shared" si="6"/>
        <v>0</v>
      </c>
      <c r="L71" s="169">
        <f t="shared" si="34"/>
        <v>0</v>
      </c>
      <c r="M71" s="143">
        <f t="shared" si="20"/>
        <v>0</v>
      </c>
      <c r="N71" s="144">
        <f t="shared" si="7"/>
        <v>0</v>
      </c>
      <c r="O71" s="144">
        <f t="shared" si="8"/>
        <v>0</v>
      </c>
      <c r="P71" s="169">
        <f t="shared" si="37"/>
        <v>0</v>
      </c>
      <c r="R71" s="143">
        <f t="shared" si="22"/>
        <v>0</v>
      </c>
      <c r="S71" s="144">
        <f t="shared" si="9"/>
        <v>0</v>
      </c>
      <c r="T71" s="144">
        <f t="shared" si="10"/>
        <v>0</v>
      </c>
      <c r="U71" s="170">
        <f t="shared" si="11"/>
        <v>0</v>
      </c>
      <c r="V71" s="143">
        <f t="shared" si="23"/>
        <v>0</v>
      </c>
      <c r="W71" s="144">
        <f t="shared" si="12"/>
        <v>0</v>
      </c>
      <c r="X71" s="144">
        <f t="shared" si="13"/>
        <v>0</v>
      </c>
      <c r="Y71" s="170">
        <f t="shared" si="14"/>
        <v>0</v>
      </c>
      <c r="Z71" s="151">
        <v>0</v>
      </c>
      <c r="AA71" s="151">
        <v>0</v>
      </c>
      <c r="AB71" s="151">
        <v>0</v>
      </c>
      <c r="AC71" s="151">
        <v>0</v>
      </c>
    </row>
    <row r="72" spans="1:29" s="61" customFormat="1" ht="11.25">
      <c r="A72" s="147">
        <f t="shared" si="0"/>
        <v>0</v>
      </c>
      <c r="B72" s="152">
        <f t="shared" si="1"/>
        <v>0</v>
      </c>
      <c r="C72" s="141">
        <f t="shared" si="2"/>
        <v>5</v>
      </c>
      <c r="D72" s="142">
        <v>53</v>
      </c>
      <c r="E72" s="143">
        <f t="shared" si="16"/>
        <v>0</v>
      </c>
      <c r="F72" s="144">
        <f t="shared" si="3"/>
        <v>0</v>
      </c>
      <c r="G72" s="144">
        <f t="shared" si="4"/>
        <v>0</v>
      </c>
      <c r="H72" s="169">
        <f t="shared" si="36"/>
        <v>0</v>
      </c>
      <c r="I72" s="143">
        <f t="shared" si="18"/>
        <v>0</v>
      </c>
      <c r="J72" s="144">
        <f t="shared" si="5"/>
        <v>0</v>
      </c>
      <c r="K72" s="144">
        <f t="shared" si="6"/>
        <v>0</v>
      </c>
      <c r="L72" s="169">
        <f t="shared" si="34"/>
        <v>0</v>
      </c>
      <c r="M72" s="143">
        <f t="shared" si="20"/>
        <v>0</v>
      </c>
      <c r="N72" s="144">
        <f t="shared" si="7"/>
        <v>0</v>
      </c>
      <c r="O72" s="144">
        <f t="shared" si="8"/>
        <v>0</v>
      </c>
      <c r="P72" s="169">
        <f t="shared" si="37"/>
        <v>0</v>
      </c>
      <c r="R72" s="143">
        <f t="shared" si="22"/>
        <v>0</v>
      </c>
      <c r="S72" s="144">
        <f t="shared" si="9"/>
        <v>0</v>
      </c>
      <c r="T72" s="144">
        <f t="shared" si="10"/>
        <v>0</v>
      </c>
      <c r="U72" s="170">
        <f t="shared" si="11"/>
        <v>0</v>
      </c>
      <c r="V72" s="143">
        <f t="shared" si="23"/>
        <v>0</v>
      </c>
      <c r="W72" s="144">
        <f t="shared" si="12"/>
        <v>0</v>
      </c>
      <c r="X72" s="144">
        <f t="shared" si="13"/>
        <v>0</v>
      </c>
      <c r="Y72" s="170">
        <f t="shared" si="14"/>
        <v>0</v>
      </c>
      <c r="Z72" s="151">
        <v>0</v>
      </c>
      <c r="AA72" s="151">
        <v>0</v>
      </c>
      <c r="AB72" s="151">
        <v>0</v>
      </c>
      <c r="AC72" s="151">
        <v>0</v>
      </c>
    </row>
    <row r="73" spans="1:29" s="61" customFormat="1" ht="11.25">
      <c r="A73" s="147">
        <f t="shared" si="0"/>
        <v>0</v>
      </c>
      <c r="B73" s="152">
        <f t="shared" si="1"/>
        <v>0</v>
      </c>
      <c r="C73" s="141">
        <f t="shared" si="2"/>
        <v>5</v>
      </c>
      <c r="D73" s="142">
        <v>54</v>
      </c>
      <c r="E73" s="143">
        <f t="shared" si="16"/>
        <v>0</v>
      </c>
      <c r="F73" s="144">
        <f t="shared" si="3"/>
        <v>0</v>
      </c>
      <c r="G73" s="144">
        <f t="shared" si="4"/>
        <v>0</v>
      </c>
      <c r="H73" s="169">
        <f t="shared" si="36"/>
        <v>0</v>
      </c>
      <c r="I73" s="143">
        <f t="shared" si="18"/>
        <v>0</v>
      </c>
      <c r="J73" s="144">
        <f t="shared" si="5"/>
        <v>0</v>
      </c>
      <c r="K73" s="144">
        <f t="shared" si="6"/>
        <v>0</v>
      </c>
      <c r="L73" s="169">
        <f t="shared" si="34"/>
        <v>0</v>
      </c>
      <c r="M73" s="143">
        <f t="shared" si="20"/>
        <v>0</v>
      </c>
      <c r="N73" s="144">
        <f t="shared" si="7"/>
        <v>0</v>
      </c>
      <c r="O73" s="144">
        <f t="shared" si="8"/>
        <v>0</v>
      </c>
      <c r="P73" s="169">
        <f t="shared" si="37"/>
        <v>0</v>
      </c>
      <c r="R73" s="143">
        <f t="shared" si="22"/>
        <v>0</v>
      </c>
      <c r="S73" s="144">
        <f t="shared" si="9"/>
        <v>0</v>
      </c>
      <c r="T73" s="144">
        <f t="shared" si="10"/>
        <v>0</v>
      </c>
      <c r="U73" s="170">
        <f t="shared" si="11"/>
        <v>0</v>
      </c>
      <c r="V73" s="143">
        <f t="shared" si="23"/>
        <v>0</v>
      </c>
      <c r="W73" s="144">
        <f t="shared" si="12"/>
        <v>0</v>
      </c>
      <c r="X73" s="144">
        <f t="shared" si="13"/>
        <v>0</v>
      </c>
      <c r="Y73" s="170">
        <f t="shared" si="14"/>
        <v>0</v>
      </c>
      <c r="Z73" s="151">
        <v>0</v>
      </c>
      <c r="AA73" s="151">
        <v>0</v>
      </c>
      <c r="AB73" s="151">
        <v>0</v>
      </c>
      <c r="AC73" s="151">
        <v>0</v>
      </c>
    </row>
    <row r="74" spans="1:29" s="61" customFormat="1" ht="11.25">
      <c r="A74" s="147">
        <f t="shared" si="0"/>
        <v>0</v>
      </c>
      <c r="B74" s="152">
        <f t="shared" si="1"/>
        <v>0</v>
      </c>
      <c r="C74" s="141">
        <f t="shared" si="2"/>
        <v>5</v>
      </c>
      <c r="D74" s="142">
        <v>55</v>
      </c>
      <c r="E74" s="143">
        <f t="shared" si="16"/>
        <v>0</v>
      </c>
      <c r="F74" s="144">
        <f t="shared" si="3"/>
        <v>0</v>
      </c>
      <c r="G74" s="144">
        <f t="shared" si="4"/>
        <v>0</v>
      </c>
      <c r="H74" s="169">
        <f t="shared" si="36"/>
        <v>0</v>
      </c>
      <c r="I74" s="143">
        <f t="shared" si="18"/>
        <v>0</v>
      </c>
      <c r="J74" s="144">
        <f t="shared" si="5"/>
        <v>0</v>
      </c>
      <c r="K74" s="144">
        <f t="shared" si="6"/>
        <v>0</v>
      </c>
      <c r="L74" s="169">
        <f t="shared" si="34"/>
        <v>0</v>
      </c>
      <c r="M74" s="143">
        <f t="shared" si="20"/>
        <v>0</v>
      </c>
      <c r="N74" s="144">
        <f t="shared" si="7"/>
        <v>0</v>
      </c>
      <c r="O74" s="144">
        <f t="shared" si="8"/>
        <v>0</v>
      </c>
      <c r="P74" s="169">
        <f t="shared" si="37"/>
        <v>0</v>
      </c>
      <c r="R74" s="143">
        <f t="shared" si="22"/>
        <v>0</v>
      </c>
      <c r="S74" s="144">
        <f t="shared" si="9"/>
        <v>0</v>
      </c>
      <c r="T74" s="144">
        <f t="shared" si="10"/>
        <v>0</v>
      </c>
      <c r="U74" s="170">
        <f t="shared" si="11"/>
        <v>0</v>
      </c>
      <c r="V74" s="143">
        <f t="shared" si="23"/>
        <v>0</v>
      </c>
      <c r="W74" s="144">
        <f t="shared" si="12"/>
        <v>0</v>
      </c>
      <c r="X74" s="144">
        <f t="shared" si="13"/>
        <v>0</v>
      </c>
      <c r="Y74" s="170">
        <f t="shared" si="14"/>
        <v>0</v>
      </c>
      <c r="Z74" s="151">
        <v>0</v>
      </c>
      <c r="AA74" s="151">
        <v>0</v>
      </c>
      <c r="AB74" s="151">
        <v>0</v>
      </c>
      <c r="AC74" s="151">
        <v>0</v>
      </c>
    </row>
    <row r="75" spans="1:29" s="61" customFormat="1" ht="11.25">
      <c r="A75" s="147">
        <f t="shared" si="0"/>
        <v>0</v>
      </c>
      <c r="B75" s="152">
        <f t="shared" si="1"/>
        <v>0</v>
      </c>
      <c r="C75" s="141">
        <f t="shared" si="2"/>
        <v>5</v>
      </c>
      <c r="D75" s="142">
        <v>56</v>
      </c>
      <c r="E75" s="143">
        <f t="shared" si="16"/>
        <v>0</v>
      </c>
      <c r="F75" s="144">
        <f t="shared" si="3"/>
        <v>0</v>
      </c>
      <c r="G75" s="144">
        <f t="shared" si="4"/>
        <v>0</v>
      </c>
      <c r="H75" s="169">
        <f t="shared" si="36"/>
        <v>0</v>
      </c>
      <c r="I75" s="143">
        <f t="shared" si="18"/>
        <v>0</v>
      </c>
      <c r="J75" s="144">
        <f t="shared" si="5"/>
        <v>0</v>
      </c>
      <c r="K75" s="144">
        <f t="shared" si="6"/>
        <v>0</v>
      </c>
      <c r="L75" s="169">
        <f t="shared" si="34"/>
        <v>0</v>
      </c>
      <c r="M75" s="143">
        <f t="shared" si="20"/>
        <v>0</v>
      </c>
      <c r="N75" s="144">
        <f t="shared" si="7"/>
        <v>0</v>
      </c>
      <c r="O75" s="144">
        <f t="shared" si="8"/>
        <v>0</v>
      </c>
      <c r="P75" s="169">
        <f t="shared" si="37"/>
        <v>0</v>
      </c>
      <c r="R75" s="143">
        <f t="shared" si="22"/>
        <v>0</v>
      </c>
      <c r="S75" s="144">
        <f t="shared" si="9"/>
        <v>0</v>
      </c>
      <c r="T75" s="144">
        <f t="shared" si="10"/>
        <v>0</v>
      </c>
      <c r="U75" s="170">
        <f t="shared" si="11"/>
        <v>0</v>
      </c>
      <c r="V75" s="143">
        <f t="shared" si="23"/>
        <v>0</v>
      </c>
      <c r="W75" s="144">
        <f t="shared" si="12"/>
        <v>0</v>
      </c>
      <c r="X75" s="144">
        <f t="shared" si="13"/>
        <v>0</v>
      </c>
      <c r="Y75" s="170">
        <f t="shared" si="14"/>
        <v>0</v>
      </c>
      <c r="Z75" s="151">
        <v>0</v>
      </c>
      <c r="AA75" s="151">
        <v>0</v>
      </c>
      <c r="AB75" s="151">
        <v>0</v>
      </c>
      <c r="AC75" s="151">
        <v>0</v>
      </c>
    </row>
    <row r="76" spans="1:29" s="61" customFormat="1" ht="11.25">
      <c r="A76" s="147">
        <f t="shared" si="0"/>
        <v>0</v>
      </c>
      <c r="B76" s="152">
        <f t="shared" si="1"/>
        <v>0</v>
      </c>
      <c r="C76" s="141">
        <f t="shared" si="2"/>
        <v>5</v>
      </c>
      <c r="D76" s="142">
        <v>57</v>
      </c>
      <c r="E76" s="143">
        <f t="shared" si="16"/>
        <v>0</v>
      </c>
      <c r="F76" s="144">
        <f t="shared" si="3"/>
        <v>0</v>
      </c>
      <c r="G76" s="144">
        <f t="shared" si="4"/>
        <v>0</v>
      </c>
      <c r="H76" s="169">
        <f t="shared" si="36"/>
        <v>0</v>
      </c>
      <c r="I76" s="143">
        <f t="shared" si="18"/>
        <v>0</v>
      </c>
      <c r="J76" s="144">
        <f t="shared" si="5"/>
        <v>0</v>
      </c>
      <c r="K76" s="144">
        <f t="shared" si="6"/>
        <v>0</v>
      </c>
      <c r="L76" s="169">
        <f t="shared" si="34"/>
        <v>0</v>
      </c>
      <c r="M76" s="143">
        <f t="shared" si="20"/>
        <v>0</v>
      </c>
      <c r="N76" s="144">
        <f t="shared" si="7"/>
        <v>0</v>
      </c>
      <c r="O76" s="144">
        <f t="shared" si="8"/>
        <v>0</v>
      </c>
      <c r="P76" s="169">
        <f t="shared" si="37"/>
        <v>0</v>
      </c>
      <c r="R76" s="143">
        <f t="shared" si="22"/>
        <v>0</v>
      </c>
      <c r="S76" s="144">
        <f t="shared" si="9"/>
        <v>0</v>
      </c>
      <c r="T76" s="144">
        <f t="shared" si="10"/>
        <v>0</v>
      </c>
      <c r="U76" s="170">
        <f t="shared" si="11"/>
        <v>0</v>
      </c>
      <c r="V76" s="143">
        <f t="shared" si="23"/>
        <v>0</v>
      </c>
      <c r="W76" s="144">
        <f t="shared" si="12"/>
        <v>0</v>
      </c>
      <c r="X76" s="144">
        <f t="shared" si="13"/>
        <v>0</v>
      </c>
      <c r="Y76" s="170">
        <f t="shared" si="14"/>
        <v>0</v>
      </c>
      <c r="Z76" s="151">
        <v>0</v>
      </c>
      <c r="AA76" s="151">
        <v>0</v>
      </c>
      <c r="AB76" s="151">
        <v>0</v>
      </c>
      <c r="AC76" s="151">
        <v>0</v>
      </c>
    </row>
    <row r="77" spans="1:29" s="61" customFormat="1" ht="11.25">
      <c r="A77" s="147">
        <f t="shared" si="0"/>
        <v>0</v>
      </c>
      <c r="B77" s="152">
        <f t="shared" si="1"/>
        <v>0</v>
      </c>
      <c r="C77" s="141">
        <f t="shared" si="2"/>
        <v>5</v>
      </c>
      <c r="D77" s="142">
        <v>58</v>
      </c>
      <c r="E77" s="143">
        <f t="shared" si="16"/>
        <v>0</v>
      </c>
      <c r="F77" s="144">
        <f t="shared" si="3"/>
        <v>0</v>
      </c>
      <c r="G77" s="144">
        <f t="shared" si="4"/>
        <v>0</v>
      </c>
      <c r="H77" s="169">
        <f t="shared" si="36"/>
        <v>0</v>
      </c>
      <c r="I77" s="143">
        <f t="shared" si="18"/>
        <v>0</v>
      </c>
      <c r="J77" s="144">
        <f t="shared" si="5"/>
        <v>0</v>
      </c>
      <c r="K77" s="144">
        <f t="shared" si="6"/>
        <v>0</v>
      </c>
      <c r="L77" s="169">
        <f t="shared" si="34"/>
        <v>0</v>
      </c>
      <c r="M77" s="143">
        <f t="shared" si="20"/>
        <v>0</v>
      </c>
      <c r="N77" s="144">
        <f t="shared" si="7"/>
        <v>0</v>
      </c>
      <c r="O77" s="144">
        <f t="shared" si="8"/>
        <v>0</v>
      </c>
      <c r="P77" s="169">
        <f t="shared" si="37"/>
        <v>0</v>
      </c>
      <c r="R77" s="143">
        <f t="shared" si="22"/>
        <v>0</v>
      </c>
      <c r="S77" s="144">
        <f t="shared" si="9"/>
        <v>0</v>
      </c>
      <c r="T77" s="144">
        <f t="shared" si="10"/>
        <v>0</v>
      </c>
      <c r="U77" s="170">
        <f t="shared" si="11"/>
        <v>0</v>
      </c>
      <c r="V77" s="143">
        <f t="shared" si="23"/>
        <v>0</v>
      </c>
      <c r="W77" s="144">
        <f t="shared" si="12"/>
        <v>0</v>
      </c>
      <c r="X77" s="144">
        <f t="shared" si="13"/>
        <v>0</v>
      </c>
      <c r="Y77" s="170">
        <f t="shared" si="14"/>
        <v>0</v>
      </c>
      <c r="Z77" s="151">
        <v>0</v>
      </c>
      <c r="AA77" s="151">
        <v>0</v>
      </c>
      <c r="AB77" s="151">
        <v>0</v>
      </c>
      <c r="AC77" s="151">
        <v>0</v>
      </c>
    </row>
    <row r="78" spans="1:29" s="61" customFormat="1" ht="11.25">
      <c r="A78" s="147">
        <f t="shared" si="0"/>
        <v>0</v>
      </c>
      <c r="B78" s="152">
        <f t="shared" si="1"/>
        <v>0</v>
      </c>
      <c r="C78" s="141">
        <f t="shared" si="2"/>
        <v>5</v>
      </c>
      <c r="D78" s="142">
        <v>59</v>
      </c>
      <c r="E78" s="143">
        <f t="shared" si="16"/>
        <v>0</v>
      </c>
      <c r="F78" s="144">
        <f t="shared" si="3"/>
        <v>0</v>
      </c>
      <c r="G78" s="144">
        <f t="shared" si="4"/>
        <v>0</v>
      </c>
      <c r="H78" s="169">
        <f t="shared" si="36"/>
        <v>0</v>
      </c>
      <c r="I78" s="143">
        <f t="shared" si="18"/>
        <v>0</v>
      </c>
      <c r="J78" s="144">
        <f t="shared" si="5"/>
        <v>0</v>
      </c>
      <c r="K78" s="144">
        <f t="shared" si="6"/>
        <v>0</v>
      </c>
      <c r="L78" s="169">
        <f t="shared" si="34"/>
        <v>0</v>
      </c>
      <c r="M78" s="143">
        <f t="shared" si="20"/>
        <v>0</v>
      </c>
      <c r="N78" s="144">
        <f t="shared" si="7"/>
        <v>0</v>
      </c>
      <c r="O78" s="144">
        <f t="shared" si="8"/>
        <v>0</v>
      </c>
      <c r="P78" s="169">
        <f t="shared" si="37"/>
        <v>0</v>
      </c>
      <c r="R78" s="143">
        <f t="shared" si="22"/>
        <v>0</v>
      </c>
      <c r="S78" s="144">
        <f t="shared" si="9"/>
        <v>0</v>
      </c>
      <c r="T78" s="144">
        <f t="shared" si="10"/>
        <v>0</v>
      </c>
      <c r="U78" s="170">
        <f t="shared" si="11"/>
        <v>0</v>
      </c>
      <c r="V78" s="143">
        <f t="shared" si="23"/>
        <v>0</v>
      </c>
      <c r="W78" s="144">
        <f t="shared" si="12"/>
        <v>0</v>
      </c>
      <c r="X78" s="144">
        <f t="shared" si="13"/>
        <v>0</v>
      </c>
      <c r="Y78" s="170">
        <f t="shared" si="14"/>
        <v>0</v>
      </c>
      <c r="Z78" s="151">
        <v>0</v>
      </c>
      <c r="AA78" s="151">
        <v>0</v>
      </c>
      <c r="AB78" s="151">
        <v>0</v>
      </c>
      <c r="AC78" s="151">
        <v>0</v>
      </c>
    </row>
    <row r="79" spans="1:29" s="61" customFormat="1" ht="12" thickBot="1">
      <c r="A79" s="153">
        <f t="shared" si="0"/>
        <v>0</v>
      </c>
      <c r="B79" s="154">
        <f t="shared" si="1"/>
        <v>0</v>
      </c>
      <c r="C79" s="155">
        <f t="shared" si="2"/>
        <v>5</v>
      </c>
      <c r="D79" s="156">
        <v>60</v>
      </c>
      <c r="E79" s="157">
        <f t="shared" si="16"/>
        <v>0</v>
      </c>
      <c r="F79" s="158">
        <f t="shared" si="3"/>
        <v>0</v>
      </c>
      <c r="G79" s="158">
        <f t="shared" si="4"/>
        <v>0</v>
      </c>
      <c r="H79" s="172">
        <f t="shared" si="36"/>
        <v>0</v>
      </c>
      <c r="I79" s="157">
        <f t="shared" si="18"/>
        <v>0</v>
      </c>
      <c r="J79" s="158">
        <f t="shared" si="5"/>
        <v>0</v>
      </c>
      <c r="K79" s="158">
        <f t="shared" si="6"/>
        <v>0</v>
      </c>
      <c r="L79" s="172">
        <f t="shared" si="34"/>
        <v>0</v>
      </c>
      <c r="M79" s="157">
        <f t="shared" si="20"/>
        <v>0</v>
      </c>
      <c r="N79" s="158">
        <f t="shared" si="7"/>
        <v>0</v>
      </c>
      <c r="O79" s="158">
        <f t="shared" si="8"/>
        <v>0</v>
      </c>
      <c r="P79" s="172">
        <f t="shared" si="37"/>
        <v>0</v>
      </c>
      <c r="R79" s="157">
        <f t="shared" si="22"/>
        <v>0</v>
      </c>
      <c r="S79" s="158">
        <f t="shared" si="9"/>
        <v>0</v>
      </c>
      <c r="T79" s="158">
        <f t="shared" si="10"/>
        <v>0</v>
      </c>
      <c r="U79" s="173">
        <f t="shared" si="11"/>
        <v>0</v>
      </c>
      <c r="V79" s="157">
        <f t="shared" si="23"/>
        <v>0</v>
      </c>
      <c r="W79" s="158">
        <f t="shared" si="12"/>
        <v>0</v>
      </c>
      <c r="X79" s="158">
        <f t="shared" si="13"/>
        <v>0</v>
      </c>
      <c r="Y79" s="173">
        <f t="shared" si="14"/>
        <v>0</v>
      </c>
      <c r="Z79" s="151">
        <v>0</v>
      </c>
      <c r="AA79" s="151">
        <v>0</v>
      </c>
      <c r="AB79" s="151">
        <v>0</v>
      </c>
      <c r="AC79" s="151">
        <v>0</v>
      </c>
    </row>
    <row r="80" spans="1:29" s="61" customFormat="1" ht="11.25">
      <c r="A80" s="147">
        <f t="shared" si="0"/>
        <v>0</v>
      </c>
      <c r="B80" s="152">
        <f t="shared" si="1"/>
        <v>0</v>
      </c>
      <c r="C80" s="141">
        <f t="shared" si="2"/>
        <v>6</v>
      </c>
      <c r="D80" s="142">
        <v>61</v>
      </c>
      <c r="E80" s="143">
        <f t="shared" si="16"/>
        <v>0</v>
      </c>
      <c r="F80" s="144">
        <f t="shared" si="3"/>
        <v>0</v>
      </c>
      <c r="G80" s="144">
        <f t="shared" si="4"/>
        <v>0</v>
      </c>
      <c r="H80" s="169">
        <f t="shared" si="36"/>
        <v>0</v>
      </c>
      <c r="I80" s="143">
        <f t="shared" si="18"/>
        <v>0</v>
      </c>
      <c r="J80" s="144">
        <f t="shared" si="5"/>
        <v>0</v>
      </c>
      <c r="K80" s="144">
        <f t="shared" si="6"/>
        <v>0</v>
      </c>
      <c r="L80" s="169">
        <f t="shared" si="34"/>
        <v>0</v>
      </c>
      <c r="M80" s="143">
        <f t="shared" si="20"/>
        <v>0</v>
      </c>
      <c r="N80" s="144">
        <f t="shared" si="7"/>
        <v>0</v>
      </c>
      <c r="O80" s="144">
        <f t="shared" si="8"/>
        <v>0</v>
      </c>
      <c r="P80" s="169">
        <f t="shared" si="37"/>
        <v>0</v>
      </c>
      <c r="R80" s="143">
        <f t="shared" si="22"/>
        <v>0</v>
      </c>
      <c r="S80" s="144">
        <f t="shared" si="9"/>
        <v>0</v>
      </c>
      <c r="T80" s="144">
        <f t="shared" si="10"/>
        <v>0</v>
      </c>
      <c r="U80" s="169">
        <f t="shared" si="11"/>
        <v>0</v>
      </c>
      <c r="V80" s="143">
        <f t="shared" si="23"/>
        <v>0</v>
      </c>
      <c r="W80" s="144">
        <f t="shared" si="12"/>
        <v>0</v>
      </c>
      <c r="X80" s="144">
        <f t="shared" si="13"/>
        <v>0</v>
      </c>
      <c r="Y80" s="169">
        <f t="shared" si="14"/>
        <v>0</v>
      </c>
      <c r="Z80" s="151">
        <v>0</v>
      </c>
      <c r="AA80" s="151">
        <v>0</v>
      </c>
      <c r="AB80" s="151">
        <v>0</v>
      </c>
      <c r="AC80" s="151">
        <v>0</v>
      </c>
    </row>
    <row r="81" spans="1:29" s="61" customFormat="1" ht="11.25">
      <c r="A81" s="147">
        <f t="shared" si="0"/>
        <v>0</v>
      </c>
      <c r="B81" s="152">
        <f t="shared" si="1"/>
        <v>0</v>
      </c>
      <c r="C81" s="141">
        <f t="shared" si="2"/>
        <v>6</v>
      </c>
      <c r="D81" s="142">
        <v>62</v>
      </c>
      <c r="E81" s="143">
        <f t="shared" si="16"/>
        <v>0</v>
      </c>
      <c r="F81" s="144">
        <f t="shared" si="3"/>
        <v>0</v>
      </c>
      <c r="G81" s="144">
        <f t="shared" si="4"/>
        <v>0</v>
      </c>
      <c r="H81" s="169">
        <f t="shared" si="36"/>
        <v>0</v>
      </c>
      <c r="I81" s="143">
        <f t="shared" si="18"/>
        <v>0</v>
      </c>
      <c r="J81" s="144">
        <f t="shared" si="5"/>
        <v>0</v>
      </c>
      <c r="K81" s="144">
        <f t="shared" si="6"/>
        <v>0</v>
      </c>
      <c r="L81" s="169">
        <f t="shared" si="34"/>
        <v>0</v>
      </c>
      <c r="M81" s="143">
        <f t="shared" si="20"/>
        <v>0</v>
      </c>
      <c r="N81" s="144">
        <f t="shared" si="7"/>
        <v>0</v>
      </c>
      <c r="O81" s="144">
        <f t="shared" si="8"/>
        <v>0</v>
      </c>
      <c r="P81" s="169">
        <f t="shared" si="37"/>
        <v>0</v>
      </c>
      <c r="R81" s="143">
        <f t="shared" si="22"/>
        <v>0</v>
      </c>
      <c r="S81" s="144">
        <f t="shared" si="9"/>
        <v>0</v>
      </c>
      <c r="T81" s="144">
        <f t="shared" si="10"/>
        <v>0</v>
      </c>
      <c r="U81" s="169">
        <f t="shared" si="11"/>
        <v>0</v>
      </c>
      <c r="V81" s="143">
        <f t="shared" si="23"/>
        <v>0</v>
      </c>
      <c r="W81" s="144">
        <f t="shared" si="12"/>
        <v>0</v>
      </c>
      <c r="X81" s="144">
        <f t="shared" si="13"/>
        <v>0</v>
      </c>
      <c r="Y81" s="169">
        <f t="shared" si="14"/>
        <v>0</v>
      </c>
      <c r="Z81" s="151">
        <v>0</v>
      </c>
      <c r="AA81" s="151">
        <v>0</v>
      </c>
      <c r="AB81" s="151">
        <v>0</v>
      </c>
      <c r="AC81" s="151">
        <v>0</v>
      </c>
    </row>
    <row r="82" spans="1:29" s="61" customFormat="1" ht="11.25">
      <c r="A82" s="147">
        <f t="shared" si="0"/>
        <v>0</v>
      </c>
      <c r="B82" s="152">
        <f t="shared" si="1"/>
        <v>0</v>
      </c>
      <c r="C82" s="141">
        <f t="shared" si="2"/>
        <v>6</v>
      </c>
      <c r="D82" s="142">
        <v>63</v>
      </c>
      <c r="E82" s="143">
        <f t="shared" si="16"/>
        <v>0</v>
      </c>
      <c r="F82" s="144">
        <f t="shared" si="3"/>
        <v>0</v>
      </c>
      <c r="G82" s="144">
        <f t="shared" si="4"/>
        <v>0</v>
      </c>
      <c r="H82" s="169">
        <f t="shared" si="36"/>
        <v>0</v>
      </c>
      <c r="I82" s="143">
        <f t="shared" si="18"/>
        <v>0</v>
      </c>
      <c r="J82" s="144">
        <f t="shared" si="5"/>
        <v>0</v>
      </c>
      <c r="K82" s="144">
        <f t="shared" si="6"/>
        <v>0</v>
      </c>
      <c r="L82" s="169">
        <f t="shared" si="34"/>
        <v>0</v>
      </c>
      <c r="M82" s="143">
        <f t="shared" si="20"/>
        <v>0</v>
      </c>
      <c r="N82" s="144">
        <f t="shared" si="7"/>
        <v>0</v>
      </c>
      <c r="O82" s="144">
        <f t="shared" si="8"/>
        <v>0</v>
      </c>
      <c r="P82" s="169">
        <f t="shared" si="37"/>
        <v>0</v>
      </c>
      <c r="R82" s="143">
        <f t="shared" si="22"/>
        <v>0</v>
      </c>
      <c r="S82" s="144">
        <f t="shared" si="9"/>
        <v>0</v>
      </c>
      <c r="T82" s="144">
        <f t="shared" si="10"/>
        <v>0</v>
      </c>
      <c r="U82" s="169">
        <f t="shared" si="11"/>
        <v>0</v>
      </c>
      <c r="V82" s="143">
        <f t="shared" si="23"/>
        <v>0</v>
      </c>
      <c r="W82" s="144">
        <f t="shared" si="12"/>
        <v>0</v>
      </c>
      <c r="X82" s="144">
        <f t="shared" si="13"/>
        <v>0</v>
      </c>
      <c r="Y82" s="169">
        <f t="shared" si="14"/>
        <v>0</v>
      </c>
      <c r="Z82" s="151">
        <v>0</v>
      </c>
      <c r="AA82" s="151">
        <v>0</v>
      </c>
      <c r="AB82" s="151">
        <v>0</v>
      </c>
      <c r="AC82" s="151">
        <v>0</v>
      </c>
    </row>
    <row r="83" spans="1:29" s="61" customFormat="1" ht="11.25">
      <c r="A83" s="147">
        <f t="shared" si="0"/>
        <v>0</v>
      </c>
      <c r="B83" s="152">
        <f t="shared" si="1"/>
        <v>0</v>
      </c>
      <c r="C83" s="141">
        <f t="shared" si="2"/>
        <v>6</v>
      </c>
      <c r="D83" s="142">
        <v>64</v>
      </c>
      <c r="E83" s="143">
        <f t="shared" si="16"/>
        <v>0</v>
      </c>
      <c r="F83" s="144">
        <f t="shared" si="3"/>
        <v>0</v>
      </c>
      <c r="G83" s="144">
        <f t="shared" si="4"/>
        <v>0</v>
      </c>
      <c r="H83" s="169">
        <f t="shared" si="36"/>
        <v>0</v>
      </c>
      <c r="I83" s="143">
        <f t="shared" si="18"/>
        <v>0</v>
      </c>
      <c r="J83" s="144">
        <f t="shared" si="5"/>
        <v>0</v>
      </c>
      <c r="K83" s="144">
        <f t="shared" si="6"/>
        <v>0</v>
      </c>
      <c r="L83" s="169">
        <f t="shared" si="34"/>
        <v>0</v>
      </c>
      <c r="M83" s="143">
        <f t="shared" si="20"/>
        <v>0</v>
      </c>
      <c r="N83" s="144">
        <f t="shared" si="7"/>
        <v>0</v>
      </c>
      <c r="O83" s="144">
        <f t="shared" si="8"/>
        <v>0</v>
      </c>
      <c r="P83" s="169">
        <f t="shared" si="37"/>
        <v>0</v>
      </c>
      <c r="R83" s="143">
        <f t="shared" si="22"/>
        <v>0</v>
      </c>
      <c r="S83" s="144">
        <f t="shared" si="9"/>
        <v>0</v>
      </c>
      <c r="T83" s="144">
        <f t="shared" si="10"/>
        <v>0</v>
      </c>
      <c r="U83" s="169">
        <f t="shared" si="11"/>
        <v>0</v>
      </c>
      <c r="V83" s="143">
        <f t="shared" si="23"/>
        <v>0</v>
      </c>
      <c r="W83" s="144">
        <f t="shared" si="12"/>
        <v>0</v>
      </c>
      <c r="X83" s="144">
        <f t="shared" si="13"/>
        <v>0</v>
      </c>
      <c r="Y83" s="169">
        <f t="shared" si="14"/>
        <v>0</v>
      </c>
      <c r="Z83" s="151">
        <v>0</v>
      </c>
      <c r="AA83" s="151">
        <v>0</v>
      </c>
      <c r="AB83" s="151">
        <v>0</v>
      </c>
      <c r="AC83" s="151">
        <v>0</v>
      </c>
    </row>
    <row r="84" spans="1:29" s="61" customFormat="1" ht="11.25">
      <c r="A84" s="147">
        <f t="shared" ref="A84:A147" si="38">VLOOKUP(D84,$A$10:$C$14,3)</f>
        <v>0</v>
      </c>
      <c r="B84" s="152">
        <f t="shared" ref="B84:B147" si="39">A84/12</f>
        <v>0</v>
      </c>
      <c r="C84" s="141">
        <f t="shared" ref="C84:C147" si="40">INT((D84+11)/12)</f>
        <v>6</v>
      </c>
      <c r="D84" s="142">
        <v>65</v>
      </c>
      <c r="E84" s="143">
        <f t="shared" si="16"/>
        <v>0</v>
      </c>
      <c r="F84" s="144">
        <f t="shared" ref="F84:F147" si="41">ROUND(E84*$B84,2)</f>
        <v>0</v>
      </c>
      <c r="G84" s="144">
        <f t="shared" ref="G84:G147" si="42">IF(E84&lt;H84,E84,H84-F84)</f>
        <v>0</v>
      </c>
      <c r="H84" s="169">
        <f t="shared" si="36"/>
        <v>0</v>
      </c>
      <c r="I84" s="143">
        <f t="shared" si="18"/>
        <v>0</v>
      </c>
      <c r="J84" s="144">
        <f t="shared" ref="J84:J147" si="43">ROUND(I84*$B84,2)</f>
        <v>0</v>
      </c>
      <c r="K84" s="144">
        <f t="shared" ref="K84:K147" si="44">IF(I84&lt;L84,I84,L84-J84)</f>
        <v>0</v>
      </c>
      <c r="L84" s="169">
        <f t="shared" si="34"/>
        <v>0</v>
      </c>
      <c r="M84" s="143">
        <f t="shared" si="20"/>
        <v>0</v>
      </c>
      <c r="N84" s="144">
        <f t="shared" ref="N84:N147" si="45">ROUND(M84*$B84,2)</f>
        <v>0</v>
      </c>
      <c r="O84" s="144">
        <f t="shared" ref="O84:O147" si="46">IF(M84&lt;P84,M84,P84-N84)</f>
        <v>0</v>
      </c>
      <c r="P84" s="169">
        <f t="shared" si="37"/>
        <v>0</v>
      </c>
      <c r="R84" s="143">
        <f t="shared" si="22"/>
        <v>0</v>
      </c>
      <c r="S84" s="144">
        <f t="shared" ref="S84:S147" si="47">ROUND(R84*$B84,2)</f>
        <v>0</v>
      </c>
      <c r="T84" s="144">
        <f t="shared" ref="T84:T147" si="48">IF(R84&lt;U84,R84,U84-S84)</f>
        <v>0</v>
      </c>
      <c r="U84" s="169">
        <f t="shared" ref="U84:U147" si="49">IF(R84&lt;=0,0,$Y$15)</f>
        <v>0</v>
      </c>
      <c r="V84" s="143">
        <f t="shared" si="23"/>
        <v>0</v>
      </c>
      <c r="W84" s="144">
        <f t="shared" ref="W84:W147" si="50">ROUND(V84*$B84,2)</f>
        <v>0</v>
      </c>
      <c r="X84" s="144">
        <f t="shared" ref="X84:X147" si="51">IF(V84&lt;Y84,V84,Y84-W84)</f>
        <v>0</v>
      </c>
      <c r="Y84" s="169">
        <f t="shared" ref="Y84:Y147" si="52">IF(V84&lt;=0,0,PMT(B84,($B$2-D84+1),V84*-1))</f>
        <v>0</v>
      </c>
      <c r="Z84" s="151">
        <v>0</v>
      </c>
      <c r="AA84" s="151">
        <v>0</v>
      </c>
      <c r="AB84" s="151">
        <v>0</v>
      </c>
      <c r="AC84" s="151">
        <v>0</v>
      </c>
    </row>
    <row r="85" spans="1:29" s="61" customFormat="1" ht="11.25">
      <c r="A85" s="147">
        <f t="shared" si="38"/>
        <v>0</v>
      </c>
      <c r="B85" s="152">
        <f t="shared" si="39"/>
        <v>0</v>
      </c>
      <c r="C85" s="141">
        <f t="shared" si="40"/>
        <v>6</v>
      </c>
      <c r="D85" s="142">
        <v>66</v>
      </c>
      <c r="E85" s="143">
        <f t="shared" ref="E85:E148" si="53">IF(E84&lt;H84,0,E84-G84)</f>
        <v>0</v>
      </c>
      <c r="F85" s="144">
        <f t="shared" si="41"/>
        <v>0</v>
      </c>
      <c r="G85" s="144">
        <f t="shared" si="42"/>
        <v>0</v>
      </c>
      <c r="H85" s="169">
        <f t="shared" si="36"/>
        <v>0</v>
      </c>
      <c r="I85" s="143">
        <f t="shared" ref="I85:I148" si="54">IF(I84&lt;L84,0,I84-K84)</f>
        <v>0</v>
      </c>
      <c r="J85" s="144">
        <f t="shared" si="43"/>
        <v>0</v>
      </c>
      <c r="K85" s="144">
        <f t="shared" si="44"/>
        <v>0</v>
      </c>
      <c r="L85" s="169">
        <f t="shared" si="34"/>
        <v>0</v>
      </c>
      <c r="M85" s="143">
        <f t="shared" ref="M85:M148" si="55">IF(M84&lt;P84,0,M84-O84)</f>
        <v>0</v>
      </c>
      <c r="N85" s="144">
        <f t="shared" si="45"/>
        <v>0</v>
      </c>
      <c r="O85" s="144">
        <f t="shared" si="46"/>
        <v>0</v>
      </c>
      <c r="P85" s="169">
        <f t="shared" si="37"/>
        <v>0</v>
      </c>
      <c r="R85" s="143">
        <f t="shared" ref="R85:R148" si="56">IF(R84&lt;U84,0,R84-T84)</f>
        <v>0</v>
      </c>
      <c r="S85" s="144">
        <f t="shared" si="47"/>
        <v>0</v>
      </c>
      <c r="T85" s="144">
        <f t="shared" si="48"/>
        <v>0</v>
      </c>
      <c r="U85" s="169">
        <f t="shared" si="49"/>
        <v>0</v>
      </c>
      <c r="V85" s="143">
        <f t="shared" ref="V85:V148" si="57">IF(V84&lt;Y84,0,V84-X84)</f>
        <v>0</v>
      </c>
      <c r="W85" s="144">
        <f t="shared" si="50"/>
        <v>0</v>
      </c>
      <c r="X85" s="144">
        <f t="shared" si="51"/>
        <v>0</v>
      </c>
      <c r="Y85" s="169">
        <f t="shared" si="52"/>
        <v>0</v>
      </c>
      <c r="Z85" s="151">
        <v>0</v>
      </c>
      <c r="AA85" s="151">
        <v>0</v>
      </c>
      <c r="AB85" s="151">
        <v>0</v>
      </c>
      <c r="AC85" s="151">
        <v>0</v>
      </c>
    </row>
    <row r="86" spans="1:29" s="61" customFormat="1" ht="11.25">
      <c r="A86" s="147">
        <f t="shared" si="38"/>
        <v>0</v>
      </c>
      <c r="B86" s="152">
        <f t="shared" si="39"/>
        <v>0</v>
      </c>
      <c r="C86" s="141">
        <f t="shared" si="40"/>
        <v>6</v>
      </c>
      <c r="D86" s="142">
        <v>67</v>
      </c>
      <c r="E86" s="143">
        <f t="shared" si="53"/>
        <v>0</v>
      </c>
      <c r="F86" s="144">
        <f t="shared" si="41"/>
        <v>0</v>
      </c>
      <c r="G86" s="144">
        <f t="shared" si="42"/>
        <v>0</v>
      </c>
      <c r="H86" s="169">
        <f t="shared" si="36"/>
        <v>0</v>
      </c>
      <c r="I86" s="143">
        <f t="shared" si="54"/>
        <v>0</v>
      </c>
      <c r="J86" s="144">
        <f t="shared" si="43"/>
        <v>0</v>
      </c>
      <c r="K86" s="144">
        <f t="shared" si="44"/>
        <v>0</v>
      </c>
      <c r="L86" s="169">
        <f t="shared" si="34"/>
        <v>0</v>
      </c>
      <c r="M86" s="143">
        <f t="shared" si="55"/>
        <v>0</v>
      </c>
      <c r="N86" s="144">
        <f t="shared" si="45"/>
        <v>0</v>
      </c>
      <c r="O86" s="144">
        <f t="shared" si="46"/>
        <v>0</v>
      </c>
      <c r="P86" s="169">
        <f t="shared" si="37"/>
        <v>0</v>
      </c>
      <c r="R86" s="143">
        <f t="shared" si="56"/>
        <v>0</v>
      </c>
      <c r="S86" s="144">
        <f t="shared" si="47"/>
        <v>0</v>
      </c>
      <c r="T86" s="144">
        <f t="shared" si="48"/>
        <v>0</v>
      </c>
      <c r="U86" s="169">
        <f t="shared" si="49"/>
        <v>0</v>
      </c>
      <c r="V86" s="143">
        <f t="shared" si="57"/>
        <v>0</v>
      </c>
      <c r="W86" s="144">
        <f t="shared" si="50"/>
        <v>0</v>
      </c>
      <c r="X86" s="144">
        <f t="shared" si="51"/>
        <v>0</v>
      </c>
      <c r="Y86" s="169">
        <f t="shared" si="52"/>
        <v>0</v>
      </c>
      <c r="Z86" s="151">
        <v>0</v>
      </c>
      <c r="AA86" s="151">
        <v>0</v>
      </c>
      <c r="AB86" s="151">
        <v>0</v>
      </c>
      <c r="AC86" s="151">
        <v>0</v>
      </c>
    </row>
    <row r="87" spans="1:29" s="61" customFormat="1" ht="11.25">
      <c r="A87" s="147">
        <f t="shared" si="38"/>
        <v>0</v>
      </c>
      <c r="B87" s="152">
        <f t="shared" si="39"/>
        <v>0</v>
      </c>
      <c r="C87" s="141">
        <f t="shared" si="40"/>
        <v>6</v>
      </c>
      <c r="D87" s="142">
        <v>68</v>
      </c>
      <c r="E87" s="143">
        <f t="shared" si="53"/>
        <v>0</v>
      </c>
      <c r="F87" s="144">
        <f t="shared" si="41"/>
        <v>0</v>
      </c>
      <c r="G87" s="144">
        <f t="shared" si="42"/>
        <v>0</v>
      </c>
      <c r="H87" s="169">
        <f t="shared" si="36"/>
        <v>0</v>
      </c>
      <c r="I87" s="143">
        <f t="shared" si="54"/>
        <v>0</v>
      </c>
      <c r="J87" s="144">
        <f t="shared" si="43"/>
        <v>0</v>
      </c>
      <c r="K87" s="144">
        <f t="shared" si="44"/>
        <v>0</v>
      </c>
      <c r="L87" s="169">
        <f t="shared" si="34"/>
        <v>0</v>
      </c>
      <c r="M87" s="143">
        <f t="shared" si="55"/>
        <v>0</v>
      </c>
      <c r="N87" s="144">
        <f t="shared" si="45"/>
        <v>0</v>
      </c>
      <c r="O87" s="144">
        <f t="shared" si="46"/>
        <v>0</v>
      </c>
      <c r="P87" s="169">
        <f t="shared" si="37"/>
        <v>0</v>
      </c>
      <c r="R87" s="143">
        <f t="shared" si="56"/>
        <v>0</v>
      </c>
      <c r="S87" s="144">
        <f t="shared" si="47"/>
        <v>0</v>
      </c>
      <c r="T87" s="144">
        <f t="shared" si="48"/>
        <v>0</v>
      </c>
      <c r="U87" s="169">
        <f t="shared" si="49"/>
        <v>0</v>
      </c>
      <c r="V87" s="143">
        <f t="shared" si="57"/>
        <v>0</v>
      </c>
      <c r="W87" s="144">
        <f t="shared" si="50"/>
        <v>0</v>
      </c>
      <c r="X87" s="144">
        <f t="shared" si="51"/>
        <v>0</v>
      </c>
      <c r="Y87" s="169">
        <f t="shared" si="52"/>
        <v>0</v>
      </c>
      <c r="Z87" s="151">
        <v>0</v>
      </c>
      <c r="AA87" s="151">
        <v>0</v>
      </c>
      <c r="AB87" s="151">
        <v>0</v>
      </c>
      <c r="AC87" s="151">
        <v>0</v>
      </c>
    </row>
    <row r="88" spans="1:29" s="61" customFormat="1" ht="11.25">
      <c r="A88" s="147">
        <f t="shared" si="38"/>
        <v>0</v>
      </c>
      <c r="B88" s="152">
        <f t="shared" si="39"/>
        <v>0</v>
      </c>
      <c r="C88" s="141">
        <f t="shared" si="40"/>
        <v>6</v>
      </c>
      <c r="D88" s="142">
        <v>69</v>
      </c>
      <c r="E88" s="143">
        <f t="shared" si="53"/>
        <v>0</v>
      </c>
      <c r="F88" s="144">
        <f t="shared" si="41"/>
        <v>0</v>
      </c>
      <c r="G88" s="144">
        <f t="shared" si="42"/>
        <v>0</v>
      </c>
      <c r="H88" s="169">
        <f t="shared" si="36"/>
        <v>0</v>
      </c>
      <c r="I88" s="143">
        <f t="shared" si="54"/>
        <v>0</v>
      </c>
      <c r="J88" s="144">
        <f t="shared" si="43"/>
        <v>0</v>
      </c>
      <c r="K88" s="144">
        <f t="shared" si="44"/>
        <v>0</v>
      </c>
      <c r="L88" s="169">
        <f t="shared" si="34"/>
        <v>0</v>
      </c>
      <c r="M88" s="143">
        <f t="shared" si="55"/>
        <v>0</v>
      </c>
      <c r="N88" s="144">
        <f t="shared" si="45"/>
        <v>0</v>
      </c>
      <c r="O88" s="144">
        <f t="shared" si="46"/>
        <v>0</v>
      </c>
      <c r="P88" s="169">
        <f t="shared" si="37"/>
        <v>0</v>
      </c>
      <c r="R88" s="143">
        <f t="shared" si="56"/>
        <v>0</v>
      </c>
      <c r="S88" s="144">
        <f t="shared" si="47"/>
        <v>0</v>
      </c>
      <c r="T88" s="144">
        <f t="shared" si="48"/>
        <v>0</v>
      </c>
      <c r="U88" s="169">
        <f t="shared" si="49"/>
        <v>0</v>
      </c>
      <c r="V88" s="143">
        <f t="shared" si="57"/>
        <v>0</v>
      </c>
      <c r="W88" s="144">
        <f t="shared" si="50"/>
        <v>0</v>
      </c>
      <c r="X88" s="144">
        <f t="shared" si="51"/>
        <v>0</v>
      </c>
      <c r="Y88" s="169">
        <f t="shared" si="52"/>
        <v>0</v>
      </c>
      <c r="Z88" s="151">
        <v>0</v>
      </c>
      <c r="AA88" s="151">
        <v>0</v>
      </c>
      <c r="AB88" s="151">
        <v>0</v>
      </c>
      <c r="AC88" s="151">
        <v>0</v>
      </c>
    </row>
    <row r="89" spans="1:29" s="61" customFormat="1" ht="11.25">
      <c r="A89" s="147">
        <f t="shared" si="38"/>
        <v>0</v>
      </c>
      <c r="B89" s="152">
        <f t="shared" si="39"/>
        <v>0</v>
      </c>
      <c r="C89" s="141">
        <f t="shared" si="40"/>
        <v>6</v>
      </c>
      <c r="D89" s="142">
        <v>70</v>
      </c>
      <c r="E89" s="143">
        <f t="shared" si="53"/>
        <v>0</v>
      </c>
      <c r="F89" s="144">
        <f t="shared" si="41"/>
        <v>0</v>
      </c>
      <c r="G89" s="144">
        <f t="shared" si="42"/>
        <v>0</v>
      </c>
      <c r="H89" s="169">
        <f t="shared" si="36"/>
        <v>0</v>
      </c>
      <c r="I89" s="143">
        <f t="shared" si="54"/>
        <v>0</v>
      </c>
      <c r="J89" s="144">
        <f t="shared" si="43"/>
        <v>0</v>
      </c>
      <c r="K89" s="144">
        <f t="shared" si="44"/>
        <v>0</v>
      </c>
      <c r="L89" s="169">
        <f t="shared" si="34"/>
        <v>0</v>
      </c>
      <c r="M89" s="143">
        <f t="shared" si="55"/>
        <v>0</v>
      </c>
      <c r="N89" s="144">
        <f t="shared" si="45"/>
        <v>0</v>
      </c>
      <c r="O89" s="144">
        <f t="shared" si="46"/>
        <v>0</v>
      </c>
      <c r="P89" s="169">
        <f t="shared" si="37"/>
        <v>0</v>
      </c>
      <c r="R89" s="143">
        <f t="shared" si="56"/>
        <v>0</v>
      </c>
      <c r="S89" s="144">
        <f t="shared" si="47"/>
        <v>0</v>
      </c>
      <c r="T89" s="144">
        <f t="shared" si="48"/>
        <v>0</v>
      </c>
      <c r="U89" s="169">
        <f t="shared" si="49"/>
        <v>0</v>
      </c>
      <c r="V89" s="143">
        <f t="shared" si="57"/>
        <v>0</v>
      </c>
      <c r="W89" s="144">
        <f t="shared" si="50"/>
        <v>0</v>
      </c>
      <c r="X89" s="144">
        <f t="shared" si="51"/>
        <v>0</v>
      </c>
      <c r="Y89" s="169">
        <f t="shared" si="52"/>
        <v>0</v>
      </c>
      <c r="Z89" s="151">
        <v>0</v>
      </c>
      <c r="AA89" s="151">
        <v>0</v>
      </c>
      <c r="AB89" s="151">
        <v>0</v>
      </c>
      <c r="AC89" s="151">
        <v>0</v>
      </c>
    </row>
    <row r="90" spans="1:29" s="61" customFormat="1" ht="11.25">
      <c r="A90" s="147">
        <f t="shared" si="38"/>
        <v>0</v>
      </c>
      <c r="B90" s="152">
        <f t="shared" si="39"/>
        <v>0</v>
      </c>
      <c r="C90" s="141">
        <f t="shared" si="40"/>
        <v>6</v>
      </c>
      <c r="D90" s="142">
        <v>71</v>
      </c>
      <c r="E90" s="143">
        <f t="shared" si="53"/>
        <v>0</v>
      </c>
      <c r="F90" s="144">
        <f t="shared" si="41"/>
        <v>0</v>
      </c>
      <c r="G90" s="144">
        <f t="shared" si="42"/>
        <v>0</v>
      </c>
      <c r="H90" s="169">
        <f t="shared" si="36"/>
        <v>0</v>
      </c>
      <c r="I90" s="143">
        <f t="shared" si="54"/>
        <v>0</v>
      </c>
      <c r="J90" s="144">
        <f t="shared" si="43"/>
        <v>0</v>
      </c>
      <c r="K90" s="144">
        <f t="shared" si="44"/>
        <v>0</v>
      </c>
      <c r="L90" s="169">
        <f t="shared" si="34"/>
        <v>0</v>
      </c>
      <c r="M90" s="143">
        <f t="shared" si="55"/>
        <v>0</v>
      </c>
      <c r="N90" s="144">
        <f t="shared" si="45"/>
        <v>0</v>
      </c>
      <c r="O90" s="144">
        <f t="shared" si="46"/>
        <v>0</v>
      </c>
      <c r="P90" s="169">
        <f t="shared" si="37"/>
        <v>0</v>
      </c>
      <c r="R90" s="143">
        <f t="shared" si="56"/>
        <v>0</v>
      </c>
      <c r="S90" s="144">
        <f t="shared" si="47"/>
        <v>0</v>
      </c>
      <c r="T90" s="144">
        <f t="shared" si="48"/>
        <v>0</v>
      </c>
      <c r="U90" s="169">
        <f t="shared" si="49"/>
        <v>0</v>
      </c>
      <c r="V90" s="143">
        <f t="shared" si="57"/>
        <v>0</v>
      </c>
      <c r="W90" s="144">
        <f t="shared" si="50"/>
        <v>0</v>
      </c>
      <c r="X90" s="144">
        <f t="shared" si="51"/>
        <v>0</v>
      </c>
      <c r="Y90" s="169">
        <f t="shared" si="52"/>
        <v>0</v>
      </c>
      <c r="Z90" s="151">
        <v>0</v>
      </c>
      <c r="AA90" s="151">
        <v>0</v>
      </c>
      <c r="AB90" s="151">
        <v>0</v>
      </c>
      <c r="AC90" s="151">
        <v>0</v>
      </c>
    </row>
    <row r="91" spans="1:29" s="61" customFormat="1" ht="12" thickBot="1">
      <c r="A91" s="153">
        <f t="shared" si="38"/>
        <v>0</v>
      </c>
      <c r="B91" s="154">
        <f t="shared" si="39"/>
        <v>0</v>
      </c>
      <c r="C91" s="155">
        <f t="shared" si="40"/>
        <v>6</v>
      </c>
      <c r="D91" s="156">
        <v>72</v>
      </c>
      <c r="E91" s="157">
        <f t="shared" si="53"/>
        <v>0</v>
      </c>
      <c r="F91" s="158">
        <f t="shared" si="41"/>
        <v>0</v>
      </c>
      <c r="G91" s="158">
        <f t="shared" si="42"/>
        <v>0</v>
      </c>
      <c r="H91" s="172">
        <f t="shared" si="36"/>
        <v>0</v>
      </c>
      <c r="I91" s="157">
        <f t="shared" si="54"/>
        <v>0</v>
      </c>
      <c r="J91" s="158">
        <f t="shared" si="43"/>
        <v>0</v>
      </c>
      <c r="K91" s="158">
        <f t="shared" si="44"/>
        <v>0</v>
      </c>
      <c r="L91" s="172">
        <f t="shared" si="34"/>
        <v>0</v>
      </c>
      <c r="M91" s="157">
        <f t="shared" si="55"/>
        <v>0</v>
      </c>
      <c r="N91" s="158">
        <f t="shared" si="45"/>
        <v>0</v>
      </c>
      <c r="O91" s="158">
        <f t="shared" si="46"/>
        <v>0</v>
      </c>
      <c r="P91" s="172">
        <f t="shared" si="37"/>
        <v>0</v>
      </c>
      <c r="R91" s="157">
        <f t="shared" si="56"/>
        <v>0</v>
      </c>
      <c r="S91" s="158">
        <f t="shared" si="47"/>
        <v>0</v>
      </c>
      <c r="T91" s="158">
        <f t="shared" si="48"/>
        <v>0</v>
      </c>
      <c r="U91" s="172">
        <f t="shared" si="49"/>
        <v>0</v>
      </c>
      <c r="V91" s="157">
        <f t="shared" si="57"/>
        <v>0</v>
      </c>
      <c r="W91" s="158">
        <f t="shared" si="50"/>
        <v>0</v>
      </c>
      <c r="X91" s="158">
        <f t="shared" si="51"/>
        <v>0</v>
      </c>
      <c r="Y91" s="172">
        <f t="shared" si="52"/>
        <v>0</v>
      </c>
      <c r="Z91" s="151">
        <v>0</v>
      </c>
      <c r="AA91" s="151">
        <v>0</v>
      </c>
      <c r="AB91" s="151">
        <v>0</v>
      </c>
      <c r="AC91" s="151">
        <v>0</v>
      </c>
    </row>
    <row r="92" spans="1:29" s="61" customFormat="1" ht="11.25">
      <c r="A92" s="147">
        <f t="shared" si="38"/>
        <v>0</v>
      </c>
      <c r="B92" s="152">
        <f t="shared" si="39"/>
        <v>0</v>
      </c>
      <c r="C92" s="141">
        <f t="shared" si="40"/>
        <v>7</v>
      </c>
      <c r="D92" s="142">
        <v>73</v>
      </c>
      <c r="E92" s="143">
        <f t="shared" si="53"/>
        <v>0</v>
      </c>
      <c r="F92" s="144">
        <f t="shared" si="41"/>
        <v>0</v>
      </c>
      <c r="G92" s="144">
        <f t="shared" si="42"/>
        <v>0</v>
      </c>
      <c r="H92" s="169">
        <f t="shared" si="36"/>
        <v>0</v>
      </c>
      <c r="I92" s="143">
        <f t="shared" si="54"/>
        <v>0</v>
      </c>
      <c r="J92" s="144">
        <f t="shared" si="43"/>
        <v>0</v>
      </c>
      <c r="K92" s="144">
        <f t="shared" si="44"/>
        <v>0</v>
      </c>
      <c r="L92" s="169">
        <f t="shared" si="34"/>
        <v>0</v>
      </c>
      <c r="M92" s="143">
        <f t="shared" si="55"/>
        <v>0</v>
      </c>
      <c r="N92" s="144">
        <f t="shared" si="45"/>
        <v>0</v>
      </c>
      <c r="O92" s="144">
        <f t="shared" si="46"/>
        <v>0</v>
      </c>
      <c r="P92" s="169">
        <f t="shared" si="37"/>
        <v>0</v>
      </c>
      <c r="R92" s="143">
        <f t="shared" si="56"/>
        <v>0</v>
      </c>
      <c r="S92" s="144">
        <f t="shared" si="47"/>
        <v>0</v>
      </c>
      <c r="T92" s="144">
        <f t="shared" si="48"/>
        <v>0</v>
      </c>
      <c r="U92" s="169">
        <f t="shared" si="49"/>
        <v>0</v>
      </c>
      <c r="V92" s="143">
        <f t="shared" si="57"/>
        <v>0</v>
      </c>
      <c r="W92" s="144">
        <f t="shared" si="50"/>
        <v>0</v>
      </c>
      <c r="X92" s="144">
        <f t="shared" si="51"/>
        <v>0</v>
      </c>
      <c r="Y92" s="169">
        <f t="shared" si="52"/>
        <v>0</v>
      </c>
      <c r="Z92" s="151">
        <v>0</v>
      </c>
      <c r="AA92" s="151">
        <v>0</v>
      </c>
      <c r="AB92" s="151">
        <v>0</v>
      </c>
      <c r="AC92" s="151">
        <v>0</v>
      </c>
    </row>
    <row r="93" spans="1:29" s="61" customFormat="1" ht="11.25">
      <c r="A93" s="147">
        <f t="shared" si="38"/>
        <v>0</v>
      </c>
      <c r="B93" s="152">
        <f t="shared" si="39"/>
        <v>0</v>
      </c>
      <c r="C93" s="141">
        <f t="shared" si="40"/>
        <v>7</v>
      </c>
      <c r="D93" s="142">
        <v>74</v>
      </c>
      <c r="E93" s="143">
        <f t="shared" si="53"/>
        <v>0</v>
      </c>
      <c r="F93" s="144">
        <f t="shared" si="41"/>
        <v>0</v>
      </c>
      <c r="G93" s="144">
        <f t="shared" si="42"/>
        <v>0</v>
      </c>
      <c r="H93" s="169">
        <f t="shared" si="36"/>
        <v>0</v>
      </c>
      <c r="I93" s="143">
        <f t="shared" si="54"/>
        <v>0</v>
      </c>
      <c r="J93" s="144">
        <f t="shared" si="43"/>
        <v>0</v>
      </c>
      <c r="K93" s="144">
        <f t="shared" si="44"/>
        <v>0</v>
      </c>
      <c r="L93" s="169">
        <f t="shared" si="34"/>
        <v>0</v>
      </c>
      <c r="M93" s="143">
        <f t="shared" si="55"/>
        <v>0</v>
      </c>
      <c r="N93" s="144">
        <f t="shared" si="45"/>
        <v>0</v>
      </c>
      <c r="O93" s="144">
        <f t="shared" si="46"/>
        <v>0</v>
      </c>
      <c r="P93" s="169">
        <f t="shared" si="37"/>
        <v>0</v>
      </c>
      <c r="R93" s="143">
        <f t="shared" si="56"/>
        <v>0</v>
      </c>
      <c r="S93" s="144">
        <f t="shared" si="47"/>
        <v>0</v>
      </c>
      <c r="T93" s="144">
        <f t="shared" si="48"/>
        <v>0</v>
      </c>
      <c r="U93" s="169">
        <f t="shared" si="49"/>
        <v>0</v>
      </c>
      <c r="V93" s="143">
        <f t="shared" si="57"/>
        <v>0</v>
      </c>
      <c r="W93" s="144">
        <f t="shared" si="50"/>
        <v>0</v>
      </c>
      <c r="X93" s="144">
        <f t="shared" si="51"/>
        <v>0</v>
      </c>
      <c r="Y93" s="169">
        <f t="shared" si="52"/>
        <v>0</v>
      </c>
      <c r="Z93" s="151">
        <v>0</v>
      </c>
      <c r="AA93" s="151">
        <v>0</v>
      </c>
      <c r="AB93" s="151">
        <v>0</v>
      </c>
      <c r="AC93" s="151">
        <v>0</v>
      </c>
    </row>
    <row r="94" spans="1:29" s="61" customFormat="1" ht="11.25">
      <c r="A94" s="147">
        <f t="shared" si="38"/>
        <v>0</v>
      </c>
      <c r="B94" s="152">
        <f t="shared" si="39"/>
        <v>0</v>
      </c>
      <c r="C94" s="141">
        <f t="shared" si="40"/>
        <v>7</v>
      </c>
      <c r="D94" s="142">
        <v>75</v>
      </c>
      <c r="E94" s="143">
        <f t="shared" si="53"/>
        <v>0</v>
      </c>
      <c r="F94" s="144">
        <f t="shared" si="41"/>
        <v>0</v>
      </c>
      <c r="G94" s="144">
        <f t="shared" si="42"/>
        <v>0</v>
      </c>
      <c r="H94" s="169">
        <f t="shared" si="36"/>
        <v>0</v>
      </c>
      <c r="I94" s="143">
        <f t="shared" si="54"/>
        <v>0</v>
      </c>
      <c r="J94" s="144">
        <f t="shared" si="43"/>
        <v>0</v>
      </c>
      <c r="K94" s="144">
        <f t="shared" si="44"/>
        <v>0</v>
      </c>
      <c r="L94" s="169">
        <f t="shared" si="34"/>
        <v>0</v>
      </c>
      <c r="M94" s="143">
        <f t="shared" si="55"/>
        <v>0</v>
      </c>
      <c r="N94" s="144">
        <f t="shared" si="45"/>
        <v>0</v>
      </c>
      <c r="O94" s="144">
        <f t="shared" si="46"/>
        <v>0</v>
      </c>
      <c r="P94" s="169">
        <f t="shared" si="37"/>
        <v>0</v>
      </c>
      <c r="R94" s="143">
        <f t="shared" si="56"/>
        <v>0</v>
      </c>
      <c r="S94" s="144">
        <f t="shared" si="47"/>
        <v>0</v>
      </c>
      <c r="T94" s="144">
        <f t="shared" si="48"/>
        <v>0</v>
      </c>
      <c r="U94" s="169">
        <f t="shared" si="49"/>
        <v>0</v>
      </c>
      <c r="V94" s="143">
        <f t="shared" si="57"/>
        <v>0</v>
      </c>
      <c r="W94" s="144">
        <f t="shared" si="50"/>
        <v>0</v>
      </c>
      <c r="X94" s="144">
        <f t="shared" si="51"/>
        <v>0</v>
      </c>
      <c r="Y94" s="169">
        <f t="shared" si="52"/>
        <v>0</v>
      </c>
      <c r="Z94" s="151">
        <v>0</v>
      </c>
      <c r="AA94" s="151">
        <v>0</v>
      </c>
      <c r="AB94" s="151">
        <v>0</v>
      </c>
      <c r="AC94" s="151">
        <v>0</v>
      </c>
    </row>
    <row r="95" spans="1:29" s="61" customFormat="1" ht="11.25">
      <c r="A95" s="147">
        <f t="shared" si="38"/>
        <v>0</v>
      </c>
      <c r="B95" s="152">
        <f t="shared" si="39"/>
        <v>0</v>
      </c>
      <c r="C95" s="141">
        <f t="shared" si="40"/>
        <v>7</v>
      </c>
      <c r="D95" s="142">
        <v>76</v>
      </c>
      <c r="E95" s="143">
        <f t="shared" si="53"/>
        <v>0</v>
      </c>
      <c r="F95" s="144">
        <f t="shared" si="41"/>
        <v>0</v>
      </c>
      <c r="G95" s="144">
        <f t="shared" si="42"/>
        <v>0</v>
      </c>
      <c r="H95" s="169">
        <f t="shared" si="36"/>
        <v>0</v>
      </c>
      <c r="I95" s="143">
        <f t="shared" si="54"/>
        <v>0</v>
      </c>
      <c r="J95" s="144">
        <f t="shared" si="43"/>
        <v>0</v>
      </c>
      <c r="K95" s="144">
        <f t="shared" si="44"/>
        <v>0</v>
      </c>
      <c r="L95" s="169">
        <f t="shared" si="34"/>
        <v>0</v>
      </c>
      <c r="M95" s="143">
        <f t="shared" si="55"/>
        <v>0</v>
      </c>
      <c r="N95" s="144">
        <f t="shared" si="45"/>
        <v>0</v>
      </c>
      <c r="O95" s="144">
        <f t="shared" si="46"/>
        <v>0</v>
      </c>
      <c r="P95" s="169">
        <f t="shared" si="37"/>
        <v>0</v>
      </c>
      <c r="R95" s="143">
        <f t="shared" si="56"/>
        <v>0</v>
      </c>
      <c r="S95" s="144">
        <f t="shared" si="47"/>
        <v>0</v>
      </c>
      <c r="T95" s="144">
        <f t="shared" si="48"/>
        <v>0</v>
      </c>
      <c r="U95" s="169">
        <f t="shared" si="49"/>
        <v>0</v>
      </c>
      <c r="V95" s="143">
        <f t="shared" si="57"/>
        <v>0</v>
      </c>
      <c r="W95" s="144">
        <f t="shared" si="50"/>
        <v>0</v>
      </c>
      <c r="X95" s="144">
        <f t="shared" si="51"/>
        <v>0</v>
      </c>
      <c r="Y95" s="169">
        <f t="shared" si="52"/>
        <v>0</v>
      </c>
      <c r="Z95" s="151">
        <v>0</v>
      </c>
      <c r="AA95" s="151">
        <v>0</v>
      </c>
      <c r="AB95" s="151">
        <v>0</v>
      </c>
      <c r="AC95" s="151">
        <v>0</v>
      </c>
    </row>
    <row r="96" spans="1:29" s="61" customFormat="1" ht="11.25">
      <c r="A96" s="147">
        <f t="shared" si="38"/>
        <v>0</v>
      </c>
      <c r="B96" s="152">
        <f t="shared" si="39"/>
        <v>0</v>
      </c>
      <c r="C96" s="141">
        <f t="shared" si="40"/>
        <v>7</v>
      </c>
      <c r="D96" s="142">
        <v>77</v>
      </c>
      <c r="E96" s="143">
        <f t="shared" si="53"/>
        <v>0</v>
      </c>
      <c r="F96" s="144">
        <f t="shared" si="41"/>
        <v>0</v>
      </c>
      <c r="G96" s="144">
        <f t="shared" si="42"/>
        <v>0</v>
      </c>
      <c r="H96" s="169">
        <f t="shared" si="36"/>
        <v>0</v>
      </c>
      <c r="I96" s="143">
        <f t="shared" si="54"/>
        <v>0</v>
      </c>
      <c r="J96" s="144">
        <f t="shared" si="43"/>
        <v>0</v>
      </c>
      <c r="K96" s="144">
        <f t="shared" si="44"/>
        <v>0</v>
      </c>
      <c r="L96" s="169">
        <f t="shared" si="34"/>
        <v>0</v>
      </c>
      <c r="M96" s="143">
        <f t="shared" si="55"/>
        <v>0</v>
      </c>
      <c r="N96" s="144">
        <f t="shared" si="45"/>
        <v>0</v>
      </c>
      <c r="O96" s="144">
        <f t="shared" si="46"/>
        <v>0</v>
      </c>
      <c r="P96" s="169">
        <f t="shared" si="37"/>
        <v>0</v>
      </c>
      <c r="R96" s="143">
        <f t="shared" si="56"/>
        <v>0</v>
      </c>
      <c r="S96" s="144">
        <f t="shared" si="47"/>
        <v>0</v>
      </c>
      <c r="T96" s="144">
        <f t="shared" si="48"/>
        <v>0</v>
      </c>
      <c r="U96" s="169">
        <f t="shared" si="49"/>
        <v>0</v>
      </c>
      <c r="V96" s="143">
        <f t="shared" si="57"/>
        <v>0</v>
      </c>
      <c r="W96" s="144">
        <f t="shared" si="50"/>
        <v>0</v>
      </c>
      <c r="X96" s="144">
        <f t="shared" si="51"/>
        <v>0</v>
      </c>
      <c r="Y96" s="169">
        <f t="shared" si="52"/>
        <v>0</v>
      </c>
      <c r="Z96" s="151">
        <v>0</v>
      </c>
      <c r="AA96" s="151">
        <v>0</v>
      </c>
      <c r="AB96" s="151">
        <v>0</v>
      </c>
      <c r="AC96" s="151">
        <v>0</v>
      </c>
    </row>
    <row r="97" spans="1:29" s="61" customFormat="1" ht="11.25">
      <c r="A97" s="147">
        <f t="shared" si="38"/>
        <v>0</v>
      </c>
      <c r="B97" s="152">
        <f t="shared" si="39"/>
        <v>0</v>
      </c>
      <c r="C97" s="141">
        <f t="shared" si="40"/>
        <v>7</v>
      </c>
      <c r="D97" s="142">
        <v>78</v>
      </c>
      <c r="E97" s="143">
        <f t="shared" si="53"/>
        <v>0</v>
      </c>
      <c r="F97" s="144">
        <f t="shared" si="41"/>
        <v>0</v>
      </c>
      <c r="G97" s="144">
        <f t="shared" si="42"/>
        <v>0</v>
      </c>
      <c r="H97" s="169">
        <f t="shared" si="36"/>
        <v>0</v>
      </c>
      <c r="I97" s="143">
        <f t="shared" si="54"/>
        <v>0</v>
      </c>
      <c r="J97" s="144">
        <f t="shared" si="43"/>
        <v>0</v>
      </c>
      <c r="K97" s="144">
        <f t="shared" si="44"/>
        <v>0</v>
      </c>
      <c r="L97" s="169">
        <f t="shared" si="34"/>
        <v>0</v>
      </c>
      <c r="M97" s="143">
        <f t="shared" si="55"/>
        <v>0</v>
      </c>
      <c r="N97" s="144">
        <f t="shared" si="45"/>
        <v>0</v>
      </c>
      <c r="O97" s="144">
        <f t="shared" si="46"/>
        <v>0</v>
      </c>
      <c r="P97" s="169">
        <f t="shared" si="37"/>
        <v>0</v>
      </c>
      <c r="R97" s="143">
        <f t="shared" si="56"/>
        <v>0</v>
      </c>
      <c r="S97" s="144">
        <f t="shared" si="47"/>
        <v>0</v>
      </c>
      <c r="T97" s="144">
        <f t="shared" si="48"/>
        <v>0</v>
      </c>
      <c r="U97" s="169">
        <f t="shared" si="49"/>
        <v>0</v>
      </c>
      <c r="V97" s="143">
        <f t="shared" si="57"/>
        <v>0</v>
      </c>
      <c r="W97" s="144">
        <f t="shared" si="50"/>
        <v>0</v>
      </c>
      <c r="X97" s="144">
        <f t="shared" si="51"/>
        <v>0</v>
      </c>
      <c r="Y97" s="169">
        <f t="shared" si="52"/>
        <v>0</v>
      </c>
      <c r="Z97" s="151">
        <v>0</v>
      </c>
      <c r="AA97" s="151">
        <v>0</v>
      </c>
      <c r="AB97" s="151">
        <v>0</v>
      </c>
      <c r="AC97" s="151">
        <v>0</v>
      </c>
    </row>
    <row r="98" spans="1:29" s="61" customFormat="1" ht="11.25">
      <c r="A98" s="147">
        <f t="shared" si="38"/>
        <v>0</v>
      </c>
      <c r="B98" s="152">
        <f t="shared" si="39"/>
        <v>0</v>
      </c>
      <c r="C98" s="141">
        <f t="shared" si="40"/>
        <v>7</v>
      </c>
      <c r="D98" s="142">
        <v>79</v>
      </c>
      <c r="E98" s="143">
        <f t="shared" si="53"/>
        <v>0</v>
      </c>
      <c r="F98" s="144">
        <f t="shared" si="41"/>
        <v>0</v>
      </c>
      <c r="G98" s="144">
        <f t="shared" si="42"/>
        <v>0</v>
      </c>
      <c r="H98" s="169">
        <f t="shared" si="36"/>
        <v>0</v>
      </c>
      <c r="I98" s="143">
        <f t="shared" si="54"/>
        <v>0</v>
      </c>
      <c r="J98" s="144">
        <f t="shared" si="43"/>
        <v>0</v>
      </c>
      <c r="K98" s="144">
        <f t="shared" si="44"/>
        <v>0</v>
      </c>
      <c r="L98" s="169">
        <f t="shared" si="34"/>
        <v>0</v>
      </c>
      <c r="M98" s="143">
        <f t="shared" si="55"/>
        <v>0</v>
      </c>
      <c r="N98" s="144">
        <f t="shared" si="45"/>
        <v>0</v>
      </c>
      <c r="O98" s="144">
        <f t="shared" si="46"/>
        <v>0</v>
      </c>
      <c r="P98" s="169">
        <f t="shared" si="37"/>
        <v>0</v>
      </c>
      <c r="R98" s="143">
        <f t="shared" si="56"/>
        <v>0</v>
      </c>
      <c r="S98" s="144">
        <f t="shared" si="47"/>
        <v>0</v>
      </c>
      <c r="T98" s="144">
        <f t="shared" si="48"/>
        <v>0</v>
      </c>
      <c r="U98" s="169">
        <f t="shared" si="49"/>
        <v>0</v>
      </c>
      <c r="V98" s="143">
        <f t="shared" si="57"/>
        <v>0</v>
      </c>
      <c r="W98" s="144">
        <f t="shared" si="50"/>
        <v>0</v>
      </c>
      <c r="X98" s="144">
        <f t="shared" si="51"/>
        <v>0</v>
      </c>
      <c r="Y98" s="169">
        <f t="shared" si="52"/>
        <v>0</v>
      </c>
      <c r="Z98" s="151">
        <v>0</v>
      </c>
      <c r="AA98" s="151">
        <v>0</v>
      </c>
      <c r="AB98" s="151">
        <v>0</v>
      </c>
      <c r="AC98" s="151">
        <v>0</v>
      </c>
    </row>
    <row r="99" spans="1:29" s="61" customFormat="1" ht="11.25">
      <c r="A99" s="147">
        <f t="shared" si="38"/>
        <v>0</v>
      </c>
      <c r="B99" s="152">
        <f t="shared" si="39"/>
        <v>0</v>
      </c>
      <c r="C99" s="141">
        <f t="shared" si="40"/>
        <v>7</v>
      </c>
      <c r="D99" s="142">
        <v>80</v>
      </c>
      <c r="E99" s="143">
        <f t="shared" si="53"/>
        <v>0</v>
      </c>
      <c r="F99" s="144">
        <f t="shared" si="41"/>
        <v>0</v>
      </c>
      <c r="G99" s="144">
        <f t="shared" si="42"/>
        <v>0</v>
      </c>
      <c r="H99" s="169">
        <f t="shared" si="36"/>
        <v>0</v>
      </c>
      <c r="I99" s="143">
        <f t="shared" si="54"/>
        <v>0</v>
      </c>
      <c r="J99" s="144">
        <f t="shared" si="43"/>
        <v>0</v>
      </c>
      <c r="K99" s="144">
        <f t="shared" si="44"/>
        <v>0</v>
      </c>
      <c r="L99" s="169">
        <f t="shared" si="34"/>
        <v>0</v>
      </c>
      <c r="M99" s="143">
        <f t="shared" si="55"/>
        <v>0</v>
      </c>
      <c r="N99" s="144">
        <f t="shared" si="45"/>
        <v>0</v>
      </c>
      <c r="O99" s="144">
        <f t="shared" si="46"/>
        <v>0</v>
      </c>
      <c r="P99" s="169">
        <f t="shared" si="37"/>
        <v>0</v>
      </c>
      <c r="R99" s="143">
        <f t="shared" si="56"/>
        <v>0</v>
      </c>
      <c r="S99" s="144">
        <f t="shared" si="47"/>
        <v>0</v>
      </c>
      <c r="T99" s="144">
        <f t="shared" si="48"/>
        <v>0</v>
      </c>
      <c r="U99" s="169">
        <f t="shared" si="49"/>
        <v>0</v>
      </c>
      <c r="V99" s="143">
        <f t="shared" si="57"/>
        <v>0</v>
      </c>
      <c r="W99" s="144">
        <f t="shared" si="50"/>
        <v>0</v>
      </c>
      <c r="X99" s="144">
        <f t="shared" si="51"/>
        <v>0</v>
      </c>
      <c r="Y99" s="169">
        <f t="shared" si="52"/>
        <v>0</v>
      </c>
      <c r="Z99" s="151">
        <v>0</v>
      </c>
      <c r="AA99" s="151">
        <v>0</v>
      </c>
      <c r="AB99" s="151">
        <v>0</v>
      </c>
      <c r="AC99" s="151">
        <v>0</v>
      </c>
    </row>
    <row r="100" spans="1:29" s="61" customFormat="1" ht="11.25">
      <c r="A100" s="147">
        <f t="shared" si="38"/>
        <v>0</v>
      </c>
      <c r="B100" s="152">
        <f t="shared" si="39"/>
        <v>0</v>
      </c>
      <c r="C100" s="141">
        <f t="shared" si="40"/>
        <v>7</v>
      </c>
      <c r="D100" s="142">
        <v>81</v>
      </c>
      <c r="E100" s="143">
        <f t="shared" si="53"/>
        <v>0</v>
      </c>
      <c r="F100" s="144">
        <f t="shared" si="41"/>
        <v>0</v>
      </c>
      <c r="G100" s="144">
        <f t="shared" si="42"/>
        <v>0</v>
      </c>
      <c r="H100" s="169">
        <f t="shared" si="36"/>
        <v>0</v>
      </c>
      <c r="I100" s="143">
        <f t="shared" si="54"/>
        <v>0</v>
      </c>
      <c r="J100" s="144">
        <f t="shared" si="43"/>
        <v>0</v>
      </c>
      <c r="K100" s="144">
        <f t="shared" si="44"/>
        <v>0</v>
      </c>
      <c r="L100" s="169">
        <f t="shared" si="34"/>
        <v>0</v>
      </c>
      <c r="M100" s="143">
        <f t="shared" si="55"/>
        <v>0</v>
      </c>
      <c r="N100" s="144">
        <f t="shared" si="45"/>
        <v>0</v>
      </c>
      <c r="O100" s="144">
        <f t="shared" si="46"/>
        <v>0</v>
      </c>
      <c r="P100" s="169">
        <f t="shared" si="37"/>
        <v>0</v>
      </c>
      <c r="R100" s="143">
        <f t="shared" si="56"/>
        <v>0</v>
      </c>
      <c r="S100" s="144">
        <f t="shared" si="47"/>
        <v>0</v>
      </c>
      <c r="T100" s="144">
        <f t="shared" si="48"/>
        <v>0</v>
      </c>
      <c r="U100" s="169">
        <f t="shared" si="49"/>
        <v>0</v>
      </c>
      <c r="V100" s="143">
        <f t="shared" si="57"/>
        <v>0</v>
      </c>
      <c r="W100" s="144">
        <f t="shared" si="50"/>
        <v>0</v>
      </c>
      <c r="X100" s="144">
        <f t="shared" si="51"/>
        <v>0</v>
      </c>
      <c r="Y100" s="169">
        <f t="shared" si="52"/>
        <v>0</v>
      </c>
      <c r="Z100" s="151">
        <v>0</v>
      </c>
      <c r="AA100" s="151">
        <v>0</v>
      </c>
      <c r="AB100" s="151">
        <v>0</v>
      </c>
      <c r="AC100" s="151">
        <v>0</v>
      </c>
    </row>
    <row r="101" spans="1:29" s="61" customFormat="1" ht="11.25">
      <c r="A101" s="147">
        <f t="shared" si="38"/>
        <v>0</v>
      </c>
      <c r="B101" s="152">
        <f t="shared" si="39"/>
        <v>0</v>
      </c>
      <c r="C101" s="141">
        <f t="shared" si="40"/>
        <v>7</v>
      </c>
      <c r="D101" s="142">
        <v>82</v>
      </c>
      <c r="E101" s="143">
        <f t="shared" si="53"/>
        <v>0</v>
      </c>
      <c r="F101" s="144">
        <f t="shared" si="41"/>
        <v>0</v>
      </c>
      <c r="G101" s="144">
        <f t="shared" si="42"/>
        <v>0</v>
      </c>
      <c r="H101" s="169">
        <f t="shared" si="36"/>
        <v>0</v>
      </c>
      <c r="I101" s="143">
        <f t="shared" si="54"/>
        <v>0</v>
      </c>
      <c r="J101" s="144">
        <f t="shared" si="43"/>
        <v>0</v>
      </c>
      <c r="K101" s="144">
        <f t="shared" si="44"/>
        <v>0</v>
      </c>
      <c r="L101" s="169">
        <f t="shared" si="34"/>
        <v>0</v>
      </c>
      <c r="M101" s="143">
        <f t="shared" si="55"/>
        <v>0</v>
      </c>
      <c r="N101" s="144">
        <f t="shared" si="45"/>
        <v>0</v>
      </c>
      <c r="O101" s="144">
        <f t="shared" si="46"/>
        <v>0</v>
      </c>
      <c r="P101" s="169">
        <f t="shared" si="37"/>
        <v>0</v>
      </c>
      <c r="R101" s="143">
        <f t="shared" si="56"/>
        <v>0</v>
      </c>
      <c r="S101" s="144">
        <f t="shared" si="47"/>
        <v>0</v>
      </c>
      <c r="T101" s="144">
        <f t="shared" si="48"/>
        <v>0</v>
      </c>
      <c r="U101" s="169">
        <f t="shared" si="49"/>
        <v>0</v>
      </c>
      <c r="V101" s="143">
        <f t="shared" si="57"/>
        <v>0</v>
      </c>
      <c r="W101" s="144">
        <f t="shared" si="50"/>
        <v>0</v>
      </c>
      <c r="X101" s="144">
        <f t="shared" si="51"/>
        <v>0</v>
      </c>
      <c r="Y101" s="169">
        <f t="shared" si="52"/>
        <v>0</v>
      </c>
      <c r="Z101" s="151">
        <v>0</v>
      </c>
      <c r="AA101" s="151">
        <v>0</v>
      </c>
      <c r="AB101" s="151">
        <v>0</v>
      </c>
      <c r="AC101" s="151">
        <v>0</v>
      </c>
    </row>
    <row r="102" spans="1:29" s="61" customFormat="1" ht="11.25">
      <c r="A102" s="147">
        <f t="shared" si="38"/>
        <v>0</v>
      </c>
      <c r="B102" s="152">
        <f t="shared" si="39"/>
        <v>0</v>
      </c>
      <c r="C102" s="141">
        <f t="shared" si="40"/>
        <v>7</v>
      </c>
      <c r="D102" s="142">
        <v>83</v>
      </c>
      <c r="E102" s="143">
        <f t="shared" si="53"/>
        <v>0</v>
      </c>
      <c r="F102" s="144">
        <f t="shared" si="41"/>
        <v>0</v>
      </c>
      <c r="G102" s="144">
        <f t="shared" si="42"/>
        <v>0</v>
      </c>
      <c r="H102" s="169">
        <f t="shared" si="36"/>
        <v>0</v>
      </c>
      <c r="I102" s="143">
        <f t="shared" si="54"/>
        <v>0</v>
      </c>
      <c r="J102" s="144">
        <f t="shared" si="43"/>
        <v>0</v>
      </c>
      <c r="K102" s="144">
        <f t="shared" si="44"/>
        <v>0</v>
      </c>
      <c r="L102" s="169">
        <f t="shared" si="34"/>
        <v>0</v>
      </c>
      <c r="M102" s="143">
        <f t="shared" si="55"/>
        <v>0</v>
      </c>
      <c r="N102" s="144">
        <f t="shared" si="45"/>
        <v>0</v>
      </c>
      <c r="O102" s="144">
        <f t="shared" si="46"/>
        <v>0</v>
      </c>
      <c r="P102" s="169">
        <f t="shared" si="37"/>
        <v>0</v>
      </c>
      <c r="R102" s="143">
        <f t="shared" si="56"/>
        <v>0</v>
      </c>
      <c r="S102" s="144">
        <f t="shared" si="47"/>
        <v>0</v>
      </c>
      <c r="T102" s="144">
        <f t="shared" si="48"/>
        <v>0</v>
      </c>
      <c r="U102" s="169">
        <f t="shared" si="49"/>
        <v>0</v>
      </c>
      <c r="V102" s="143">
        <f t="shared" si="57"/>
        <v>0</v>
      </c>
      <c r="W102" s="144">
        <f t="shared" si="50"/>
        <v>0</v>
      </c>
      <c r="X102" s="144">
        <f t="shared" si="51"/>
        <v>0</v>
      </c>
      <c r="Y102" s="169">
        <f t="shared" si="52"/>
        <v>0</v>
      </c>
      <c r="Z102" s="151">
        <v>0</v>
      </c>
      <c r="AA102" s="151">
        <v>0</v>
      </c>
      <c r="AB102" s="151">
        <v>0</v>
      </c>
      <c r="AC102" s="151">
        <v>0</v>
      </c>
    </row>
    <row r="103" spans="1:29" s="61" customFormat="1" ht="12" thickBot="1">
      <c r="A103" s="153">
        <f t="shared" si="38"/>
        <v>0</v>
      </c>
      <c r="B103" s="154">
        <f t="shared" si="39"/>
        <v>0</v>
      </c>
      <c r="C103" s="155">
        <f t="shared" si="40"/>
        <v>7</v>
      </c>
      <c r="D103" s="156">
        <v>84</v>
      </c>
      <c r="E103" s="157">
        <f t="shared" si="53"/>
        <v>0</v>
      </c>
      <c r="F103" s="158">
        <f t="shared" si="41"/>
        <v>0</v>
      </c>
      <c r="G103" s="158">
        <f t="shared" si="42"/>
        <v>0</v>
      </c>
      <c r="H103" s="172">
        <f t="shared" si="36"/>
        <v>0</v>
      </c>
      <c r="I103" s="157">
        <f t="shared" si="54"/>
        <v>0</v>
      </c>
      <c r="J103" s="158">
        <f t="shared" si="43"/>
        <v>0</v>
      </c>
      <c r="K103" s="158">
        <f t="shared" si="44"/>
        <v>0</v>
      </c>
      <c r="L103" s="172">
        <f t="shared" si="34"/>
        <v>0</v>
      </c>
      <c r="M103" s="157">
        <f t="shared" si="55"/>
        <v>0</v>
      </c>
      <c r="N103" s="158">
        <f t="shared" si="45"/>
        <v>0</v>
      </c>
      <c r="O103" s="158">
        <f t="shared" si="46"/>
        <v>0</v>
      </c>
      <c r="P103" s="172">
        <f t="shared" si="37"/>
        <v>0</v>
      </c>
      <c r="R103" s="157">
        <f t="shared" si="56"/>
        <v>0</v>
      </c>
      <c r="S103" s="158">
        <f t="shared" si="47"/>
        <v>0</v>
      </c>
      <c r="T103" s="158">
        <f t="shared" si="48"/>
        <v>0</v>
      </c>
      <c r="U103" s="172">
        <f t="shared" si="49"/>
        <v>0</v>
      </c>
      <c r="V103" s="157">
        <f t="shared" si="57"/>
        <v>0</v>
      </c>
      <c r="W103" s="158">
        <f t="shared" si="50"/>
        <v>0</v>
      </c>
      <c r="X103" s="158">
        <f t="shared" si="51"/>
        <v>0</v>
      </c>
      <c r="Y103" s="172">
        <f t="shared" si="52"/>
        <v>0</v>
      </c>
      <c r="Z103" s="151">
        <v>0</v>
      </c>
      <c r="AA103" s="151">
        <v>0</v>
      </c>
      <c r="AB103" s="151">
        <v>0</v>
      </c>
      <c r="AC103" s="151">
        <v>0</v>
      </c>
    </row>
    <row r="104" spans="1:29" s="61" customFormat="1" ht="11.25">
      <c r="A104" s="147">
        <f t="shared" si="38"/>
        <v>0</v>
      </c>
      <c r="B104" s="152">
        <f t="shared" si="39"/>
        <v>0</v>
      </c>
      <c r="C104" s="141">
        <f t="shared" si="40"/>
        <v>8</v>
      </c>
      <c r="D104" s="142">
        <v>85</v>
      </c>
      <c r="E104" s="143">
        <f t="shared" si="53"/>
        <v>0</v>
      </c>
      <c r="F104" s="144">
        <f t="shared" si="41"/>
        <v>0</v>
      </c>
      <c r="G104" s="144">
        <f t="shared" si="42"/>
        <v>0</v>
      </c>
      <c r="H104" s="169">
        <f t="shared" si="36"/>
        <v>0</v>
      </c>
      <c r="I104" s="143">
        <f t="shared" si="54"/>
        <v>0</v>
      </c>
      <c r="J104" s="144">
        <f t="shared" si="43"/>
        <v>0</v>
      </c>
      <c r="K104" s="144">
        <f t="shared" si="44"/>
        <v>0</v>
      </c>
      <c r="L104" s="169">
        <f t="shared" si="34"/>
        <v>0</v>
      </c>
      <c r="M104" s="143">
        <f t="shared" si="55"/>
        <v>0</v>
      </c>
      <c r="N104" s="144">
        <f t="shared" si="45"/>
        <v>0</v>
      </c>
      <c r="O104" s="144">
        <f t="shared" si="46"/>
        <v>0</v>
      </c>
      <c r="P104" s="169">
        <f t="shared" si="37"/>
        <v>0</v>
      </c>
      <c r="R104" s="143">
        <f t="shared" si="56"/>
        <v>0</v>
      </c>
      <c r="S104" s="144">
        <f t="shared" si="47"/>
        <v>0</v>
      </c>
      <c r="T104" s="144">
        <f t="shared" si="48"/>
        <v>0</v>
      </c>
      <c r="U104" s="169">
        <f t="shared" si="49"/>
        <v>0</v>
      </c>
      <c r="V104" s="143">
        <f t="shared" si="57"/>
        <v>0</v>
      </c>
      <c r="W104" s="144">
        <f t="shared" si="50"/>
        <v>0</v>
      </c>
      <c r="X104" s="144">
        <f t="shared" si="51"/>
        <v>0</v>
      </c>
      <c r="Y104" s="169">
        <f t="shared" si="52"/>
        <v>0</v>
      </c>
      <c r="Z104" s="151">
        <v>0</v>
      </c>
      <c r="AA104" s="151">
        <v>0</v>
      </c>
      <c r="AB104" s="151">
        <v>0</v>
      </c>
      <c r="AC104" s="151">
        <v>0</v>
      </c>
    </row>
    <row r="105" spans="1:29" s="61" customFormat="1" ht="11.25">
      <c r="A105" s="147">
        <f t="shared" si="38"/>
        <v>0</v>
      </c>
      <c r="B105" s="152">
        <f t="shared" si="39"/>
        <v>0</v>
      </c>
      <c r="C105" s="141">
        <f t="shared" si="40"/>
        <v>8</v>
      </c>
      <c r="D105" s="142">
        <v>86</v>
      </c>
      <c r="E105" s="143">
        <f t="shared" si="53"/>
        <v>0</v>
      </c>
      <c r="F105" s="144">
        <f t="shared" si="41"/>
        <v>0</v>
      </c>
      <c r="G105" s="144">
        <f t="shared" si="42"/>
        <v>0</v>
      </c>
      <c r="H105" s="169">
        <f t="shared" si="36"/>
        <v>0</v>
      </c>
      <c r="I105" s="143">
        <f t="shared" si="54"/>
        <v>0</v>
      </c>
      <c r="J105" s="144">
        <f t="shared" si="43"/>
        <v>0</v>
      </c>
      <c r="K105" s="144">
        <f t="shared" si="44"/>
        <v>0</v>
      </c>
      <c r="L105" s="169">
        <f t="shared" si="34"/>
        <v>0</v>
      </c>
      <c r="M105" s="143">
        <f t="shared" si="55"/>
        <v>0</v>
      </c>
      <c r="N105" s="144">
        <f t="shared" si="45"/>
        <v>0</v>
      </c>
      <c r="O105" s="144">
        <f t="shared" si="46"/>
        <v>0</v>
      </c>
      <c r="P105" s="169">
        <f t="shared" si="37"/>
        <v>0</v>
      </c>
      <c r="R105" s="143">
        <f t="shared" si="56"/>
        <v>0</v>
      </c>
      <c r="S105" s="144">
        <f t="shared" si="47"/>
        <v>0</v>
      </c>
      <c r="T105" s="144">
        <f t="shared" si="48"/>
        <v>0</v>
      </c>
      <c r="U105" s="169">
        <f t="shared" si="49"/>
        <v>0</v>
      </c>
      <c r="V105" s="143">
        <f t="shared" si="57"/>
        <v>0</v>
      </c>
      <c r="W105" s="144">
        <f t="shared" si="50"/>
        <v>0</v>
      </c>
      <c r="X105" s="144">
        <f t="shared" si="51"/>
        <v>0</v>
      </c>
      <c r="Y105" s="169">
        <f t="shared" si="52"/>
        <v>0</v>
      </c>
      <c r="Z105" s="151">
        <v>0</v>
      </c>
      <c r="AA105" s="151">
        <v>0</v>
      </c>
      <c r="AB105" s="151">
        <v>0</v>
      </c>
      <c r="AC105" s="151">
        <v>0</v>
      </c>
    </row>
    <row r="106" spans="1:29" s="61" customFormat="1" ht="11.25">
      <c r="A106" s="147">
        <f t="shared" si="38"/>
        <v>0</v>
      </c>
      <c r="B106" s="152">
        <f t="shared" si="39"/>
        <v>0</v>
      </c>
      <c r="C106" s="141">
        <f t="shared" si="40"/>
        <v>8</v>
      </c>
      <c r="D106" s="142">
        <v>87</v>
      </c>
      <c r="E106" s="143">
        <f t="shared" si="53"/>
        <v>0</v>
      </c>
      <c r="F106" s="144">
        <f t="shared" si="41"/>
        <v>0</v>
      </c>
      <c r="G106" s="144">
        <f t="shared" si="42"/>
        <v>0</v>
      </c>
      <c r="H106" s="169">
        <f t="shared" si="36"/>
        <v>0</v>
      </c>
      <c r="I106" s="143">
        <f t="shared" si="54"/>
        <v>0</v>
      </c>
      <c r="J106" s="144">
        <f t="shared" si="43"/>
        <v>0</v>
      </c>
      <c r="K106" s="144">
        <f t="shared" si="44"/>
        <v>0</v>
      </c>
      <c r="L106" s="169">
        <f t="shared" si="34"/>
        <v>0</v>
      </c>
      <c r="M106" s="143">
        <f t="shared" si="55"/>
        <v>0</v>
      </c>
      <c r="N106" s="144">
        <f t="shared" si="45"/>
        <v>0</v>
      </c>
      <c r="O106" s="144">
        <f t="shared" si="46"/>
        <v>0</v>
      </c>
      <c r="P106" s="169">
        <f t="shared" si="37"/>
        <v>0</v>
      </c>
      <c r="R106" s="143">
        <f t="shared" si="56"/>
        <v>0</v>
      </c>
      <c r="S106" s="144">
        <f t="shared" si="47"/>
        <v>0</v>
      </c>
      <c r="T106" s="144">
        <f t="shared" si="48"/>
        <v>0</v>
      </c>
      <c r="U106" s="169">
        <f t="shared" si="49"/>
        <v>0</v>
      </c>
      <c r="V106" s="143">
        <f t="shared" si="57"/>
        <v>0</v>
      </c>
      <c r="W106" s="144">
        <f t="shared" si="50"/>
        <v>0</v>
      </c>
      <c r="X106" s="144">
        <f t="shared" si="51"/>
        <v>0</v>
      </c>
      <c r="Y106" s="169">
        <f t="shared" si="52"/>
        <v>0</v>
      </c>
      <c r="Z106" s="151">
        <v>0</v>
      </c>
      <c r="AA106" s="151">
        <v>0</v>
      </c>
      <c r="AB106" s="151">
        <v>0</v>
      </c>
      <c r="AC106" s="151">
        <v>0</v>
      </c>
    </row>
    <row r="107" spans="1:29" s="61" customFormat="1" ht="11.25">
      <c r="A107" s="147">
        <f t="shared" si="38"/>
        <v>0</v>
      </c>
      <c r="B107" s="152">
        <f t="shared" si="39"/>
        <v>0</v>
      </c>
      <c r="C107" s="141">
        <f t="shared" si="40"/>
        <v>8</v>
      </c>
      <c r="D107" s="142">
        <v>88</v>
      </c>
      <c r="E107" s="143">
        <f t="shared" si="53"/>
        <v>0</v>
      </c>
      <c r="F107" s="144">
        <f t="shared" si="41"/>
        <v>0</v>
      </c>
      <c r="G107" s="144">
        <f t="shared" si="42"/>
        <v>0</v>
      </c>
      <c r="H107" s="169">
        <f t="shared" si="36"/>
        <v>0</v>
      </c>
      <c r="I107" s="143">
        <f t="shared" si="54"/>
        <v>0</v>
      </c>
      <c r="J107" s="144">
        <f t="shared" si="43"/>
        <v>0</v>
      </c>
      <c r="K107" s="144">
        <f t="shared" si="44"/>
        <v>0</v>
      </c>
      <c r="L107" s="169">
        <f t="shared" si="34"/>
        <v>0</v>
      </c>
      <c r="M107" s="143">
        <f t="shared" si="55"/>
        <v>0</v>
      </c>
      <c r="N107" s="144">
        <f t="shared" si="45"/>
        <v>0</v>
      </c>
      <c r="O107" s="144">
        <f t="shared" si="46"/>
        <v>0</v>
      </c>
      <c r="P107" s="169">
        <f t="shared" si="37"/>
        <v>0</v>
      </c>
      <c r="R107" s="143">
        <f t="shared" si="56"/>
        <v>0</v>
      </c>
      <c r="S107" s="144">
        <f t="shared" si="47"/>
        <v>0</v>
      </c>
      <c r="T107" s="144">
        <f t="shared" si="48"/>
        <v>0</v>
      </c>
      <c r="U107" s="169">
        <f t="shared" si="49"/>
        <v>0</v>
      </c>
      <c r="V107" s="143">
        <f t="shared" si="57"/>
        <v>0</v>
      </c>
      <c r="W107" s="144">
        <f t="shared" si="50"/>
        <v>0</v>
      </c>
      <c r="X107" s="144">
        <f t="shared" si="51"/>
        <v>0</v>
      </c>
      <c r="Y107" s="169">
        <f t="shared" si="52"/>
        <v>0</v>
      </c>
      <c r="Z107" s="151">
        <v>0</v>
      </c>
      <c r="AA107" s="151">
        <v>0</v>
      </c>
      <c r="AB107" s="151">
        <v>0</v>
      </c>
      <c r="AC107" s="151">
        <v>0</v>
      </c>
    </row>
    <row r="108" spans="1:29" s="61" customFormat="1" ht="11.25">
      <c r="A108" s="147">
        <f t="shared" si="38"/>
        <v>0</v>
      </c>
      <c r="B108" s="152">
        <f t="shared" si="39"/>
        <v>0</v>
      </c>
      <c r="C108" s="141">
        <f t="shared" si="40"/>
        <v>8</v>
      </c>
      <c r="D108" s="142">
        <v>89</v>
      </c>
      <c r="E108" s="143">
        <f t="shared" si="53"/>
        <v>0</v>
      </c>
      <c r="F108" s="144">
        <f t="shared" si="41"/>
        <v>0</v>
      </c>
      <c r="G108" s="144">
        <f t="shared" si="42"/>
        <v>0</v>
      </c>
      <c r="H108" s="169">
        <f t="shared" si="36"/>
        <v>0</v>
      </c>
      <c r="I108" s="143">
        <f t="shared" si="54"/>
        <v>0</v>
      </c>
      <c r="J108" s="144">
        <f t="shared" si="43"/>
        <v>0</v>
      </c>
      <c r="K108" s="144">
        <f t="shared" si="44"/>
        <v>0</v>
      </c>
      <c r="L108" s="169">
        <f t="shared" si="34"/>
        <v>0</v>
      </c>
      <c r="M108" s="143">
        <f t="shared" si="55"/>
        <v>0</v>
      </c>
      <c r="N108" s="144">
        <f t="shared" si="45"/>
        <v>0</v>
      </c>
      <c r="O108" s="144">
        <f t="shared" si="46"/>
        <v>0</v>
      </c>
      <c r="P108" s="169">
        <f t="shared" si="37"/>
        <v>0</v>
      </c>
      <c r="R108" s="143">
        <f t="shared" si="56"/>
        <v>0</v>
      </c>
      <c r="S108" s="144">
        <f t="shared" si="47"/>
        <v>0</v>
      </c>
      <c r="T108" s="144">
        <f t="shared" si="48"/>
        <v>0</v>
      </c>
      <c r="U108" s="169">
        <f t="shared" si="49"/>
        <v>0</v>
      </c>
      <c r="V108" s="143">
        <f t="shared" si="57"/>
        <v>0</v>
      </c>
      <c r="W108" s="144">
        <f t="shared" si="50"/>
        <v>0</v>
      </c>
      <c r="X108" s="144">
        <f t="shared" si="51"/>
        <v>0</v>
      </c>
      <c r="Y108" s="169">
        <f t="shared" si="52"/>
        <v>0</v>
      </c>
      <c r="Z108" s="151">
        <v>0</v>
      </c>
      <c r="AA108" s="151">
        <v>0</v>
      </c>
      <c r="AB108" s="151">
        <v>0</v>
      </c>
      <c r="AC108" s="151">
        <v>0</v>
      </c>
    </row>
    <row r="109" spans="1:29" s="61" customFormat="1" ht="11.25">
      <c r="A109" s="147">
        <f t="shared" si="38"/>
        <v>0</v>
      </c>
      <c r="B109" s="152">
        <f t="shared" si="39"/>
        <v>0</v>
      </c>
      <c r="C109" s="141">
        <f t="shared" si="40"/>
        <v>8</v>
      </c>
      <c r="D109" s="142">
        <v>90</v>
      </c>
      <c r="E109" s="143">
        <f t="shared" si="53"/>
        <v>0</v>
      </c>
      <c r="F109" s="144">
        <f t="shared" si="41"/>
        <v>0</v>
      </c>
      <c r="G109" s="144">
        <f t="shared" si="42"/>
        <v>0</v>
      </c>
      <c r="H109" s="169">
        <f t="shared" si="36"/>
        <v>0</v>
      </c>
      <c r="I109" s="143">
        <f t="shared" si="54"/>
        <v>0</v>
      </c>
      <c r="J109" s="144">
        <f t="shared" si="43"/>
        <v>0</v>
      </c>
      <c r="K109" s="144">
        <f t="shared" si="44"/>
        <v>0</v>
      </c>
      <c r="L109" s="169">
        <f t="shared" si="34"/>
        <v>0</v>
      </c>
      <c r="M109" s="143">
        <f t="shared" si="55"/>
        <v>0</v>
      </c>
      <c r="N109" s="144">
        <f t="shared" si="45"/>
        <v>0</v>
      </c>
      <c r="O109" s="144">
        <f t="shared" si="46"/>
        <v>0</v>
      </c>
      <c r="P109" s="169">
        <f t="shared" si="37"/>
        <v>0</v>
      </c>
      <c r="R109" s="143">
        <f t="shared" si="56"/>
        <v>0</v>
      </c>
      <c r="S109" s="144">
        <f t="shared" si="47"/>
        <v>0</v>
      </c>
      <c r="T109" s="144">
        <f t="shared" si="48"/>
        <v>0</v>
      </c>
      <c r="U109" s="169">
        <f t="shared" si="49"/>
        <v>0</v>
      </c>
      <c r="V109" s="143">
        <f t="shared" si="57"/>
        <v>0</v>
      </c>
      <c r="W109" s="144">
        <f t="shared" si="50"/>
        <v>0</v>
      </c>
      <c r="X109" s="144">
        <f t="shared" si="51"/>
        <v>0</v>
      </c>
      <c r="Y109" s="169">
        <f t="shared" si="52"/>
        <v>0</v>
      </c>
      <c r="Z109" s="151">
        <v>0</v>
      </c>
      <c r="AA109" s="151">
        <v>0</v>
      </c>
      <c r="AB109" s="151">
        <v>0</v>
      </c>
      <c r="AC109" s="151">
        <v>0</v>
      </c>
    </row>
    <row r="110" spans="1:29" s="61" customFormat="1" ht="11.25">
      <c r="A110" s="147">
        <f t="shared" si="38"/>
        <v>0</v>
      </c>
      <c r="B110" s="152">
        <f t="shared" si="39"/>
        <v>0</v>
      </c>
      <c r="C110" s="141">
        <f t="shared" si="40"/>
        <v>8</v>
      </c>
      <c r="D110" s="142">
        <v>91</v>
      </c>
      <c r="E110" s="143">
        <f t="shared" si="53"/>
        <v>0</v>
      </c>
      <c r="F110" s="144">
        <f t="shared" si="41"/>
        <v>0</v>
      </c>
      <c r="G110" s="144">
        <f t="shared" si="42"/>
        <v>0</v>
      </c>
      <c r="H110" s="169">
        <f t="shared" si="36"/>
        <v>0</v>
      </c>
      <c r="I110" s="143">
        <f t="shared" si="54"/>
        <v>0</v>
      </c>
      <c r="J110" s="144">
        <f t="shared" si="43"/>
        <v>0</v>
      </c>
      <c r="K110" s="144">
        <f t="shared" si="44"/>
        <v>0</v>
      </c>
      <c r="L110" s="169">
        <f t="shared" si="34"/>
        <v>0</v>
      </c>
      <c r="M110" s="143">
        <f t="shared" si="55"/>
        <v>0</v>
      </c>
      <c r="N110" s="144">
        <f t="shared" si="45"/>
        <v>0</v>
      </c>
      <c r="O110" s="144">
        <f t="shared" si="46"/>
        <v>0</v>
      </c>
      <c r="P110" s="169">
        <f t="shared" si="37"/>
        <v>0</v>
      </c>
      <c r="R110" s="143">
        <f t="shared" si="56"/>
        <v>0</v>
      </c>
      <c r="S110" s="144">
        <f t="shared" si="47"/>
        <v>0</v>
      </c>
      <c r="T110" s="144">
        <f t="shared" si="48"/>
        <v>0</v>
      </c>
      <c r="U110" s="169">
        <f t="shared" si="49"/>
        <v>0</v>
      </c>
      <c r="V110" s="143">
        <f t="shared" si="57"/>
        <v>0</v>
      </c>
      <c r="W110" s="144">
        <f t="shared" si="50"/>
        <v>0</v>
      </c>
      <c r="X110" s="144">
        <f t="shared" si="51"/>
        <v>0</v>
      </c>
      <c r="Y110" s="169">
        <f t="shared" si="52"/>
        <v>0</v>
      </c>
      <c r="Z110" s="151">
        <v>0</v>
      </c>
      <c r="AA110" s="151">
        <v>0</v>
      </c>
      <c r="AB110" s="151">
        <v>0</v>
      </c>
      <c r="AC110" s="151">
        <v>0</v>
      </c>
    </row>
    <row r="111" spans="1:29" s="61" customFormat="1" ht="11.25">
      <c r="A111" s="147">
        <f t="shared" si="38"/>
        <v>0</v>
      </c>
      <c r="B111" s="152">
        <f t="shared" si="39"/>
        <v>0</v>
      </c>
      <c r="C111" s="141">
        <f t="shared" si="40"/>
        <v>8</v>
      </c>
      <c r="D111" s="142">
        <v>92</v>
      </c>
      <c r="E111" s="143">
        <f t="shared" si="53"/>
        <v>0</v>
      </c>
      <c r="F111" s="144">
        <f t="shared" si="41"/>
        <v>0</v>
      </c>
      <c r="G111" s="144">
        <f t="shared" si="42"/>
        <v>0</v>
      </c>
      <c r="H111" s="169">
        <f t="shared" si="36"/>
        <v>0</v>
      </c>
      <c r="I111" s="143">
        <f t="shared" si="54"/>
        <v>0</v>
      </c>
      <c r="J111" s="144">
        <f t="shared" si="43"/>
        <v>0</v>
      </c>
      <c r="K111" s="144">
        <f t="shared" si="44"/>
        <v>0</v>
      </c>
      <c r="L111" s="169">
        <f t="shared" si="34"/>
        <v>0</v>
      </c>
      <c r="M111" s="143">
        <f t="shared" si="55"/>
        <v>0</v>
      </c>
      <c r="N111" s="144">
        <f t="shared" si="45"/>
        <v>0</v>
      </c>
      <c r="O111" s="144">
        <f t="shared" si="46"/>
        <v>0</v>
      </c>
      <c r="P111" s="169">
        <f t="shared" si="37"/>
        <v>0</v>
      </c>
      <c r="R111" s="143">
        <f t="shared" si="56"/>
        <v>0</v>
      </c>
      <c r="S111" s="144">
        <f t="shared" si="47"/>
        <v>0</v>
      </c>
      <c r="T111" s="144">
        <f t="shared" si="48"/>
        <v>0</v>
      </c>
      <c r="U111" s="169">
        <f t="shared" si="49"/>
        <v>0</v>
      </c>
      <c r="V111" s="143">
        <f t="shared" si="57"/>
        <v>0</v>
      </c>
      <c r="W111" s="144">
        <f t="shared" si="50"/>
        <v>0</v>
      </c>
      <c r="X111" s="144">
        <f t="shared" si="51"/>
        <v>0</v>
      </c>
      <c r="Y111" s="169">
        <f t="shared" si="52"/>
        <v>0</v>
      </c>
      <c r="Z111" s="151">
        <v>0</v>
      </c>
      <c r="AA111" s="151">
        <v>0</v>
      </c>
      <c r="AB111" s="151">
        <v>0</v>
      </c>
      <c r="AC111" s="151">
        <v>0</v>
      </c>
    </row>
    <row r="112" spans="1:29" s="61" customFormat="1" ht="11.25">
      <c r="A112" s="147">
        <f t="shared" si="38"/>
        <v>0</v>
      </c>
      <c r="B112" s="152">
        <f t="shared" si="39"/>
        <v>0</v>
      </c>
      <c r="C112" s="141">
        <f t="shared" si="40"/>
        <v>8</v>
      </c>
      <c r="D112" s="142">
        <v>93</v>
      </c>
      <c r="E112" s="143">
        <f t="shared" si="53"/>
        <v>0</v>
      </c>
      <c r="F112" s="144">
        <f t="shared" si="41"/>
        <v>0</v>
      </c>
      <c r="G112" s="144">
        <f t="shared" si="42"/>
        <v>0</v>
      </c>
      <c r="H112" s="169">
        <f t="shared" si="36"/>
        <v>0</v>
      </c>
      <c r="I112" s="143">
        <f t="shared" si="54"/>
        <v>0</v>
      </c>
      <c r="J112" s="144">
        <f t="shared" si="43"/>
        <v>0</v>
      </c>
      <c r="K112" s="144">
        <f t="shared" si="44"/>
        <v>0</v>
      </c>
      <c r="L112" s="169">
        <f t="shared" si="34"/>
        <v>0</v>
      </c>
      <c r="M112" s="143">
        <f t="shared" si="55"/>
        <v>0</v>
      </c>
      <c r="N112" s="144">
        <f t="shared" si="45"/>
        <v>0</v>
      </c>
      <c r="O112" s="144">
        <f t="shared" si="46"/>
        <v>0</v>
      </c>
      <c r="P112" s="169">
        <f t="shared" si="37"/>
        <v>0</v>
      </c>
      <c r="R112" s="143">
        <f t="shared" si="56"/>
        <v>0</v>
      </c>
      <c r="S112" s="144">
        <f t="shared" si="47"/>
        <v>0</v>
      </c>
      <c r="T112" s="144">
        <f t="shared" si="48"/>
        <v>0</v>
      </c>
      <c r="U112" s="169">
        <f t="shared" si="49"/>
        <v>0</v>
      </c>
      <c r="V112" s="143">
        <f t="shared" si="57"/>
        <v>0</v>
      </c>
      <c r="W112" s="144">
        <f t="shared" si="50"/>
        <v>0</v>
      </c>
      <c r="X112" s="144">
        <f t="shared" si="51"/>
        <v>0</v>
      </c>
      <c r="Y112" s="169">
        <f t="shared" si="52"/>
        <v>0</v>
      </c>
      <c r="Z112" s="151">
        <v>0</v>
      </c>
      <c r="AA112" s="151">
        <v>0</v>
      </c>
      <c r="AB112" s="151">
        <v>0</v>
      </c>
      <c r="AC112" s="151">
        <v>0</v>
      </c>
    </row>
    <row r="113" spans="1:29" s="61" customFormat="1" ht="11.25">
      <c r="A113" s="147">
        <f t="shared" si="38"/>
        <v>0</v>
      </c>
      <c r="B113" s="152">
        <f t="shared" si="39"/>
        <v>0</v>
      </c>
      <c r="C113" s="141">
        <f t="shared" si="40"/>
        <v>8</v>
      </c>
      <c r="D113" s="142">
        <v>94</v>
      </c>
      <c r="E113" s="143">
        <f t="shared" si="53"/>
        <v>0</v>
      </c>
      <c r="F113" s="144">
        <f t="shared" si="41"/>
        <v>0</v>
      </c>
      <c r="G113" s="144">
        <f t="shared" si="42"/>
        <v>0</v>
      </c>
      <c r="H113" s="169">
        <f t="shared" si="36"/>
        <v>0</v>
      </c>
      <c r="I113" s="143">
        <f t="shared" si="54"/>
        <v>0</v>
      </c>
      <c r="J113" s="144">
        <f t="shared" si="43"/>
        <v>0</v>
      </c>
      <c r="K113" s="144">
        <f t="shared" si="44"/>
        <v>0</v>
      </c>
      <c r="L113" s="169">
        <f t="shared" si="34"/>
        <v>0</v>
      </c>
      <c r="M113" s="143">
        <f t="shared" si="55"/>
        <v>0</v>
      </c>
      <c r="N113" s="144">
        <f t="shared" si="45"/>
        <v>0</v>
      </c>
      <c r="O113" s="144">
        <f t="shared" si="46"/>
        <v>0</v>
      </c>
      <c r="P113" s="169">
        <f t="shared" si="37"/>
        <v>0</v>
      </c>
      <c r="R113" s="143">
        <f t="shared" si="56"/>
        <v>0</v>
      </c>
      <c r="S113" s="144">
        <f t="shared" si="47"/>
        <v>0</v>
      </c>
      <c r="T113" s="144">
        <f t="shared" si="48"/>
        <v>0</v>
      </c>
      <c r="U113" s="169">
        <f t="shared" si="49"/>
        <v>0</v>
      </c>
      <c r="V113" s="143">
        <f t="shared" si="57"/>
        <v>0</v>
      </c>
      <c r="W113" s="144">
        <f t="shared" si="50"/>
        <v>0</v>
      </c>
      <c r="X113" s="144">
        <f t="shared" si="51"/>
        <v>0</v>
      </c>
      <c r="Y113" s="169">
        <f t="shared" si="52"/>
        <v>0</v>
      </c>
      <c r="Z113" s="151">
        <v>0</v>
      </c>
      <c r="AA113" s="151">
        <v>0</v>
      </c>
      <c r="AB113" s="151">
        <v>0</v>
      </c>
      <c r="AC113" s="151">
        <v>0</v>
      </c>
    </row>
    <row r="114" spans="1:29" s="61" customFormat="1" ht="11.25">
      <c r="A114" s="147">
        <f t="shared" si="38"/>
        <v>0</v>
      </c>
      <c r="B114" s="152">
        <f t="shared" si="39"/>
        <v>0</v>
      </c>
      <c r="C114" s="141">
        <f t="shared" si="40"/>
        <v>8</v>
      </c>
      <c r="D114" s="142">
        <v>95</v>
      </c>
      <c r="E114" s="143">
        <f t="shared" si="53"/>
        <v>0</v>
      </c>
      <c r="F114" s="144">
        <f t="shared" si="41"/>
        <v>0</v>
      </c>
      <c r="G114" s="144">
        <f t="shared" si="42"/>
        <v>0</v>
      </c>
      <c r="H114" s="169">
        <f t="shared" si="36"/>
        <v>0</v>
      </c>
      <c r="I114" s="143">
        <f t="shared" si="54"/>
        <v>0</v>
      </c>
      <c r="J114" s="144">
        <f t="shared" si="43"/>
        <v>0</v>
      </c>
      <c r="K114" s="144">
        <f t="shared" si="44"/>
        <v>0</v>
      </c>
      <c r="L114" s="169">
        <f t="shared" si="34"/>
        <v>0</v>
      </c>
      <c r="M114" s="143">
        <f t="shared" si="55"/>
        <v>0</v>
      </c>
      <c r="N114" s="144">
        <f t="shared" si="45"/>
        <v>0</v>
      </c>
      <c r="O114" s="144">
        <f t="shared" si="46"/>
        <v>0</v>
      </c>
      <c r="P114" s="169">
        <f t="shared" si="37"/>
        <v>0</v>
      </c>
      <c r="R114" s="143">
        <f t="shared" si="56"/>
        <v>0</v>
      </c>
      <c r="S114" s="144">
        <f t="shared" si="47"/>
        <v>0</v>
      </c>
      <c r="T114" s="144">
        <f t="shared" si="48"/>
        <v>0</v>
      </c>
      <c r="U114" s="169">
        <f t="shared" si="49"/>
        <v>0</v>
      </c>
      <c r="V114" s="143">
        <f t="shared" si="57"/>
        <v>0</v>
      </c>
      <c r="W114" s="144">
        <f t="shared" si="50"/>
        <v>0</v>
      </c>
      <c r="X114" s="144">
        <f t="shared" si="51"/>
        <v>0</v>
      </c>
      <c r="Y114" s="169">
        <f t="shared" si="52"/>
        <v>0</v>
      </c>
      <c r="Z114" s="151">
        <v>0</v>
      </c>
      <c r="AA114" s="151">
        <v>0</v>
      </c>
      <c r="AB114" s="151">
        <v>0</v>
      </c>
      <c r="AC114" s="151">
        <v>0</v>
      </c>
    </row>
    <row r="115" spans="1:29" s="61" customFormat="1" ht="12" thickBot="1">
      <c r="A115" s="153">
        <f t="shared" si="38"/>
        <v>0</v>
      </c>
      <c r="B115" s="154">
        <f t="shared" si="39"/>
        <v>0</v>
      </c>
      <c r="C115" s="155">
        <f t="shared" si="40"/>
        <v>8</v>
      </c>
      <c r="D115" s="156">
        <v>96</v>
      </c>
      <c r="E115" s="157">
        <f t="shared" si="53"/>
        <v>0</v>
      </c>
      <c r="F115" s="158">
        <f t="shared" si="41"/>
        <v>0</v>
      </c>
      <c r="G115" s="158">
        <f t="shared" si="42"/>
        <v>0</v>
      </c>
      <c r="H115" s="172">
        <f t="shared" si="36"/>
        <v>0</v>
      </c>
      <c r="I115" s="157">
        <f t="shared" si="54"/>
        <v>0</v>
      </c>
      <c r="J115" s="158">
        <f t="shared" si="43"/>
        <v>0</v>
      </c>
      <c r="K115" s="158">
        <f t="shared" si="44"/>
        <v>0</v>
      </c>
      <c r="L115" s="172">
        <f t="shared" si="34"/>
        <v>0</v>
      </c>
      <c r="M115" s="157">
        <f t="shared" si="55"/>
        <v>0</v>
      </c>
      <c r="N115" s="158">
        <f t="shared" si="45"/>
        <v>0</v>
      </c>
      <c r="O115" s="158">
        <f t="shared" si="46"/>
        <v>0</v>
      </c>
      <c r="P115" s="172">
        <f t="shared" si="37"/>
        <v>0</v>
      </c>
      <c r="R115" s="157">
        <f t="shared" si="56"/>
        <v>0</v>
      </c>
      <c r="S115" s="158">
        <f t="shared" si="47"/>
        <v>0</v>
      </c>
      <c r="T115" s="158">
        <f t="shared" si="48"/>
        <v>0</v>
      </c>
      <c r="U115" s="172">
        <f t="shared" si="49"/>
        <v>0</v>
      </c>
      <c r="V115" s="157">
        <f t="shared" si="57"/>
        <v>0</v>
      </c>
      <c r="W115" s="158">
        <f t="shared" si="50"/>
        <v>0</v>
      </c>
      <c r="X115" s="158">
        <f t="shared" si="51"/>
        <v>0</v>
      </c>
      <c r="Y115" s="172">
        <f t="shared" si="52"/>
        <v>0</v>
      </c>
      <c r="Z115" s="151">
        <v>0</v>
      </c>
      <c r="AA115" s="151">
        <v>0</v>
      </c>
      <c r="AB115" s="151">
        <v>0</v>
      </c>
      <c r="AC115" s="151">
        <v>0</v>
      </c>
    </row>
    <row r="116" spans="1:29" s="61" customFormat="1" ht="11.25">
      <c r="A116" s="147">
        <f t="shared" si="38"/>
        <v>0</v>
      </c>
      <c r="B116" s="152">
        <f t="shared" si="39"/>
        <v>0</v>
      </c>
      <c r="C116" s="141">
        <f t="shared" si="40"/>
        <v>9</v>
      </c>
      <c r="D116" s="142">
        <v>97</v>
      </c>
      <c r="E116" s="143">
        <f t="shared" si="53"/>
        <v>0</v>
      </c>
      <c r="F116" s="144">
        <f t="shared" si="41"/>
        <v>0</v>
      </c>
      <c r="G116" s="144">
        <f t="shared" si="42"/>
        <v>0</v>
      </c>
      <c r="H116" s="169">
        <f t="shared" si="36"/>
        <v>0</v>
      </c>
      <c r="I116" s="143">
        <f t="shared" si="54"/>
        <v>0</v>
      </c>
      <c r="J116" s="144">
        <f t="shared" si="43"/>
        <v>0</v>
      </c>
      <c r="K116" s="144">
        <f t="shared" si="44"/>
        <v>0</v>
      </c>
      <c r="L116" s="169">
        <f t="shared" si="34"/>
        <v>0</v>
      </c>
      <c r="M116" s="143">
        <f t="shared" si="55"/>
        <v>0</v>
      </c>
      <c r="N116" s="144">
        <f t="shared" si="45"/>
        <v>0</v>
      </c>
      <c r="O116" s="144">
        <f t="shared" si="46"/>
        <v>0</v>
      </c>
      <c r="P116" s="169">
        <f t="shared" si="37"/>
        <v>0</v>
      </c>
      <c r="R116" s="143">
        <f t="shared" si="56"/>
        <v>0</v>
      </c>
      <c r="S116" s="144">
        <f t="shared" si="47"/>
        <v>0</v>
      </c>
      <c r="T116" s="144">
        <f t="shared" si="48"/>
        <v>0</v>
      </c>
      <c r="U116" s="169">
        <f t="shared" si="49"/>
        <v>0</v>
      </c>
      <c r="V116" s="143">
        <f t="shared" si="57"/>
        <v>0</v>
      </c>
      <c r="W116" s="144">
        <f t="shared" si="50"/>
        <v>0</v>
      </c>
      <c r="X116" s="144">
        <f t="shared" si="51"/>
        <v>0</v>
      </c>
      <c r="Y116" s="169">
        <f t="shared" si="52"/>
        <v>0</v>
      </c>
      <c r="Z116" s="151">
        <v>0</v>
      </c>
      <c r="AA116" s="151">
        <v>0</v>
      </c>
      <c r="AB116" s="151">
        <v>0</v>
      </c>
      <c r="AC116" s="151">
        <v>0</v>
      </c>
    </row>
    <row r="117" spans="1:29" s="61" customFormat="1" ht="11.25">
      <c r="A117" s="147">
        <f t="shared" si="38"/>
        <v>0</v>
      </c>
      <c r="B117" s="152">
        <f t="shared" si="39"/>
        <v>0</v>
      </c>
      <c r="C117" s="141">
        <f t="shared" si="40"/>
        <v>9</v>
      </c>
      <c r="D117" s="142">
        <v>98</v>
      </c>
      <c r="E117" s="143">
        <f t="shared" si="53"/>
        <v>0</v>
      </c>
      <c r="F117" s="144">
        <f t="shared" si="41"/>
        <v>0</v>
      </c>
      <c r="G117" s="144">
        <f t="shared" si="42"/>
        <v>0</v>
      </c>
      <c r="H117" s="169">
        <f t="shared" si="36"/>
        <v>0</v>
      </c>
      <c r="I117" s="143">
        <f t="shared" si="54"/>
        <v>0</v>
      </c>
      <c r="J117" s="144">
        <f t="shared" si="43"/>
        <v>0</v>
      </c>
      <c r="K117" s="144">
        <f t="shared" si="44"/>
        <v>0</v>
      </c>
      <c r="L117" s="169">
        <f t="shared" si="34"/>
        <v>0</v>
      </c>
      <c r="M117" s="143">
        <f t="shared" si="55"/>
        <v>0</v>
      </c>
      <c r="N117" s="144">
        <f t="shared" si="45"/>
        <v>0</v>
      </c>
      <c r="O117" s="144">
        <f t="shared" si="46"/>
        <v>0</v>
      </c>
      <c r="P117" s="169">
        <f t="shared" si="37"/>
        <v>0</v>
      </c>
      <c r="R117" s="143">
        <f t="shared" si="56"/>
        <v>0</v>
      </c>
      <c r="S117" s="144">
        <f t="shared" si="47"/>
        <v>0</v>
      </c>
      <c r="T117" s="144">
        <f t="shared" si="48"/>
        <v>0</v>
      </c>
      <c r="U117" s="169">
        <f t="shared" si="49"/>
        <v>0</v>
      </c>
      <c r="V117" s="143">
        <f t="shared" si="57"/>
        <v>0</v>
      </c>
      <c r="W117" s="144">
        <f t="shared" si="50"/>
        <v>0</v>
      </c>
      <c r="X117" s="144">
        <f t="shared" si="51"/>
        <v>0</v>
      </c>
      <c r="Y117" s="169">
        <f t="shared" si="52"/>
        <v>0</v>
      </c>
      <c r="Z117" s="151">
        <v>0</v>
      </c>
      <c r="AA117" s="151">
        <v>0</v>
      </c>
      <c r="AB117" s="151">
        <v>0</v>
      </c>
      <c r="AC117" s="151">
        <v>0</v>
      </c>
    </row>
    <row r="118" spans="1:29" s="61" customFormat="1" ht="11.25">
      <c r="A118" s="147">
        <f t="shared" si="38"/>
        <v>0</v>
      </c>
      <c r="B118" s="152">
        <f t="shared" si="39"/>
        <v>0</v>
      </c>
      <c r="C118" s="141">
        <f t="shared" si="40"/>
        <v>9</v>
      </c>
      <c r="D118" s="142">
        <v>99</v>
      </c>
      <c r="E118" s="143">
        <f t="shared" si="53"/>
        <v>0</v>
      </c>
      <c r="F118" s="144">
        <f t="shared" si="41"/>
        <v>0</v>
      </c>
      <c r="G118" s="144">
        <f t="shared" si="42"/>
        <v>0</v>
      </c>
      <c r="H118" s="169">
        <f t="shared" si="36"/>
        <v>0</v>
      </c>
      <c r="I118" s="143">
        <f t="shared" si="54"/>
        <v>0</v>
      </c>
      <c r="J118" s="144">
        <f t="shared" si="43"/>
        <v>0</v>
      </c>
      <c r="K118" s="144">
        <f t="shared" si="44"/>
        <v>0</v>
      </c>
      <c r="L118" s="169">
        <f t="shared" si="34"/>
        <v>0</v>
      </c>
      <c r="M118" s="143">
        <f t="shared" si="55"/>
        <v>0</v>
      </c>
      <c r="N118" s="144">
        <f t="shared" si="45"/>
        <v>0</v>
      </c>
      <c r="O118" s="144">
        <f t="shared" si="46"/>
        <v>0</v>
      </c>
      <c r="P118" s="169">
        <f t="shared" si="37"/>
        <v>0</v>
      </c>
      <c r="R118" s="143">
        <f t="shared" si="56"/>
        <v>0</v>
      </c>
      <c r="S118" s="144">
        <f t="shared" si="47"/>
        <v>0</v>
      </c>
      <c r="T118" s="144">
        <f t="shared" si="48"/>
        <v>0</v>
      </c>
      <c r="U118" s="169">
        <f t="shared" si="49"/>
        <v>0</v>
      </c>
      <c r="V118" s="143">
        <f t="shared" si="57"/>
        <v>0</v>
      </c>
      <c r="W118" s="144">
        <f t="shared" si="50"/>
        <v>0</v>
      </c>
      <c r="X118" s="144">
        <f t="shared" si="51"/>
        <v>0</v>
      </c>
      <c r="Y118" s="169">
        <f t="shared" si="52"/>
        <v>0</v>
      </c>
      <c r="Z118" s="151">
        <v>0</v>
      </c>
      <c r="AA118" s="151">
        <v>0</v>
      </c>
      <c r="AB118" s="151">
        <v>0</v>
      </c>
      <c r="AC118" s="151">
        <v>0</v>
      </c>
    </row>
    <row r="119" spans="1:29" s="61" customFormat="1" ht="11.25">
      <c r="A119" s="147">
        <f t="shared" si="38"/>
        <v>0</v>
      </c>
      <c r="B119" s="152">
        <f t="shared" si="39"/>
        <v>0</v>
      </c>
      <c r="C119" s="141">
        <f t="shared" si="40"/>
        <v>9</v>
      </c>
      <c r="D119" s="142">
        <v>100</v>
      </c>
      <c r="E119" s="143">
        <f t="shared" si="53"/>
        <v>0</v>
      </c>
      <c r="F119" s="144">
        <f t="shared" si="41"/>
        <v>0</v>
      </c>
      <c r="G119" s="144">
        <f t="shared" si="42"/>
        <v>0</v>
      </c>
      <c r="H119" s="169">
        <f t="shared" si="36"/>
        <v>0</v>
      </c>
      <c r="I119" s="143">
        <f t="shared" si="54"/>
        <v>0</v>
      </c>
      <c r="J119" s="144">
        <f t="shared" si="43"/>
        <v>0</v>
      </c>
      <c r="K119" s="144">
        <f t="shared" si="44"/>
        <v>0</v>
      </c>
      <c r="L119" s="169">
        <f t="shared" si="34"/>
        <v>0</v>
      </c>
      <c r="M119" s="143">
        <f t="shared" si="55"/>
        <v>0</v>
      </c>
      <c r="N119" s="144">
        <f t="shared" si="45"/>
        <v>0</v>
      </c>
      <c r="O119" s="144">
        <f t="shared" si="46"/>
        <v>0</v>
      </c>
      <c r="P119" s="169">
        <f t="shared" si="37"/>
        <v>0</v>
      </c>
      <c r="R119" s="143">
        <f t="shared" si="56"/>
        <v>0</v>
      </c>
      <c r="S119" s="144">
        <f t="shared" si="47"/>
        <v>0</v>
      </c>
      <c r="T119" s="144">
        <f t="shared" si="48"/>
        <v>0</v>
      </c>
      <c r="U119" s="169">
        <f t="shared" si="49"/>
        <v>0</v>
      </c>
      <c r="V119" s="143">
        <f t="shared" si="57"/>
        <v>0</v>
      </c>
      <c r="W119" s="144">
        <f t="shared" si="50"/>
        <v>0</v>
      </c>
      <c r="X119" s="144">
        <f t="shared" si="51"/>
        <v>0</v>
      </c>
      <c r="Y119" s="169">
        <f t="shared" si="52"/>
        <v>0</v>
      </c>
      <c r="Z119" s="151">
        <v>0</v>
      </c>
      <c r="AA119" s="151">
        <v>0</v>
      </c>
      <c r="AB119" s="151">
        <v>0</v>
      </c>
      <c r="AC119" s="151">
        <v>0</v>
      </c>
    </row>
    <row r="120" spans="1:29" s="61" customFormat="1" ht="11.25">
      <c r="A120" s="147">
        <f t="shared" si="38"/>
        <v>0</v>
      </c>
      <c r="B120" s="152">
        <f t="shared" si="39"/>
        <v>0</v>
      </c>
      <c r="C120" s="141">
        <f t="shared" si="40"/>
        <v>9</v>
      </c>
      <c r="D120" s="142">
        <v>101</v>
      </c>
      <c r="E120" s="143">
        <f t="shared" si="53"/>
        <v>0</v>
      </c>
      <c r="F120" s="144">
        <f t="shared" si="41"/>
        <v>0</v>
      </c>
      <c r="G120" s="144">
        <f t="shared" si="42"/>
        <v>0</v>
      </c>
      <c r="H120" s="169">
        <f t="shared" si="36"/>
        <v>0</v>
      </c>
      <c r="I120" s="143">
        <f t="shared" si="54"/>
        <v>0</v>
      </c>
      <c r="J120" s="144">
        <f t="shared" si="43"/>
        <v>0</v>
      </c>
      <c r="K120" s="144">
        <f t="shared" si="44"/>
        <v>0</v>
      </c>
      <c r="L120" s="169">
        <f t="shared" si="34"/>
        <v>0</v>
      </c>
      <c r="M120" s="143">
        <f t="shared" si="55"/>
        <v>0</v>
      </c>
      <c r="N120" s="144">
        <f t="shared" si="45"/>
        <v>0</v>
      </c>
      <c r="O120" s="144">
        <f t="shared" si="46"/>
        <v>0</v>
      </c>
      <c r="P120" s="169">
        <f t="shared" si="37"/>
        <v>0</v>
      </c>
      <c r="R120" s="143">
        <f t="shared" si="56"/>
        <v>0</v>
      </c>
      <c r="S120" s="144">
        <f t="shared" si="47"/>
        <v>0</v>
      </c>
      <c r="T120" s="144">
        <f t="shared" si="48"/>
        <v>0</v>
      </c>
      <c r="U120" s="169">
        <f t="shared" si="49"/>
        <v>0</v>
      </c>
      <c r="V120" s="143">
        <f t="shared" si="57"/>
        <v>0</v>
      </c>
      <c r="W120" s="144">
        <f t="shared" si="50"/>
        <v>0</v>
      </c>
      <c r="X120" s="144">
        <f t="shared" si="51"/>
        <v>0</v>
      </c>
      <c r="Y120" s="169">
        <f t="shared" si="52"/>
        <v>0</v>
      </c>
      <c r="Z120" s="151">
        <v>0</v>
      </c>
      <c r="AA120" s="151">
        <v>0</v>
      </c>
      <c r="AB120" s="151">
        <v>0</v>
      </c>
      <c r="AC120" s="151">
        <v>0</v>
      </c>
    </row>
    <row r="121" spans="1:29" s="61" customFormat="1" ht="11.25">
      <c r="A121" s="147">
        <f t="shared" si="38"/>
        <v>0</v>
      </c>
      <c r="B121" s="152">
        <f t="shared" si="39"/>
        <v>0</v>
      </c>
      <c r="C121" s="141">
        <f t="shared" si="40"/>
        <v>9</v>
      </c>
      <c r="D121" s="142">
        <v>102</v>
      </c>
      <c r="E121" s="143">
        <f t="shared" si="53"/>
        <v>0</v>
      </c>
      <c r="F121" s="144">
        <f t="shared" si="41"/>
        <v>0</v>
      </c>
      <c r="G121" s="144">
        <f t="shared" si="42"/>
        <v>0</v>
      </c>
      <c r="H121" s="169">
        <f t="shared" si="36"/>
        <v>0</v>
      </c>
      <c r="I121" s="143">
        <f t="shared" si="54"/>
        <v>0</v>
      </c>
      <c r="J121" s="144">
        <f t="shared" si="43"/>
        <v>0</v>
      </c>
      <c r="K121" s="144">
        <f t="shared" si="44"/>
        <v>0</v>
      </c>
      <c r="L121" s="169">
        <f t="shared" ref="L121:L184" si="58">IF(I121&lt;=0,0,L$13)</f>
        <v>0</v>
      </c>
      <c r="M121" s="143">
        <f t="shared" si="55"/>
        <v>0</v>
      </c>
      <c r="N121" s="144">
        <f t="shared" si="45"/>
        <v>0</v>
      </c>
      <c r="O121" s="144">
        <f t="shared" si="46"/>
        <v>0</v>
      </c>
      <c r="P121" s="169">
        <f t="shared" si="37"/>
        <v>0</v>
      </c>
      <c r="R121" s="143">
        <f t="shared" si="56"/>
        <v>0</v>
      </c>
      <c r="S121" s="144">
        <f t="shared" si="47"/>
        <v>0</v>
      </c>
      <c r="T121" s="144">
        <f t="shared" si="48"/>
        <v>0</v>
      </c>
      <c r="U121" s="169">
        <f t="shared" si="49"/>
        <v>0</v>
      </c>
      <c r="V121" s="143">
        <f t="shared" si="57"/>
        <v>0</v>
      </c>
      <c r="W121" s="144">
        <f t="shared" si="50"/>
        <v>0</v>
      </c>
      <c r="X121" s="144">
        <f t="shared" si="51"/>
        <v>0</v>
      </c>
      <c r="Y121" s="169">
        <f t="shared" si="52"/>
        <v>0</v>
      </c>
      <c r="Z121" s="151">
        <v>0</v>
      </c>
      <c r="AA121" s="151">
        <v>0</v>
      </c>
      <c r="AB121" s="151">
        <v>0</v>
      </c>
      <c r="AC121" s="151">
        <v>0</v>
      </c>
    </row>
    <row r="122" spans="1:29" s="61" customFormat="1" ht="11.25">
      <c r="A122" s="147">
        <f t="shared" si="38"/>
        <v>0</v>
      </c>
      <c r="B122" s="152">
        <f t="shared" si="39"/>
        <v>0</v>
      </c>
      <c r="C122" s="141">
        <f t="shared" si="40"/>
        <v>9</v>
      </c>
      <c r="D122" s="142">
        <v>103</v>
      </c>
      <c r="E122" s="143">
        <f t="shared" si="53"/>
        <v>0</v>
      </c>
      <c r="F122" s="144">
        <f t="shared" si="41"/>
        <v>0</v>
      </c>
      <c r="G122" s="144">
        <f t="shared" si="42"/>
        <v>0</v>
      </c>
      <c r="H122" s="169">
        <f t="shared" si="36"/>
        <v>0</v>
      </c>
      <c r="I122" s="143">
        <f t="shared" si="54"/>
        <v>0</v>
      </c>
      <c r="J122" s="144">
        <f t="shared" si="43"/>
        <v>0</v>
      </c>
      <c r="K122" s="144">
        <f t="shared" si="44"/>
        <v>0</v>
      </c>
      <c r="L122" s="169">
        <f t="shared" si="58"/>
        <v>0</v>
      </c>
      <c r="M122" s="143">
        <f t="shared" si="55"/>
        <v>0</v>
      </c>
      <c r="N122" s="144">
        <f t="shared" si="45"/>
        <v>0</v>
      </c>
      <c r="O122" s="144">
        <f t="shared" si="46"/>
        <v>0</v>
      </c>
      <c r="P122" s="169">
        <f t="shared" si="37"/>
        <v>0</v>
      </c>
      <c r="R122" s="143">
        <f t="shared" si="56"/>
        <v>0</v>
      </c>
      <c r="S122" s="144">
        <f t="shared" si="47"/>
        <v>0</v>
      </c>
      <c r="T122" s="144">
        <f t="shared" si="48"/>
        <v>0</v>
      </c>
      <c r="U122" s="169">
        <f t="shared" si="49"/>
        <v>0</v>
      </c>
      <c r="V122" s="143">
        <f t="shared" si="57"/>
        <v>0</v>
      </c>
      <c r="W122" s="144">
        <f t="shared" si="50"/>
        <v>0</v>
      </c>
      <c r="X122" s="144">
        <f t="shared" si="51"/>
        <v>0</v>
      </c>
      <c r="Y122" s="169">
        <f t="shared" si="52"/>
        <v>0</v>
      </c>
      <c r="Z122" s="151">
        <v>0</v>
      </c>
      <c r="AA122" s="151">
        <v>0</v>
      </c>
      <c r="AB122" s="151">
        <v>0</v>
      </c>
      <c r="AC122" s="151">
        <v>0</v>
      </c>
    </row>
    <row r="123" spans="1:29" s="61" customFormat="1" ht="11.25">
      <c r="A123" s="147">
        <f t="shared" si="38"/>
        <v>0</v>
      </c>
      <c r="B123" s="152">
        <f t="shared" si="39"/>
        <v>0</v>
      </c>
      <c r="C123" s="141">
        <f t="shared" si="40"/>
        <v>9</v>
      </c>
      <c r="D123" s="142">
        <v>104</v>
      </c>
      <c r="E123" s="143">
        <f t="shared" si="53"/>
        <v>0</v>
      </c>
      <c r="F123" s="144">
        <f t="shared" si="41"/>
        <v>0</v>
      </c>
      <c r="G123" s="144">
        <f t="shared" si="42"/>
        <v>0</v>
      </c>
      <c r="H123" s="169">
        <f t="shared" si="36"/>
        <v>0</v>
      </c>
      <c r="I123" s="143">
        <f t="shared" si="54"/>
        <v>0</v>
      </c>
      <c r="J123" s="144">
        <f t="shared" si="43"/>
        <v>0</v>
      </c>
      <c r="K123" s="144">
        <f t="shared" si="44"/>
        <v>0</v>
      </c>
      <c r="L123" s="169">
        <f t="shared" si="58"/>
        <v>0</v>
      </c>
      <c r="M123" s="143">
        <f t="shared" si="55"/>
        <v>0</v>
      </c>
      <c r="N123" s="144">
        <f t="shared" si="45"/>
        <v>0</v>
      </c>
      <c r="O123" s="144">
        <f t="shared" si="46"/>
        <v>0</v>
      </c>
      <c r="P123" s="169">
        <f t="shared" si="37"/>
        <v>0</v>
      </c>
      <c r="R123" s="143">
        <f t="shared" si="56"/>
        <v>0</v>
      </c>
      <c r="S123" s="144">
        <f t="shared" si="47"/>
        <v>0</v>
      </c>
      <c r="T123" s="144">
        <f t="shared" si="48"/>
        <v>0</v>
      </c>
      <c r="U123" s="169">
        <f t="shared" si="49"/>
        <v>0</v>
      </c>
      <c r="V123" s="143">
        <f t="shared" si="57"/>
        <v>0</v>
      </c>
      <c r="W123" s="144">
        <f t="shared" si="50"/>
        <v>0</v>
      </c>
      <c r="X123" s="144">
        <f t="shared" si="51"/>
        <v>0</v>
      </c>
      <c r="Y123" s="169">
        <f t="shared" si="52"/>
        <v>0</v>
      </c>
      <c r="Z123" s="151">
        <v>0</v>
      </c>
      <c r="AA123" s="151">
        <v>0</v>
      </c>
      <c r="AB123" s="151">
        <v>0</v>
      </c>
      <c r="AC123" s="151">
        <v>0</v>
      </c>
    </row>
    <row r="124" spans="1:29" s="61" customFormat="1" ht="11.25">
      <c r="A124" s="147">
        <f t="shared" si="38"/>
        <v>0</v>
      </c>
      <c r="B124" s="152">
        <f t="shared" si="39"/>
        <v>0</v>
      </c>
      <c r="C124" s="141">
        <f t="shared" si="40"/>
        <v>9</v>
      </c>
      <c r="D124" s="142">
        <v>105</v>
      </c>
      <c r="E124" s="143">
        <f t="shared" si="53"/>
        <v>0</v>
      </c>
      <c r="F124" s="144">
        <f t="shared" si="41"/>
        <v>0</v>
      </c>
      <c r="G124" s="144">
        <f t="shared" si="42"/>
        <v>0</v>
      </c>
      <c r="H124" s="169">
        <f t="shared" si="36"/>
        <v>0</v>
      </c>
      <c r="I124" s="143">
        <f t="shared" si="54"/>
        <v>0</v>
      </c>
      <c r="J124" s="144">
        <f t="shared" si="43"/>
        <v>0</v>
      </c>
      <c r="K124" s="144">
        <f t="shared" si="44"/>
        <v>0</v>
      </c>
      <c r="L124" s="169">
        <f t="shared" si="58"/>
        <v>0</v>
      </c>
      <c r="M124" s="143">
        <f t="shared" si="55"/>
        <v>0</v>
      </c>
      <c r="N124" s="144">
        <f t="shared" si="45"/>
        <v>0</v>
      </c>
      <c r="O124" s="144">
        <f t="shared" si="46"/>
        <v>0</v>
      </c>
      <c r="P124" s="169">
        <f t="shared" si="37"/>
        <v>0</v>
      </c>
      <c r="R124" s="143">
        <f t="shared" si="56"/>
        <v>0</v>
      </c>
      <c r="S124" s="144">
        <f t="shared" si="47"/>
        <v>0</v>
      </c>
      <c r="T124" s="144">
        <f t="shared" si="48"/>
        <v>0</v>
      </c>
      <c r="U124" s="169">
        <f t="shared" si="49"/>
        <v>0</v>
      </c>
      <c r="V124" s="143">
        <f t="shared" si="57"/>
        <v>0</v>
      </c>
      <c r="W124" s="144">
        <f t="shared" si="50"/>
        <v>0</v>
      </c>
      <c r="X124" s="144">
        <f t="shared" si="51"/>
        <v>0</v>
      </c>
      <c r="Y124" s="169">
        <f t="shared" si="52"/>
        <v>0</v>
      </c>
      <c r="Z124" s="151">
        <v>0</v>
      </c>
      <c r="AA124" s="151">
        <v>0</v>
      </c>
      <c r="AB124" s="151">
        <v>0</v>
      </c>
      <c r="AC124" s="151">
        <v>0</v>
      </c>
    </row>
    <row r="125" spans="1:29" s="61" customFormat="1" ht="11.25">
      <c r="A125" s="147">
        <f t="shared" si="38"/>
        <v>0</v>
      </c>
      <c r="B125" s="152">
        <f t="shared" si="39"/>
        <v>0</v>
      </c>
      <c r="C125" s="141">
        <f t="shared" si="40"/>
        <v>9</v>
      </c>
      <c r="D125" s="142">
        <v>106</v>
      </c>
      <c r="E125" s="143">
        <f t="shared" si="53"/>
        <v>0</v>
      </c>
      <c r="F125" s="144">
        <f t="shared" si="41"/>
        <v>0</v>
      </c>
      <c r="G125" s="144">
        <f t="shared" si="42"/>
        <v>0</v>
      </c>
      <c r="H125" s="169">
        <f t="shared" si="36"/>
        <v>0</v>
      </c>
      <c r="I125" s="143">
        <f t="shared" si="54"/>
        <v>0</v>
      </c>
      <c r="J125" s="144">
        <f t="shared" si="43"/>
        <v>0</v>
      </c>
      <c r="K125" s="144">
        <f t="shared" si="44"/>
        <v>0</v>
      </c>
      <c r="L125" s="169">
        <f t="shared" si="58"/>
        <v>0</v>
      </c>
      <c r="M125" s="143">
        <f t="shared" si="55"/>
        <v>0</v>
      </c>
      <c r="N125" s="144">
        <f t="shared" si="45"/>
        <v>0</v>
      </c>
      <c r="O125" s="144">
        <f t="shared" si="46"/>
        <v>0</v>
      </c>
      <c r="P125" s="169">
        <f t="shared" si="37"/>
        <v>0</v>
      </c>
      <c r="R125" s="143">
        <f t="shared" si="56"/>
        <v>0</v>
      </c>
      <c r="S125" s="144">
        <f t="shared" si="47"/>
        <v>0</v>
      </c>
      <c r="T125" s="144">
        <f t="shared" si="48"/>
        <v>0</v>
      </c>
      <c r="U125" s="169">
        <f t="shared" si="49"/>
        <v>0</v>
      </c>
      <c r="V125" s="143">
        <f t="shared" si="57"/>
        <v>0</v>
      </c>
      <c r="W125" s="144">
        <f t="shared" si="50"/>
        <v>0</v>
      </c>
      <c r="X125" s="144">
        <f t="shared" si="51"/>
        <v>0</v>
      </c>
      <c r="Y125" s="169">
        <f t="shared" si="52"/>
        <v>0</v>
      </c>
      <c r="Z125" s="151">
        <v>0</v>
      </c>
      <c r="AA125" s="151">
        <v>0</v>
      </c>
      <c r="AB125" s="151">
        <v>0</v>
      </c>
      <c r="AC125" s="151">
        <v>0</v>
      </c>
    </row>
    <row r="126" spans="1:29" s="61" customFormat="1" ht="11.25">
      <c r="A126" s="147">
        <f t="shared" si="38"/>
        <v>0</v>
      </c>
      <c r="B126" s="152">
        <f t="shared" si="39"/>
        <v>0</v>
      </c>
      <c r="C126" s="141">
        <f t="shared" si="40"/>
        <v>9</v>
      </c>
      <c r="D126" s="142">
        <v>107</v>
      </c>
      <c r="E126" s="143">
        <f t="shared" si="53"/>
        <v>0</v>
      </c>
      <c r="F126" s="144">
        <f t="shared" si="41"/>
        <v>0</v>
      </c>
      <c r="G126" s="144">
        <f t="shared" si="42"/>
        <v>0</v>
      </c>
      <c r="H126" s="169">
        <f t="shared" si="36"/>
        <v>0</v>
      </c>
      <c r="I126" s="143">
        <f t="shared" si="54"/>
        <v>0</v>
      </c>
      <c r="J126" s="144">
        <f t="shared" si="43"/>
        <v>0</v>
      </c>
      <c r="K126" s="144">
        <f t="shared" si="44"/>
        <v>0</v>
      </c>
      <c r="L126" s="169">
        <f t="shared" si="58"/>
        <v>0</v>
      </c>
      <c r="M126" s="143">
        <f t="shared" si="55"/>
        <v>0</v>
      </c>
      <c r="N126" s="144">
        <f t="shared" si="45"/>
        <v>0</v>
      </c>
      <c r="O126" s="144">
        <f t="shared" si="46"/>
        <v>0</v>
      </c>
      <c r="P126" s="169">
        <f t="shared" si="37"/>
        <v>0</v>
      </c>
      <c r="R126" s="143">
        <f t="shared" si="56"/>
        <v>0</v>
      </c>
      <c r="S126" s="144">
        <f t="shared" si="47"/>
        <v>0</v>
      </c>
      <c r="T126" s="144">
        <f t="shared" si="48"/>
        <v>0</v>
      </c>
      <c r="U126" s="169">
        <f t="shared" si="49"/>
        <v>0</v>
      </c>
      <c r="V126" s="143">
        <f t="shared" si="57"/>
        <v>0</v>
      </c>
      <c r="W126" s="144">
        <f t="shared" si="50"/>
        <v>0</v>
      </c>
      <c r="X126" s="144">
        <f t="shared" si="51"/>
        <v>0</v>
      </c>
      <c r="Y126" s="169">
        <f t="shared" si="52"/>
        <v>0</v>
      </c>
      <c r="Z126" s="151">
        <v>0</v>
      </c>
      <c r="AA126" s="151">
        <v>0</v>
      </c>
      <c r="AB126" s="151">
        <v>0</v>
      </c>
      <c r="AC126" s="151">
        <v>0</v>
      </c>
    </row>
    <row r="127" spans="1:29" s="61" customFormat="1" ht="12" thickBot="1">
      <c r="A127" s="153">
        <f t="shared" si="38"/>
        <v>0</v>
      </c>
      <c r="B127" s="154">
        <f t="shared" si="39"/>
        <v>0</v>
      </c>
      <c r="C127" s="155">
        <f t="shared" si="40"/>
        <v>9</v>
      </c>
      <c r="D127" s="156">
        <v>108</v>
      </c>
      <c r="E127" s="157">
        <f t="shared" si="53"/>
        <v>0</v>
      </c>
      <c r="F127" s="158">
        <f t="shared" si="41"/>
        <v>0</v>
      </c>
      <c r="G127" s="158">
        <f t="shared" si="42"/>
        <v>0</v>
      </c>
      <c r="H127" s="172">
        <f t="shared" si="36"/>
        <v>0</v>
      </c>
      <c r="I127" s="157">
        <f t="shared" si="54"/>
        <v>0</v>
      </c>
      <c r="J127" s="158">
        <f t="shared" si="43"/>
        <v>0</v>
      </c>
      <c r="K127" s="158">
        <f t="shared" si="44"/>
        <v>0</v>
      </c>
      <c r="L127" s="172">
        <f t="shared" si="58"/>
        <v>0</v>
      </c>
      <c r="M127" s="157">
        <f t="shared" si="55"/>
        <v>0</v>
      </c>
      <c r="N127" s="158">
        <f t="shared" si="45"/>
        <v>0</v>
      </c>
      <c r="O127" s="158">
        <f t="shared" si="46"/>
        <v>0</v>
      </c>
      <c r="P127" s="172">
        <f t="shared" si="37"/>
        <v>0</v>
      </c>
      <c r="R127" s="157">
        <f t="shared" si="56"/>
        <v>0</v>
      </c>
      <c r="S127" s="158">
        <f t="shared" si="47"/>
        <v>0</v>
      </c>
      <c r="T127" s="158">
        <f t="shared" si="48"/>
        <v>0</v>
      </c>
      <c r="U127" s="172">
        <f t="shared" si="49"/>
        <v>0</v>
      </c>
      <c r="V127" s="157">
        <f t="shared" si="57"/>
        <v>0</v>
      </c>
      <c r="W127" s="158">
        <f t="shared" si="50"/>
        <v>0</v>
      </c>
      <c r="X127" s="158">
        <f t="shared" si="51"/>
        <v>0</v>
      </c>
      <c r="Y127" s="172">
        <f t="shared" si="52"/>
        <v>0</v>
      </c>
      <c r="Z127" s="151">
        <v>0</v>
      </c>
      <c r="AA127" s="151">
        <v>0</v>
      </c>
      <c r="AB127" s="151">
        <v>0</v>
      </c>
      <c r="AC127" s="151">
        <v>0</v>
      </c>
    </row>
    <row r="128" spans="1:29" s="61" customFormat="1" ht="11.25">
      <c r="A128" s="147">
        <f t="shared" si="38"/>
        <v>0</v>
      </c>
      <c r="B128" s="152">
        <f t="shared" si="39"/>
        <v>0</v>
      </c>
      <c r="C128" s="141">
        <f t="shared" si="40"/>
        <v>10</v>
      </c>
      <c r="D128" s="142">
        <v>109</v>
      </c>
      <c r="E128" s="143">
        <f t="shared" si="53"/>
        <v>0</v>
      </c>
      <c r="F128" s="144">
        <f t="shared" si="41"/>
        <v>0</v>
      </c>
      <c r="G128" s="144">
        <f t="shared" si="42"/>
        <v>0</v>
      </c>
      <c r="H128" s="169">
        <f t="shared" si="36"/>
        <v>0</v>
      </c>
      <c r="I128" s="143">
        <f t="shared" si="54"/>
        <v>0</v>
      </c>
      <c r="J128" s="144">
        <f t="shared" si="43"/>
        <v>0</v>
      </c>
      <c r="K128" s="144">
        <f t="shared" si="44"/>
        <v>0</v>
      </c>
      <c r="L128" s="169">
        <f t="shared" si="58"/>
        <v>0</v>
      </c>
      <c r="M128" s="143">
        <f t="shared" si="55"/>
        <v>0</v>
      </c>
      <c r="N128" s="144">
        <f t="shared" si="45"/>
        <v>0</v>
      </c>
      <c r="O128" s="144">
        <f t="shared" si="46"/>
        <v>0</v>
      </c>
      <c r="P128" s="169">
        <f t="shared" si="37"/>
        <v>0</v>
      </c>
      <c r="R128" s="143">
        <f t="shared" si="56"/>
        <v>0</v>
      </c>
      <c r="S128" s="144">
        <f t="shared" si="47"/>
        <v>0</v>
      </c>
      <c r="T128" s="144">
        <f t="shared" si="48"/>
        <v>0</v>
      </c>
      <c r="U128" s="169">
        <f t="shared" si="49"/>
        <v>0</v>
      </c>
      <c r="V128" s="143">
        <f t="shared" si="57"/>
        <v>0</v>
      </c>
      <c r="W128" s="144">
        <f t="shared" si="50"/>
        <v>0</v>
      </c>
      <c r="X128" s="144">
        <f t="shared" si="51"/>
        <v>0</v>
      </c>
      <c r="Y128" s="169">
        <f t="shared" si="52"/>
        <v>0</v>
      </c>
      <c r="Z128" s="151">
        <v>0</v>
      </c>
      <c r="AA128" s="151">
        <v>0</v>
      </c>
      <c r="AB128" s="151">
        <v>0</v>
      </c>
      <c r="AC128" s="151">
        <v>0</v>
      </c>
    </row>
    <row r="129" spans="1:29" s="61" customFormat="1" ht="11.25">
      <c r="A129" s="147">
        <f t="shared" si="38"/>
        <v>0</v>
      </c>
      <c r="B129" s="152">
        <f t="shared" si="39"/>
        <v>0</v>
      </c>
      <c r="C129" s="141">
        <f t="shared" si="40"/>
        <v>10</v>
      </c>
      <c r="D129" s="142">
        <v>110</v>
      </c>
      <c r="E129" s="143">
        <f t="shared" si="53"/>
        <v>0</v>
      </c>
      <c r="F129" s="144">
        <f t="shared" si="41"/>
        <v>0</v>
      </c>
      <c r="G129" s="144">
        <f t="shared" si="42"/>
        <v>0</v>
      </c>
      <c r="H129" s="169">
        <f t="shared" si="36"/>
        <v>0</v>
      </c>
      <c r="I129" s="143">
        <f t="shared" si="54"/>
        <v>0</v>
      </c>
      <c r="J129" s="144">
        <f t="shared" si="43"/>
        <v>0</v>
      </c>
      <c r="K129" s="144">
        <f t="shared" si="44"/>
        <v>0</v>
      </c>
      <c r="L129" s="169">
        <f t="shared" si="58"/>
        <v>0</v>
      </c>
      <c r="M129" s="143">
        <f t="shared" si="55"/>
        <v>0</v>
      </c>
      <c r="N129" s="144">
        <f t="shared" si="45"/>
        <v>0</v>
      </c>
      <c r="O129" s="144">
        <f t="shared" si="46"/>
        <v>0</v>
      </c>
      <c r="P129" s="169">
        <f t="shared" si="37"/>
        <v>0</v>
      </c>
      <c r="R129" s="143">
        <f t="shared" si="56"/>
        <v>0</v>
      </c>
      <c r="S129" s="144">
        <f t="shared" si="47"/>
        <v>0</v>
      </c>
      <c r="T129" s="144">
        <f t="shared" si="48"/>
        <v>0</v>
      </c>
      <c r="U129" s="169">
        <f t="shared" si="49"/>
        <v>0</v>
      </c>
      <c r="V129" s="143">
        <f t="shared" si="57"/>
        <v>0</v>
      </c>
      <c r="W129" s="144">
        <f t="shared" si="50"/>
        <v>0</v>
      </c>
      <c r="X129" s="144">
        <f t="shared" si="51"/>
        <v>0</v>
      </c>
      <c r="Y129" s="169">
        <f t="shared" si="52"/>
        <v>0</v>
      </c>
      <c r="Z129" s="151">
        <v>0</v>
      </c>
      <c r="AA129" s="151">
        <v>0</v>
      </c>
      <c r="AB129" s="151">
        <v>0</v>
      </c>
      <c r="AC129" s="151">
        <v>0</v>
      </c>
    </row>
    <row r="130" spans="1:29" s="61" customFormat="1" ht="11.25">
      <c r="A130" s="147">
        <f t="shared" si="38"/>
        <v>0</v>
      </c>
      <c r="B130" s="152">
        <f t="shared" si="39"/>
        <v>0</v>
      </c>
      <c r="C130" s="141">
        <f t="shared" si="40"/>
        <v>10</v>
      </c>
      <c r="D130" s="142">
        <v>111</v>
      </c>
      <c r="E130" s="143">
        <f t="shared" si="53"/>
        <v>0</v>
      </c>
      <c r="F130" s="144">
        <f t="shared" si="41"/>
        <v>0</v>
      </c>
      <c r="G130" s="144">
        <f t="shared" si="42"/>
        <v>0</v>
      </c>
      <c r="H130" s="169">
        <f t="shared" si="36"/>
        <v>0</v>
      </c>
      <c r="I130" s="143">
        <f t="shared" si="54"/>
        <v>0</v>
      </c>
      <c r="J130" s="144">
        <f t="shared" si="43"/>
        <v>0</v>
      </c>
      <c r="K130" s="144">
        <f t="shared" si="44"/>
        <v>0</v>
      </c>
      <c r="L130" s="169">
        <f t="shared" si="58"/>
        <v>0</v>
      </c>
      <c r="M130" s="143">
        <f t="shared" si="55"/>
        <v>0</v>
      </c>
      <c r="N130" s="144">
        <f t="shared" si="45"/>
        <v>0</v>
      </c>
      <c r="O130" s="144">
        <f t="shared" si="46"/>
        <v>0</v>
      </c>
      <c r="P130" s="169">
        <f t="shared" si="37"/>
        <v>0</v>
      </c>
      <c r="R130" s="143">
        <f t="shared" si="56"/>
        <v>0</v>
      </c>
      <c r="S130" s="144">
        <f t="shared" si="47"/>
        <v>0</v>
      </c>
      <c r="T130" s="144">
        <f t="shared" si="48"/>
        <v>0</v>
      </c>
      <c r="U130" s="169">
        <f t="shared" si="49"/>
        <v>0</v>
      </c>
      <c r="V130" s="143">
        <f t="shared" si="57"/>
        <v>0</v>
      </c>
      <c r="W130" s="144">
        <f t="shared" si="50"/>
        <v>0</v>
      </c>
      <c r="X130" s="144">
        <f t="shared" si="51"/>
        <v>0</v>
      </c>
      <c r="Y130" s="169">
        <f t="shared" si="52"/>
        <v>0</v>
      </c>
      <c r="Z130" s="151">
        <v>0</v>
      </c>
      <c r="AA130" s="151">
        <v>0</v>
      </c>
      <c r="AB130" s="151">
        <v>0</v>
      </c>
      <c r="AC130" s="151">
        <v>0</v>
      </c>
    </row>
    <row r="131" spans="1:29" s="61" customFormat="1" ht="11.25">
      <c r="A131" s="147">
        <f t="shared" si="38"/>
        <v>0</v>
      </c>
      <c r="B131" s="152">
        <f t="shared" si="39"/>
        <v>0</v>
      </c>
      <c r="C131" s="141">
        <f t="shared" si="40"/>
        <v>10</v>
      </c>
      <c r="D131" s="142">
        <v>112</v>
      </c>
      <c r="E131" s="143">
        <f t="shared" si="53"/>
        <v>0</v>
      </c>
      <c r="F131" s="144">
        <f t="shared" si="41"/>
        <v>0</v>
      </c>
      <c r="G131" s="144">
        <f t="shared" si="42"/>
        <v>0</v>
      </c>
      <c r="H131" s="169">
        <f t="shared" si="36"/>
        <v>0</v>
      </c>
      <c r="I131" s="143">
        <f t="shared" si="54"/>
        <v>0</v>
      </c>
      <c r="J131" s="144">
        <f t="shared" si="43"/>
        <v>0</v>
      </c>
      <c r="K131" s="144">
        <f t="shared" si="44"/>
        <v>0</v>
      </c>
      <c r="L131" s="169">
        <f t="shared" si="58"/>
        <v>0</v>
      </c>
      <c r="M131" s="143">
        <f t="shared" si="55"/>
        <v>0</v>
      </c>
      <c r="N131" s="144">
        <f t="shared" si="45"/>
        <v>0</v>
      </c>
      <c r="O131" s="144">
        <f t="shared" si="46"/>
        <v>0</v>
      </c>
      <c r="P131" s="169">
        <f t="shared" si="37"/>
        <v>0</v>
      </c>
      <c r="R131" s="143">
        <f t="shared" si="56"/>
        <v>0</v>
      </c>
      <c r="S131" s="144">
        <f t="shared" si="47"/>
        <v>0</v>
      </c>
      <c r="T131" s="144">
        <f t="shared" si="48"/>
        <v>0</v>
      </c>
      <c r="U131" s="169">
        <f t="shared" si="49"/>
        <v>0</v>
      </c>
      <c r="V131" s="143">
        <f t="shared" si="57"/>
        <v>0</v>
      </c>
      <c r="W131" s="144">
        <f t="shared" si="50"/>
        <v>0</v>
      </c>
      <c r="X131" s="144">
        <f t="shared" si="51"/>
        <v>0</v>
      </c>
      <c r="Y131" s="169">
        <f t="shared" si="52"/>
        <v>0</v>
      </c>
      <c r="Z131" s="151">
        <v>0</v>
      </c>
      <c r="AA131" s="151">
        <v>0</v>
      </c>
      <c r="AB131" s="151">
        <v>0</v>
      </c>
      <c r="AC131" s="151">
        <v>0</v>
      </c>
    </row>
    <row r="132" spans="1:29" s="61" customFormat="1" ht="11.25">
      <c r="A132" s="147">
        <f t="shared" si="38"/>
        <v>0</v>
      </c>
      <c r="B132" s="152">
        <f t="shared" si="39"/>
        <v>0</v>
      </c>
      <c r="C132" s="141">
        <f t="shared" si="40"/>
        <v>10</v>
      </c>
      <c r="D132" s="142">
        <v>113</v>
      </c>
      <c r="E132" s="143">
        <f t="shared" si="53"/>
        <v>0</v>
      </c>
      <c r="F132" s="144">
        <f t="shared" si="41"/>
        <v>0</v>
      </c>
      <c r="G132" s="144">
        <f t="shared" si="42"/>
        <v>0</v>
      </c>
      <c r="H132" s="169">
        <f t="shared" si="36"/>
        <v>0</v>
      </c>
      <c r="I132" s="143">
        <f t="shared" si="54"/>
        <v>0</v>
      </c>
      <c r="J132" s="144">
        <f t="shared" si="43"/>
        <v>0</v>
      </c>
      <c r="K132" s="144">
        <f t="shared" si="44"/>
        <v>0</v>
      </c>
      <c r="L132" s="169">
        <f t="shared" si="58"/>
        <v>0</v>
      </c>
      <c r="M132" s="143">
        <f t="shared" si="55"/>
        <v>0</v>
      </c>
      <c r="N132" s="144">
        <f t="shared" si="45"/>
        <v>0</v>
      </c>
      <c r="O132" s="144">
        <f t="shared" si="46"/>
        <v>0</v>
      </c>
      <c r="P132" s="169">
        <f t="shared" si="37"/>
        <v>0</v>
      </c>
      <c r="R132" s="143">
        <f t="shared" si="56"/>
        <v>0</v>
      </c>
      <c r="S132" s="144">
        <f t="shared" si="47"/>
        <v>0</v>
      </c>
      <c r="T132" s="144">
        <f t="shared" si="48"/>
        <v>0</v>
      </c>
      <c r="U132" s="169">
        <f t="shared" si="49"/>
        <v>0</v>
      </c>
      <c r="V132" s="143">
        <f t="shared" si="57"/>
        <v>0</v>
      </c>
      <c r="W132" s="144">
        <f t="shared" si="50"/>
        <v>0</v>
      </c>
      <c r="X132" s="144">
        <f t="shared" si="51"/>
        <v>0</v>
      </c>
      <c r="Y132" s="169">
        <f t="shared" si="52"/>
        <v>0</v>
      </c>
      <c r="Z132" s="151">
        <v>0</v>
      </c>
      <c r="AA132" s="151">
        <v>0</v>
      </c>
      <c r="AB132" s="151">
        <v>0</v>
      </c>
      <c r="AC132" s="151">
        <v>0</v>
      </c>
    </row>
    <row r="133" spans="1:29" s="61" customFormat="1" ht="11.25">
      <c r="A133" s="147">
        <f t="shared" si="38"/>
        <v>0</v>
      </c>
      <c r="B133" s="152">
        <f t="shared" si="39"/>
        <v>0</v>
      </c>
      <c r="C133" s="141">
        <f t="shared" si="40"/>
        <v>10</v>
      </c>
      <c r="D133" s="142">
        <v>114</v>
      </c>
      <c r="E133" s="143">
        <f t="shared" si="53"/>
        <v>0</v>
      </c>
      <c r="F133" s="144">
        <f t="shared" si="41"/>
        <v>0</v>
      </c>
      <c r="G133" s="144">
        <f t="shared" si="42"/>
        <v>0</v>
      </c>
      <c r="H133" s="169">
        <f t="shared" ref="H133:H196" si="59">IF(E133&lt;=0,0,H$14)</f>
        <v>0</v>
      </c>
      <c r="I133" s="143">
        <f t="shared" si="54"/>
        <v>0</v>
      </c>
      <c r="J133" s="144">
        <f t="shared" si="43"/>
        <v>0</v>
      </c>
      <c r="K133" s="144">
        <f t="shared" si="44"/>
        <v>0</v>
      </c>
      <c r="L133" s="169">
        <f t="shared" si="58"/>
        <v>0</v>
      </c>
      <c r="M133" s="143">
        <f t="shared" si="55"/>
        <v>0</v>
      </c>
      <c r="N133" s="144">
        <f t="shared" si="45"/>
        <v>0</v>
      </c>
      <c r="O133" s="144">
        <f t="shared" si="46"/>
        <v>0</v>
      </c>
      <c r="P133" s="169">
        <f t="shared" ref="P133:P196" si="60">IF(M133&lt;=0,0,P$14)</f>
        <v>0</v>
      </c>
      <c r="R133" s="143">
        <f t="shared" si="56"/>
        <v>0</v>
      </c>
      <c r="S133" s="144">
        <f t="shared" si="47"/>
        <v>0</v>
      </c>
      <c r="T133" s="144">
        <f t="shared" si="48"/>
        <v>0</v>
      </c>
      <c r="U133" s="169">
        <f t="shared" si="49"/>
        <v>0</v>
      </c>
      <c r="V133" s="143">
        <f t="shared" si="57"/>
        <v>0</v>
      </c>
      <c r="W133" s="144">
        <f t="shared" si="50"/>
        <v>0</v>
      </c>
      <c r="X133" s="144">
        <f t="shared" si="51"/>
        <v>0</v>
      </c>
      <c r="Y133" s="169">
        <f t="shared" si="52"/>
        <v>0</v>
      </c>
      <c r="Z133" s="151">
        <v>0</v>
      </c>
      <c r="AA133" s="151">
        <v>0</v>
      </c>
      <c r="AB133" s="151">
        <v>0</v>
      </c>
      <c r="AC133" s="151">
        <v>0</v>
      </c>
    </row>
    <row r="134" spans="1:29" s="61" customFormat="1" ht="11.25">
      <c r="A134" s="147">
        <f t="shared" si="38"/>
        <v>0</v>
      </c>
      <c r="B134" s="152">
        <f t="shared" si="39"/>
        <v>0</v>
      </c>
      <c r="C134" s="141">
        <f t="shared" si="40"/>
        <v>10</v>
      </c>
      <c r="D134" s="142">
        <v>115</v>
      </c>
      <c r="E134" s="143">
        <f t="shared" si="53"/>
        <v>0</v>
      </c>
      <c r="F134" s="144">
        <f t="shared" si="41"/>
        <v>0</v>
      </c>
      <c r="G134" s="144">
        <f t="shared" si="42"/>
        <v>0</v>
      </c>
      <c r="H134" s="169">
        <f t="shared" si="59"/>
        <v>0</v>
      </c>
      <c r="I134" s="143">
        <f t="shared" si="54"/>
        <v>0</v>
      </c>
      <c r="J134" s="144">
        <f t="shared" si="43"/>
        <v>0</v>
      </c>
      <c r="K134" s="144">
        <f t="shared" si="44"/>
        <v>0</v>
      </c>
      <c r="L134" s="169">
        <f t="shared" si="58"/>
        <v>0</v>
      </c>
      <c r="M134" s="143">
        <f t="shared" si="55"/>
        <v>0</v>
      </c>
      <c r="N134" s="144">
        <f t="shared" si="45"/>
        <v>0</v>
      </c>
      <c r="O134" s="144">
        <f t="shared" si="46"/>
        <v>0</v>
      </c>
      <c r="P134" s="169">
        <f t="shared" si="60"/>
        <v>0</v>
      </c>
      <c r="R134" s="143">
        <f t="shared" si="56"/>
        <v>0</v>
      </c>
      <c r="S134" s="144">
        <f t="shared" si="47"/>
        <v>0</v>
      </c>
      <c r="T134" s="144">
        <f t="shared" si="48"/>
        <v>0</v>
      </c>
      <c r="U134" s="169">
        <f t="shared" si="49"/>
        <v>0</v>
      </c>
      <c r="V134" s="143">
        <f t="shared" si="57"/>
        <v>0</v>
      </c>
      <c r="W134" s="144">
        <f t="shared" si="50"/>
        <v>0</v>
      </c>
      <c r="X134" s="144">
        <f t="shared" si="51"/>
        <v>0</v>
      </c>
      <c r="Y134" s="169">
        <f t="shared" si="52"/>
        <v>0</v>
      </c>
      <c r="Z134" s="151">
        <v>0</v>
      </c>
      <c r="AA134" s="151">
        <v>0</v>
      </c>
      <c r="AB134" s="151">
        <v>0</v>
      </c>
      <c r="AC134" s="151">
        <v>0</v>
      </c>
    </row>
    <row r="135" spans="1:29" s="61" customFormat="1" ht="11.25">
      <c r="A135" s="147">
        <f t="shared" si="38"/>
        <v>0</v>
      </c>
      <c r="B135" s="152">
        <f t="shared" si="39"/>
        <v>0</v>
      </c>
      <c r="C135" s="141">
        <f t="shared" si="40"/>
        <v>10</v>
      </c>
      <c r="D135" s="142">
        <v>116</v>
      </c>
      <c r="E135" s="143">
        <f t="shared" si="53"/>
        <v>0</v>
      </c>
      <c r="F135" s="144">
        <f t="shared" si="41"/>
        <v>0</v>
      </c>
      <c r="G135" s="144">
        <f t="shared" si="42"/>
        <v>0</v>
      </c>
      <c r="H135" s="169">
        <f t="shared" si="59"/>
        <v>0</v>
      </c>
      <c r="I135" s="143">
        <f t="shared" si="54"/>
        <v>0</v>
      </c>
      <c r="J135" s="144">
        <f t="shared" si="43"/>
        <v>0</v>
      </c>
      <c r="K135" s="144">
        <f t="shared" si="44"/>
        <v>0</v>
      </c>
      <c r="L135" s="169">
        <f t="shared" si="58"/>
        <v>0</v>
      </c>
      <c r="M135" s="143">
        <f t="shared" si="55"/>
        <v>0</v>
      </c>
      <c r="N135" s="144">
        <f t="shared" si="45"/>
        <v>0</v>
      </c>
      <c r="O135" s="144">
        <f t="shared" si="46"/>
        <v>0</v>
      </c>
      <c r="P135" s="169">
        <f t="shared" si="60"/>
        <v>0</v>
      </c>
      <c r="R135" s="143">
        <f t="shared" si="56"/>
        <v>0</v>
      </c>
      <c r="S135" s="144">
        <f t="shared" si="47"/>
        <v>0</v>
      </c>
      <c r="T135" s="144">
        <f t="shared" si="48"/>
        <v>0</v>
      </c>
      <c r="U135" s="169">
        <f t="shared" si="49"/>
        <v>0</v>
      </c>
      <c r="V135" s="143">
        <f t="shared" si="57"/>
        <v>0</v>
      </c>
      <c r="W135" s="144">
        <f t="shared" si="50"/>
        <v>0</v>
      </c>
      <c r="X135" s="144">
        <f t="shared" si="51"/>
        <v>0</v>
      </c>
      <c r="Y135" s="169">
        <f t="shared" si="52"/>
        <v>0</v>
      </c>
      <c r="Z135" s="151">
        <v>0</v>
      </c>
      <c r="AA135" s="151">
        <v>0</v>
      </c>
      <c r="AB135" s="151">
        <v>0</v>
      </c>
      <c r="AC135" s="151">
        <v>0</v>
      </c>
    </row>
    <row r="136" spans="1:29" s="61" customFormat="1" ht="11.25">
      <c r="A136" s="147">
        <f t="shared" si="38"/>
        <v>0</v>
      </c>
      <c r="B136" s="152">
        <f t="shared" si="39"/>
        <v>0</v>
      </c>
      <c r="C136" s="141">
        <f t="shared" si="40"/>
        <v>10</v>
      </c>
      <c r="D136" s="142">
        <v>117</v>
      </c>
      <c r="E136" s="143">
        <f t="shared" si="53"/>
        <v>0</v>
      </c>
      <c r="F136" s="144">
        <f t="shared" si="41"/>
        <v>0</v>
      </c>
      <c r="G136" s="144">
        <f t="shared" si="42"/>
        <v>0</v>
      </c>
      <c r="H136" s="169">
        <f t="shared" si="59"/>
        <v>0</v>
      </c>
      <c r="I136" s="143">
        <f t="shared" si="54"/>
        <v>0</v>
      </c>
      <c r="J136" s="144">
        <f t="shared" si="43"/>
        <v>0</v>
      </c>
      <c r="K136" s="144">
        <f t="shared" si="44"/>
        <v>0</v>
      </c>
      <c r="L136" s="169">
        <f t="shared" si="58"/>
        <v>0</v>
      </c>
      <c r="M136" s="143">
        <f t="shared" si="55"/>
        <v>0</v>
      </c>
      <c r="N136" s="144">
        <f t="shared" si="45"/>
        <v>0</v>
      </c>
      <c r="O136" s="144">
        <f t="shared" si="46"/>
        <v>0</v>
      </c>
      <c r="P136" s="169">
        <f t="shared" si="60"/>
        <v>0</v>
      </c>
      <c r="R136" s="143">
        <f t="shared" si="56"/>
        <v>0</v>
      </c>
      <c r="S136" s="144">
        <f t="shared" si="47"/>
        <v>0</v>
      </c>
      <c r="T136" s="144">
        <f t="shared" si="48"/>
        <v>0</v>
      </c>
      <c r="U136" s="169">
        <f t="shared" si="49"/>
        <v>0</v>
      </c>
      <c r="V136" s="143">
        <f t="shared" si="57"/>
        <v>0</v>
      </c>
      <c r="W136" s="144">
        <f t="shared" si="50"/>
        <v>0</v>
      </c>
      <c r="X136" s="144">
        <f t="shared" si="51"/>
        <v>0</v>
      </c>
      <c r="Y136" s="169">
        <f t="shared" si="52"/>
        <v>0</v>
      </c>
      <c r="Z136" s="151">
        <v>0</v>
      </c>
      <c r="AA136" s="151">
        <v>0</v>
      </c>
      <c r="AB136" s="151">
        <v>0</v>
      </c>
      <c r="AC136" s="151">
        <v>0</v>
      </c>
    </row>
    <row r="137" spans="1:29" s="61" customFormat="1" ht="11.25">
      <c r="A137" s="147">
        <f t="shared" si="38"/>
        <v>0</v>
      </c>
      <c r="B137" s="152">
        <f t="shared" si="39"/>
        <v>0</v>
      </c>
      <c r="C137" s="141">
        <f t="shared" si="40"/>
        <v>10</v>
      </c>
      <c r="D137" s="142">
        <v>118</v>
      </c>
      <c r="E137" s="143">
        <f t="shared" si="53"/>
        <v>0</v>
      </c>
      <c r="F137" s="144">
        <f t="shared" si="41"/>
        <v>0</v>
      </c>
      <c r="G137" s="144">
        <f t="shared" si="42"/>
        <v>0</v>
      </c>
      <c r="H137" s="169">
        <f t="shared" si="59"/>
        <v>0</v>
      </c>
      <c r="I137" s="143">
        <f t="shared" si="54"/>
        <v>0</v>
      </c>
      <c r="J137" s="144">
        <f t="shared" si="43"/>
        <v>0</v>
      </c>
      <c r="K137" s="144">
        <f t="shared" si="44"/>
        <v>0</v>
      </c>
      <c r="L137" s="169">
        <f t="shared" si="58"/>
        <v>0</v>
      </c>
      <c r="M137" s="143">
        <f t="shared" si="55"/>
        <v>0</v>
      </c>
      <c r="N137" s="144">
        <f t="shared" si="45"/>
        <v>0</v>
      </c>
      <c r="O137" s="144">
        <f t="shared" si="46"/>
        <v>0</v>
      </c>
      <c r="P137" s="169">
        <f t="shared" si="60"/>
        <v>0</v>
      </c>
      <c r="R137" s="143">
        <f t="shared" si="56"/>
        <v>0</v>
      </c>
      <c r="S137" s="144">
        <f t="shared" si="47"/>
        <v>0</v>
      </c>
      <c r="T137" s="144">
        <f t="shared" si="48"/>
        <v>0</v>
      </c>
      <c r="U137" s="169">
        <f t="shared" si="49"/>
        <v>0</v>
      </c>
      <c r="V137" s="143">
        <f t="shared" si="57"/>
        <v>0</v>
      </c>
      <c r="W137" s="144">
        <f t="shared" si="50"/>
        <v>0</v>
      </c>
      <c r="X137" s="144">
        <f t="shared" si="51"/>
        <v>0</v>
      </c>
      <c r="Y137" s="169">
        <f t="shared" si="52"/>
        <v>0</v>
      </c>
      <c r="Z137" s="151">
        <v>0</v>
      </c>
      <c r="AA137" s="151">
        <v>0</v>
      </c>
      <c r="AB137" s="151">
        <v>0</v>
      </c>
      <c r="AC137" s="151">
        <v>0</v>
      </c>
    </row>
    <row r="138" spans="1:29" s="61" customFormat="1" ht="11.25">
      <c r="A138" s="147">
        <f t="shared" si="38"/>
        <v>0</v>
      </c>
      <c r="B138" s="152">
        <f t="shared" si="39"/>
        <v>0</v>
      </c>
      <c r="C138" s="141">
        <f t="shared" si="40"/>
        <v>10</v>
      </c>
      <c r="D138" s="142">
        <v>119</v>
      </c>
      <c r="E138" s="143">
        <f t="shared" si="53"/>
        <v>0</v>
      </c>
      <c r="F138" s="144">
        <f t="shared" si="41"/>
        <v>0</v>
      </c>
      <c r="G138" s="144">
        <f t="shared" si="42"/>
        <v>0</v>
      </c>
      <c r="H138" s="169">
        <f t="shared" si="59"/>
        <v>0</v>
      </c>
      <c r="I138" s="143">
        <f t="shared" si="54"/>
        <v>0</v>
      </c>
      <c r="J138" s="144">
        <f t="shared" si="43"/>
        <v>0</v>
      </c>
      <c r="K138" s="144">
        <f t="shared" si="44"/>
        <v>0</v>
      </c>
      <c r="L138" s="169">
        <f t="shared" si="58"/>
        <v>0</v>
      </c>
      <c r="M138" s="143">
        <f t="shared" si="55"/>
        <v>0</v>
      </c>
      <c r="N138" s="144">
        <f t="shared" si="45"/>
        <v>0</v>
      </c>
      <c r="O138" s="144">
        <f t="shared" si="46"/>
        <v>0</v>
      </c>
      <c r="P138" s="169">
        <f t="shared" si="60"/>
        <v>0</v>
      </c>
      <c r="R138" s="143">
        <f t="shared" si="56"/>
        <v>0</v>
      </c>
      <c r="S138" s="144">
        <f t="shared" si="47"/>
        <v>0</v>
      </c>
      <c r="T138" s="144">
        <f t="shared" si="48"/>
        <v>0</v>
      </c>
      <c r="U138" s="169">
        <f t="shared" si="49"/>
        <v>0</v>
      </c>
      <c r="V138" s="143">
        <f t="shared" si="57"/>
        <v>0</v>
      </c>
      <c r="W138" s="144">
        <f t="shared" si="50"/>
        <v>0</v>
      </c>
      <c r="X138" s="144">
        <f t="shared" si="51"/>
        <v>0</v>
      </c>
      <c r="Y138" s="169">
        <f t="shared" si="52"/>
        <v>0</v>
      </c>
      <c r="Z138" s="151">
        <v>0</v>
      </c>
      <c r="AA138" s="151">
        <v>0</v>
      </c>
      <c r="AB138" s="151">
        <v>0</v>
      </c>
      <c r="AC138" s="151">
        <v>0</v>
      </c>
    </row>
    <row r="139" spans="1:29" s="61" customFormat="1" ht="12" thickBot="1">
      <c r="A139" s="153">
        <f t="shared" si="38"/>
        <v>0</v>
      </c>
      <c r="B139" s="154">
        <f t="shared" si="39"/>
        <v>0</v>
      </c>
      <c r="C139" s="155">
        <f t="shared" si="40"/>
        <v>10</v>
      </c>
      <c r="D139" s="156">
        <v>120</v>
      </c>
      <c r="E139" s="157">
        <f t="shared" si="53"/>
        <v>0</v>
      </c>
      <c r="F139" s="158">
        <f t="shared" si="41"/>
        <v>0</v>
      </c>
      <c r="G139" s="158">
        <f t="shared" si="42"/>
        <v>0</v>
      </c>
      <c r="H139" s="172">
        <f t="shared" si="59"/>
        <v>0</v>
      </c>
      <c r="I139" s="157">
        <f t="shared" si="54"/>
        <v>0</v>
      </c>
      <c r="J139" s="158">
        <f t="shared" si="43"/>
        <v>0</v>
      </c>
      <c r="K139" s="158">
        <f t="shared" si="44"/>
        <v>0</v>
      </c>
      <c r="L139" s="172">
        <f t="shared" si="58"/>
        <v>0</v>
      </c>
      <c r="M139" s="157">
        <f t="shared" si="55"/>
        <v>0</v>
      </c>
      <c r="N139" s="158">
        <f t="shared" si="45"/>
        <v>0</v>
      </c>
      <c r="O139" s="158">
        <f t="shared" si="46"/>
        <v>0</v>
      </c>
      <c r="P139" s="172">
        <f t="shared" si="60"/>
        <v>0</v>
      </c>
      <c r="R139" s="157">
        <f t="shared" si="56"/>
        <v>0</v>
      </c>
      <c r="S139" s="158">
        <f t="shared" si="47"/>
        <v>0</v>
      </c>
      <c r="T139" s="158">
        <f t="shared" si="48"/>
        <v>0</v>
      </c>
      <c r="U139" s="172">
        <f t="shared" si="49"/>
        <v>0</v>
      </c>
      <c r="V139" s="157">
        <f t="shared" si="57"/>
        <v>0</v>
      </c>
      <c r="W139" s="158">
        <f t="shared" si="50"/>
        <v>0</v>
      </c>
      <c r="X139" s="158">
        <f t="shared" si="51"/>
        <v>0</v>
      </c>
      <c r="Y139" s="172">
        <f t="shared" si="52"/>
        <v>0</v>
      </c>
      <c r="Z139" s="151">
        <v>0</v>
      </c>
      <c r="AA139" s="151">
        <v>0</v>
      </c>
      <c r="AB139" s="151">
        <v>0</v>
      </c>
      <c r="AC139" s="151">
        <v>0</v>
      </c>
    </row>
    <row r="140" spans="1:29" s="61" customFormat="1" ht="11.25">
      <c r="A140" s="147">
        <f t="shared" si="38"/>
        <v>0</v>
      </c>
      <c r="B140" s="152">
        <f t="shared" si="39"/>
        <v>0</v>
      </c>
      <c r="C140" s="141">
        <f t="shared" si="40"/>
        <v>11</v>
      </c>
      <c r="D140" s="142">
        <v>121</v>
      </c>
      <c r="E140" s="143">
        <f t="shared" si="53"/>
        <v>0</v>
      </c>
      <c r="F140" s="144">
        <f t="shared" si="41"/>
        <v>0</v>
      </c>
      <c r="G140" s="144">
        <f t="shared" si="42"/>
        <v>0</v>
      </c>
      <c r="H140" s="169">
        <f t="shared" si="59"/>
        <v>0</v>
      </c>
      <c r="I140" s="143">
        <f t="shared" si="54"/>
        <v>0</v>
      </c>
      <c r="J140" s="144">
        <f t="shared" si="43"/>
        <v>0</v>
      </c>
      <c r="K140" s="144">
        <f t="shared" si="44"/>
        <v>0</v>
      </c>
      <c r="L140" s="169">
        <f t="shared" si="58"/>
        <v>0</v>
      </c>
      <c r="M140" s="143">
        <f t="shared" si="55"/>
        <v>0</v>
      </c>
      <c r="N140" s="144">
        <f t="shared" si="45"/>
        <v>0</v>
      </c>
      <c r="O140" s="144">
        <f t="shared" si="46"/>
        <v>0</v>
      </c>
      <c r="P140" s="169">
        <f t="shared" si="60"/>
        <v>0</v>
      </c>
      <c r="R140" s="143">
        <f t="shared" si="56"/>
        <v>0</v>
      </c>
      <c r="S140" s="144">
        <f t="shared" si="47"/>
        <v>0</v>
      </c>
      <c r="T140" s="144">
        <f t="shared" si="48"/>
        <v>0</v>
      </c>
      <c r="U140" s="169">
        <f t="shared" si="49"/>
        <v>0</v>
      </c>
      <c r="V140" s="143">
        <f t="shared" si="57"/>
        <v>0</v>
      </c>
      <c r="W140" s="144">
        <f t="shared" si="50"/>
        <v>0</v>
      </c>
      <c r="X140" s="144">
        <f t="shared" si="51"/>
        <v>0</v>
      </c>
      <c r="Y140" s="169">
        <f t="shared" si="52"/>
        <v>0</v>
      </c>
      <c r="Z140" s="151">
        <v>0</v>
      </c>
      <c r="AA140" s="151">
        <v>0</v>
      </c>
      <c r="AB140" s="151">
        <v>0</v>
      </c>
      <c r="AC140" s="151">
        <v>0</v>
      </c>
    </row>
    <row r="141" spans="1:29" s="61" customFormat="1" ht="11.25">
      <c r="A141" s="147">
        <f t="shared" si="38"/>
        <v>0</v>
      </c>
      <c r="B141" s="152">
        <f t="shared" si="39"/>
        <v>0</v>
      </c>
      <c r="C141" s="141">
        <f t="shared" si="40"/>
        <v>11</v>
      </c>
      <c r="D141" s="142">
        <v>122</v>
      </c>
      <c r="E141" s="143">
        <f t="shared" si="53"/>
        <v>0</v>
      </c>
      <c r="F141" s="144">
        <f t="shared" si="41"/>
        <v>0</v>
      </c>
      <c r="G141" s="144">
        <f t="shared" si="42"/>
        <v>0</v>
      </c>
      <c r="H141" s="169">
        <f t="shared" si="59"/>
        <v>0</v>
      </c>
      <c r="I141" s="143">
        <f t="shared" si="54"/>
        <v>0</v>
      </c>
      <c r="J141" s="144">
        <f t="shared" si="43"/>
        <v>0</v>
      </c>
      <c r="K141" s="144">
        <f t="shared" si="44"/>
        <v>0</v>
      </c>
      <c r="L141" s="169">
        <f t="shared" si="58"/>
        <v>0</v>
      </c>
      <c r="M141" s="143">
        <f t="shared" si="55"/>
        <v>0</v>
      </c>
      <c r="N141" s="144">
        <f t="shared" si="45"/>
        <v>0</v>
      </c>
      <c r="O141" s="144">
        <f t="shared" si="46"/>
        <v>0</v>
      </c>
      <c r="P141" s="169">
        <f t="shared" si="60"/>
        <v>0</v>
      </c>
      <c r="R141" s="143">
        <f t="shared" si="56"/>
        <v>0</v>
      </c>
      <c r="S141" s="144">
        <f t="shared" si="47"/>
        <v>0</v>
      </c>
      <c r="T141" s="144">
        <f t="shared" si="48"/>
        <v>0</v>
      </c>
      <c r="U141" s="169">
        <f t="shared" si="49"/>
        <v>0</v>
      </c>
      <c r="V141" s="143">
        <f t="shared" si="57"/>
        <v>0</v>
      </c>
      <c r="W141" s="144">
        <f t="shared" si="50"/>
        <v>0</v>
      </c>
      <c r="X141" s="144">
        <f t="shared" si="51"/>
        <v>0</v>
      </c>
      <c r="Y141" s="169">
        <f t="shared" si="52"/>
        <v>0</v>
      </c>
      <c r="Z141" s="151">
        <v>0</v>
      </c>
      <c r="AA141" s="151">
        <v>0</v>
      </c>
      <c r="AB141" s="151">
        <v>0</v>
      </c>
      <c r="AC141" s="151">
        <v>0</v>
      </c>
    </row>
    <row r="142" spans="1:29" s="61" customFormat="1" ht="11.25">
      <c r="A142" s="147">
        <f t="shared" si="38"/>
        <v>0</v>
      </c>
      <c r="B142" s="152">
        <f t="shared" si="39"/>
        <v>0</v>
      </c>
      <c r="C142" s="141">
        <f t="shared" si="40"/>
        <v>11</v>
      </c>
      <c r="D142" s="142">
        <v>123</v>
      </c>
      <c r="E142" s="143">
        <f t="shared" si="53"/>
        <v>0</v>
      </c>
      <c r="F142" s="144">
        <f t="shared" si="41"/>
        <v>0</v>
      </c>
      <c r="G142" s="144">
        <f t="shared" si="42"/>
        <v>0</v>
      </c>
      <c r="H142" s="169">
        <f t="shared" si="59"/>
        <v>0</v>
      </c>
      <c r="I142" s="143">
        <f t="shared" si="54"/>
        <v>0</v>
      </c>
      <c r="J142" s="144">
        <f t="shared" si="43"/>
        <v>0</v>
      </c>
      <c r="K142" s="144">
        <f t="shared" si="44"/>
        <v>0</v>
      </c>
      <c r="L142" s="169">
        <f t="shared" si="58"/>
        <v>0</v>
      </c>
      <c r="M142" s="143">
        <f t="shared" si="55"/>
        <v>0</v>
      </c>
      <c r="N142" s="144">
        <f t="shared" si="45"/>
        <v>0</v>
      </c>
      <c r="O142" s="144">
        <f t="shared" si="46"/>
        <v>0</v>
      </c>
      <c r="P142" s="169">
        <f t="shared" si="60"/>
        <v>0</v>
      </c>
      <c r="R142" s="143">
        <f t="shared" si="56"/>
        <v>0</v>
      </c>
      <c r="S142" s="144">
        <f t="shared" si="47"/>
        <v>0</v>
      </c>
      <c r="T142" s="144">
        <f t="shared" si="48"/>
        <v>0</v>
      </c>
      <c r="U142" s="169">
        <f t="shared" si="49"/>
        <v>0</v>
      </c>
      <c r="V142" s="143">
        <f t="shared" si="57"/>
        <v>0</v>
      </c>
      <c r="W142" s="144">
        <f t="shared" si="50"/>
        <v>0</v>
      </c>
      <c r="X142" s="144">
        <f t="shared" si="51"/>
        <v>0</v>
      </c>
      <c r="Y142" s="169">
        <f t="shared" si="52"/>
        <v>0</v>
      </c>
      <c r="Z142" s="151">
        <v>0</v>
      </c>
      <c r="AA142" s="151">
        <v>0</v>
      </c>
      <c r="AB142" s="151">
        <v>0</v>
      </c>
      <c r="AC142" s="151">
        <v>0</v>
      </c>
    </row>
    <row r="143" spans="1:29" s="61" customFormat="1" ht="11.25">
      <c r="A143" s="147">
        <f t="shared" si="38"/>
        <v>0</v>
      </c>
      <c r="B143" s="152">
        <f t="shared" si="39"/>
        <v>0</v>
      </c>
      <c r="C143" s="141">
        <f t="shared" si="40"/>
        <v>11</v>
      </c>
      <c r="D143" s="142">
        <v>124</v>
      </c>
      <c r="E143" s="143">
        <f t="shared" si="53"/>
        <v>0</v>
      </c>
      <c r="F143" s="144">
        <f t="shared" si="41"/>
        <v>0</v>
      </c>
      <c r="G143" s="144">
        <f t="shared" si="42"/>
        <v>0</v>
      </c>
      <c r="H143" s="169">
        <f t="shared" si="59"/>
        <v>0</v>
      </c>
      <c r="I143" s="143">
        <f t="shared" si="54"/>
        <v>0</v>
      </c>
      <c r="J143" s="144">
        <f t="shared" si="43"/>
        <v>0</v>
      </c>
      <c r="K143" s="144">
        <f t="shared" si="44"/>
        <v>0</v>
      </c>
      <c r="L143" s="169">
        <f t="shared" si="58"/>
        <v>0</v>
      </c>
      <c r="M143" s="143">
        <f t="shared" si="55"/>
        <v>0</v>
      </c>
      <c r="N143" s="144">
        <f t="shared" si="45"/>
        <v>0</v>
      </c>
      <c r="O143" s="144">
        <f t="shared" si="46"/>
        <v>0</v>
      </c>
      <c r="P143" s="169">
        <f t="shared" si="60"/>
        <v>0</v>
      </c>
      <c r="R143" s="143">
        <f t="shared" si="56"/>
        <v>0</v>
      </c>
      <c r="S143" s="144">
        <f t="shared" si="47"/>
        <v>0</v>
      </c>
      <c r="T143" s="144">
        <f t="shared" si="48"/>
        <v>0</v>
      </c>
      <c r="U143" s="169">
        <f t="shared" si="49"/>
        <v>0</v>
      </c>
      <c r="V143" s="143">
        <f t="shared" si="57"/>
        <v>0</v>
      </c>
      <c r="W143" s="144">
        <f t="shared" si="50"/>
        <v>0</v>
      </c>
      <c r="X143" s="144">
        <f t="shared" si="51"/>
        <v>0</v>
      </c>
      <c r="Y143" s="169">
        <f t="shared" si="52"/>
        <v>0</v>
      </c>
      <c r="Z143" s="151">
        <v>0</v>
      </c>
      <c r="AA143" s="151">
        <v>0</v>
      </c>
      <c r="AB143" s="151">
        <v>0</v>
      </c>
      <c r="AC143" s="151">
        <v>0</v>
      </c>
    </row>
    <row r="144" spans="1:29" s="61" customFormat="1" ht="11.25">
      <c r="A144" s="147">
        <f t="shared" si="38"/>
        <v>0</v>
      </c>
      <c r="B144" s="152">
        <f t="shared" si="39"/>
        <v>0</v>
      </c>
      <c r="C144" s="141">
        <f t="shared" si="40"/>
        <v>11</v>
      </c>
      <c r="D144" s="142">
        <v>125</v>
      </c>
      <c r="E144" s="143">
        <f t="shared" si="53"/>
        <v>0</v>
      </c>
      <c r="F144" s="144">
        <f t="shared" si="41"/>
        <v>0</v>
      </c>
      <c r="G144" s="144">
        <f t="shared" si="42"/>
        <v>0</v>
      </c>
      <c r="H144" s="169">
        <f t="shared" si="59"/>
        <v>0</v>
      </c>
      <c r="I144" s="143">
        <f t="shared" si="54"/>
        <v>0</v>
      </c>
      <c r="J144" s="144">
        <f t="shared" si="43"/>
        <v>0</v>
      </c>
      <c r="K144" s="144">
        <f t="shared" si="44"/>
        <v>0</v>
      </c>
      <c r="L144" s="169">
        <f t="shared" si="58"/>
        <v>0</v>
      </c>
      <c r="M144" s="143">
        <f t="shared" si="55"/>
        <v>0</v>
      </c>
      <c r="N144" s="144">
        <f t="shared" si="45"/>
        <v>0</v>
      </c>
      <c r="O144" s="144">
        <f t="shared" si="46"/>
        <v>0</v>
      </c>
      <c r="P144" s="169">
        <f t="shared" si="60"/>
        <v>0</v>
      </c>
      <c r="R144" s="143">
        <f t="shared" si="56"/>
        <v>0</v>
      </c>
      <c r="S144" s="144">
        <f t="shared" si="47"/>
        <v>0</v>
      </c>
      <c r="T144" s="144">
        <f t="shared" si="48"/>
        <v>0</v>
      </c>
      <c r="U144" s="169">
        <f t="shared" si="49"/>
        <v>0</v>
      </c>
      <c r="V144" s="143">
        <f t="shared" si="57"/>
        <v>0</v>
      </c>
      <c r="W144" s="144">
        <f t="shared" si="50"/>
        <v>0</v>
      </c>
      <c r="X144" s="144">
        <f t="shared" si="51"/>
        <v>0</v>
      </c>
      <c r="Y144" s="169">
        <f t="shared" si="52"/>
        <v>0</v>
      </c>
      <c r="Z144" s="151">
        <v>0</v>
      </c>
      <c r="AA144" s="151">
        <v>0</v>
      </c>
      <c r="AB144" s="151">
        <v>0</v>
      </c>
      <c r="AC144" s="151">
        <v>0</v>
      </c>
    </row>
    <row r="145" spans="1:29" s="61" customFormat="1" ht="11.25">
      <c r="A145" s="147">
        <f t="shared" si="38"/>
        <v>0</v>
      </c>
      <c r="B145" s="152">
        <f t="shared" si="39"/>
        <v>0</v>
      </c>
      <c r="C145" s="141">
        <f t="shared" si="40"/>
        <v>11</v>
      </c>
      <c r="D145" s="142">
        <v>126</v>
      </c>
      <c r="E145" s="143">
        <f t="shared" si="53"/>
        <v>0</v>
      </c>
      <c r="F145" s="144">
        <f t="shared" si="41"/>
        <v>0</v>
      </c>
      <c r="G145" s="144">
        <f t="shared" si="42"/>
        <v>0</v>
      </c>
      <c r="H145" s="169">
        <f t="shared" si="59"/>
        <v>0</v>
      </c>
      <c r="I145" s="143">
        <f t="shared" si="54"/>
        <v>0</v>
      </c>
      <c r="J145" s="144">
        <f t="shared" si="43"/>
        <v>0</v>
      </c>
      <c r="K145" s="144">
        <f t="shared" si="44"/>
        <v>0</v>
      </c>
      <c r="L145" s="169">
        <f t="shared" si="58"/>
        <v>0</v>
      </c>
      <c r="M145" s="143">
        <f t="shared" si="55"/>
        <v>0</v>
      </c>
      <c r="N145" s="144">
        <f t="shared" si="45"/>
        <v>0</v>
      </c>
      <c r="O145" s="144">
        <f t="shared" si="46"/>
        <v>0</v>
      </c>
      <c r="P145" s="169">
        <f t="shared" si="60"/>
        <v>0</v>
      </c>
      <c r="R145" s="143">
        <f t="shared" si="56"/>
        <v>0</v>
      </c>
      <c r="S145" s="144">
        <f t="shared" si="47"/>
        <v>0</v>
      </c>
      <c r="T145" s="144">
        <f t="shared" si="48"/>
        <v>0</v>
      </c>
      <c r="U145" s="169">
        <f t="shared" si="49"/>
        <v>0</v>
      </c>
      <c r="V145" s="143">
        <f t="shared" si="57"/>
        <v>0</v>
      </c>
      <c r="W145" s="144">
        <f t="shared" si="50"/>
        <v>0</v>
      </c>
      <c r="X145" s="144">
        <f t="shared" si="51"/>
        <v>0</v>
      </c>
      <c r="Y145" s="169">
        <f t="shared" si="52"/>
        <v>0</v>
      </c>
      <c r="Z145" s="151">
        <v>0</v>
      </c>
      <c r="AA145" s="151">
        <v>0</v>
      </c>
      <c r="AB145" s="151">
        <v>0</v>
      </c>
      <c r="AC145" s="151">
        <v>0</v>
      </c>
    </row>
    <row r="146" spans="1:29" s="61" customFormat="1" ht="11.25">
      <c r="A146" s="147">
        <f t="shared" si="38"/>
        <v>0</v>
      </c>
      <c r="B146" s="152">
        <f t="shared" si="39"/>
        <v>0</v>
      </c>
      <c r="C146" s="141">
        <f t="shared" si="40"/>
        <v>11</v>
      </c>
      <c r="D146" s="142">
        <v>127</v>
      </c>
      <c r="E146" s="143">
        <f t="shared" si="53"/>
        <v>0</v>
      </c>
      <c r="F146" s="144">
        <f t="shared" si="41"/>
        <v>0</v>
      </c>
      <c r="G146" s="144">
        <f t="shared" si="42"/>
        <v>0</v>
      </c>
      <c r="H146" s="169">
        <f t="shared" si="59"/>
        <v>0</v>
      </c>
      <c r="I146" s="143">
        <f t="shared" si="54"/>
        <v>0</v>
      </c>
      <c r="J146" s="144">
        <f t="shared" si="43"/>
        <v>0</v>
      </c>
      <c r="K146" s="144">
        <f t="shared" si="44"/>
        <v>0</v>
      </c>
      <c r="L146" s="169">
        <f t="shared" si="58"/>
        <v>0</v>
      </c>
      <c r="M146" s="143">
        <f t="shared" si="55"/>
        <v>0</v>
      </c>
      <c r="N146" s="144">
        <f t="shared" si="45"/>
        <v>0</v>
      </c>
      <c r="O146" s="144">
        <f t="shared" si="46"/>
        <v>0</v>
      </c>
      <c r="P146" s="169">
        <f t="shared" si="60"/>
        <v>0</v>
      </c>
      <c r="R146" s="143">
        <f t="shared" si="56"/>
        <v>0</v>
      </c>
      <c r="S146" s="144">
        <f t="shared" si="47"/>
        <v>0</v>
      </c>
      <c r="T146" s="144">
        <f t="shared" si="48"/>
        <v>0</v>
      </c>
      <c r="U146" s="169">
        <f t="shared" si="49"/>
        <v>0</v>
      </c>
      <c r="V146" s="143">
        <f t="shared" si="57"/>
        <v>0</v>
      </c>
      <c r="W146" s="144">
        <f t="shared" si="50"/>
        <v>0</v>
      </c>
      <c r="X146" s="144">
        <f t="shared" si="51"/>
        <v>0</v>
      </c>
      <c r="Y146" s="169">
        <f t="shared" si="52"/>
        <v>0</v>
      </c>
      <c r="Z146" s="151">
        <v>0</v>
      </c>
      <c r="AA146" s="151">
        <v>0</v>
      </c>
      <c r="AB146" s="151">
        <v>0</v>
      </c>
      <c r="AC146" s="151">
        <v>0</v>
      </c>
    </row>
    <row r="147" spans="1:29" s="61" customFormat="1" ht="11.25">
      <c r="A147" s="147">
        <f t="shared" si="38"/>
        <v>0</v>
      </c>
      <c r="B147" s="152">
        <f t="shared" si="39"/>
        <v>0</v>
      </c>
      <c r="C147" s="141">
        <f t="shared" si="40"/>
        <v>11</v>
      </c>
      <c r="D147" s="142">
        <v>128</v>
      </c>
      <c r="E147" s="143">
        <f t="shared" si="53"/>
        <v>0</v>
      </c>
      <c r="F147" s="144">
        <f t="shared" si="41"/>
        <v>0</v>
      </c>
      <c r="G147" s="144">
        <f t="shared" si="42"/>
        <v>0</v>
      </c>
      <c r="H147" s="169">
        <f t="shared" si="59"/>
        <v>0</v>
      </c>
      <c r="I147" s="143">
        <f t="shared" si="54"/>
        <v>0</v>
      </c>
      <c r="J147" s="144">
        <f t="shared" si="43"/>
        <v>0</v>
      </c>
      <c r="K147" s="144">
        <f t="shared" si="44"/>
        <v>0</v>
      </c>
      <c r="L147" s="169">
        <f t="shared" si="58"/>
        <v>0</v>
      </c>
      <c r="M147" s="143">
        <f t="shared" si="55"/>
        <v>0</v>
      </c>
      <c r="N147" s="144">
        <f t="shared" si="45"/>
        <v>0</v>
      </c>
      <c r="O147" s="144">
        <f t="shared" si="46"/>
        <v>0</v>
      </c>
      <c r="P147" s="169">
        <f t="shared" si="60"/>
        <v>0</v>
      </c>
      <c r="R147" s="143">
        <f t="shared" si="56"/>
        <v>0</v>
      </c>
      <c r="S147" s="144">
        <f t="shared" si="47"/>
        <v>0</v>
      </c>
      <c r="T147" s="144">
        <f t="shared" si="48"/>
        <v>0</v>
      </c>
      <c r="U147" s="169">
        <f t="shared" si="49"/>
        <v>0</v>
      </c>
      <c r="V147" s="143">
        <f t="shared" si="57"/>
        <v>0</v>
      </c>
      <c r="W147" s="144">
        <f t="shared" si="50"/>
        <v>0</v>
      </c>
      <c r="X147" s="144">
        <f t="shared" si="51"/>
        <v>0</v>
      </c>
      <c r="Y147" s="169">
        <f t="shared" si="52"/>
        <v>0</v>
      </c>
      <c r="Z147" s="151">
        <v>0</v>
      </c>
      <c r="AA147" s="151">
        <v>0</v>
      </c>
      <c r="AB147" s="151">
        <v>0</v>
      </c>
      <c r="AC147" s="151">
        <v>0</v>
      </c>
    </row>
    <row r="148" spans="1:29" s="61" customFormat="1" ht="11.25">
      <c r="A148" s="147">
        <f t="shared" ref="A148:A211" si="61">VLOOKUP(D148,$A$10:$C$14,3)</f>
        <v>0</v>
      </c>
      <c r="B148" s="152">
        <f t="shared" ref="B148:B211" si="62">A148/12</f>
        <v>0</v>
      </c>
      <c r="C148" s="141">
        <f t="shared" ref="C148:C211" si="63">INT((D148+11)/12)</f>
        <v>11</v>
      </c>
      <c r="D148" s="142">
        <v>129</v>
      </c>
      <c r="E148" s="143">
        <f t="shared" si="53"/>
        <v>0</v>
      </c>
      <c r="F148" s="144">
        <f t="shared" ref="F148:F211" si="64">ROUND(E148*$B148,2)</f>
        <v>0</v>
      </c>
      <c r="G148" s="144">
        <f t="shared" ref="G148:G211" si="65">IF(E148&lt;H148,E148,H148-F148)</f>
        <v>0</v>
      </c>
      <c r="H148" s="169">
        <f t="shared" si="59"/>
        <v>0</v>
      </c>
      <c r="I148" s="143">
        <f t="shared" si="54"/>
        <v>0</v>
      </c>
      <c r="J148" s="144">
        <f t="shared" ref="J148:J211" si="66">ROUND(I148*$B148,2)</f>
        <v>0</v>
      </c>
      <c r="K148" s="144">
        <f t="shared" ref="K148:K211" si="67">IF(I148&lt;L148,I148,L148-J148)</f>
        <v>0</v>
      </c>
      <c r="L148" s="169">
        <f t="shared" si="58"/>
        <v>0</v>
      </c>
      <c r="M148" s="143">
        <f t="shared" si="55"/>
        <v>0</v>
      </c>
      <c r="N148" s="144">
        <f t="shared" ref="N148:N211" si="68">ROUND(M148*$B148,2)</f>
        <v>0</v>
      </c>
      <c r="O148" s="144">
        <f t="shared" ref="O148:O211" si="69">IF(M148&lt;P148,M148,P148-N148)</f>
        <v>0</v>
      </c>
      <c r="P148" s="169">
        <f t="shared" si="60"/>
        <v>0</v>
      </c>
      <c r="R148" s="143">
        <f t="shared" si="56"/>
        <v>0</v>
      </c>
      <c r="S148" s="144">
        <f t="shared" ref="S148:S211" si="70">ROUND(R148*$B148,2)</f>
        <v>0</v>
      </c>
      <c r="T148" s="144">
        <f t="shared" ref="T148:T211" si="71">IF(R148&lt;U148,R148,U148-S148)</f>
        <v>0</v>
      </c>
      <c r="U148" s="169">
        <f t="shared" ref="U148:U211" si="72">IF(R148&lt;=0,0,$Y$15)</f>
        <v>0</v>
      </c>
      <c r="V148" s="143">
        <f t="shared" si="57"/>
        <v>0</v>
      </c>
      <c r="W148" s="144">
        <f t="shared" ref="W148:W211" si="73">ROUND(V148*$B148,2)</f>
        <v>0</v>
      </c>
      <c r="X148" s="144">
        <f t="shared" ref="X148:X211" si="74">IF(V148&lt;Y148,V148,Y148-W148)</f>
        <v>0</v>
      </c>
      <c r="Y148" s="169">
        <f t="shared" ref="Y148:Y211" si="75">IF(V148&lt;=0,0,PMT(B148,($B$2-D148+1),V148*-1))</f>
        <v>0</v>
      </c>
      <c r="Z148" s="151">
        <v>0</v>
      </c>
      <c r="AA148" s="151">
        <v>0</v>
      </c>
      <c r="AB148" s="151">
        <v>0</v>
      </c>
      <c r="AC148" s="151">
        <v>0</v>
      </c>
    </row>
    <row r="149" spans="1:29" s="61" customFormat="1" ht="11.25">
      <c r="A149" s="147">
        <f t="shared" si="61"/>
        <v>0</v>
      </c>
      <c r="B149" s="152">
        <f t="shared" si="62"/>
        <v>0</v>
      </c>
      <c r="C149" s="141">
        <f t="shared" si="63"/>
        <v>11</v>
      </c>
      <c r="D149" s="142">
        <v>130</v>
      </c>
      <c r="E149" s="143">
        <f t="shared" ref="E149:E212" si="76">IF(E148&lt;H148,0,E148-G148)</f>
        <v>0</v>
      </c>
      <c r="F149" s="144">
        <f t="shared" si="64"/>
        <v>0</v>
      </c>
      <c r="G149" s="144">
        <f t="shared" si="65"/>
        <v>0</v>
      </c>
      <c r="H149" s="169">
        <f t="shared" si="59"/>
        <v>0</v>
      </c>
      <c r="I149" s="143">
        <f t="shared" ref="I149:I212" si="77">IF(I148&lt;L148,0,I148-K148)</f>
        <v>0</v>
      </c>
      <c r="J149" s="144">
        <f t="shared" si="66"/>
        <v>0</v>
      </c>
      <c r="K149" s="144">
        <f t="shared" si="67"/>
        <v>0</v>
      </c>
      <c r="L149" s="169">
        <f t="shared" si="58"/>
        <v>0</v>
      </c>
      <c r="M149" s="143">
        <f t="shared" ref="M149:M212" si="78">IF(M148&lt;P148,0,M148-O148)</f>
        <v>0</v>
      </c>
      <c r="N149" s="144">
        <f t="shared" si="68"/>
        <v>0</v>
      </c>
      <c r="O149" s="144">
        <f t="shared" si="69"/>
        <v>0</v>
      </c>
      <c r="P149" s="169">
        <f t="shared" si="60"/>
        <v>0</v>
      </c>
      <c r="R149" s="143">
        <f t="shared" ref="R149:R212" si="79">IF(R148&lt;U148,0,R148-T148)</f>
        <v>0</v>
      </c>
      <c r="S149" s="144">
        <f t="shared" si="70"/>
        <v>0</v>
      </c>
      <c r="T149" s="144">
        <f t="shared" si="71"/>
        <v>0</v>
      </c>
      <c r="U149" s="169">
        <f t="shared" si="72"/>
        <v>0</v>
      </c>
      <c r="V149" s="143">
        <f t="shared" ref="V149:V212" si="80">IF(V148&lt;Y148,0,V148-X148)</f>
        <v>0</v>
      </c>
      <c r="W149" s="144">
        <f t="shared" si="73"/>
        <v>0</v>
      </c>
      <c r="X149" s="144">
        <f t="shared" si="74"/>
        <v>0</v>
      </c>
      <c r="Y149" s="169">
        <f t="shared" si="75"/>
        <v>0</v>
      </c>
      <c r="Z149" s="151">
        <v>0</v>
      </c>
      <c r="AA149" s="151">
        <v>0</v>
      </c>
      <c r="AB149" s="151">
        <v>0</v>
      </c>
      <c r="AC149" s="151">
        <v>0</v>
      </c>
    </row>
    <row r="150" spans="1:29" s="61" customFormat="1" ht="11.25">
      <c r="A150" s="147">
        <f t="shared" si="61"/>
        <v>0</v>
      </c>
      <c r="B150" s="152">
        <f t="shared" si="62"/>
        <v>0</v>
      </c>
      <c r="C150" s="141">
        <f t="shared" si="63"/>
        <v>11</v>
      </c>
      <c r="D150" s="142">
        <v>131</v>
      </c>
      <c r="E150" s="143">
        <f t="shared" si="76"/>
        <v>0</v>
      </c>
      <c r="F150" s="144">
        <f t="shared" si="64"/>
        <v>0</v>
      </c>
      <c r="G150" s="144">
        <f t="shared" si="65"/>
        <v>0</v>
      </c>
      <c r="H150" s="169">
        <f t="shared" si="59"/>
        <v>0</v>
      </c>
      <c r="I150" s="143">
        <f t="shared" si="77"/>
        <v>0</v>
      </c>
      <c r="J150" s="144">
        <f t="shared" si="66"/>
        <v>0</v>
      </c>
      <c r="K150" s="144">
        <f t="shared" si="67"/>
        <v>0</v>
      </c>
      <c r="L150" s="169">
        <f t="shared" si="58"/>
        <v>0</v>
      </c>
      <c r="M150" s="143">
        <f t="shared" si="78"/>
        <v>0</v>
      </c>
      <c r="N150" s="144">
        <f t="shared" si="68"/>
        <v>0</v>
      </c>
      <c r="O150" s="144">
        <f t="shared" si="69"/>
        <v>0</v>
      </c>
      <c r="P150" s="169">
        <f t="shared" si="60"/>
        <v>0</v>
      </c>
      <c r="R150" s="143">
        <f t="shared" si="79"/>
        <v>0</v>
      </c>
      <c r="S150" s="144">
        <f t="shared" si="70"/>
        <v>0</v>
      </c>
      <c r="T150" s="144">
        <f t="shared" si="71"/>
        <v>0</v>
      </c>
      <c r="U150" s="169">
        <f t="shared" si="72"/>
        <v>0</v>
      </c>
      <c r="V150" s="143">
        <f t="shared" si="80"/>
        <v>0</v>
      </c>
      <c r="W150" s="144">
        <f t="shared" si="73"/>
        <v>0</v>
      </c>
      <c r="X150" s="144">
        <f t="shared" si="74"/>
        <v>0</v>
      </c>
      <c r="Y150" s="169">
        <f t="shared" si="75"/>
        <v>0</v>
      </c>
      <c r="Z150" s="151">
        <v>0</v>
      </c>
      <c r="AA150" s="151">
        <v>0</v>
      </c>
      <c r="AB150" s="151">
        <v>0</v>
      </c>
      <c r="AC150" s="151">
        <v>0</v>
      </c>
    </row>
    <row r="151" spans="1:29" s="61" customFormat="1" ht="12" thickBot="1">
      <c r="A151" s="153">
        <f t="shared" si="61"/>
        <v>0</v>
      </c>
      <c r="B151" s="154">
        <f t="shared" si="62"/>
        <v>0</v>
      </c>
      <c r="C151" s="155">
        <f t="shared" si="63"/>
        <v>11</v>
      </c>
      <c r="D151" s="156">
        <v>132</v>
      </c>
      <c r="E151" s="157">
        <f t="shared" si="76"/>
        <v>0</v>
      </c>
      <c r="F151" s="158">
        <f t="shared" si="64"/>
        <v>0</v>
      </c>
      <c r="G151" s="158">
        <f t="shared" si="65"/>
        <v>0</v>
      </c>
      <c r="H151" s="172">
        <f t="shared" si="59"/>
        <v>0</v>
      </c>
      <c r="I151" s="157">
        <f t="shared" si="77"/>
        <v>0</v>
      </c>
      <c r="J151" s="158">
        <f t="shared" si="66"/>
        <v>0</v>
      </c>
      <c r="K151" s="158">
        <f t="shared" si="67"/>
        <v>0</v>
      </c>
      <c r="L151" s="172">
        <f t="shared" si="58"/>
        <v>0</v>
      </c>
      <c r="M151" s="157">
        <f t="shared" si="78"/>
        <v>0</v>
      </c>
      <c r="N151" s="158">
        <f t="shared" si="68"/>
        <v>0</v>
      </c>
      <c r="O151" s="158">
        <f t="shared" si="69"/>
        <v>0</v>
      </c>
      <c r="P151" s="172">
        <f t="shared" si="60"/>
        <v>0</v>
      </c>
      <c r="R151" s="157">
        <f t="shared" si="79"/>
        <v>0</v>
      </c>
      <c r="S151" s="158">
        <f t="shared" si="70"/>
        <v>0</v>
      </c>
      <c r="T151" s="158">
        <f t="shared" si="71"/>
        <v>0</v>
      </c>
      <c r="U151" s="172">
        <f t="shared" si="72"/>
        <v>0</v>
      </c>
      <c r="V151" s="157">
        <f t="shared" si="80"/>
        <v>0</v>
      </c>
      <c r="W151" s="158">
        <f t="shared" si="73"/>
        <v>0</v>
      </c>
      <c r="X151" s="158">
        <f t="shared" si="74"/>
        <v>0</v>
      </c>
      <c r="Y151" s="172">
        <f t="shared" si="75"/>
        <v>0</v>
      </c>
      <c r="Z151" s="151">
        <v>0</v>
      </c>
      <c r="AA151" s="151">
        <v>0</v>
      </c>
      <c r="AB151" s="151">
        <v>0</v>
      </c>
      <c r="AC151" s="151">
        <v>0</v>
      </c>
    </row>
    <row r="152" spans="1:29" s="61" customFormat="1" ht="11.25">
      <c r="A152" s="147">
        <f t="shared" si="61"/>
        <v>0</v>
      </c>
      <c r="B152" s="152">
        <f t="shared" si="62"/>
        <v>0</v>
      </c>
      <c r="C152" s="141">
        <f t="shared" si="63"/>
        <v>12</v>
      </c>
      <c r="D152" s="142">
        <v>133</v>
      </c>
      <c r="E152" s="143">
        <f t="shared" si="76"/>
        <v>0</v>
      </c>
      <c r="F152" s="144">
        <f t="shared" si="64"/>
        <v>0</v>
      </c>
      <c r="G152" s="144">
        <f t="shared" si="65"/>
        <v>0</v>
      </c>
      <c r="H152" s="169">
        <f t="shared" si="59"/>
        <v>0</v>
      </c>
      <c r="I152" s="143">
        <f t="shared" si="77"/>
        <v>0</v>
      </c>
      <c r="J152" s="144">
        <f t="shared" si="66"/>
        <v>0</v>
      </c>
      <c r="K152" s="144">
        <f t="shared" si="67"/>
        <v>0</v>
      </c>
      <c r="L152" s="169">
        <f t="shared" si="58"/>
        <v>0</v>
      </c>
      <c r="M152" s="143">
        <f t="shared" si="78"/>
        <v>0</v>
      </c>
      <c r="N152" s="144">
        <f t="shared" si="68"/>
        <v>0</v>
      </c>
      <c r="O152" s="144">
        <f t="shared" si="69"/>
        <v>0</v>
      </c>
      <c r="P152" s="169">
        <f t="shared" si="60"/>
        <v>0</v>
      </c>
      <c r="R152" s="143">
        <f t="shared" si="79"/>
        <v>0</v>
      </c>
      <c r="S152" s="144">
        <f t="shared" si="70"/>
        <v>0</v>
      </c>
      <c r="T152" s="144">
        <f t="shared" si="71"/>
        <v>0</v>
      </c>
      <c r="U152" s="169">
        <f t="shared" si="72"/>
        <v>0</v>
      </c>
      <c r="V152" s="143">
        <f t="shared" si="80"/>
        <v>0</v>
      </c>
      <c r="W152" s="144">
        <f t="shared" si="73"/>
        <v>0</v>
      </c>
      <c r="X152" s="144">
        <f t="shared" si="74"/>
        <v>0</v>
      </c>
      <c r="Y152" s="169">
        <f t="shared" si="75"/>
        <v>0</v>
      </c>
      <c r="Z152" s="151">
        <v>0</v>
      </c>
      <c r="AA152" s="151">
        <v>0</v>
      </c>
      <c r="AB152" s="151">
        <v>0</v>
      </c>
      <c r="AC152" s="151">
        <v>0</v>
      </c>
    </row>
    <row r="153" spans="1:29" s="61" customFormat="1" ht="11.25">
      <c r="A153" s="147">
        <f t="shared" si="61"/>
        <v>0</v>
      </c>
      <c r="B153" s="152">
        <f t="shared" si="62"/>
        <v>0</v>
      </c>
      <c r="C153" s="141">
        <f t="shared" si="63"/>
        <v>12</v>
      </c>
      <c r="D153" s="142">
        <v>134</v>
      </c>
      <c r="E153" s="143">
        <f t="shared" si="76"/>
        <v>0</v>
      </c>
      <c r="F153" s="144">
        <f t="shared" si="64"/>
        <v>0</v>
      </c>
      <c r="G153" s="144">
        <f t="shared" si="65"/>
        <v>0</v>
      </c>
      <c r="H153" s="169">
        <f t="shared" si="59"/>
        <v>0</v>
      </c>
      <c r="I153" s="143">
        <f t="shared" si="77"/>
        <v>0</v>
      </c>
      <c r="J153" s="144">
        <f t="shared" si="66"/>
        <v>0</v>
      </c>
      <c r="K153" s="144">
        <f t="shared" si="67"/>
        <v>0</v>
      </c>
      <c r="L153" s="169">
        <f t="shared" si="58"/>
        <v>0</v>
      </c>
      <c r="M153" s="143">
        <f t="shared" si="78"/>
        <v>0</v>
      </c>
      <c r="N153" s="144">
        <f t="shared" si="68"/>
        <v>0</v>
      </c>
      <c r="O153" s="144">
        <f t="shared" si="69"/>
        <v>0</v>
      </c>
      <c r="P153" s="169">
        <f t="shared" si="60"/>
        <v>0</v>
      </c>
      <c r="R153" s="143">
        <f t="shared" si="79"/>
        <v>0</v>
      </c>
      <c r="S153" s="144">
        <f t="shared" si="70"/>
        <v>0</v>
      </c>
      <c r="T153" s="144">
        <f t="shared" si="71"/>
        <v>0</v>
      </c>
      <c r="U153" s="169">
        <f t="shared" si="72"/>
        <v>0</v>
      </c>
      <c r="V153" s="143">
        <f t="shared" si="80"/>
        <v>0</v>
      </c>
      <c r="W153" s="144">
        <f t="shared" si="73"/>
        <v>0</v>
      </c>
      <c r="X153" s="144">
        <f t="shared" si="74"/>
        <v>0</v>
      </c>
      <c r="Y153" s="169">
        <f t="shared" si="75"/>
        <v>0</v>
      </c>
      <c r="Z153" s="151">
        <v>0</v>
      </c>
      <c r="AA153" s="151">
        <v>0</v>
      </c>
      <c r="AB153" s="151">
        <v>0</v>
      </c>
      <c r="AC153" s="151">
        <v>0</v>
      </c>
    </row>
    <row r="154" spans="1:29" s="61" customFormat="1" ht="11.25">
      <c r="A154" s="147">
        <f t="shared" si="61"/>
        <v>0</v>
      </c>
      <c r="B154" s="152">
        <f t="shared" si="62"/>
        <v>0</v>
      </c>
      <c r="C154" s="141">
        <f t="shared" si="63"/>
        <v>12</v>
      </c>
      <c r="D154" s="142">
        <v>135</v>
      </c>
      <c r="E154" s="143">
        <f t="shared" si="76"/>
        <v>0</v>
      </c>
      <c r="F154" s="144">
        <f t="shared" si="64"/>
        <v>0</v>
      </c>
      <c r="G154" s="144">
        <f t="shared" si="65"/>
        <v>0</v>
      </c>
      <c r="H154" s="169">
        <f t="shared" si="59"/>
        <v>0</v>
      </c>
      <c r="I154" s="143">
        <f t="shared" si="77"/>
        <v>0</v>
      </c>
      <c r="J154" s="144">
        <f t="shared" si="66"/>
        <v>0</v>
      </c>
      <c r="K154" s="144">
        <f t="shared" si="67"/>
        <v>0</v>
      </c>
      <c r="L154" s="169">
        <f t="shared" si="58"/>
        <v>0</v>
      </c>
      <c r="M154" s="143">
        <f t="shared" si="78"/>
        <v>0</v>
      </c>
      <c r="N154" s="144">
        <f t="shared" si="68"/>
        <v>0</v>
      </c>
      <c r="O154" s="144">
        <f t="shared" si="69"/>
        <v>0</v>
      </c>
      <c r="P154" s="169">
        <f t="shared" si="60"/>
        <v>0</v>
      </c>
      <c r="R154" s="143">
        <f t="shared" si="79"/>
        <v>0</v>
      </c>
      <c r="S154" s="144">
        <f t="shared" si="70"/>
        <v>0</v>
      </c>
      <c r="T154" s="144">
        <f t="shared" si="71"/>
        <v>0</v>
      </c>
      <c r="U154" s="169">
        <f t="shared" si="72"/>
        <v>0</v>
      </c>
      <c r="V154" s="143">
        <f t="shared" si="80"/>
        <v>0</v>
      </c>
      <c r="W154" s="144">
        <f t="shared" si="73"/>
        <v>0</v>
      </c>
      <c r="X154" s="144">
        <f t="shared" si="74"/>
        <v>0</v>
      </c>
      <c r="Y154" s="169">
        <f t="shared" si="75"/>
        <v>0</v>
      </c>
      <c r="Z154" s="151">
        <v>0</v>
      </c>
      <c r="AA154" s="151">
        <v>0</v>
      </c>
      <c r="AB154" s="151">
        <v>0</v>
      </c>
      <c r="AC154" s="151">
        <v>0</v>
      </c>
    </row>
    <row r="155" spans="1:29" s="61" customFormat="1" ht="11.25">
      <c r="A155" s="147">
        <f t="shared" si="61"/>
        <v>0</v>
      </c>
      <c r="B155" s="152">
        <f t="shared" si="62"/>
        <v>0</v>
      </c>
      <c r="C155" s="141">
        <f t="shared" si="63"/>
        <v>12</v>
      </c>
      <c r="D155" s="142">
        <v>136</v>
      </c>
      <c r="E155" s="143">
        <f t="shared" si="76"/>
        <v>0</v>
      </c>
      <c r="F155" s="144">
        <f t="shared" si="64"/>
        <v>0</v>
      </c>
      <c r="G155" s="144">
        <f t="shared" si="65"/>
        <v>0</v>
      </c>
      <c r="H155" s="169">
        <f t="shared" si="59"/>
        <v>0</v>
      </c>
      <c r="I155" s="143">
        <f t="shared" si="77"/>
        <v>0</v>
      </c>
      <c r="J155" s="144">
        <f t="shared" si="66"/>
        <v>0</v>
      </c>
      <c r="K155" s="144">
        <f t="shared" si="67"/>
        <v>0</v>
      </c>
      <c r="L155" s="169">
        <f t="shared" si="58"/>
        <v>0</v>
      </c>
      <c r="M155" s="143">
        <f t="shared" si="78"/>
        <v>0</v>
      </c>
      <c r="N155" s="144">
        <f t="shared" si="68"/>
        <v>0</v>
      </c>
      <c r="O155" s="144">
        <f t="shared" si="69"/>
        <v>0</v>
      </c>
      <c r="P155" s="169">
        <f t="shared" si="60"/>
        <v>0</v>
      </c>
      <c r="R155" s="143">
        <f t="shared" si="79"/>
        <v>0</v>
      </c>
      <c r="S155" s="144">
        <f t="shared" si="70"/>
        <v>0</v>
      </c>
      <c r="T155" s="144">
        <f t="shared" si="71"/>
        <v>0</v>
      </c>
      <c r="U155" s="169">
        <f t="shared" si="72"/>
        <v>0</v>
      </c>
      <c r="V155" s="143">
        <f t="shared" si="80"/>
        <v>0</v>
      </c>
      <c r="W155" s="144">
        <f t="shared" si="73"/>
        <v>0</v>
      </c>
      <c r="X155" s="144">
        <f t="shared" si="74"/>
        <v>0</v>
      </c>
      <c r="Y155" s="169">
        <f t="shared" si="75"/>
        <v>0</v>
      </c>
      <c r="Z155" s="151">
        <v>0</v>
      </c>
      <c r="AA155" s="151">
        <v>0</v>
      </c>
      <c r="AB155" s="151">
        <v>0</v>
      </c>
      <c r="AC155" s="151">
        <v>0</v>
      </c>
    </row>
    <row r="156" spans="1:29" s="61" customFormat="1" ht="11.25">
      <c r="A156" s="147">
        <f t="shared" si="61"/>
        <v>0</v>
      </c>
      <c r="B156" s="152">
        <f t="shared" si="62"/>
        <v>0</v>
      </c>
      <c r="C156" s="141">
        <f t="shared" si="63"/>
        <v>12</v>
      </c>
      <c r="D156" s="142">
        <v>137</v>
      </c>
      <c r="E156" s="143">
        <f t="shared" si="76"/>
        <v>0</v>
      </c>
      <c r="F156" s="144">
        <f t="shared" si="64"/>
        <v>0</v>
      </c>
      <c r="G156" s="144">
        <f t="shared" si="65"/>
        <v>0</v>
      </c>
      <c r="H156" s="169">
        <f t="shared" si="59"/>
        <v>0</v>
      </c>
      <c r="I156" s="143">
        <f t="shared" si="77"/>
        <v>0</v>
      </c>
      <c r="J156" s="144">
        <f t="shared" si="66"/>
        <v>0</v>
      </c>
      <c r="K156" s="144">
        <f t="shared" si="67"/>
        <v>0</v>
      </c>
      <c r="L156" s="169">
        <f t="shared" si="58"/>
        <v>0</v>
      </c>
      <c r="M156" s="143">
        <f t="shared" si="78"/>
        <v>0</v>
      </c>
      <c r="N156" s="144">
        <f t="shared" si="68"/>
        <v>0</v>
      </c>
      <c r="O156" s="144">
        <f t="shared" si="69"/>
        <v>0</v>
      </c>
      <c r="P156" s="169">
        <f t="shared" si="60"/>
        <v>0</v>
      </c>
      <c r="R156" s="143">
        <f t="shared" si="79"/>
        <v>0</v>
      </c>
      <c r="S156" s="144">
        <f t="shared" si="70"/>
        <v>0</v>
      </c>
      <c r="T156" s="144">
        <f t="shared" si="71"/>
        <v>0</v>
      </c>
      <c r="U156" s="169">
        <f t="shared" si="72"/>
        <v>0</v>
      </c>
      <c r="V156" s="143">
        <f t="shared" si="80"/>
        <v>0</v>
      </c>
      <c r="W156" s="144">
        <f t="shared" si="73"/>
        <v>0</v>
      </c>
      <c r="X156" s="144">
        <f t="shared" si="74"/>
        <v>0</v>
      </c>
      <c r="Y156" s="169">
        <f t="shared" si="75"/>
        <v>0</v>
      </c>
      <c r="Z156" s="151">
        <v>0</v>
      </c>
      <c r="AA156" s="151">
        <v>0</v>
      </c>
      <c r="AB156" s="151">
        <v>0</v>
      </c>
      <c r="AC156" s="151">
        <v>0</v>
      </c>
    </row>
    <row r="157" spans="1:29" s="61" customFormat="1" ht="11.25">
      <c r="A157" s="147">
        <f t="shared" si="61"/>
        <v>0</v>
      </c>
      <c r="B157" s="152">
        <f t="shared" si="62"/>
        <v>0</v>
      </c>
      <c r="C157" s="141">
        <f t="shared" si="63"/>
        <v>12</v>
      </c>
      <c r="D157" s="142">
        <v>138</v>
      </c>
      <c r="E157" s="143">
        <f t="shared" si="76"/>
        <v>0</v>
      </c>
      <c r="F157" s="144">
        <f t="shared" si="64"/>
        <v>0</v>
      </c>
      <c r="G157" s="144">
        <f t="shared" si="65"/>
        <v>0</v>
      </c>
      <c r="H157" s="169">
        <f t="shared" si="59"/>
        <v>0</v>
      </c>
      <c r="I157" s="143">
        <f t="shared" si="77"/>
        <v>0</v>
      </c>
      <c r="J157" s="144">
        <f t="shared" si="66"/>
        <v>0</v>
      </c>
      <c r="K157" s="144">
        <f t="shared" si="67"/>
        <v>0</v>
      </c>
      <c r="L157" s="169">
        <f t="shared" si="58"/>
        <v>0</v>
      </c>
      <c r="M157" s="143">
        <f t="shared" si="78"/>
        <v>0</v>
      </c>
      <c r="N157" s="144">
        <f t="shared" si="68"/>
        <v>0</v>
      </c>
      <c r="O157" s="144">
        <f t="shared" si="69"/>
        <v>0</v>
      </c>
      <c r="P157" s="169">
        <f t="shared" si="60"/>
        <v>0</v>
      </c>
      <c r="R157" s="143">
        <f t="shared" si="79"/>
        <v>0</v>
      </c>
      <c r="S157" s="144">
        <f t="shared" si="70"/>
        <v>0</v>
      </c>
      <c r="T157" s="144">
        <f t="shared" si="71"/>
        <v>0</v>
      </c>
      <c r="U157" s="169">
        <f t="shared" si="72"/>
        <v>0</v>
      </c>
      <c r="V157" s="143">
        <f t="shared" si="80"/>
        <v>0</v>
      </c>
      <c r="W157" s="144">
        <f t="shared" si="73"/>
        <v>0</v>
      </c>
      <c r="X157" s="144">
        <f t="shared" si="74"/>
        <v>0</v>
      </c>
      <c r="Y157" s="169">
        <f t="shared" si="75"/>
        <v>0</v>
      </c>
      <c r="Z157" s="151">
        <v>0</v>
      </c>
      <c r="AA157" s="151">
        <v>0</v>
      </c>
      <c r="AB157" s="151">
        <v>0</v>
      </c>
      <c r="AC157" s="151">
        <v>0</v>
      </c>
    </row>
    <row r="158" spans="1:29" s="61" customFormat="1" ht="11.25">
      <c r="A158" s="147">
        <f t="shared" si="61"/>
        <v>0</v>
      </c>
      <c r="B158" s="152">
        <f t="shared" si="62"/>
        <v>0</v>
      </c>
      <c r="C158" s="141">
        <f t="shared" si="63"/>
        <v>12</v>
      </c>
      <c r="D158" s="142">
        <v>139</v>
      </c>
      <c r="E158" s="143">
        <f t="shared" si="76"/>
        <v>0</v>
      </c>
      <c r="F158" s="144">
        <f t="shared" si="64"/>
        <v>0</v>
      </c>
      <c r="G158" s="144">
        <f t="shared" si="65"/>
        <v>0</v>
      </c>
      <c r="H158" s="169">
        <f t="shared" si="59"/>
        <v>0</v>
      </c>
      <c r="I158" s="143">
        <f t="shared" si="77"/>
        <v>0</v>
      </c>
      <c r="J158" s="144">
        <f t="shared" si="66"/>
        <v>0</v>
      </c>
      <c r="K158" s="144">
        <f t="shared" si="67"/>
        <v>0</v>
      </c>
      <c r="L158" s="169">
        <f t="shared" si="58"/>
        <v>0</v>
      </c>
      <c r="M158" s="143">
        <f t="shared" si="78"/>
        <v>0</v>
      </c>
      <c r="N158" s="144">
        <f t="shared" si="68"/>
        <v>0</v>
      </c>
      <c r="O158" s="144">
        <f t="shared" si="69"/>
        <v>0</v>
      </c>
      <c r="P158" s="169">
        <f t="shared" si="60"/>
        <v>0</v>
      </c>
      <c r="R158" s="143">
        <f t="shared" si="79"/>
        <v>0</v>
      </c>
      <c r="S158" s="144">
        <f t="shared" si="70"/>
        <v>0</v>
      </c>
      <c r="T158" s="144">
        <f t="shared" si="71"/>
        <v>0</v>
      </c>
      <c r="U158" s="169">
        <f t="shared" si="72"/>
        <v>0</v>
      </c>
      <c r="V158" s="143">
        <f t="shared" si="80"/>
        <v>0</v>
      </c>
      <c r="W158" s="144">
        <f t="shared" si="73"/>
        <v>0</v>
      </c>
      <c r="X158" s="144">
        <f t="shared" si="74"/>
        <v>0</v>
      </c>
      <c r="Y158" s="169">
        <f t="shared" si="75"/>
        <v>0</v>
      </c>
      <c r="Z158" s="151">
        <v>0</v>
      </c>
      <c r="AA158" s="151">
        <v>0</v>
      </c>
      <c r="AB158" s="151">
        <v>0</v>
      </c>
      <c r="AC158" s="151">
        <v>0</v>
      </c>
    </row>
    <row r="159" spans="1:29" s="61" customFormat="1" ht="11.25">
      <c r="A159" s="147">
        <f t="shared" si="61"/>
        <v>0</v>
      </c>
      <c r="B159" s="152">
        <f t="shared" si="62"/>
        <v>0</v>
      </c>
      <c r="C159" s="141">
        <f t="shared" si="63"/>
        <v>12</v>
      </c>
      <c r="D159" s="142">
        <v>140</v>
      </c>
      <c r="E159" s="143">
        <f t="shared" si="76"/>
        <v>0</v>
      </c>
      <c r="F159" s="144">
        <f t="shared" si="64"/>
        <v>0</v>
      </c>
      <c r="G159" s="144">
        <f t="shared" si="65"/>
        <v>0</v>
      </c>
      <c r="H159" s="169">
        <f t="shared" si="59"/>
        <v>0</v>
      </c>
      <c r="I159" s="143">
        <f t="shared" si="77"/>
        <v>0</v>
      </c>
      <c r="J159" s="144">
        <f t="shared" si="66"/>
        <v>0</v>
      </c>
      <c r="K159" s="144">
        <f t="shared" si="67"/>
        <v>0</v>
      </c>
      <c r="L159" s="169">
        <f t="shared" si="58"/>
        <v>0</v>
      </c>
      <c r="M159" s="143">
        <f t="shared" si="78"/>
        <v>0</v>
      </c>
      <c r="N159" s="144">
        <f t="shared" si="68"/>
        <v>0</v>
      </c>
      <c r="O159" s="144">
        <f t="shared" si="69"/>
        <v>0</v>
      </c>
      <c r="P159" s="169">
        <f t="shared" si="60"/>
        <v>0</v>
      </c>
      <c r="R159" s="143">
        <f t="shared" si="79"/>
        <v>0</v>
      </c>
      <c r="S159" s="144">
        <f t="shared" si="70"/>
        <v>0</v>
      </c>
      <c r="T159" s="144">
        <f t="shared" si="71"/>
        <v>0</v>
      </c>
      <c r="U159" s="169">
        <f t="shared" si="72"/>
        <v>0</v>
      </c>
      <c r="V159" s="143">
        <f t="shared" si="80"/>
        <v>0</v>
      </c>
      <c r="W159" s="144">
        <f t="shared" si="73"/>
        <v>0</v>
      </c>
      <c r="X159" s="144">
        <f t="shared" si="74"/>
        <v>0</v>
      </c>
      <c r="Y159" s="169">
        <f t="shared" si="75"/>
        <v>0</v>
      </c>
      <c r="Z159" s="151">
        <v>0</v>
      </c>
      <c r="AA159" s="151">
        <v>0</v>
      </c>
      <c r="AB159" s="151">
        <v>0</v>
      </c>
      <c r="AC159" s="151">
        <v>0</v>
      </c>
    </row>
    <row r="160" spans="1:29" s="61" customFormat="1" ht="11.25">
      <c r="A160" s="147">
        <f t="shared" si="61"/>
        <v>0</v>
      </c>
      <c r="B160" s="152">
        <f t="shared" si="62"/>
        <v>0</v>
      </c>
      <c r="C160" s="141">
        <f t="shared" si="63"/>
        <v>12</v>
      </c>
      <c r="D160" s="142">
        <v>141</v>
      </c>
      <c r="E160" s="143">
        <f t="shared" si="76"/>
        <v>0</v>
      </c>
      <c r="F160" s="144">
        <f t="shared" si="64"/>
        <v>0</v>
      </c>
      <c r="G160" s="144">
        <f t="shared" si="65"/>
        <v>0</v>
      </c>
      <c r="H160" s="169">
        <f t="shared" si="59"/>
        <v>0</v>
      </c>
      <c r="I160" s="143">
        <f t="shared" si="77"/>
        <v>0</v>
      </c>
      <c r="J160" s="144">
        <f t="shared" si="66"/>
        <v>0</v>
      </c>
      <c r="K160" s="144">
        <f t="shared" si="67"/>
        <v>0</v>
      </c>
      <c r="L160" s="169">
        <f t="shared" si="58"/>
        <v>0</v>
      </c>
      <c r="M160" s="143">
        <f t="shared" si="78"/>
        <v>0</v>
      </c>
      <c r="N160" s="144">
        <f t="shared" si="68"/>
        <v>0</v>
      </c>
      <c r="O160" s="144">
        <f t="shared" si="69"/>
        <v>0</v>
      </c>
      <c r="P160" s="169">
        <f t="shared" si="60"/>
        <v>0</v>
      </c>
      <c r="R160" s="143">
        <f t="shared" si="79"/>
        <v>0</v>
      </c>
      <c r="S160" s="144">
        <f t="shared" si="70"/>
        <v>0</v>
      </c>
      <c r="T160" s="144">
        <f t="shared" si="71"/>
        <v>0</v>
      </c>
      <c r="U160" s="169">
        <f t="shared" si="72"/>
        <v>0</v>
      </c>
      <c r="V160" s="143">
        <f t="shared" si="80"/>
        <v>0</v>
      </c>
      <c r="W160" s="144">
        <f t="shared" si="73"/>
        <v>0</v>
      </c>
      <c r="X160" s="144">
        <f t="shared" si="74"/>
        <v>0</v>
      </c>
      <c r="Y160" s="169">
        <f t="shared" si="75"/>
        <v>0</v>
      </c>
      <c r="Z160" s="151">
        <v>0</v>
      </c>
      <c r="AA160" s="151">
        <v>0</v>
      </c>
      <c r="AB160" s="151">
        <v>0</v>
      </c>
      <c r="AC160" s="151">
        <v>0</v>
      </c>
    </row>
    <row r="161" spans="1:29" s="61" customFormat="1" ht="11.25">
      <c r="A161" s="147">
        <f t="shared" si="61"/>
        <v>0</v>
      </c>
      <c r="B161" s="152">
        <f t="shared" si="62"/>
        <v>0</v>
      </c>
      <c r="C161" s="141">
        <f t="shared" si="63"/>
        <v>12</v>
      </c>
      <c r="D161" s="142">
        <v>142</v>
      </c>
      <c r="E161" s="143">
        <f t="shared" si="76"/>
        <v>0</v>
      </c>
      <c r="F161" s="144">
        <f t="shared" si="64"/>
        <v>0</v>
      </c>
      <c r="G161" s="144">
        <f t="shared" si="65"/>
        <v>0</v>
      </c>
      <c r="H161" s="169">
        <f t="shared" si="59"/>
        <v>0</v>
      </c>
      <c r="I161" s="143">
        <f t="shared" si="77"/>
        <v>0</v>
      </c>
      <c r="J161" s="144">
        <f t="shared" si="66"/>
        <v>0</v>
      </c>
      <c r="K161" s="144">
        <f t="shared" si="67"/>
        <v>0</v>
      </c>
      <c r="L161" s="169">
        <f t="shared" si="58"/>
        <v>0</v>
      </c>
      <c r="M161" s="143">
        <f t="shared" si="78"/>
        <v>0</v>
      </c>
      <c r="N161" s="144">
        <f t="shared" si="68"/>
        <v>0</v>
      </c>
      <c r="O161" s="144">
        <f t="shared" si="69"/>
        <v>0</v>
      </c>
      <c r="P161" s="169">
        <f t="shared" si="60"/>
        <v>0</v>
      </c>
      <c r="R161" s="143">
        <f t="shared" si="79"/>
        <v>0</v>
      </c>
      <c r="S161" s="144">
        <f t="shared" si="70"/>
        <v>0</v>
      </c>
      <c r="T161" s="144">
        <f t="shared" si="71"/>
        <v>0</v>
      </c>
      <c r="U161" s="169">
        <f t="shared" si="72"/>
        <v>0</v>
      </c>
      <c r="V161" s="143">
        <f t="shared" si="80"/>
        <v>0</v>
      </c>
      <c r="W161" s="144">
        <f t="shared" si="73"/>
        <v>0</v>
      </c>
      <c r="X161" s="144">
        <f t="shared" si="74"/>
        <v>0</v>
      </c>
      <c r="Y161" s="169">
        <f t="shared" si="75"/>
        <v>0</v>
      </c>
      <c r="Z161" s="151">
        <v>0</v>
      </c>
      <c r="AA161" s="151">
        <v>0</v>
      </c>
      <c r="AB161" s="151">
        <v>0</v>
      </c>
      <c r="AC161" s="151">
        <v>0</v>
      </c>
    </row>
    <row r="162" spans="1:29" s="61" customFormat="1" ht="11.25">
      <c r="A162" s="147">
        <f t="shared" si="61"/>
        <v>0</v>
      </c>
      <c r="B162" s="152">
        <f t="shared" si="62"/>
        <v>0</v>
      </c>
      <c r="C162" s="141">
        <f t="shared" si="63"/>
        <v>12</v>
      </c>
      <c r="D162" s="142">
        <v>143</v>
      </c>
      <c r="E162" s="143">
        <f t="shared" si="76"/>
        <v>0</v>
      </c>
      <c r="F162" s="144">
        <f t="shared" si="64"/>
        <v>0</v>
      </c>
      <c r="G162" s="144">
        <f t="shared" si="65"/>
        <v>0</v>
      </c>
      <c r="H162" s="169">
        <f t="shared" si="59"/>
        <v>0</v>
      </c>
      <c r="I162" s="143">
        <f t="shared" si="77"/>
        <v>0</v>
      </c>
      <c r="J162" s="144">
        <f t="shared" si="66"/>
        <v>0</v>
      </c>
      <c r="K162" s="144">
        <f t="shared" si="67"/>
        <v>0</v>
      </c>
      <c r="L162" s="169">
        <f t="shared" si="58"/>
        <v>0</v>
      </c>
      <c r="M162" s="143">
        <f t="shared" si="78"/>
        <v>0</v>
      </c>
      <c r="N162" s="144">
        <f t="shared" si="68"/>
        <v>0</v>
      </c>
      <c r="O162" s="144">
        <f t="shared" si="69"/>
        <v>0</v>
      </c>
      <c r="P162" s="169">
        <f t="shared" si="60"/>
        <v>0</v>
      </c>
      <c r="R162" s="143">
        <f t="shared" si="79"/>
        <v>0</v>
      </c>
      <c r="S162" s="144">
        <f t="shared" si="70"/>
        <v>0</v>
      </c>
      <c r="T162" s="144">
        <f t="shared" si="71"/>
        <v>0</v>
      </c>
      <c r="U162" s="169">
        <f t="shared" si="72"/>
        <v>0</v>
      </c>
      <c r="V162" s="143">
        <f t="shared" si="80"/>
        <v>0</v>
      </c>
      <c r="W162" s="144">
        <f t="shared" si="73"/>
        <v>0</v>
      </c>
      <c r="X162" s="144">
        <f t="shared" si="74"/>
        <v>0</v>
      </c>
      <c r="Y162" s="169">
        <f t="shared" si="75"/>
        <v>0</v>
      </c>
      <c r="Z162" s="151">
        <v>0</v>
      </c>
      <c r="AA162" s="151">
        <v>0</v>
      </c>
      <c r="AB162" s="151">
        <v>0</v>
      </c>
      <c r="AC162" s="151">
        <v>0</v>
      </c>
    </row>
    <row r="163" spans="1:29" s="61" customFormat="1" ht="12" thickBot="1">
      <c r="A163" s="153">
        <f t="shared" si="61"/>
        <v>0</v>
      </c>
      <c r="B163" s="154">
        <f t="shared" si="62"/>
        <v>0</v>
      </c>
      <c r="C163" s="155">
        <f t="shared" si="63"/>
        <v>12</v>
      </c>
      <c r="D163" s="156">
        <v>144</v>
      </c>
      <c r="E163" s="157">
        <f t="shared" si="76"/>
        <v>0</v>
      </c>
      <c r="F163" s="158">
        <f t="shared" si="64"/>
        <v>0</v>
      </c>
      <c r="G163" s="158">
        <f t="shared" si="65"/>
        <v>0</v>
      </c>
      <c r="H163" s="172">
        <f t="shared" si="59"/>
        <v>0</v>
      </c>
      <c r="I163" s="157">
        <f t="shared" si="77"/>
        <v>0</v>
      </c>
      <c r="J163" s="158">
        <f t="shared" si="66"/>
        <v>0</v>
      </c>
      <c r="K163" s="158">
        <f t="shared" si="67"/>
        <v>0</v>
      </c>
      <c r="L163" s="172">
        <f t="shared" si="58"/>
        <v>0</v>
      </c>
      <c r="M163" s="157">
        <f t="shared" si="78"/>
        <v>0</v>
      </c>
      <c r="N163" s="158">
        <f t="shared" si="68"/>
        <v>0</v>
      </c>
      <c r="O163" s="158">
        <f t="shared" si="69"/>
        <v>0</v>
      </c>
      <c r="P163" s="172">
        <f t="shared" si="60"/>
        <v>0</v>
      </c>
      <c r="R163" s="157">
        <f t="shared" si="79"/>
        <v>0</v>
      </c>
      <c r="S163" s="158">
        <f t="shared" si="70"/>
        <v>0</v>
      </c>
      <c r="T163" s="158">
        <f t="shared" si="71"/>
        <v>0</v>
      </c>
      <c r="U163" s="172">
        <f t="shared" si="72"/>
        <v>0</v>
      </c>
      <c r="V163" s="157">
        <f t="shared" si="80"/>
        <v>0</v>
      </c>
      <c r="W163" s="158">
        <f t="shared" si="73"/>
        <v>0</v>
      </c>
      <c r="X163" s="158">
        <f t="shared" si="74"/>
        <v>0</v>
      </c>
      <c r="Y163" s="172">
        <f t="shared" si="75"/>
        <v>0</v>
      </c>
      <c r="Z163" s="151">
        <v>0</v>
      </c>
      <c r="AA163" s="151">
        <v>0</v>
      </c>
      <c r="AB163" s="151">
        <v>0</v>
      </c>
      <c r="AC163" s="151">
        <v>0</v>
      </c>
    </row>
    <row r="164" spans="1:29" s="61" customFormat="1" ht="11.25">
      <c r="A164" s="147">
        <f t="shared" si="61"/>
        <v>0</v>
      </c>
      <c r="B164" s="152">
        <f t="shared" si="62"/>
        <v>0</v>
      </c>
      <c r="C164" s="141">
        <f t="shared" si="63"/>
        <v>13</v>
      </c>
      <c r="D164" s="142">
        <v>145</v>
      </c>
      <c r="E164" s="143">
        <f t="shared" si="76"/>
        <v>0</v>
      </c>
      <c r="F164" s="144">
        <f t="shared" si="64"/>
        <v>0</v>
      </c>
      <c r="G164" s="144">
        <f t="shared" si="65"/>
        <v>0</v>
      </c>
      <c r="H164" s="169">
        <f t="shared" si="59"/>
        <v>0</v>
      </c>
      <c r="I164" s="143">
        <f t="shared" si="77"/>
        <v>0</v>
      </c>
      <c r="J164" s="144">
        <f t="shared" si="66"/>
        <v>0</v>
      </c>
      <c r="K164" s="144">
        <f t="shared" si="67"/>
        <v>0</v>
      </c>
      <c r="L164" s="169">
        <f t="shared" si="58"/>
        <v>0</v>
      </c>
      <c r="M164" s="143">
        <f t="shared" si="78"/>
        <v>0</v>
      </c>
      <c r="N164" s="144">
        <f t="shared" si="68"/>
        <v>0</v>
      </c>
      <c r="O164" s="144">
        <f t="shared" si="69"/>
        <v>0</v>
      </c>
      <c r="P164" s="169">
        <f t="shared" si="60"/>
        <v>0</v>
      </c>
      <c r="R164" s="143">
        <f t="shared" si="79"/>
        <v>0</v>
      </c>
      <c r="S164" s="144">
        <f t="shared" si="70"/>
        <v>0</v>
      </c>
      <c r="T164" s="144">
        <f t="shared" si="71"/>
        <v>0</v>
      </c>
      <c r="U164" s="169">
        <f t="shared" si="72"/>
        <v>0</v>
      </c>
      <c r="V164" s="143">
        <f t="shared" si="80"/>
        <v>0</v>
      </c>
      <c r="W164" s="144">
        <f t="shared" si="73"/>
        <v>0</v>
      </c>
      <c r="X164" s="144">
        <f t="shared" si="74"/>
        <v>0</v>
      </c>
      <c r="Y164" s="169">
        <f t="shared" si="75"/>
        <v>0</v>
      </c>
      <c r="Z164" s="151">
        <v>0</v>
      </c>
      <c r="AA164" s="151">
        <v>0</v>
      </c>
      <c r="AB164" s="151">
        <v>0</v>
      </c>
      <c r="AC164" s="151">
        <v>0</v>
      </c>
    </row>
    <row r="165" spans="1:29" s="61" customFormat="1" ht="11.25">
      <c r="A165" s="147">
        <f t="shared" si="61"/>
        <v>0</v>
      </c>
      <c r="B165" s="152">
        <f t="shared" si="62"/>
        <v>0</v>
      </c>
      <c r="C165" s="141">
        <f t="shared" si="63"/>
        <v>13</v>
      </c>
      <c r="D165" s="142">
        <v>146</v>
      </c>
      <c r="E165" s="143">
        <f t="shared" si="76"/>
        <v>0</v>
      </c>
      <c r="F165" s="144">
        <f t="shared" si="64"/>
        <v>0</v>
      </c>
      <c r="G165" s="144">
        <f t="shared" si="65"/>
        <v>0</v>
      </c>
      <c r="H165" s="169">
        <f t="shared" si="59"/>
        <v>0</v>
      </c>
      <c r="I165" s="143">
        <f t="shared" si="77"/>
        <v>0</v>
      </c>
      <c r="J165" s="144">
        <f t="shared" si="66"/>
        <v>0</v>
      </c>
      <c r="K165" s="144">
        <f t="shared" si="67"/>
        <v>0</v>
      </c>
      <c r="L165" s="169">
        <f t="shared" si="58"/>
        <v>0</v>
      </c>
      <c r="M165" s="143">
        <f t="shared" si="78"/>
        <v>0</v>
      </c>
      <c r="N165" s="144">
        <f t="shared" si="68"/>
        <v>0</v>
      </c>
      <c r="O165" s="144">
        <f t="shared" si="69"/>
        <v>0</v>
      </c>
      <c r="P165" s="169">
        <f t="shared" si="60"/>
        <v>0</v>
      </c>
      <c r="R165" s="143">
        <f t="shared" si="79"/>
        <v>0</v>
      </c>
      <c r="S165" s="144">
        <f t="shared" si="70"/>
        <v>0</v>
      </c>
      <c r="T165" s="144">
        <f t="shared" si="71"/>
        <v>0</v>
      </c>
      <c r="U165" s="169">
        <f t="shared" si="72"/>
        <v>0</v>
      </c>
      <c r="V165" s="143">
        <f t="shared" si="80"/>
        <v>0</v>
      </c>
      <c r="W165" s="144">
        <f t="shared" si="73"/>
        <v>0</v>
      </c>
      <c r="X165" s="144">
        <f t="shared" si="74"/>
        <v>0</v>
      </c>
      <c r="Y165" s="169">
        <f t="shared" si="75"/>
        <v>0</v>
      </c>
      <c r="Z165" s="151">
        <v>0</v>
      </c>
      <c r="AA165" s="151">
        <v>0</v>
      </c>
      <c r="AB165" s="151">
        <v>0</v>
      </c>
      <c r="AC165" s="151">
        <v>0</v>
      </c>
    </row>
    <row r="166" spans="1:29" s="61" customFormat="1" ht="11.25">
      <c r="A166" s="147">
        <f t="shared" si="61"/>
        <v>0</v>
      </c>
      <c r="B166" s="152">
        <f t="shared" si="62"/>
        <v>0</v>
      </c>
      <c r="C166" s="141">
        <f t="shared" si="63"/>
        <v>13</v>
      </c>
      <c r="D166" s="142">
        <v>147</v>
      </c>
      <c r="E166" s="143">
        <f t="shared" si="76"/>
        <v>0</v>
      </c>
      <c r="F166" s="144">
        <f t="shared" si="64"/>
        <v>0</v>
      </c>
      <c r="G166" s="144">
        <f t="shared" si="65"/>
        <v>0</v>
      </c>
      <c r="H166" s="169">
        <f t="shared" si="59"/>
        <v>0</v>
      </c>
      <c r="I166" s="143">
        <f t="shared" si="77"/>
        <v>0</v>
      </c>
      <c r="J166" s="144">
        <f t="shared" si="66"/>
        <v>0</v>
      </c>
      <c r="K166" s="144">
        <f t="shared" si="67"/>
        <v>0</v>
      </c>
      <c r="L166" s="169">
        <f t="shared" si="58"/>
        <v>0</v>
      </c>
      <c r="M166" s="143">
        <f t="shared" si="78"/>
        <v>0</v>
      </c>
      <c r="N166" s="144">
        <f t="shared" si="68"/>
        <v>0</v>
      </c>
      <c r="O166" s="144">
        <f t="shared" si="69"/>
        <v>0</v>
      </c>
      <c r="P166" s="169">
        <f t="shared" si="60"/>
        <v>0</v>
      </c>
      <c r="R166" s="143">
        <f t="shared" si="79"/>
        <v>0</v>
      </c>
      <c r="S166" s="144">
        <f t="shared" si="70"/>
        <v>0</v>
      </c>
      <c r="T166" s="144">
        <f t="shared" si="71"/>
        <v>0</v>
      </c>
      <c r="U166" s="169">
        <f t="shared" si="72"/>
        <v>0</v>
      </c>
      <c r="V166" s="143">
        <f t="shared" si="80"/>
        <v>0</v>
      </c>
      <c r="W166" s="144">
        <f t="shared" si="73"/>
        <v>0</v>
      </c>
      <c r="X166" s="144">
        <f t="shared" si="74"/>
        <v>0</v>
      </c>
      <c r="Y166" s="169">
        <f t="shared" si="75"/>
        <v>0</v>
      </c>
      <c r="Z166" s="151">
        <v>0</v>
      </c>
      <c r="AA166" s="151">
        <v>0</v>
      </c>
      <c r="AB166" s="151">
        <v>0</v>
      </c>
      <c r="AC166" s="151">
        <v>0</v>
      </c>
    </row>
    <row r="167" spans="1:29" s="61" customFormat="1" ht="11.25">
      <c r="A167" s="147">
        <f t="shared" si="61"/>
        <v>0</v>
      </c>
      <c r="B167" s="152">
        <f t="shared" si="62"/>
        <v>0</v>
      </c>
      <c r="C167" s="141">
        <f t="shared" si="63"/>
        <v>13</v>
      </c>
      <c r="D167" s="142">
        <v>148</v>
      </c>
      <c r="E167" s="143">
        <f t="shared" si="76"/>
        <v>0</v>
      </c>
      <c r="F167" s="144">
        <f t="shared" si="64"/>
        <v>0</v>
      </c>
      <c r="G167" s="144">
        <f t="shared" si="65"/>
        <v>0</v>
      </c>
      <c r="H167" s="169">
        <f t="shared" si="59"/>
        <v>0</v>
      </c>
      <c r="I167" s="143">
        <f t="shared" si="77"/>
        <v>0</v>
      </c>
      <c r="J167" s="144">
        <f t="shared" si="66"/>
        <v>0</v>
      </c>
      <c r="K167" s="144">
        <f t="shared" si="67"/>
        <v>0</v>
      </c>
      <c r="L167" s="169">
        <f t="shared" si="58"/>
        <v>0</v>
      </c>
      <c r="M167" s="143">
        <f t="shared" si="78"/>
        <v>0</v>
      </c>
      <c r="N167" s="144">
        <f t="shared" si="68"/>
        <v>0</v>
      </c>
      <c r="O167" s="144">
        <f t="shared" si="69"/>
        <v>0</v>
      </c>
      <c r="P167" s="169">
        <f t="shared" si="60"/>
        <v>0</v>
      </c>
      <c r="R167" s="143">
        <f t="shared" si="79"/>
        <v>0</v>
      </c>
      <c r="S167" s="144">
        <f t="shared" si="70"/>
        <v>0</v>
      </c>
      <c r="T167" s="144">
        <f t="shared" si="71"/>
        <v>0</v>
      </c>
      <c r="U167" s="169">
        <f t="shared" si="72"/>
        <v>0</v>
      </c>
      <c r="V167" s="143">
        <f t="shared" si="80"/>
        <v>0</v>
      </c>
      <c r="W167" s="144">
        <f t="shared" si="73"/>
        <v>0</v>
      </c>
      <c r="X167" s="144">
        <f t="shared" si="74"/>
        <v>0</v>
      </c>
      <c r="Y167" s="169">
        <f t="shared" si="75"/>
        <v>0</v>
      </c>
      <c r="Z167" s="151">
        <v>0</v>
      </c>
      <c r="AA167" s="151">
        <v>0</v>
      </c>
      <c r="AB167" s="151">
        <v>0</v>
      </c>
      <c r="AC167" s="151">
        <v>0</v>
      </c>
    </row>
    <row r="168" spans="1:29" s="61" customFormat="1" ht="11.25">
      <c r="A168" s="147">
        <f t="shared" si="61"/>
        <v>0</v>
      </c>
      <c r="B168" s="152">
        <f t="shared" si="62"/>
        <v>0</v>
      </c>
      <c r="C168" s="141">
        <f t="shared" si="63"/>
        <v>13</v>
      </c>
      <c r="D168" s="142">
        <v>149</v>
      </c>
      <c r="E168" s="143">
        <f t="shared" si="76"/>
        <v>0</v>
      </c>
      <c r="F168" s="144">
        <f t="shared" si="64"/>
        <v>0</v>
      </c>
      <c r="G168" s="144">
        <f t="shared" si="65"/>
        <v>0</v>
      </c>
      <c r="H168" s="169">
        <f t="shared" si="59"/>
        <v>0</v>
      </c>
      <c r="I168" s="143">
        <f t="shared" si="77"/>
        <v>0</v>
      </c>
      <c r="J168" s="144">
        <f t="shared" si="66"/>
        <v>0</v>
      </c>
      <c r="K168" s="144">
        <f t="shared" si="67"/>
        <v>0</v>
      </c>
      <c r="L168" s="169">
        <f t="shared" si="58"/>
        <v>0</v>
      </c>
      <c r="M168" s="143">
        <f t="shared" si="78"/>
        <v>0</v>
      </c>
      <c r="N168" s="144">
        <f t="shared" si="68"/>
        <v>0</v>
      </c>
      <c r="O168" s="144">
        <f t="shared" si="69"/>
        <v>0</v>
      </c>
      <c r="P168" s="169">
        <f t="shared" si="60"/>
        <v>0</v>
      </c>
      <c r="R168" s="143">
        <f t="shared" si="79"/>
        <v>0</v>
      </c>
      <c r="S168" s="144">
        <f t="shared" si="70"/>
        <v>0</v>
      </c>
      <c r="T168" s="144">
        <f t="shared" si="71"/>
        <v>0</v>
      </c>
      <c r="U168" s="169">
        <f t="shared" si="72"/>
        <v>0</v>
      </c>
      <c r="V168" s="143">
        <f t="shared" si="80"/>
        <v>0</v>
      </c>
      <c r="W168" s="144">
        <f t="shared" si="73"/>
        <v>0</v>
      </c>
      <c r="X168" s="144">
        <f t="shared" si="74"/>
        <v>0</v>
      </c>
      <c r="Y168" s="169">
        <f t="shared" si="75"/>
        <v>0</v>
      </c>
      <c r="Z168" s="151">
        <v>0</v>
      </c>
      <c r="AA168" s="151">
        <v>0</v>
      </c>
      <c r="AB168" s="151">
        <v>0</v>
      </c>
      <c r="AC168" s="151">
        <v>0</v>
      </c>
    </row>
    <row r="169" spans="1:29" s="61" customFormat="1" ht="11.25">
      <c r="A169" s="147">
        <f t="shared" si="61"/>
        <v>0</v>
      </c>
      <c r="B169" s="152">
        <f t="shared" si="62"/>
        <v>0</v>
      </c>
      <c r="C169" s="141">
        <f t="shared" si="63"/>
        <v>13</v>
      </c>
      <c r="D169" s="142">
        <v>150</v>
      </c>
      <c r="E169" s="143">
        <f t="shared" si="76"/>
        <v>0</v>
      </c>
      <c r="F169" s="144">
        <f t="shared" si="64"/>
        <v>0</v>
      </c>
      <c r="G169" s="144">
        <f t="shared" si="65"/>
        <v>0</v>
      </c>
      <c r="H169" s="169">
        <f t="shared" si="59"/>
        <v>0</v>
      </c>
      <c r="I169" s="143">
        <f t="shared" si="77"/>
        <v>0</v>
      </c>
      <c r="J169" s="144">
        <f t="shared" si="66"/>
        <v>0</v>
      </c>
      <c r="K169" s="144">
        <f t="shared" si="67"/>
        <v>0</v>
      </c>
      <c r="L169" s="169">
        <f t="shared" si="58"/>
        <v>0</v>
      </c>
      <c r="M169" s="143">
        <f t="shared" si="78"/>
        <v>0</v>
      </c>
      <c r="N169" s="144">
        <f t="shared" si="68"/>
        <v>0</v>
      </c>
      <c r="O169" s="144">
        <f t="shared" si="69"/>
        <v>0</v>
      </c>
      <c r="P169" s="169">
        <f t="shared" si="60"/>
        <v>0</v>
      </c>
      <c r="R169" s="143">
        <f t="shared" si="79"/>
        <v>0</v>
      </c>
      <c r="S169" s="144">
        <f t="shared" si="70"/>
        <v>0</v>
      </c>
      <c r="T169" s="144">
        <f t="shared" si="71"/>
        <v>0</v>
      </c>
      <c r="U169" s="169">
        <f t="shared" si="72"/>
        <v>0</v>
      </c>
      <c r="V169" s="143">
        <f t="shared" si="80"/>
        <v>0</v>
      </c>
      <c r="W169" s="144">
        <f t="shared" si="73"/>
        <v>0</v>
      </c>
      <c r="X169" s="144">
        <f t="shared" si="74"/>
        <v>0</v>
      </c>
      <c r="Y169" s="169">
        <f t="shared" si="75"/>
        <v>0</v>
      </c>
      <c r="Z169" s="151">
        <v>0</v>
      </c>
      <c r="AA169" s="151">
        <v>0</v>
      </c>
      <c r="AB169" s="151">
        <v>0</v>
      </c>
      <c r="AC169" s="151">
        <v>0</v>
      </c>
    </row>
    <row r="170" spans="1:29" s="61" customFormat="1" ht="11.25">
      <c r="A170" s="147">
        <f t="shared" si="61"/>
        <v>0</v>
      </c>
      <c r="B170" s="152">
        <f t="shared" si="62"/>
        <v>0</v>
      </c>
      <c r="C170" s="141">
        <f t="shared" si="63"/>
        <v>13</v>
      </c>
      <c r="D170" s="142">
        <v>151</v>
      </c>
      <c r="E170" s="143">
        <f t="shared" si="76"/>
        <v>0</v>
      </c>
      <c r="F170" s="144">
        <f t="shared" si="64"/>
        <v>0</v>
      </c>
      <c r="G170" s="144">
        <f t="shared" si="65"/>
        <v>0</v>
      </c>
      <c r="H170" s="169">
        <f t="shared" si="59"/>
        <v>0</v>
      </c>
      <c r="I170" s="143">
        <f t="shared" si="77"/>
        <v>0</v>
      </c>
      <c r="J170" s="144">
        <f t="shared" si="66"/>
        <v>0</v>
      </c>
      <c r="K170" s="144">
        <f t="shared" si="67"/>
        <v>0</v>
      </c>
      <c r="L170" s="169">
        <f t="shared" si="58"/>
        <v>0</v>
      </c>
      <c r="M170" s="143">
        <f t="shared" si="78"/>
        <v>0</v>
      </c>
      <c r="N170" s="144">
        <f t="shared" si="68"/>
        <v>0</v>
      </c>
      <c r="O170" s="144">
        <f t="shared" si="69"/>
        <v>0</v>
      </c>
      <c r="P170" s="169">
        <f t="shared" si="60"/>
        <v>0</v>
      </c>
      <c r="R170" s="143">
        <f t="shared" si="79"/>
        <v>0</v>
      </c>
      <c r="S170" s="144">
        <f t="shared" si="70"/>
        <v>0</v>
      </c>
      <c r="T170" s="144">
        <f t="shared" si="71"/>
        <v>0</v>
      </c>
      <c r="U170" s="169">
        <f t="shared" si="72"/>
        <v>0</v>
      </c>
      <c r="V170" s="143">
        <f t="shared" si="80"/>
        <v>0</v>
      </c>
      <c r="W170" s="144">
        <f t="shared" si="73"/>
        <v>0</v>
      </c>
      <c r="X170" s="144">
        <f t="shared" si="74"/>
        <v>0</v>
      </c>
      <c r="Y170" s="169">
        <f t="shared" si="75"/>
        <v>0</v>
      </c>
      <c r="Z170" s="151">
        <v>0</v>
      </c>
      <c r="AA170" s="151">
        <v>0</v>
      </c>
      <c r="AB170" s="151">
        <v>0</v>
      </c>
      <c r="AC170" s="151">
        <v>0</v>
      </c>
    </row>
    <row r="171" spans="1:29" s="61" customFormat="1" ht="11.25">
      <c r="A171" s="147">
        <f t="shared" si="61"/>
        <v>0</v>
      </c>
      <c r="B171" s="152">
        <f t="shared" si="62"/>
        <v>0</v>
      </c>
      <c r="C171" s="141">
        <f t="shared" si="63"/>
        <v>13</v>
      </c>
      <c r="D171" s="142">
        <v>152</v>
      </c>
      <c r="E171" s="143">
        <f t="shared" si="76"/>
        <v>0</v>
      </c>
      <c r="F171" s="144">
        <f t="shared" si="64"/>
        <v>0</v>
      </c>
      <c r="G171" s="144">
        <f t="shared" si="65"/>
        <v>0</v>
      </c>
      <c r="H171" s="169">
        <f t="shared" si="59"/>
        <v>0</v>
      </c>
      <c r="I171" s="143">
        <f t="shared" si="77"/>
        <v>0</v>
      </c>
      <c r="J171" s="144">
        <f t="shared" si="66"/>
        <v>0</v>
      </c>
      <c r="K171" s="144">
        <f t="shared" si="67"/>
        <v>0</v>
      </c>
      <c r="L171" s="169">
        <f t="shared" si="58"/>
        <v>0</v>
      </c>
      <c r="M171" s="143">
        <f t="shared" si="78"/>
        <v>0</v>
      </c>
      <c r="N171" s="144">
        <f t="shared" si="68"/>
        <v>0</v>
      </c>
      <c r="O171" s="144">
        <f t="shared" si="69"/>
        <v>0</v>
      </c>
      <c r="P171" s="169">
        <f t="shared" si="60"/>
        <v>0</v>
      </c>
      <c r="R171" s="143">
        <f t="shared" si="79"/>
        <v>0</v>
      </c>
      <c r="S171" s="144">
        <f t="shared" si="70"/>
        <v>0</v>
      </c>
      <c r="T171" s="144">
        <f t="shared" si="71"/>
        <v>0</v>
      </c>
      <c r="U171" s="169">
        <f t="shared" si="72"/>
        <v>0</v>
      </c>
      <c r="V171" s="143">
        <f t="shared" si="80"/>
        <v>0</v>
      </c>
      <c r="W171" s="144">
        <f t="shared" si="73"/>
        <v>0</v>
      </c>
      <c r="X171" s="144">
        <f t="shared" si="74"/>
        <v>0</v>
      </c>
      <c r="Y171" s="169">
        <f t="shared" si="75"/>
        <v>0</v>
      </c>
      <c r="Z171" s="151">
        <v>0</v>
      </c>
      <c r="AA171" s="151">
        <v>0</v>
      </c>
      <c r="AB171" s="151">
        <v>0</v>
      </c>
      <c r="AC171" s="151">
        <v>0</v>
      </c>
    </row>
    <row r="172" spans="1:29" s="61" customFormat="1" ht="11.25">
      <c r="A172" s="147">
        <f t="shared" si="61"/>
        <v>0</v>
      </c>
      <c r="B172" s="152">
        <f t="shared" si="62"/>
        <v>0</v>
      </c>
      <c r="C172" s="141">
        <f t="shared" si="63"/>
        <v>13</v>
      </c>
      <c r="D172" s="142">
        <v>153</v>
      </c>
      <c r="E172" s="143">
        <f t="shared" si="76"/>
        <v>0</v>
      </c>
      <c r="F172" s="144">
        <f t="shared" si="64"/>
        <v>0</v>
      </c>
      <c r="G172" s="144">
        <f t="shared" si="65"/>
        <v>0</v>
      </c>
      <c r="H172" s="169">
        <f t="shared" si="59"/>
        <v>0</v>
      </c>
      <c r="I172" s="143">
        <f t="shared" si="77"/>
        <v>0</v>
      </c>
      <c r="J172" s="144">
        <f t="shared" si="66"/>
        <v>0</v>
      </c>
      <c r="K172" s="144">
        <f t="shared" si="67"/>
        <v>0</v>
      </c>
      <c r="L172" s="169">
        <f t="shared" si="58"/>
        <v>0</v>
      </c>
      <c r="M172" s="143">
        <f t="shared" si="78"/>
        <v>0</v>
      </c>
      <c r="N172" s="144">
        <f t="shared" si="68"/>
        <v>0</v>
      </c>
      <c r="O172" s="144">
        <f t="shared" si="69"/>
        <v>0</v>
      </c>
      <c r="P172" s="169">
        <f t="shared" si="60"/>
        <v>0</v>
      </c>
      <c r="R172" s="143">
        <f t="shared" si="79"/>
        <v>0</v>
      </c>
      <c r="S172" s="144">
        <f t="shared" si="70"/>
        <v>0</v>
      </c>
      <c r="T172" s="144">
        <f t="shared" si="71"/>
        <v>0</v>
      </c>
      <c r="U172" s="169">
        <f t="shared" si="72"/>
        <v>0</v>
      </c>
      <c r="V172" s="143">
        <f t="shared" si="80"/>
        <v>0</v>
      </c>
      <c r="W172" s="144">
        <f t="shared" si="73"/>
        <v>0</v>
      </c>
      <c r="X172" s="144">
        <f t="shared" si="74"/>
        <v>0</v>
      </c>
      <c r="Y172" s="169">
        <f t="shared" si="75"/>
        <v>0</v>
      </c>
      <c r="Z172" s="151">
        <v>0</v>
      </c>
      <c r="AA172" s="151">
        <v>0</v>
      </c>
      <c r="AB172" s="151">
        <v>0</v>
      </c>
      <c r="AC172" s="151">
        <v>0</v>
      </c>
    </row>
    <row r="173" spans="1:29" s="61" customFormat="1" ht="11.25">
      <c r="A173" s="147">
        <f t="shared" si="61"/>
        <v>0</v>
      </c>
      <c r="B173" s="152">
        <f t="shared" si="62"/>
        <v>0</v>
      </c>
      <c r="C173" s="141">
        <f t="shared" si="63"/>
        <v>13</v>
      </c>
      <c r="D173" s="142">
        <v>154</v>
      </c>
      <c r="E173" s="143">
        <f t="shared" si="76"/>
        <v>0</v>
      </c>
      <c r="F173" s="144">
        <f t="shared" si="64"/>
        <v>0</v>
      </c>
      <c r="G173" s="144">
        <f t="shared" si="65"/>
        <v>0</v>
      </c>
      <c r="H173" s="169">
        <f t="shared" si="59"/>
        <v>0</v>
      </c>
      <c r="I173" s="143">
        <f t="shared" si="77"/>
        <v>0</v>
      </c>
      <c r="J173" s="144">
        <f t="shared" si="66"/>
        <v>0</v>
      </c>
      <c r="K173" s="144">
        <f t="shared" si="67"/>
        <v>0</v>
      </c>
      <c r="L173" s="169">
        <f t="shared" si="58"/>
        <v>0</v>
      </c>
      <c r="M173" s="143">
        <f t="shared" si="78"/>
        <v>0</v>
      </c>
      <c r="N173" s="144">
        <f t="shared" si="68"/>
        <v>0</v>
      </c>
      <c r="O173" s="144">
        <f t="shared" si="69"/>
        <v>0</v>
      </c>
      <c r="P173" s="169">
        <f t="shared" si="60"/>
        <v>0</v>
      </c>
      <c r="R173" s="143">
        <f t="shared" si="79"/>
        <v>0</v>
      </c>
      <c r="S173" s="144">
        <f t="shared" si="70"/>
        <v>0</v>
      </c>
      <c r="T173" s="144">
        <f t="shared" si="71"/>
        <v>0</v>
      </c>
      <c r="U173" s="169">
        <f t="shared" si="72"/>
        <v>0</v>
      </c>
      <c r="V173" s="143">
        <f t="shared" si="80"/>
        <v>0</v>
      </c>
      <c r="W173" s="144">
        <f t="shared" si="73"/>
        <v>0</v>
      </c>
      <c r="X173" s="144">
        <f t="shared" si="74"/>
        <v>0</v>
      </c>
      <c r="Y173" s="169">
        <f t="shared" si="75"/>
        <v>0</v>
      </c>
      <c r="Z173" s="151">
        <v>0</v>
      </c>
      <c r="AA173" s="151">
        <v>0</v>
      </c>
      <c r="AB173" s="151">
        <v>0</v>
      </c>
      <c r="AC173" s="151">
        <v>0</v>
      </c>
    </row>
    <row r="174" spans="1:29" s="61" customFormat="1" ht="11.25">
      <c r="A174" s="147">
        <f t="shared" si="61"/>
        <v>0</v>
      </c>
      <c r="B174" s="152">
        <f t="shared" si="62"/>
        <v>0</v>
      </c>
      <c r="C174" s="141">
        <f t="shared" si="63"/>
        <v>13</v>
      </c>
      <c r="D174" s="142">
        <v>155</v>
      </c>
      <c r="E174" s="143">
        <f t="shared" si="76"/>
        <v>0</v>
      </c>
      <c r="F174" s="144">
        <f t="shared" si="64"/>
        <v>0</v>
      </c>
      <c r="G174" s="144">
        <f t="shared" si="65"/>
        <v>0</v>
      </c>
      <c r="H174" s="169">
        <f t="shared" si="59"/>
        <v>0</v>
      </c>
      <c r="I174" s="143">
        <f t="shared" si="77"/>
        <v>0</v>
      </c>
      <c r="J174" s="144">
        <f t="shared" si="66"/>
        <v>0</v>
      </c>
      <c r="K174" s="144">
        <f t="shared" si="67"/>
        <v>0</v>
      </c>
      <c r="L174" s="169">
        <f t="shared" si="58"/>
        <v>0</v>
      </c>
      <c r="M174" s="143">
        <f t="shared" si="78"/>
        <v>0</v>
      </c>
      <c r="N174" s="144">
        <f t="shared" si="68"/>
        <v>0</v>
      </c>
      <c r="O174" s="144">
        <f t="shared" si="69"/>
        <v>0</v>
      </c>
      <c r="P174" s="169">
        <f t="shared" si="60"/>
        <v>0</v>
      </c>
      <c r="R174" s="143">
        <f t="shared" si="79"/>
        <v>0</v>
      </c>
      <c r="S174" s="144">
        <f t="shared" si="70"/>
        <v>0</v>
      </c>
      <c r="T174" s="144">
        <f t="shared" si="71"/>
        <v>0</v>
      </c>
      <c r="U174" s="169">
        <f t="shared" si="72"/>
        <v>0</v>
      </c>
      <c r="V174" s="143">
        <f t="shared" si="80"/>
        <v>0</v>
      </c>
      <c r="W174" s="144">
        <f t="shared" si="73"/>
        <v>0</v>
      </c>
      <c r="X174" s="144">
        <f t="shared" si="74"/>
        <v>0</v>
      </c>
      <c r="Y174" s="169">
        <f t="shared" si="75"/>
        <v>0</v>
      </c>
      <c r="Z174" s="151">
        <v>0</v>
      </c>
      <c r="AA174" s="151">
        <v>0</v>
      </c>
      <c r="AB174" s="151">
        <v>0</v>
      </c>
      <c r="AC174" s="151">
        <v>0</v>
      </c>
    </row>
    <row r="175" spans="1:29" s="61" customFormat="1" ht="12" thickBot="1">
      <c r="A175" s="153">
        <f t="shared" si="61"/>
        <v>0</v>
      </c>
      <c r="B175" s="154">
        <f t="shared" si="62"/>
        <v>0</v>
      </c>
      <c r="C175" s="155">
        <f t="shared" si="63"/>
        <v>13</v>
      </c>
      <c r="D175" s="156">
        <v>156</v>
      </c>
      <c r="E175" s="157">
        <f t="shared" si="76"/>
        <v>0</v>
      </c>
      <c r="F175" s="158">
        <f t="shared" si="64"/>
        <v>0</v>
      </c>
      <c r="G175" s="158">
        <f t="shared" si="65"/>
        <v>0</v>
      </c>
      <c r="H175" s="172">
        <f t="shared" si="59"/>
        <v>0</v>
      </c>
      <c r="I175" s="157">
        <f t="shared" si="77"/>
        <v>0</v>
      </c>
      <c r="J175" s="158">
        <f t="shared" si="66"/>
        <v>0</v>
      </c>
      <c r="K175" s="158">
        <f t="shared" si="67"/>
        <v>0</v>
      </c>
      <c r="L175" s="172">
        <f t="shared" si="58"/>
        <v>0</v>
      </c>
      <c r="M175" s="157">
        <f t="shared" si="78"/>
        <v>0</v>
      </c>
      <c r="N175" s="158">
        <f t="shared" si="68"/>
        <v>0</v>
      </c>
      <c r="O175" s="158">
        <f t="shared" si="69"/>
        <v>0</v>
      </c>
      <c r="P175" s="172">
        <f t="shared" si="60"/>
        <v>0</v>
      </c>
      <c r="R175" s="157">
        <f t="shared" si="79"/>
        <v>0</v>
      </c>
      <c r="S175" s="158">
        <f t="shared" si="70"/>
        <v>0</v>
      </c>
      <c r="T175" s="158">
        <f t="shared" si="71"/>
        <v>0</v>
      </c>
      <c r="U175" s="172">
        <f t="shared" si="72"/>
        <v>0</v>
      </c>
      <c r="V175" s="157">
        <f t="shared" si="80"/>
        <v>0</v>
      </c>
      <c r="W175" s="158">
        <f t="shared" si="73"/>
        <v>0</v>
      </c>
      <c r="X175" s="158">
        <f t="shared" si="74"/>
        <v>0</v>
      </c>
      <c r="Y175" s="172">
        <f t="shared" si="75"/>
        <v>0</v>
      </c>
      <c r="Z175" s="151">
        <v>0</v>
      </c>
      <c r="AA175" s="151">
        <v>0</v>
      </c>
      <c r="AB175" s="151">
        <v>0</v>
      </c>
      <c r="AC175" s="151">
        <v>0</v>
      </c>
    </row>
    <row r="176" spans="1:29" s="61" customFormat="1" ht="11.25">
      <c r="A176" s="147">
        <f t="shared" si="61"/>
        <v>0</v>
      </c>
      <c r="B176" s="152">
        <f t="shared" si="62"/>
        <v>0</v>
      </c>
      <c r="C176" s="141">
        <f t="shared" si="63"/>
        <v>14</v>
      </c>
      <c r="D176" s="142">
        <v>157</v>
      </c>
      <c r="E176" s="143">
        <f t="shared" si="76"/>
        <v>0</v>
      </c>
      <c r="F176" s="144">
        <f t="shared" si="64"/>
        <v>0</v>
      </c>
      <c r="G176" s="144">
        <f t="shared" si="65"/>
        <v>0</v>
      </c>
      <c r="H176" s="169">
        <f t="shared" si="59"/>
        <v>0</v>
      </c>
      <c r="I176" s="143">
        <f t="shared" si="77"/>
        <v>0</v>
      </c>
      <c r="J176" s="144">
        <f t="shared" si="66"/>
        <v>0</v>
      </c>
      <c r="K176" s="144">
        <f t="shared" si="67"/>
        <v>0</v>
      </c>
      <c r="L176" s="169">
        <f t="shared" si="58"/>
        <v>0</v>
      </c>
      <c r="M176" s="143">
        <f t="shared" si="78"/>
        <v>0</v>
      </c>
      <c r="N176" s="144">
        <f t="shared" si="68"/>
        <v>0</v>
      </c>
      <c r="O176" s="144">
        <f t="shared" si="69"/>
        <v>0</v>
      </c>
      <c r="P176" s="169">
        <f t="shared" si="60"/>
        <v>0</v>
      </c>
      <c r="R176" s="143">
        <f t="shared" si="79"/>
        <v>0</v>
      </c>
      <c r="S176" s="144">
        <f t="shared" si="70"/>
        <v>0</v>
      </c>
      <c r="T176" s="144">
        <f t="shared" si="71"/>
        <v>0</v>
      </c>
      <c r="U176" s="169">
        <f t="shared" si="72"/>
        <v>0</v>
      </c>
      <c r="V176" s="143">
        <f t="shared" si="80"/>
        <v>0</v>
      </c>
      <c r="W176" s="144">
        <f t="shared" si="73"/>
        <v>0</v>
      </c>
      <c r="X176" s="144">
        <f t="shared" si="74"/>
        <v>0</v>
      </c>
      <c r="Y176" s="169">
        <f t="shared" si="75"/>
        <v>0</v>
      </c>
      <c r="Z176" s="151">
        <v>0</v>
      </c>
      <c r="AA176" s="151">
        <v>0</v>
      </c>
      <c r="AB176" s="151">
        <v>0</v>
      </c>
      <c r="AC176" s="151">
        <v>0</v>
      </c>
    </row>
    <row r="177" spans="1:29" s="61" customFormat="1" ht="11.25">
      <c r="A177" s="147">
        <f t="shared" si="61"/>
        <v>0</v>
      </c>
      <c r="B177" s="152">
        <f t="shared" si="62"/>
        <v>0</v>
      </c>
      <c r="C177" s="141">
        <f t="shared" si="63"/>
        <v>14</v>
      </c>
      <c r="D177" s="142">
        <v>158</v>
      </c>
      <c r="E177" s="143">
        <f t="shared" si="76"/>
        <v>0</v>
      </c>
      <c r="F177" s="144">
        <f t="shared" si="64"/>
        <v>0</v>
      </c>
      <c r="G177" s="144">
        <f t="shared" si="65"/>
        <v>0</v>
      </c>
      <c r="H177" s="169">
        <f t="shared" si="59"/>
        <v>0</v>
      </c>
      <c r="I177" s="143">
        <f t="shared" si="77"/>
        <v>0</v>
      </c>
      <c r="J177" s="144">
        <f t="shared" si="66"/>
        <v>0</v>
      </c>
      <c r="K177" s="144">
        <f t="shared" si="67"/>
        <v>0</v>
      </c>
      <c r="L177" s="169">
        <f t="shared" si="58"/>
        <v>0</v>
      </c>
      <c r="M177" s="143">
        <f t="shared" si="78"/>
        <v>0</v>
      </c>
      <c r="N177" s="144">
        <f t="shared" si="68"/>
        <v>0</v>
      </c>
      <c r="O177" s="144">
        <f t="shared" si="69"/>
        <v>0</v>
      </c>
      <c r="P177" s="169">
        <f t="shared" si="60"/>
        <v>0</v>
      </c>
      <c r="R177" s="143">
        <f t="shared" si="79"/>
        <v>0</v>
      </c>
      <c r="S177" s="144">
        <f t="shared" si="70"/>
        <v>0</v>
      </c>
      <c r="T177" s="144">
        <f t="shared" si="71"/>
        <v>0</v>
      </c>
      <c r="U177" s="169">
        <f t="shared" si="72"/>
        <v>0</v>
      </c>
      <c r="V177" s="143">
        <f t="shared" si="80"/>
        <v>0</v>
      </c>
      <c r="W177" s="144">
        <f t="shared" si="73"/>
        <v>0</v>
      </c>
      <c r="X177" s="144">
        <f t="shared" si="74"/>
        <v>0</v>
      </c>
      <c r="Y177" s="169">
        <f t="shared" si="75"/>
        <v>0</v>
      </c>
      <c r="Z177" s="151">
        <v>0</v>
      </c>
      <c r="AA177" s="151">
        <v>0</v>
      </c>
      <c r="AB177" s="151">
        <v>0</v>
      </c>
      <c r="AC177" s="151">
        <v>0</v>
      </c>
    </row>
    <row r="178" spans="1:29" s="61" customFormat="1" ht="11.25">
      <c r="A178" s="147">
        <f t="shared" si="61"/>
        <v>0</v>
      </c>
      <c r="B178" s="152">
        <f t="shared" si="62"/>
        <v>0</v>
      </c>
      <c r="C178" s="141">
        <f t="shared" si="63"/>
        <v>14</v>
      </c>
      <c r="D178" s="142">
        <v>159</v>
      </c>
      <c r="E178" s="143">
        <f t="shared" si="76"/>
        <v>0</v>
      </c>
      <c r="F178" s="144">
        <f t="shared" si="64"/>
        <v>0</v>
      </c>
      <c r="G178" s="144">
        <f t="shared" si="65"/>
        <v>0</v>
      </c>
      <c r="H178" s="169">
        <f t="shared" si="59"/>
        <v>0</v>
      </c>
      <c r="I178" s="143">
        <f t="shared" si="77"/>
        <v>0</v>
      </c>
      <c r="J178" s="144">
        <f t="shared" si="66"/>
        <v>0</v>
      </c>
      <c r="K178" s="144">
        <f t="shared" si="67"/>
        <v>0</v>
      </c>
      <c r="L178" s="169">
        <f t="shared" si="58"/>
        <v>0</v>
      </c>
      <c r="M178" s="143">
        <f t="shared" si="78"/>
        <v>0</v>
      </c>
      <c r="N178" s="144">
        <f t="shared" si="68"/>
        <v>0</v>
      </c>
      <c r="O178" s="144">
        <f t="shared" si="69"/>
        <v>0</v>
      </c>
      <c r="P178" s="169">
        <f t="shared" si="60"/>
        <v>0</v>
      </c>
      <c r="R178" s="143">
        <f t="shared" si="79"/>
        <v>0</v>
      </c>
      <c r="S178" s="144">
        <f t="shared" si="70"/>
        <v>0</v>
      </c>
      <c r="T178" s="144">
        <f t="shared" si="71"/>
        <v>0</v>
      </c>
      <c r="U178" s="169">
        <f t="shared" si="72"/>
        <v>0</v>
      </c>
      <c r="V178" s="143">
        <f t="shared" si="80"/>
        <v>0</v>
      </c>
      <c r="W178" s="144">
        <f t="shared" si="73"/>
        <v>0</v>
      </c>
      <c r="X178" s="144">
        <f t="shared" si="74"/>
        <v>0</v>
      </c>
      <c r="Y178" s="169">
        <f t="shared" si="75"/>
        <v>0</v>
      </c>
      <c r="Z178" s="151">
        <v>0</v>
      </c>
      <c r="AA178" s="151">
        <v>0</v>
      </c>
      <c r="AB178" s="151">
        <v>0</v>
      </c>
      <c r="AC178" s="151">
        <v>0</v>
      </c>
    </row>
    <row r="179" spans="1:29" s="61" customFormat="1" ht="11.25">
      <c r="A179" s="147">
        <f t="shared" si="61"/>
        <v>0</v>
      </c>
      <c r="B179" s="152">
        <f t="shared" si="62"/>
        <v>0</v>
      </c>
      <c r="C179" s="141">
        <f t="shared" si="63"/>
        <v>14</v>
      </c>
      <c r="D179" s="142">
        <v>160</v>
      </c>
      <c r="E179" s="143">
        <f t="shared" si="76"/>
        <v>0</v>
      </c>
      <c r="F179" s="144">
        <f t="shared" si="64"/>
        <v>0</v>
      </c>
      <c r="G179" s="144">
        <f t="shared" si="65"/>
        <v>0</v>
      </c>
      <c r="H179" s="169">
        <f t="shared" si="59"/>
        <v>0</v>
      </c>
      <c r="I179" s="143">
        <f t="shared" si="77"/>
        <v>0</v>
      </c>
      <c r="J179" s="144">
        <f t="shared" si="66"/>
        <v>0</v>
      </c>
      <c r="K179" s="144">
        <f t="shared" si="67"/>
        <v>0</v>
      </c>
      <c r="L179" s="169">
        <f t="shared" si="58"/>
        <v>0</v>
      </c>
      <c r="M179" s="143">
        <f t="shared" si="78"/>
        <v>0</v>
      </c>
      <c r="N179" s="144">
        <f t="shared" si="68"/>
        <v>0</v>
      </c>
      <c r="O179" s="144">
        <f t="shared" si="69"/>
        <v>0</v>
      </c>
      <c r="P179" s="169">
        <f t="shared" si="60"/>
        <v>0</v>
      </c>
      <c r="R179" s="143">
        <f t="shared" si="79"/>
        <v>0</v>
      </c>
      <c r="S179" s="144">
        <f t="shared" si="70"/>
        <v>0</v>
      </c>
      <c r="T179" s="144">
        <f t="shared" si="71"/>
        <v>0</v>
      </c>
      <c r="U179" s="169">
        <f t="shared" si="72"/>
        <v>0</v>
      </c>
      <c r="V179" s="143">
        <f t="shared" si="80"/>
        <v>0</v>
      </c>
      <c r="W179" s="144">
        <f t="shared" si="73"/>
        <v>0</v>
      </c>
      <c r="X179" s="144">
        <f t="shared" si="74"/>
        <v>0</v>
      </c>
      <c r="Y179" s="169">
        <f t="shared" si="75"/>
        <v>0</v>
      </c>
      <c r="Z179" s="151">
        <v>0</v>
      </c>
      <c r="AA179" s="151">
        <v>0</v>
      </c>
      <c r="AB179" s="151">
        <v>0</v>
      </c>
      <c r="AC179" s="151">
        <v>0</v>
      </c>
    </row>
    <row r="180" spans="1:29" s="61" customFormat="1" ht="11.25">
      <c r="A180" s="147">
        <f t="shared" si="61"/>
        <v>0</v>
      </c>
      <c r="B180" s="152">
        <f t="shared" si="62"/>
        <v>0</v>
      </c>
      <c r="C180" s="141">
        <f t="shared" si="63"/>
        <v>14</v>
      </c>
      <c r="D180" s="142">
        <v>161</v>
      </c>
      <c r="E180" s="143">
        <f t="shared" si="76"/>
        <v>0</v>
      </c>
      <c r="F180" s="144">
        <f t="shared" si="64"/>
        <v>0</v>
      </c>
      <c r="G180" s="144">
        <f t="shared" si="65"/>
        <v>0</v>
      </c>
      <c r="H180" s="169">
        <f t="shared" si="59"/>
        <v>0</v>
      </c>
      <c r="I180" s="143">
        <f t="shared" si="77"/>
        <v>0</v>
      </c>
      <c r="J180" s="144">
        <f t="shared" si="66"/>
        <v>0</v>
      </c>
      <c r="K180" s="144">
        <f t="shared" si="67"/>
        <v>0</v>
      </c>
      <c r="L180" s="169">
        <f t="shared" si="58"/>
        <v>0</v>
      </c>
      <c r="M180" s="143">
        <f t="shared" si="78"/>
        <v>0</v>
      </c>
      <c r="N180" s="144">
        <f t="shared" si="68"/>
        <v>0</v>
      </c>
      <c r="O180" s="144">
        <f t="shared" si="69"/>
        <v>0</v>
      </c>
      <c r="P180" s="169">
        <f t="shared" si="60"/>
        <v>0</v>
      </c>
      <c r="R180" s="143">
        <f t="shared" si="79"/>
        <v>0</v>
      </c>
      <c r="S180" s="144">
        <f t="shared" si="70"/>
        <v>0</v>
      </c>
      <c r="T180" s="144">
        <f t="shared" si="71"/>
        <v>0</v>
      </c>
      <c r="U180" s="169">
        <f t="shared" si="72"/>
        <v>0</v>
      </c>
      <c r="V180" s="143">
        <f t="shared" si="80"/>
        <v>0</v>
      </c>
      <c r="W180" s="144">
        <f t="shared" si="73"/>
        <v>0</v>
      </c>
      <c r="X180" s="144">
        <f t="shared" si="74"/>
        <v>0</v>
      </c>
      <c r="Y180" s="169">
        <f t="shared" si="75"/>
        <v>0</v>
      </c>
      <c r="Z180" s="151">
        <v>0</v>
      </c>
      <c r="AA180" s="151">
        <v>0</v>
      </c>
      <c r="AB180" s="151">
        <v>0</v>
      </c>
      <c r="AC180" s="151">
        <v>0</v>
      </c>
    </row>
    <row r="181" spans="1:29" s="61" customFormat="1" ht="11.25">
      <c r="A181" s="147">
        <f t="shared" si="61"/>
        <v>0</v>
      </c>
      <c r="B181" s="152">
        <f t="shared" si="62"/>
        <v>0</v>
      </c>
      <c r="C181" s="141">
        <f t="shared" si="63"/>
        <v>14</v>
      </c>
      <c r="D181" s="142">
        <v>162</v>
      </c>
      <c r="E181" s="143">
        <f t="shared" si="76"/>
        <v>0</v>
      </c>
      <c r="F181" s="144">
        <f t="shared" si="64"/>
        <v>0</v>
      </c>
      <c r="G181" s="144">
        <f t="shared" si="65"/>
        <v>0</v>
      </c>
      <c r="H181" s="169">
        <f t="shared" si="59"/>
        <v>0</v>
      </c>
      <c r="I181" s="143">
        <f t="shared" si="77"/>
        <v>0</v>
      </c>
      <c r="J181" s="144">
        <f t="shared" si="66"/>
        <v>0</v>
      </c>
      <c r="K181" s="144">
        <f t="shared" si="67"/>
        <v>0</v>
      </c>
      <c r="L181" s="169">
        <f t="shared" si="58"/>
        <v>0</v>
      </c>
      <c r="M181" s="143">
        <f t="shared" si="78"/>
        <v>0</v>
      </c>
      <c r="N181" s="144">
        <f t="shared" si="68"/>
        <v>0</v>
      </c>
      <c r="O181" s="144">
        <f t="shared" si="69"/>
        <v>0</v>
      </c>
      <c r="P181" s="169">
        <f t="shared" si="60"/>
        <v>0</v>
      </c>
      <c r="R181" s="143">
        <f t="shared" si="79"/>
        <v>0</v>
      </c>
      <c r="S181" s="144">
        <f t="shared" si="70"/>
        <v>0</v>
      </c>
      <c r="T181" s="144">
        <f t="shared" si="71"/>
        <v>0</v>
      </c>
      <c r="U181" s="169">
        <f t="shared" si="72"/>
        <v>0</v>
      </c>
      <c r="V181" s="143">
        <f t="shared" si="80"/>
        <v>0</v>
      </c>
      <c r="W181" s="144">
        <f t="shared" si="73"/>
        <v>0</v>
      </c>
      <c r="X181" s="144">
        <f t="shared" si="74"/>
        <v>0</v>
      </c>
      <c r="Y181" s="169">
        <f t="shared" si="75"/>
        <v>0</v>
      </c>
      <c r="Z181" s="151">
        <v>0</v>
      </c>
      <c r="AA181" s="151">
        <v>0</v>
      </c>
      <c r="AB181" s="151">
        <v>0</v>
      </c>
      <c r="AC181" s="151">
        <v>0</v>
      </c>
    </row>
    <row r="182" spans="1:29" s="61" customFormat="1" ht="11.25">
      <c r="A182" s="147">
        <f t="shared" si="61"/>
        <v>0</v>
      </c>
      <c r="B182" s="152">
        <f t="shared" si="62"/>
        <v>0</v>
      </c>
      <c r="C182" s="141">
        <f t="shared" si="63"/>
        <v>14</v>
      </c>
      <c r="D182" s="142">
        <v>163</v>
      </c>
      <c r="E182" s="143">
        <f t="shared" si="76"/>
        <v>0</v>
      </c>
      <c r="F182" s="144">
        <f t="shared" si="64"/>
        <v>0</v>
      </c>
      <c r="G182" s="144">
        <f t="shared" si="65"/>
        <v>0</v>
      </c>
      <c r="H182" s="169">
        <f t="shared" si="59"/>
        <v>0</v>
      </c>
      <c r="I182" s="143">
        <f t="shared" si="77"/>
        <v>0</v>
      </c>
      <c r="J182" s="144">
        <f t="shared" si="66"/>
        <v>0</v>
      </c>
      <c r="K182" s="144">
        <f t="shared" si="67"/>
        <v>0</v>
      </c>
      <c r="L182" s="169">
        <f t="shared" si="58"/>
        <v>0</v>
      </c>
      <c r="M182" s="143">
        <f t="shared" si="78"/>
        <v>0</v>
      </c>
      <c r="N182" s="144">
        <f t="shared" si="68"/>
        <v>0</v>
      </c>
      <c r="O182" s="144">
        <f t="shared" si="69"/>
        <v>0</v>
      </c>
      <c r="P182" s="169">
        <f t="shared" si="60"/>
        <v>0</v>
      </c>
      <c r="R182" s="143">
        <f t="shared" si="79"/>
        <v>0</v>
      </c>
      <c r="S182" s="144">
        <f t="shared" si="70"/>
        <v>0</v>
      </c>
      <c r="T182" s="144">
        <f t="shared" si="71"/>
        <v>0</v>
      </c>
      <c r="U182" s="169">
        <f t="shared" si="72"/>
        <v>0</v>
      </c>
      <c r="V182" s="143">
        <f t="shared" si="80"/>
        <v>0</v>
      </c>
      <c r="W182" s="144">
        <f t="shared" si="73"/>
        <v>0</v>
      </c>
      <c r="X182" s="144">
        <f t="shared" si="74"/>
        <v>0</v>
      </c>
      <c r="Y182" s="169">
        <f t="shared" si="75"/>
        <v>0</v>
      </c>
      <c r="Z182" s="151">
        <v>0</v>
      </c>
      <c r="AA182" s="151">
        <v>0</v>
      </c>
      <c r="AB182" s="151">
        <v>0</v>
      </c>
      <c r="AC182" s="151">
        <v>0</v>
      </c>
    </row>
    <row r="183" spans="1:29" s="61" customFormat="1" ht="11.25">
      <c r="A183" s="147">
        <f t="shared" si="61"/>
        <v>0</v>
      </c>
      <c r="B183" s="152">
        <f t="shared" si="62"/>
        <v>0</v>
      </c>
      <c r="C183" s="141">
        <f t="shared" si="63"/>
        <v>14</v>
      </c>
      <c r="D183" s="142">
        <v>164</v>
      </c>
      <c r="E183" s="143">
        <f t="shared" si="76"/>
        <v>0</v>
      </c>
      <c r="F183" s="144">
        <f t="shared" si="64"/>
        <v>0</v>
      </c>
      <c r="G183" s="144">
        <f t="shared" si="65"/>
        <v>0</v>
      </c>
      <c r="H183" s="169">
        <f t="shared" si="59"/>
        <v>0</v>
      </c>
      <c r="I183" s="143">
        <f t="shared" si="77"/>
        <v>0</v>
      </c>
      <c r="J183" s="144">
        <f t="shared" si="66"/>
        <v>0</v>
      </c>
      <c r="K183" s="144">
        <f t="shared" si="67"/>
        <v>0</v>
      </c>
      <c r="L183" s="169">
        <f t="shared" si="58"/>
        <v>0</v>
      </c>
      <c r="M183" s="143">
        <f t="shared" si="78"/>
        <v>0</v>
      </c>
      <c r="N183" s="144">
        <f t="shared" si="68"/>
        <v>0</v>
      </c>
      <c r="O183" s="144">
        <f t="shared" si="69"/>
        <v>0</v>
      </c>
      <c r="P183" s="169">
        <f t="shared" si="60"/>
        <v>0</v>
      </c>
      <c r="R183" s="143">
        <f t="shared" si="79"/>
        <v>0</v>
      </c>
      <c r="S183" s="144">
        <f t="shared" si="70"/>
        <v>0</v>
      </c>
      <c r="T183" s="144">
        <f t="shared" si="71"/>
        <v>0</v>
      </c>
      <c r="U183" s="169">
        <f t="shared" si="72"/>
        <v>0</v>
      </c>
      <c r="V183" s="143">
        <f t="shared" si="80"/>
        <v>0</v>
      </c>
      <c r="W183" s="144">
        <f t="shared" si="73"/>
        <v>0</v>
      </c>
      <c r="X183" s="144">
        <f t="shared" si="74"/>
        <v>0</v>
      </c>
      <c r="Y183" s="169">
        <f t="shared" si="75"/>
        <v>0</v>
      </c>
      <c r="Z183" s="151">
        <v>0</v>
      </c>
      <c r="AA183" s="151">
        <v>0</v>
      </c>
      <c r="AB183" s="151">
        <v>0</v>
      </c>
      <c r="AC183" s="151">
        <v>0</v>
      </c>
    </row>
    <row r="184" spans="1:29" s="61" customFormat="1" ht="11.25">
      <c r="A184" s="147">
        <f t="shared" si="61"/>
        <v>0</v>
      </c>
      <c r="B184" s="152">
        <f t="shared" si="62"/>
        <v>0</v>
      </c>
      <c r="C184" s="141">
        <f t="shared" si="63"/>
        <v>14</v>
      </c>
      <c r="D184" s="142">
        <v>165</v>
      </c>
      <c r="E184" s="143">
        <f t="shared" si="76"/>
        <v>0</v>
      </c>
      <c r="F184" s="144">
        <f t="shared" si="64"/>
        <v>0</v>
      </c>
      <c r="G184" s="144">
        <f t="shared" si="65"/>
        <v>0</v>
      </c>
      <c r="H184" s="169">
        <f t="shared" si="59"/>
        <v>0</v>
      </c>
      <c r="I184" s="143">
        <f t="shared" si="77"/>
        <v>0</v>
      </c>
      <c r="J184" s="144">
        <f t="shared" si="66"/>
        <v>0</v>
      </c>
      <c r="K184" s="144">
        <f t="shared" si="67"/>
        <v>0</v>
      </c>
      <c r="L184" s="169">
        <f t="shared" si="58"/>
        <v>0</v>
      </c>
      <c r="M184" s="143">
        <f t="shared" si="78"/>
        <v>0</v>
      </c>
      <c r="N184" s="144">
        <f t="shared" si="68"/>
        <v>0</v>
      </c>
      <c r="O184" s="144">
        <f t="shared" si="69"/>
        <v>0</v>
      </c>
      <c r="P184" s="169">
        <f t="shared" si="60"/>
        <v>0</v>
      </c>
      <c r="R184" s="143">
        <f t="shared" si="79"/>
        <v>0</v>
      </c>
      <c r="S184" s="144">
        <f t="shared" si="70"/>
        <v>0</v>
      </c>
      <c r="T184" s="144">
        <f t="shared" si="71"/>
        <v>0</v>
      </c>
      <c r="U184" s="169">
        <f t="shared" si="72"/>
        <v>0</v>
      </c>
      <c r="V184" s="143">
        <f t="shared" si="80"/>
        <v>0</v>
      </c>
      <c r="W184" s="144">
        <f t="shared" si="73"/>
        <v>0</v>
      </c>
      <c r="X184" s="144">
        <f t="shared" si="74"/>
        <v>0</v>
      </c>
      <c r="Y184" s="169">
        <f t="shared" si="75"/>
        <v>0</v>
      </c>
      <c r="Z184" s="151">
        <v>0</v>
      </c>
      <c r="AA184" s="151">
        <v>0</v>
      </c>
      <c r="AB184" s="151">
        <v>0</v>
      </c>
      <c r="AC184" s="151">
        <v>0</v>
      </c>
    </row>
    <row r="185" spans="1:29" s="61" customFormat="1" ht="11.25">
      <c r="A185" s="147">
        <f t="shared" si="61"/>
        <v>0</v>
      </c>
      <c r="B185" s="152">
        <f t="shared" si="62"/>
        <v>0</v>
      </c>
      <c r="C185" s="141">
        <f t="shared" si="63"/>
        <v>14</v>
      </c>
      <c r="D185" s="142">
        <v>166</v>
      </c>
      <c r="E185" s="143">
        <f t="shared" si="76"/>
        <v>0</v>
      </c>
      <c r="F185" s="144">
        <f t="shared" si="64"/>
        <v>0</v>
      </c>
      <c r="G185" s="144">
        <f t="shared" si="65"/>
        <v>0</v>
      </c>
      <c r="H185" s="169">
        <f t="shared" si="59"/>
        <v>0</v>
      </c>
      <c r="I185" s="143">
        <f t="shared" si="77"/>
        <v>0</v>
      </c>
      <c r="J185" s="144">
        <f t="shared" si="66"/>
        <v>0</v>
      </c>
      <c r="K185" s="144">
        <f t="shared" si="67"/>
        <v>0</v>
      </c>
      <c r="L185" s="169">
        <f t="shared" ref="L185:L248" si="81">IF(I185&lt;=0,0,L$13)</f>
        <v>0</v>
      </c>
      <c r="M185" s="143">
        <f t="shared" si="78"/>
        <v>0</v>
      </c>
      <c r="N185" s="144">
        <f t="shared" si="68"/>
        <v>0</v>
      </c>
      <c r="O185" s="144">
        <f t="shared" si="69"/>
        <v>0</v>
      </c>
      <c r="P185" s="169">
        <f t="shared" si="60"/>
        <v>0</v>
      </c>
      <c r="R185" s="143">
        <f t="shared" si="79"/>
        <v>0</v>
      </c>
      <c r="S185" s="144">
        <f t="shared" si="70"/>
        <v>0</v>
      </c>
      <c r="T185" s="144">
        <f t="shared" si="71"/>
        <v>0</v>
      </c>
      <c r="U185" s="169">
        <f t="shared" si="72"/>
        <v>0</v>
      </c>
      <c r="V185" s="143">
        <f t="shared" si="80"/>
        <v>0</v>
      </c>
      <c r="W185" s="144">
        <f t="shared" si="73"/>
        <v>0</v>
      </c>
      <c r="X185" s="144">
        <f t="shared" si="74"/>
        <v>0</v>
      </c>
      <c r="Y185" s="169">
        <f t="shared" si="75"/>
        <v>0</v>
      </c>
      <c r="Z185" s="151">
        <v>0</v>
      </c>
      <c r="AA185" s="151">
        <v>0</v>
      </c>
      <c r="AB185" s="151">
        <v>0</v>
      </c>
      <c r="AC185" s="151">
        <v>0</v>
      </c>
    </row>
    <row r="186" spans="1:29" s="61" customFormat="1" ht="11.25">
      <c r="A186" s="147">
        <f t="shared" si="61"/>
        <v>0</v>
      </c>
      <c r="B186" s="152">
        <f t="shared" si="62"/>
        <v>0</v>
      </c>
      <c r="C186" s="141">
        <f t="shared" si="63"/>
        <v>14</v>
      </c>
      <c r="D186" s="142">
        <v>167</v>
      </c>
      <c r="E186" s="143">
        <f t="shared" si="76"/>
        <v>0</v>
      </c>
      <c r="F186" s="144">
        <f t="shared" si="64"/>
        <v>0</v>
      </c>
      <c r="G186" s="144">
        <f t="shared" si="65"/>
        <v>0</v>
      </c>
      <c r="H186" s="169">
        <f t="shared" si="59"/>
        <v>0</v>
      </c>
      <c r="I186" s="143">
        <f t="shared" si="77"/>
        <v>0</v>
      </c>
      <c r="J186" s="144">
        <f t="shared" si="66"/>
        <v>0</v>
      </c>
      <c r="K186" s="144">
        <f t="shared" si="67"/>
        <v>0</v>
      </c>
      <c r="L186" s="169">
        <f t="shared" si="81"/>
        <v>0</v>
      </c>
      <c r="M186" s="143">
        <f t="shared" si="78"/>
        <v>0</v>
      </c>
      <c r="N186" s="144">
        <f t="shared" si="68"/>
        <v>0</v>
      </c>
      <c r="O186" s="144">
        <f t="shared" si="69"/>
        <v>0</v>
      </c>
      <c r="P186" s="169">
        <f t="shared" si="60"/>
        <v>0</v>
      </c>
      <c r="R186" s="143">
        <f t="shared" si="79"/>
        <v>0</v>
      </c>
      <c r="S186" s="144">
        <f t="shared" si="70"/>
        <v>0</v>
      </c>
      <c r="T186" s="144">
        <f t="shared" si="71"/>
        <v>0</v>
      </c>
      <c r="U186" s="169">
        <f t="shared" si="72"/>
        <v>0</v>
      </c>
      <c r="V186" s="143">
        <f t="shared" si="80"/>
        <v>0</v>
      </c>
      <c r="W186" s="144">
        <f t="shared" si="73"/>
        <v>0</v>
      </c>
      <c r="X186" s="144">
        <f t="shared" si="74"/>
        <v>0</v>
      </c>
      <c r="Y186" s="169">
        <f t="shared" si="75"/>
        <v>0</v>
      </c>
      <c r="Z186" s="151">
        <v>0</v>
      </c>
      <c r="AA186" s="151">
        <v>0</v>
      </c>
      <c r="AB186" s="151">
        <v>0</v>
      </c>
      <c r="AC186" s="151">
        <v>0</v>
      </c>
    </row>
    <row r="187" spans="1:29" s="61" customFormat="1" ht="12" thickBot="1">
      <c r="A187" s="153">
        <f t="shared" si="61"/>
        <v>0</v>
      </c>
      <c r="B187" s="154">
        <f t="shared" si="62"/>
        <v>0</v>
      </c>
      <c r="C187" s="155">
        <f t="shared" si="63"/>
        <v>14</v>
      </c>
      <c r="D187" s="156">
        <v>168</v>
      </c>
      <c r="E187" s="157">
        <f t="shared" si="76"/>
        <v>0</v>
      </c>
      <c r="F187" s="158">
        <f t="shared" si="64"/>
        <v>0</v>
      </c>
      <c r="G187" s="158">
        <f t="shared" si="65"/>
        <v>0</v>
      </c>
      <c r="H187" s="172">
        <f t="shared" si="59"/>
        <v>0</v>
      </c>
      <c r="I187" s="157">
        <f t="shared" si="77"/>
        <v>0</v>
      </c>
      <c r="J187" s="158">
        <f t="shared" si="66"/>
        <v>0</v>
      </c>
      <c r="K187" s="158">
        <f t="shared" si="67"/>
        <v>0</v>
      </c>
      <c r="L187" s="172">
        <f t="shared" si="81"/>
        <v>0</v>
      </c>
      <c r="M187" s="157">
        <f t="shared" si="78"/>
        <v>0</v>
      </c>
      <c r="N187" s="158">
        <f t="shared" si="68"/>
        <v>0</v>
      </c>
      <c r="O187" s="158">
        <f t="shared" si="69"/>
        <v>0</v>
      </c>
      <c r="P187" s="172">
        <f t="shared" si="60"/>
        <v>0</v>
      </c>
      <c r="R187" s="157">
        <f t="shared" si="79"/>
        <v>0</v>
      </c>
      <c r="S187" s="158">
        <f t="shared" si="70"/>
        <v>0</v>
      </c>
      <c r="T187" s="158">
        <f t="shared" si="71"/>
        <v>0</v>
      </c>
      <c r="U187" s="172">
        <f t="shared" si="72"/>
        <v>0</v>
      </c>
      <c r="V187" s="157">
        <f t="shared" si="80"/>
        <v>0</v>
      </c>
      <c r="W187" s="158">
        <f t="shared" si="73"/>
        <v>0</v>
      </c>
      <c r="X187" s="158">
        <f t="shared" si="74"/>
        <v>0</v>
      </c>
      <c r="Y187" s="172">
        <f t="shared" si="75"/>
        <v>0</v>
      </c>
      <c r="Z187" s="151">
        <v>0</v>
      </c>
      <c r="AA187" s="151">
        <v>0</v>
      </c>
      <c r="AB187" s="151">
        <v>0</v>
      </c>
      <c r="AC187" s="151">
        <v>0</v>
      </c>
    </row>
    <row r="188" spans="1:29" s="61" customFormat="1" ht="11.25">
      <c r="A188" s="147">
        <f t="shared" si="61"/>
        <v>0</v>
      </c>
      <c r="B188" s="152">
        <f t="shared" si="62"/>
        <v>0</v>
      </c>
      <c r="C188" s="141">
        <f t="shared" si="63"/>
        <v>15</v>
      </c>
      <c r="D188" s="142">
        <v>169</v>
      </c>
      <c r="E188" s="143">
        <f t="shared" si="76"/>
        <v>0</v>
      </c>
      <c r="F188" s="144">
        <f t="shared" si="64"/>
        <v>0</v>
      </c>
      <c r="G188" s="144">
        <f t="shared" si="65"/>
        <v>0</v>
      </c>
      <c r="H188" s="169">
        <f t="shared" si="59"/>
        <v>0</v>
      </c>
      <c r="I188" s="143">
        <f t="shared" si="77"/>
        <v>0</v>
      </c>
      <c r="J188" s="144">
        <f t="shared" si="66"/>
        <v>0</v>
      </c>
      <c r="K188" s="144">
        <f t="shared" si="67"/>
        <v>0</v>
      </c>
      <c r="L188" s="169">
        <f t="shared" si="81"/>
        <v>0</v>
      </c>
      <c r="M188" s="143">
        <f t="shared" si="78"/>
        <v>0</v>
      </c>
      <c r="N188" s="144">
        <f t="shared" si="68"/>
        <v>0</v>
      </c>
      <c r="O188" s="144">
        <f t="shared" si="69"/>
        <v>0</v>
      </c>
      <c r="P188" s="169">
        <f t="shared" si="60"/>
        <v>0</v>
      </c>
      <c r="R188" s="143">
        <f t="shared" si="79"/>
        <v>0</v>
      </c>
      <c r="S188" s="144">
        <f t="shared" si="70"/>
        <v>0</v>
      </c>
      <c r="T188" s="144">
        <f t="shared" si="71"/>
        <v>0</v>
      </c>
      <c r="U188" s="169">
        <f t="shared" si="72"/>
        <v>0</v>
      </c>
      <c r="V188" s="143">
        <f t="shared" si="80"/>
        <v>0</v>
      </c>
      <c r="W188" s="144">
        <f t="shared" si="73"/>
        <v>0</v>
      </c>
      <c r="X188" s="144">
        <f t="shared" si="74"/>
        <v>0</v>
      </c>
      <c r="Y188" s="169">
        <f t="shared" si="75"/>
        <v>0</v>
      </c>
      <c r="Z188" s="151">
        <v>0</v>
      </c>
      <c r="AA188" s="151">
        <v>0</v>
      </c>
      <c r="AB188" s="151">
        <v>0</v>
      </c>
      <c r="AC188" s="151">
        <v>0</v>
      </c>
    </row>
    <row r="189" spans="1:29" s="61" customFormat="1" ht="11.25">
      <c r="A189" s="147">
        <f t="shared" si="61"/>
        <v>0</v>
      </c>
      <c r="B189" s="152">
        <f t="shared" si="62"/>
        <v>0</v>
      </c>
      <c r="C189" s="141">
        <f t="shared" si="63"/>
        <v>15</v>
      </c>
      <c r="D189" s="142">
        <v>170</v>
      </c>
      <c r="E189" s="143">
        <f t="shared" si="76"/>
        <v>0</v>
      </c>
      <c r="F189" s="144">
        <f t="shared" si="64"/>
        <v>0</v>
      </c>
      <c r="G189" s="144">
        <f t="shared" si="65"/>
        <v>0</v>
      </c>
      <c r="H189" s="169">
        <f t="shared" si="59"/>
        <v>0</v>
      </c>
      <c r="I189" s="143">
        <f t="shared" si="77"/>
        <v>0</v>
      </c>
      <c r="J189" s="144">
        <f t="shared" si="66"/>
        <v>0</v>
      </c>
      <c r="K189" s="144">
        <f t="shared" si="67"/>
        <v>0</v>
      </c>
      <c r="L189" s="169">
        <f t="shared" si="81"/>
        <v>0</v>
      </c>
      <c r="M189" s="143">
        <f t="shared" si="78"/>
        <v>0</v>
      </c>
      <c r="N189" s="144">
        <f t="shared" si="68"/>
        <v>0</v>
      </c>
      <c r="O189" s="144">
        <f t="shared" si="69"/>
        <v>0</v>
      </c>
      <c r="P189" s="169">
        <f t="shared" si="60"/>
        <v>0</v>
      </c>
      <c r="R189" s="143">
        <f t="shared" si="79"/>
        <v>0</v>
      </c>
      <c r="S189" s="144">
        <f t="shared" si="70"/>
        <v>0</v>
      </c>
      <c r="T189" s="144">
        <f t="shared" si="71"/>
        <v>0</v>
      </c>
      <c r="U189" s="169">
        <f t="shared" si="72"/>
        <v>0</v>
      </c>
      <c r="V189" s="143">
        <f t="shared" si="80"/>
        <v>0</v>
      </c>
      <c r="W189" s="144">
        <f t="shared" si="73"/>
        <v>0</v>
      </c>
      <c r="X189" s="144">
        <f t="shared" si="74"/>
        <v>0</v>
      </c>
      <c r="Y189" s="169">
        <f t="shared" si="75"/>
        <v>0</v>
      </c>
      <c r="Z189" s="151">
        <v>0</v>
      </c>
      <c r="AA189" s="151">
        <v>0</v>
      </c>
      <c r="AB189" s="151">
        <v>0</v>
      </c>
      <c r="AC189" s="151">
        <v>0</v>
      </c>
    </row>
    <row r="190" spans="1:29" s="61" customFormat="1" ht="11.25">
      <c r="A190" s="147">
        <f t="shared" si="61"/>
        <v>0</v>
      </c>
      <c r="B190" s="152">
        <f t="shared" si="62"/>
        <v>0</v>
      </c>
      <c r="C190" s="141">
        <f t="shared" si="63"/>
        <v>15</v>
      </c>
      <c r="D190" s="142">
        <v>171</v>
      </c>
      <c r="E190" s="143">
        <f t="shared" si="76"/>
        <v>0</v>
      </c>
      <c r="F190" s="144">
        <f t="shared" si="64"/>
        <v>0</v>
      </c>
      <c r="G190" s="144">
        <f t="shared" si="65"/>
        <v>0</v>
      </c>
      <c r="H190" s="169">
        <f t="shared" si="59"/>
        <v>0</v>
      </c>
      <c r="I190" s="143">
        <f t="shared" si="77"/>
        <v>0</v>
      </c>
      <c r="J190" s="144">
        <f t="shared" si="66"/>
        <v>0</v>
      </c>
      <c r="K190" s="144">
        <f t="shared" si="67"/>
        <v>0</v>
      </c>
      <c r="L190" s="169">
        <f t="shared" si="81"/>
        <v>0</v>
      </c>
      <c r="M190" s="143">
        <f t="shared" si="78"/>
        <v>0</v>
      </c>
      <c r="N190" s="144">
        <f t="shared" si="68"/>
        <v>0</v>
      </c>
      <c r="O190" s="144">
        <f t="shared" si="69"/>
        <v>0</v>
      </c>
      <c r="P190" s="169">
        <f t="shared" si="60"/>
        <v>0</v>
      </c>
      <c r="R190" s="143">
        <f t="shared" si="79"/>
        <v>0</v>
      </c>
      <c r="S190" s="144">
        <f t="shared" si="70"/>
        <v>0</v>
      </c>
      <c r="T190" s="144">
        <f t="shared" si="71"/>
        <v>0</v>
      </c>
      <c r="U190" s="169">
        <f t="shared" si="72"/>
        <v>0</v>
      </c>
      <c r="V190" s="143">
        <f t="shared" si="80"/>
        <v>0</v>
      </c>
      <c r="W190" s="144">
        <f t="shared" si="73"/>
        <v>0</v>
      </c>
      <c r="X190" s="144">
        <f t="shared" si="74"/>
        <v>0</v>
      </c>
      <c r="Y190" s="169">
        <f t="shared" si="75"/>
        <v>0</v>
      </c>
      <c r="Z190" s="151">
        <v>0</v>
      </c>
      <c r="AA190" s="151">
        <v>0</v>
      </c>
      <c r="AB190" s="151">
        <v>0</v>
      </c>
      <c r="AC190" s="151">
        <v>0</v>
      </c>
    </row>
    <row r="191" spans="1:29" s="61" customFormat="1" ht="11.25">
      <c r="A191" s="147">
        <f t="shared" si="61"/>
        <v>0</v>
      </c>
      <c r="B191" s="152">
        <f t="shared" si="62"/>
        <v>0</v>
      </c>
      <c r="C191" s="141">
        <f t="shared" si="63"/>
        <v>15</v>
      </c>
      <c r="D191" s="142">
        <v>172</v>
      </c>
      <c r="E191" s="143">
        <f t="shared" si="76"/>
        <v>0</v>
      </c>
      <c r="F191" s="144">
        <f t="shared" si="64"/>
        <v>0</v>
      </c>
      <c r="G191" s="144">
        <f t="shared" si="65"/>
        <v>0</v>
      </c>
      <c r="H191" s="169">
        <f t="shared" si="59"/>
        <v>0</v>
      </c>
      <c r="I191" s="143">
        <f t="shared" si="77"/>
        <v>0</v>
      </c>
      <c r="J191" s="144">
        <f t="shared" si="66"/>
        <v>0</v>
      </c>
      <c r="K191" s="144">
        <f t="shared" si="67"/>
        <v>0</v>
      </c>
      <c r="L191" s="169">
        <f t="shared" si="81"/>
        <v>0</v>
      </c>
      <c r="M191" s="143">
        <f t="shared" si="78"/>
        <v>0</v>
      </c>
      <c r="N191" s="144">
        <f t="shared" si="68"/>
        <v>0</v>
      </c>
      <c r="O191" s="144">
        <f t="shared" si="69"/>
        <v>0</v>
      </c>
      <c r="P191" s="169">
        <f t="shared" si="60"/>
        <v>0</v>
      </c>
      <c r="R191" s="143">
        <f t="shared" si="79"/>
        <v>0</v>
      </c>
      <c r="S191" s="144">
        <f t="shared" si="70"/>
        <v>0</v>
      </c>
      <c r="T191" s="144">
        <f t="shared" si="71"/>
        <v>0</v>
      </c>
      <c r="U191" s="169">
        <f t="shared" si="72"/>
        <v>0</v>
      </c>
      <c r="V191" s="143">
        <f t="shared" si="80"/>
        <v>0</v>
      </c>
      <c r="W191" s="144">
        <f t="shared" si="73"/>
        <v>0</v>
      </c>
      <c r="X191" s="144">
        <f t="shared" si="74"/>
        <v>0</v>
      </c>
      <c r="Y191" s="169">
        <f t="shared" si="75"/>
        <v>0</v>
      </c>
      <c r="Z191" s="151">
        <v>0</v>
      </c>
      <c r="AA191" s="151">
        <v>0</v>
      </c>
      <c r="AB191" s="151">
        <v>0</v>
      </c>
      <c r="AC191" s="151">
        <v>0</v>
      </c>
    </row>
    <row r="192" spans="1:29" s="61" customFormat="1" ht="11.25">
      <c r="A192" s="147">
        <f t="shared" si="61"/>
        <v>0</v>
      </c>
      <c r="B192" s="152">
        <f t="shared" si="62"/>
        <v>0</v>
      </c>
      <c r="C192" s="141">
        <f t="shared" si="63"/>
        <v>15</v>
      </c>
      <c r="D192" s="142">
        <v>173</v>
      </c>
      <c r="E192" s="143">
        <f t="shared" si="76"/>
        <v>0</v>
      </c>
      <c r="F192" s="144">
        <f t="shared" si="64"/>
        <v>0</v>
      </c>
      <c r="G192" s="144">
        <f t="shared" si="65"/>
        <v>0</v>
      </c>
      <c r="H192" s="169">
        <f t="shared" si="59"/>
        <v>0</v>
      </c>
      <c r="I192" s="143">
        <f t="shared" si="77"/>
        <v>0</v>
      </c>
      <c r="J192" s="144">
        <f t="shared" si="66"/>
        <v>0</v>
      </c>
      <c r="K192" s="144">
        <f t="shared" si="67"/>
        <v>0</v>
      </c>
      <c r="L192" s="169">
        <f t="shared" si="81"/>
        <v>0</v>
      </c>
      <c r="M192" s="143">
        <f t="shared" si="78"/>
        <v>0</v>
      </c>
      <c r="N192" s="144">
        <f t="shared" si="68"/>
        <v>0</v>
      </c>
      <c r="O192" s="144">
        <f t="shared" si="69"/>
        <v>0</v>
      </c>
      <c r="P192" s="169">
        <f t="shared" si="60"/>
        <v>0</v>
      </c>
      <c r="R192" s="143">
        <f t="shared" si="79"/>
        <v>0</v>
      </c>
      <c r="S192" s="144">
        <f t="shared" si="70"/>
        <v>0</v>
      </c>
      <c r="T192" s="144">
        <f t="shared" si="71"/>
        <v>0</v>
      </c>
      <c r="U192" s="169">
        <f t="shared" si="72"/>
        <v>0</v>
      </c>
      <c r="V192" s="143">
        <f t="shared" si="80"/>
        <v>0</v>
      </c>
      <c r="W192" s="144">
        <f t="shared" si="73"/>
        <v>0</v>
      </c>
      <c r="X192" s="144">
        <f t="shared" si="74"/>
        <v>0</v>
      </c>
      <c r="Y192" s="169">
        <f t="shared" si="75"/>
        <v>0</v>
      </c>
      <c r="Z192" s="151">
        <v>0</v>
      </c>
      <c r="AA192" s="151">
        <v>0</v>
      </c>
      <c r="AB192" s="151">
        <v>0</v>
      </c>
      <c r="AC192" s="151">
        <v>0</v>
      </c>
    </row>
    <row r="193" spans="1:29" s="61" customFormat="1" ht="11.25">
      <c r="A193" s="147">
        <f t="shared" si="61"/>
        <v>0</v>
      </c>
      <c r="B193" s="152">
        <f t="shared" si="62"/>
        <v>0</v>
      </c>
      <c r="C193" s="141">
        <f t="shared" si="63"/>
        <v>15</v>
      </c>
      <c r="D193" s="142">
        <v>174</v>
      </c>
      <c r="E193" s="143">
        <f t="shared" si="76"/>
        <v>0</v>
      </c>
      <c r="F193" s="144">
        <f t="shared" si="64"/>
        <v>0</v>
      </c>
      <c r="G193" s="144">
        <f t="shared" si="65"/>
        <v>0</v>
      </c>
      <c r="H193" s="169">
        <f t="shared" si="59"/>
        <v>0</v>
      </c>
      <c r="I193" s="143">
        <f t="shared" si="77"/>
        <v>0</v>
      </c>
      <c r="J193" s="144">
        <f t="shared" si="66"/>
        <v>0</v>
      </c>
      <c r="K193" s="144">
        <f t="shared" si="67"/>
        <v>0</v>
      </c>
      <c r="L193" s="169">
        <f t="shared" si="81"/>
        <v>0</v>
      </c>
      <c r="M193" s="143">
        <f t="shared" si="78"/>
        <v>0</v>
      </c>
      <c r="N193" s="144">
        <f t="shared" si="68"/>
        <v>0</v>
      </c>
      <c r="O193" s="144">
        <f t="shared" si="69"/>
        <v>0</v>
      </c>
      <c r="P193" s="169">
        <f t="shared" si="60"/>
        <v>0</v>
      </c>
      <c r="R193" s="143">
        <f t="shared" si="79"/>
        <v>0</v>
      </c>
      <c r="S193" s="144">
        <f t="shared" si="70"/>
        <v>0</v>
      </c>
      <c r="T193" s="144">
        <f t="shared" si="71"/>
        <v>0</v>
      </c>
      <c r="U193" s="169">
        <f t="shared" si="72"/>
        <v>0</v>
      </c>
      <c r="V193" s="143">
        <f t="shared" si="80"/>
        <v>0</v>
      </c>
      <c r="W193" s="144">
        <f t="shared" si="73"/>
        <v>0</v>
      </c>
      <c r="X193" s="144">
        <f t="shared" si="74"/>
        <v>0</v>
      </c>
      <c r="Y193" s="169">
        <f t="shared" si="75"/>
        <v>0</v>
      </c>
      <c r="Z193" s="151">
        <v>0</v>
      </c>
      <c r="AA193" s="151">
        <v>0</v>
      </c>
      <c r="AB193" s="151">
        <v>0</v>
      </c>
      <c r="AC193" s="151">
        <v>0</v>
      </c>
    </row>
    <row r="194" spans="1:29" s="61" customFormat="1" ht="11.25">
      <c r="A194" s="147">
        <f t="shared" si="61"/>
        <v>0</v>
      </c>
      <c r="B194" s="152">
        <f t="shared" si="62"/>
        <v>0</v>
      </c>
      <c r="C194" s="141">
        <f t="shared" si="63"/>
        <v>15</v>
      </c>
      <c r="D194" s="142">
        <v>175</v>
      </c>
      <c r="E194" s="143">
        <f t="shared" si="76"/>
        <v>0</v>
      </c>
      <c r="F194" s="144">
        <f t="shared" si="64"/>
        <v>0</v>
      </c>
      <c r="G194" s="144">
        <f t="shared" si="65"/>
        <v>0</v>
      </c>
      <c r="H194" s="169">
        <f t="shared" si="59"/>
        <v>0</v>
      </c>
      <c r="I194" s="143">
        <f t="shared" si="77"/>
        <v>0</v>
      </c>
      <c r="J194" s="144">
        <f t="shared" si="66"/>
        <v>0</v>
      </c>
      <c r="K194" s="144">
        <f t="shared" si="67"/>
        <v>0</v>
      </c>
      <c r="L194" s="169">
        <f t="shared" si="81"/>
        <v>0</v>
      </c>
      <c r="M194" s="143">
        <f t="shared" si="78"/>
        <v>0</v>
      </c>
      <c r="N194" s="144">
        <f t="shared" si="68"/>
        <v>0</v>
      </c>
      <c r="O194" s="144">
        <f t="shared" si="69"/>
        <v>0</v>
      </c>
      <c r="P194" s="169">
        <f t="shared" si="60"/>
        <v>0</v>
      </c>
      <c r="R194" s="143">
        <f t="shared" si="79"/>
        <v>0</v>
      </c>
      <c r="S194" s="144">
        <f t="shared" si="70"/>
        <v>0</v>
      </c>
      <c r="T194" s="144">
        <f t="shared" si="71"/>
        <v>0</v>
      </c>
      <c r="U194" s="169">
        <f t="shared" si="72"/>
        <v>0</v>
      </c>
      <c r="V194" s="143">
        <f t="shared" si="80"/>
        <v>0</v>
      </c>
      <c r="W194" s="144">
        <f t="shared" si="73"/>
        <v>0</v>
      </c>
      <c r="X194" s="144">
        <f t="shared" si="74"/>
        <v>0</v>
      </c>
      <c r="Y194" s="169">
        <f t="shared" si="75"/>
        <v>0</v>
      </c>
      <c r="Z194" s="151">
        <v>0</v>
      </c>
      <c r="AA194" s="151">
        <v>0</v>
      </c>
      <c r="AB194" s="151">
        <v>0</v>
      </c>
      <c r="AC194" s="151">
        <v>0</v>
      </c>
    </row>
    <row r="195" spans="1:29" s="61" customFormat="1" ht="11.25">
      <c r="A195" s="147">
        <f t="shared" si="61"/>
        <v>0</v>
      </c>
      <c r="B195" s="152">
        <f t="shared" si="62"/>
        <v>0</v>
      </c>
      <c r="C195" s="141">
        <f t="shared" si="63"/>
        <v>15</v>
      </c>
      <c r="D195" s="142">
        <v>176</v>
      </c>
      <c r="E195" s="143">
        <f t="shared" si="76"/>
        <v>0</v>
      </c>
      <c r="F195" s="144">
        <f t="shared" si="64"/>
        <v>0</v>
      </c>
      <c r="G195" s="144">
        <f t="shared" si="65"/>
        <v>0</v>
      </c>
      <c r="H195" s="169">
        <f t="shared" si="59"/>
        <v>0</v>
      </c>
      <c r="I195" s="143">
        <f t="shared" si="77"/>
        <v>0</v>
      </c>
      <c r="J195" s="144">
        <f t="shared" si="66"/>
        <v>0</v>
      </c>
      <c r="K195" s="144">
        <f t="shared" si="67"/>
        <v>0</v>
      </c>
      <c r="L195" s="169">
        <f t="shared" si="81"/>
        <v>0</v>
      </c>
      <c r="M195" s="143">
        <f t="shared" si="78"/>
        <v>0</v>
      </c>
      <c r="N195" s="144">
        <f t="shared" si="68"/>
        <v>0</v>
      </c>
      <c r="O195" s="144">
        <f t="shared" si="69"/>
        <v>0</v>
      </c>
      <c r="P195" s="169">
        <f t="shared" si="60"/>
        <v>0</v>
      </c>
      <c r="R195" s="143">
        <f t="shared" si="79"/>
        <v>0</v>
      </c>
      <c r="S195" s="144">
        <f t="shared" si="70"/>
        <v>0</v>
      </c>
      <c r="T195" s="144">
        <f t="shared" si="71"/>
        <v>0</v>
      </c>
      <c r="U195" s="169">
        <f t="shared" si="72"/>
        <v>0</v>
      </c>
      <c r="V195" s="143">
        <f t="shared" si="80"/>
        <v>0</v>
      </c>
      <c r="W195" s="144">
        <f t="shared" si="73"/>
        <v>0</v>
      </c>
      <c r="X195" s="144">
        <f t="shared" si="74"/>
        <v>0</v>
      </c>
      <c r="Y195" s="169">
        <f t="shared" si="75"/>
        <v>0</v>
      </c>
      <c r="Z195" s="151">
        <v>0</v>
      </c>
      <c r="AA195" s="151">
        <v>0</v>
      </c>
      <c r="AB195" s="151">
        <v>0</v>
      </c>
      <c r="AC195" s="151">
        <v>0</v>
      </c>
    </row>
    <row r="196" spans="1:29" s="61" customFormat="1" ht="11.25">
      <c r="A196" s="147">
        <f t="shared" si="61"/>
        <v>0</v>
      </c>
      <c r="B196" s="152">
        <f t="shared" si="62"/>
        <v>0</v>
      </c>
      <c r="C196" s="141">
        <f t="shared" si="63"/>
        <v>15</v>
      </c>
      <c r="D196" s="142">
        <v>177</v>
      </c>
      <c r="E196" s="143">
        <f t="shared" si="76"/>
        <v>0</v>
      </c>
      <c r="F196" s="144">
        <f t="shared" si="64"/>
        <v>0</v>
      </c>
      <c r="G196" s="144">
        <f t="shared" si="65"/>
        <v>0</v>
      </c>
      <c r="H196" s="169">
        <f t="shared" si="59"/>
        <v>0</v>
      </c>
      <c r="I196" s="143">
        <f t="shared" si="77"/>
        <v>0</v>
      </c>
      <c r="J196" s="144">
        <f t="shared" si="66"/>
        <v>0</v>
      </c>
      <c r="K196" s="144">
        <f t="shared" si="67"/>
        <v>0</v>
      </c>
      <c r="L196" s="169">
        <f t="shared" si="81"/>
        <v>0</v>
      </c>
      <c r="M196" s="143">
        <f t="shared" si="78"/>
        <v>0</v>
      </c>
      <c r="N196" s="144">
        <f t="shared" si="68"/>
        <v>0</v>
      </c>
      <c r="O196" s="144">
        <f t="shared" si="69"/>
        <v>0</v>
      </c>
      <c r="P196" s="169">
        <f t="shared" si="60"/>
        <v>0</v>
      </c>
      <c r="R196" s="143">
        <f t="shared" si="79"/>
        <v>0</v>
      </c>
      <c r="S196" s="144">
        <f t="shared" si="70"/>
        <v>0</v>
      </c>
      <c r="T196" s="144">
        <f t="shared" si="71"/>
        <v>0</v>
      </c>
      <c r="U196" s="169">
        <f t="shared" si="72"/>
        <v>0</v>
      </c>
      <c r="V196" s="143">
        <f t="shared" si="80"/>
        <v>0</v>
      </c>
      <c r="W196" s="144">
        <f t="shared" si="73"/>
        <v>0</v>
      </c>
      <c r="X196" s="144">
        <f t="shared" si="74"/>
        <v>0</v>
      </c>
      <c r="Y196" s="169">
        <f t="shared" si="75"/>
        <v>0</v>
      </c>
      <c r="Z196" s="151">
        <v>0</v>
      </c>
      <c r="AA196" s="151">
        <v>0</v>
      </c>
      <c r="AB196" s="151">
        <v>0</v>
      </c>
      <c r="AC196" s="151">
        <v>0</v>
      </c>
    </row>
    <row r="197" spans="1:29" s="61" customFormat="1" ht="11.25">
      <c r="A197" s="147">
        <f t="shared" si="61"/>
        <v>0</v>
      </c>
      <c r="B197" s="152">
        <f t="shared" si="62"/>
        <v>0</v>
      </c>
      <c r="C197" s="141">
        <f t="shared" si="63"/>
        <v>15</v>
      </c>
      <c r="D197" s="142">
        <v>178</v>
      </c>
      <c r="E197" s="143">
        <f t="shared" si="76"/>
        <v>0</v>
      </c>
      <c r="F197" s="144">
        <f t="shared" si="64"/>
        <v>0</v>
      </c>
      <c r="G197" s="144">
        <f t="shared" si="65"/>
        <v>0</v>
      </c>
      <c r="H197" s="169">
        <f t="shared" ref="H197:H260" si="82">IF(E197&lt;=0,0,H$14)</f>
        <v>0</v>
      </c>
      <c r="I197" s="143">
        <f t="shared" si="77"/>
        <v>0</v>
      </c>
      <c r="J197" s="144">
        <f t="shared" si="66"/>
        <v>0</v>
      </c>
      <c r="K197" s="144">
        <f t="shared" si="67"/>
        <v>0</v>
      </c>
      <c r="L197" s="169">
        <f t="shared" si="81"/>
        <v>0</v>
      </c>
      <c r="M197" s="143">
        <f t="shared" si="78"/>
        <v>0</v>
      </c>
      <c r="N197" s="144">
        <f t="shared" si="68"/>
        <v>0</v>
      </c>
      <c r="O197" s="144">
        <f t="shared" si="69"/>
        <v>0</v>
      </c>
      <c r="P197" s="169">
        <f t="shared" ref="P197:P260" si="83">IF(M197&lt;=0,0,P$14)</f>
        <v>0</v>
      </c>
      <c r="R197" s="143">
        <f t="shared" si="79"/>
        <v>0</v>
      </c>
      <c r="S197" s="144">
        <f t="shared" si="70"/>
        <v>0</v>
      </c>
      <c r="T197" s="144">
        <f t="shared" si="71"/>
        <v>0</v>
      </c>
      <c r="U197" s="169">
        <f t="shared" si="72"/>
        <v>0</v>
      </c>
      <c r="V197" s="143">
        <f t="shared" si="80"/>
        <v>0</v>
      </c>
      <c r="W197" s="144">
        <f t="shared" si="73"/>
        <v>0</v>
      </c>
      <c r="X197" s="144">
        <f t="shared" si="74"/>
        <v>0</v>
      </c>
      <c r="Y197" s="169">
        <f t="shared" si="75"/>
        <v>0</v>
      </c>
      <c r="Z197" s="151">
        <v>0</v>
      </c>
      <c r="AA197" s="151">
        <v>0</v>
      </c>
      <c r="AB197" s="151">
        <v>0</v>
      </c>
      <c r="AC197" s="151">
        <v>0</v>
      </c>
    </row>
    <row r="198" spans="1:29" s="61" customFormat="1" ht="11.25">
      <c r="A198" s="147">
        <f t="shared" si="61"/>
        <v>0</v>
      </c>
      <c r="B198" s="152">
        <f t="shared" si="62"/>
        <v>0</v>
      </c>
      <c r="C198" s="141">
        <f t="shared" si="63"/>
        <v>15</v>
      </c>
      <c r="D198" s="142">
        <v>179</v>
      </c>
      <c r="E198" s="143">
        <f t="shared" si="76"/>
        <v>0</v>
      </c>
      <c r="F198" s="144">
        <f t="shared" si="64"/>
        <v>0</v>
      </c>
      <c r="G198" s="144">
        <f t="shared" si="65"/>
        <v>0</v>
      </c>
      <c r="H198" s="169">
        <f t="shared" si="82"/>
        <v>0</v>
      </c>
      <c r="I198" s="143">
        <f t="shared" si="77"/>
        <v>0</v>
      </c>
      <c r="J198" s="144">
        <f t="shared" si="66"/>
        <v>0</v>
      </c>
      <c r="K198" s="144">
        <f t="shared" si="67"/>
        <v>0</v>
      </c>
      <c r="L198" s="169">
        <f t="shared" si="81"/>
        <v>0</v>
      </c>
      <c r="M198" s="143">
        <f t="shared" si="78"/>
        <v>0</v>
      </c>
      <c r="N198" s="144">
        <f t="shared" si="68"/>
        <v>0</v>
      </c>
      <c r="O198" s="144">
        <f t="shared" si="69"/>
        <v>0</v>
      </c>
      <c r="P198" s="169">
        <f t="shared" si="83"/>
        <v>0</v>
      </c>
      <c r="R198" s="143">
        <f t="shared" si="79"/>
        <v>0</v>
      </c>
      <c r="S198" s="144">
        <f t="shared" si="70"/>
        <v>0</v>
      </c>
      <c r="T198" s="144">
        <f t="shared" si="71"/>
        <v>0</v>
      </c>
      <c r="U198" s="169">
        <f t="shared" si="72"/>
        <v>0</v>
      </c>
      <c r="V198" s="143">
        <f t="shared" si="80"/>
        <v>0</v>
      </c>
      <c r="W198" s="144">
        <f t="shared" si="73"/>
        <v>0</v>
      </c>
      <c r="X198" s="144">
        <f t="shared" si="74"/>
        <v>0</v>
      </c>
      <c r="Y198" s="169">
        <f t="shared" si="75"/>
        <v>0</v>
      </c>
      <c r="Z198" s="151">
        <v>0</v>
      </c>
      <c r="AA198" s="151">
        <v>0</v>
      </c>
      <c r="AB198" s="151">
        <v>0</v>
      </c>
      <c r="AC198" s="151">
        <v>0</v>
      </c>
    </row>
    <row r="199" spans="1:29" s="61" customFormat="1" ht="12" thickBot="1">
      <c r="A199" s="153">
        <f t="shared" si="61"/>
        <v>0</v>
      </c>
      <c r="B199" s="154">
        <f t="shared" si="62"/>
        <v>0</v>
      </c>
      <c r="C199" s="155">
        <f t="shared" si="63"/>
        <v>15</v>
      </c>
      <c r="D199" s="156">
        <v>180</v>
      </c>
      <c r="E199" s="157">
        <f t="shared" si="76"/>
        <v>0</v>
      </c>
      <c r="F199" s="158">
        <f t="shared" si="64"/>
        <v>0</v>
      </c>
      <c r="G199" s="158">
        <f t="shared" si="65"/>
        <v>0</v>
      </c>
      <c r="H199" s="172">
        <f t="shared" si="82"/>
        <v>0</v>
      </c>
      <c r="I199" s="157">
        <f t="shared" si="77"/>
        <v>0</v>
      </c>
      <c r="J199" s="158">
        <f t="shared" si="66"/>
        <v>0</v>
      </c>
      <c r="K199" s="158">
        <f t="shared" si="67"/>
        <v>0</v>
      </c>
      <c r="L199" s="172">
        <f t="shared" si="81"/>
        <v>0</v>
      </c>
      <c r="M199" s="157">
        <f t="shared" si="78"/>
        <v>0</v>
      </c>
      <c r="N199" s="158">
        <f t="shared" si="68"/>
        <v>0</v>
      </c>
      <c r="O199" s="158">
        <f t="shared" si="69"/>
        <v>0</v>
      </c>
      <c r="P199" s="172">
        <f t="shared" si="83"/>
        <v>0</v>
      </c>
      <c r="R199" s="157">
        <f t="shared" si="79"/>
        <v>0</v>
      </c>
      <c r="S199" s="158">
        <f t="shared" si="70"/>
        <v>0</v>
      </c>
      <c r="T199" s="158">
        <f t="shared" si="71"/>
        <v>0</v>
      </c>
      <c r="U199" s="172">
        <f t="shared" si="72"/>
        <v>0</v>
      </c>
      <c r="V199" s="157">
        <f t="shared" si="80"/>
        <v>0</v>
      </c>
      <c r="W199" s="158">
        <f t="shared" si="73"/>
        <v>0</v>
      </c>
      <c r="X199" s="158">
        <f t="shared" si="74"/>
        <v>0</v>
      </c>
      <c r="Y199" s="172">
        <f t="shared" si="75"/>
        <v>0</v>
      </c>
      <c r="Z199" s="151">
        <v>0</v>
      </c>
      <c r="AA199" s="151">
        <v>0</v>
      </c>
      <c r="AB199" s="151">
        <v>0</v>
      </c>
      <c r="AC199" s="151">
        <v>0</v>
      </c>
    </row>
    <row r="200" spans="1:29" s="61" customFormat="1" ht="11.25">
      <c r="A200" s="147">
        <f t="shared" si="61"/>
        <v>0</v>
      </c>
      <c r="B200" s="152">
        <f t="shared" si="62"/>
        <v>0</v>
      </c>
      <c r="C200" s="141">
        <f t="shared" si="63"/>
        <v>16</v>
      </c>
      <c r="D200" s="142">
        <v>181</v>
      </c>
      <c r="E200" s="143">
        <f t="shared" si="76"/>
        <v>0</v>
      </c>
      <c r="F200" s="144">
        <f t="shared" si="64"/>
        <v>0</v>
      </c>
      <c r="G200" s="144">
        <f t="shared" si="65"/>
        <v>0</v>
      </c>
      <c r="H200" s="169">
        <f t="shared" si="82"/>
        <v>0</v>
      </c>
      <c r="I200" s="143">
        <f t="shared" si="77"/>
        <v>0</v>
      </c>
      <c r="J200" s="144">
        <f t="shared" si="66"/>
        <v>0</v>
      </c>
      <c r="K200" s="144">
        <f t="shared" si="67"/>
        <v>0</v>
      </c>
      <c r="L200" s="169">
        <f t="shared" si="81"/>
        <v>0</v>
      </c>
      <c r="M200" s="143">
        <f t="shared" si="78"/>
        <v>0</v>
      </c>
      <c r="N200" s="144">
        <f t="shared" si="68"/>
        <v>0</v>
      </c>
      <c r="O200" s="144">
        <f t="shared" si="69"/>
        <v>0</v>
      </c>
      <c r="P200" s="169">
        <f t="shared" si="83"/>
        <v>0</v>
      </c>
      <c r="R200" s="143">
        <f t="shared" si="79"/>
        <v>0</v>
      </c>
      <c r="S200" s="144">
        <f t="shared" si="70"/>
        <v>0</v>
      </c>
      <c r="T200" s="144">
        <f t="shared" si="71"/>
        <v>0</v>
      </c>
      <c r="U200" s="169">
        <f t="shared" si="72"/>
        <v>0</v>
      </c>
      <c r="V200" s="143">
        <f t="shared" si="80"/>
        <v>0</v>
      </c>
      <c r="W200" s="144">
        <f t="shared" si="73"/>
        <v>0</v>
      </c>
      <c r="X200" s="144">
        <f t="shared" si="74"/>
        <v>0</v>
      </c>
      <c r="Y200" s="169">
        <f t="shared" si="75"/>
        <v>0</v>
      </c>
      <c r="Z200" s="151">
        <v>0</v>
      </c>
      <c r="AA200" s="151">
        <v>0</v>
      </c>
      <c r="AB200" s="151">
        <v>0</v>
      </c>
      <c r="AC200" s="151">
        <v>0</v>
      </c>
    </row>
    <row r="201" spans="1:29" s="61" customFormat="1" ht="11.25">
      <c r="A201" s="147">
        <f t="shared" si="61"/>
        <v>0</v>
      </c>
      <c r="B201" s="152">
        <f t="shared" si="62"/>
        <v>0</v>
      </c>
      <c r="C201" s="141">
        <f t="shared" si="63"/>
        <v>16</v>
      </c>
      <c r="D201" s="142">
        <v>182</v>
      </c>
      <c r="E201" s="143">
        <f t="shared" si="76"/>
        <v>0</v>
      </c>
      <c r="F201" s="144">
        <f t="shared" si="64"/>
        <v>0</v>
      </c>
      <c r="G201" s="144">
        <f t="shared" si="65"/>
        <v>0</v>
      </c>
      <c r="H201" s="169">
        <f t="shared" si="82"/>
        <v>0</v>
      </c>
      <c r="I201" s="143">
        <f t="shared" si="77"/>
        <v>0</v>
      </c>
      <c r="J201" s="144">
        <f t="shared" si="66"/>
        <v>0</v>
      </c>
      <c r="K201" s="144">
        <f t="shared" si="67"/>
        <v>0</v>
      </c>
      <c r="L201" s="169">
        <f t="shared" si="81"/>
        <v>0</v>
      </c>
      <c r="M201" s="143">
        <f t="shared" si="78"/>
        <v>0</v>
      </c>
      <c r="N201" s="144">
        <f t="shared" si="68"/>
        <v>0</v>
      </c>
      <c r="O201" s="144">
        <f t="shared" si="69"/>
        <v>0</v>
      </c>
      <c r="P201" s="169">
        <f t="shared" si="83"/>
        <v>0</v>
      </c>
      <c r="R201" s="143">
        <f t="shared" si="79"/>
        <v>0</v>
      </c>
      <c r="S201" s="144">
        <f t="shared" si="70"/>
        <v>0</v>
      </c>
      <c r="T201" s="144">
        <f t="shared" si="71"/>
        <v>0</v>
      </c>
      <c r="U201" s="169">
        <f t="shared" si="72"/>
        <v>0</v>
      </c>
      <c r="V201" s="143">
        <f t="shared" si="80"/>
        <v>0</v>
      </c>
      <c r="W201" s="144">
        <f t="shared" si="73"/>
        <v>0</v>
      </c>
      <c r="X201" s="144">
        <f t="shared" si="74"/>
        <v>0</v>
      </c>
      <c r="Y201" s="169">
        <f t="shared" si="75"/>
        <v>0</v>
      </c>
      <c r="Z201" s="151">
        <v>0</v>
      </c>
      <c r="AA201" s="151">
        <v>0</v>
      </c>
      <c r="AB201" s="151">
        <v>0</v>
      </c>
      <c r="AC201" s="151">
        <v>0</v>
      </c>
    </row>
    <row r="202" spans="1:29" s="61" customFormat="1" ht="11.25">
      <c r="A202" s="147">
        <f t="shared" si="61"/>
        <v>0</v>
      </c>
      <c r="B202" s="152">
        <f t="shared" si="62"/>
        <v>0</v>
      </c>
      <c r="C202" s="141">
        <f t="shared" si="63"/>
        <v>16</v>
      </c>
      <c r="D202" s="142">
        <v>183</v>
      </c>
      <c r="E202" s="143">
        <f t="shared" si="76"/>
        <v>0</v>
      </c>
      <c r="F202" s="144">
        <f t="shared" si="64"/>
        <v>0</v>
      </c>
      <c r="G202" s="144">
        <f t="shared" si="65"/>
        <v>0</v>
      </c>
      <c r="H202" s="169">
        <f t="shared" si="82"/>
        <v>0</v>
      </c>
      <c r="I202" s="143">
        <f t="shared" si="77"/>
        <v>0</v>
      </c>
      <c r="J202" s="144">
        <f t="shared" si="66"/>
        <v>0</v>
      </c>
      <c r="K202" s="144">
        <f t="shared" si="67"/>
        <v>0</v>
      </c>
      <c r="L202" s="169">
        <f t="shared" si="81"/>
        <v>0</v>
      </c>
      <c r="M202" s="143">
        <f t="shared" si="78"/>
        <v>0</v>
      </c>
      <c r="N202" s="144">
        <f t="shared" si="68"/>
        <v>0</v>
      </c>
      <c r="O202" s="144">
        <f t="shared" si="69"/>
        <v>0</v>
      </c>
      <c r="P202" s="169">
        <f t="shared" si="83"/>
        <v>0</v>
      </c>
      <c r="R202" s="143">
        <f t="shared" si="79"/>
        <v>0</v>
      </c>
      <c r="S202" s="144">
        <f t="shared" si="70"/>
        <v>0</v>
      </c>
      <c r="T202" s="144">
        <f t="shared" si="71"/>
        <v>0</v>
      </c>
      <c r="U202" s="169">
        <f t="shared" si="72"/>
        <v>0</v>
      </c>
      <c r="V202" s="143">
        <f t="shared" si="80"/>
        <v>0</v>
      </c>
      <c r="W202" s="144">
        <f t="shared" si="73"/>
        <v>0</v>
      </c>
      <c r="X202" s="144">
        <f t="shared" si="74"/>
        <v>0</v>
      </c>
      <c r="Y202" s="169">
        <f t="shared" si="75"/>
        <v>0</v>
      </c>
      <c r="Z202" s="151">
        <v>0</v>
      </c>
      <c r="AA202" s="151">
        <v>0</v>
      </c>
      <c r="AB202" s="151">
        <v>0</v>
      </c>
      <c r="AC202" s="151">
        <v>0</v>
      </c>
    </row>
    <row r="203" spans="1:29" s="61" customFormat="1" ht="11.25">
      <c r="A203" s="147">
        <f t="shared" si="61"/>
        <v>0</v>
      </c>
      <c r="B203" s="152">
        <f t="shared" si="62"/>
        <v>0</v>
      </c>
      <c r="C203" s="141">
        <f t="shared" si="63"/>
        <v>16</v>
      </c>
      <c r="D203" s="142">
        <v>184</v>
      </c>
      <c r="E203" s="143">
        <f t="shared" si="76"/>
        <v>0</v>
      </c>
      <c r="F203" s="144">
        <f t="shared" si="64"/>
        <v>0</v>
      </c>
      <c r="G203" s="144">
        <f t="shared" si="65"/>
        <v>0</v>
      </c>
      <c r="H203" s="169">
        <f t="shared" si="82"/>
        <v>0</v>
      </c>
      <c r="I203" s="143">
        <f t="shared" si="77"/>
        <v>0</v>
      </c>
      <c r="J203" s="144">
        <f t="shared" si="66"/>
        <v>0</v>
      </c>
      <c r="K203" s="144">
        <f t="shared" si="67"/>
        <v>0</v>
      </c>
      <c r="L203" s="169">
        <f t="shared" si="81"/>
        <v>0</v>
      </c>
      <c r="M203" s="143">
        <f t="shared" si="78"/>
        <v>0</v>
      </c>
      <c r="N203" s="144">
        <f t="shared" si="68"/>
        <v>0</v>
      </c>
      <c r="O203" s="144">
        <f t="shared" si="69"/>
        <v>0</v>
      </c>
      <c r="P203" s="169">
        <f t="shared" si="83"/>
        <v>0</v>
      </c>
      <c r="R203" s="143">
        <f t="shared" si="79"/>
        <v>0</v>
      </c>
      <c r="S203" s="144">
        <f t="shared" si="70"/>
        <v>0</v>
      </c>
      <c r="T203" s="144">
        <f t="shared" si="71"/>
        <v>0</v>
      </c>
      <c r="U203" s="169">
        <f t="shared" si="72"/>
        <v>0</v>
      </c>
      <c r="V203" s="143">
        <f t="shared" si="80"/>
        <v>0</v>
      </c>
      <c r="W203" s="144">
        <f t="shared" si="73"/>
        <v>0</v>
      </c>
      <c r="X203" s="144">
        <f t="shared" si="74"/>
        <v>0</v>
      </c>
      <c r="Y203" s="169">
        <f t="shared" si="75"/>
        <v>0</v>
      </c>
      <c r="Z203" s="151">
        <v>0</v>
      </c>
      <c r="AA203" s="151">
        <v>0</v>
      </c>
      <c r="AB203" s="151">
        <v>0</v>
      </c>
      <c r="AC203" s="151">
        <v>0</v>
      </c>
    </row>
    <row r="204" spans="1:29" s="61" customFormat="1" ht="11.25">
      <c r="A204" s="147">
        <f t="shared" si="61"/>
        <v>0</v>
      </c>
      <c r="B204" s="152">
        <f t="shared" si="62"/>
        <v>0</v>
      </c>
      <c r="C204" s="141">
        <f t="shared" si="63"/>
        <v>16</v>
      </c>
      <c r="D204" s="142">
        <v>185</v>
      </c>
      <c r="E204" s="143">
        <f t="shared" si="76"/>
        <v>0</v>
      </c>
      <c r="F204" s="144">
        <f t="shared" si="64"/>
        <v>0</v>
      </c>
      <c r="G204" s="144">
        <f t="shared" si="65"/>
        <v>0</v>
      </c>
      <c r="H204" s="169">
        <f t="shared" si="82"/>
        <v>0</v>
      </c>
      <c r="I204" s="143">
        <f t="shared" si="77"/>
        <v>0</v>
      </c>
      <c r="J204" s="144">
        <f t="shared" si="66"/>
        <v>0</v>
      </c>
      <c r="K204" s="144">
        <f t="shared" si="67"/>
        <v>0</v>
      </c>
      <c r="L204" s="169">
        <f t="shared" si="81"/>
        <v>0</v>
      </c>
      <c r="M204" s="143">
        <f t="shared" si="78"/>
        <v>0</v>
      </c>
      <c r="N204" s="144">
        <f t="shared" si="68"/>
        <v>0</v>
      </c>
      <c r="O204" s="144">
        <f t="shared" si="69"/>
        <v>0</v>
      </c>
      <c r="P204" s="169">
        <f t="shared" si="83"/>
        <v>0</v>
      </c>
      <c r="R204" s="143">
        <f t="shared" si="79"/>
        <v>0</v>
      </c>
      <c r="S204" s="144">
        <f t="shared" si="70"/>
        <v>0</v>
      </c>
      <c r="T204" s="144">
        <f t="shared" si="71"/>
        <v>0</v>
      </c>
      <c r="U204" s="169">
        <f t="shared" si="72"/>
        <v>0</v>
      </c>
      <c r="V204" s="143">
        <f t="shared" si="80"/>
        <v>0</v>
      </c>
      <c r="W204" s="144">
        <f t="shared" si="73"/>
        <v>0</v>
      </c>
      <c r="X204" s="144">
        <f t="shared" si="74"/>
        <v>0</v>
      </c>
      <c r="Y204" s="169">
        <f t="shared" si="75"/>
        <v>0</v>
      </c>
      <c r="Z204" s="151">
        <v>0</v>
      </c>
      <c r="AA204" s="151">
        <v>0</v>
      </c>
      <c r="AB204" s="151">
        <v>0</v>
      </c>
      <c r="AC204" s="151">
        <v>0</v>
      </c>
    </row>
    <row r="205" spans="1:29" s="61" customFormat="1" ht="11.25">
      <c r="A205" s="147">
        <f t="shared" si="61"/>
        <v>0</v>
      </c>
      <c r="B205" s="152">
        <f t="shared" si="62"/>
        <v>0</v>
      </c>
      <c r="C205" s="141">
        <f t="shared" si="63"/>
        <v>16</v>
      </c>
      <c r="D205" s="142">
        <v>186</v>
      </c>
      <c r="E205" s="143">
        <f t="shared" si="76"/>
        <v>0</v>
      </c>
      <c r="F205" s="144">
        <f t="shared" si="64"/>
        <v>0</v>
      </c>
      <c r="G205" s="144">
        <f t="shared" si="65"/>
        <v>0</v>
      </c>
      <c r="H205" s="169">
        <f t="shared" si="82"/>
        <v>0</v>
      </c>
      <c r="I205" s="143">
        <f t="shared" si="77"/>
        <v>0</v>
      </c>
      <c r="J205" s="144">
        <f t="shared" si="66"/>
        <v>0</v>
      </c>
      <c r="K205" s="144">
        <f t="shared" si="67"/>
        <v>0</v>
      </c>
      <c r="L205" s="169">
        <f t="shared" si="81"/>
        <v>0</v>
      </c>
      <c r="M205" s="143">
        <f t="shared" si="78"/>
        <v>0</v>
      </c>
      <c r="N205" s="144">
        <f t="shared" si="68"/>
        <v>0</v>
      </c>
      <c r="O205" s="144">
        <f t="shared" si="69"/>
        <v>0</v>
      </c>
      <c r="P205" s="169">
        <f t="shared" si="83"/>
        <v>0</v>
      </c>
      <c r="R205" s="143">
        <f t="shared" si="79"/>
        <v>0</v>
      </c>
      <c r="S205" s="144">
        <f t="shared" si="70"/>
        <v>0</v>
      </c>
      <c r="T205" s="144">
        <f t="shared" si="71"/>
        <v>0</v>
      </c>
      <c r="U205" s="169">
        <f t="shared" si="72"/>
        <v>0</v>
      </c>
      <c r="V205" s="143">
        <f t="shared" si="80"/>
        <v>0</v>
      </c>
      <c r="W205" s="144">
        <f t="shared" si="73"/>
        <v>0</v>
      </c>
      <c r="X205" s="144">
        <f t="shared" si="74"/>
        <v>0</v>
      </c>
      <c r="Y205" s="169">
        <f t="shared" si="75"/>
        <v>0</v>
      </c>
      <c r="Z205" s="151">
        <v>0</v>
      </c>
      <c r="AA205" s="151">
        <v>0</v>
      </c>
      <c r="AB205" s="151">
        <v>0</v>
      </c>
      <c r="AC205" s="151">
        <v>0</v>
      </c>
    </row>
    <row r="206" spans="1:29" s="61" customFormat="1" ht="11.25">
      <c r="A206" s="147">
        <f t="shared" si="61"/>
        <v>0</v>
      </c>
      <c r="B206" s="152">
        <f t="shared" si="62"/>
        <v>0</v>
      </c>
      <c r="C206" s="141">
        <f t="shared" si="63"/>
        <v>16</v>
      </c>
      <c r="D206" s="142">
        <v>187</v>
      </c>
      <c r="E206" s="143">
        <f t="shared" si="76"/>
        <v>0</v>
      </c>
      <c r="F206" s="144">
        <f t="shared" si="64"/>
        <v>0</v>
      </c>
      <c r="G206" s="144">
        <f t="shared" si="65"/>
        <v>0</v>
      </c>
      <c r="H206" s="169">
        <f t="shared" si="82"/>
        <v>0</v>
      </c>
      <c r="I206" s="143">
        <f t="shared" si="77"/>
        <v>0</v>
      </c>
      <c r="J206" s="144">
        <f t="shared" si="66"/>
        <v>0</v>
      </c>
      <c r="K206" s="144">
        <f t="shared" si="67"/>
        <v>0</v>
      </c>
      <c r="L206" s="169">
        <f t="shared" si="81"/>
        <v>0</v>
      </c>
      <c r="M206" s="143">
        <f t="shared" si="78"/>
        <v>0</v>
      </c>
      <c r="N206" s="144">
        <f t="shared" si="68"/>
        <v>0</v>
      </c>
      <c r="O206" s="144">
        <f t="shared" si="69"/>
        <v>0</v>
      </c>
      <c r="P206" s="169">
        <f t="shared" si="83"/>
        <v>0</v>
      </c>
      <c r="R206" s="143">
        <f t="shared" si="79"/>
        <v>0</v>
      </c>
      <c r="S206" s="144">
        <f t="shared" si="70"/>
        <v>0</v>
      </c>
      <c r="T206" s="144">
        <f t="shared" si="71"/>
        <v>0</v>
      </c>
      <c r="U206" s="169">
        <f t="shared" si="72"/>
        <v>0</v>
      </c>
      <c r="V206" s="143">
        <f t="shared" si="80"/>
        <v>0</v>
      </c>
      <c r="W206" s="144">
        <f t="shared" si="73"/>
        <v>0</v>
      </c>
      <c r="X206" s="144">
        <f t="shared" si="74"/>
        <v>0</v>
      </c>
      <c r="Y206" s="169">
        <f t="shared" si="75"/>
        <v>0</v>
      </c>
      <c r="Z206" s="151">
        <v>0</v>
      </c>
      <c r="AA206" s="151">
        <v>0</v>
      </c>
      <c r="AB206" s="151">
        <v>0</v>
      </c>
      <c r="AC206" s="151">
        <v>0</v>
      </c>
    </row>
    <row r="207" spans="1:29" s="61" customFormat="1" ht="11.25">
      <c r="A207" s="147">
        <f t="shared" si="61"/>
        <v>0</v>
      </c>
      <c r="B207" s="152">
        <f t="shared" si="62"/>
        <v>0</v>
      </c>
      <c r="C207" s="141">
        <f t="shared" si="63"/>
        <v>16</v>
      </c>
      <c r="D207" s="142">
        <v>188</v>
      </c>
      <c r="E207" s="143">
        <f t="shared" si="76"/>
        <v>0</v>
      </c>
      <c r="F207" s="144">
        <f t="shared" si="64"/>
        <v>0</v>
      </c>
      <c r="G207" s="144">
        <f t="shared" si="65"/>
        <v>0</v>
      </c>
      <c r="H207" s="169">
        <f t="shared" si="82"/>
        <v>0</v>
      </c>
      <c r="I207" s="143">
        <f t="shared" si="77"/>
        <v>0</v>
      </c>
      <c r="J207" s="144">
        <f t="shared" si="66"/>
        <v>0</v>
      </c>
      <c r="K207" s="144">
        <f t="shared" si="67"/>
        <v>0</v>
      </c>
      <c r="L207" s="169">
        <f t="shared" si="81"/>
        <v>0</v>
      </c>
      <c r="M207" s="143">
        <f t="shared" si="78"/>
        <v>0</v>
      </c>
      <c r="N207" s="144">
        <f t="shared" si="68"/>
        <v>0</v>
      </c>
      <c r="O207" s="144">
        <f t="shared" si="69"/>
        <v>0</v>
      </c>
      <c r="P207" s="169">
        <f t="shared" si="83"/>
        <v>0</v>
      </c>
      <c r="R207" s="143">
        <f t="shared" si="79"/>
        <v>0</v>
      </c>
      <c r="S207" s="144">
        <f t="shared" si="70"/>
        <v>0</v>
      </c>
      <c r="T207" s="144">
        <f t="shared" si="71"/>
        <v>0</v>
      </c>
      <c r="U207" s="169">
        <f t="shared" si="72"/>
        <v>0</v>
      </c>
      <c r="V207" s="143">
        <f t="shared" si="80"/>
        <v>0</v>
      </c>
      <c r="W207" s="144">
        <f t="shared" si="73"/>
        <v>0</v>
      </c>
      <c r="X207" s="144">
        <f t="shared" si="74"/>
        <v>0</v>
      </c>
      <c r="Y207" s="169">
        <f t="shared" si="75"/>
        <v>0</v>
      </c>
      <c r="Z207" s="151">
        <v>0</v>
      </c>
      <c r="AA207" s="151">
        <v>0</v>
      </c>
      <c r="AB207" s="151">
        <v>0</v>
      </c>
      <c r="AC207" s="151">
        <v>0</v>
      </c>
    </row>
    <row r="208" spans="1:29" s="61" customFormat="1" ht="11.25">
      <c r="A208" s="147">
        <f t="shared" si="61"/>
        <v>0</v>
      </c>
      <c r="B208" s="152">
        <f t="shared" si="62"/>
        <v>0</v>
      </c>
      <c r="C208" s="141">
        <f t="shared" si="63"/>
        <v>16</v>
      </c>
      <c r="D208" s="142">
        <v>189</v>
      </c>
      <c r="E208" s="143">
        <f t="shared" si="76"/>
        <v>0</v>
      </c>
      <c r="F208" s="144">
        <f t="shared" si="64"/>
        <v>0</v>
      </c>
      <c r="G208" s="144">
        <f t="shared" si="65"/>
        <v>0</v>
      </c>
      <c r="H208" s="169">
        <f t="shared" si="82"/>
        <v>0</v>
      </c>
      <c r="I208" s="143">
        <f t="shared" si="77"/>
        <v>0</v>
      </c>
      <c r="J208" s="144">
        <f t="shared" si="66"/>
        <v>0</v>
      </c>
      <c r="K208" s="144">
        <f t="shared" si="67"/>
        <v>0</v>
      </c>
      <c r="L208" s="169">
        <f t="shared" si="81"/>
        <v>0</v>
      </c>
      <c r="M208" s="143">
        <f t="shared" si="78"/>
        <v>0</v>
      </c>
      <c r="N208" s="144">
        <f t="shared" si="68"/>
        <v>0</v>
      </c>
      <c r="O208" s="144">
        <f t="shared" si="69"/>
        <v>0</v>
      </c>
      <c r="P208" s="169">
        <f t="shared" si="83"/>
        <v>0</v>
      </c>
      <c r="R208" s="143">
        <f t="shared" si="79"/>
        <v>0</v>
      </c>
      <c r="S208" s="144">
        <f t="shared" si="70"/>
        <v>0</v>
      </c>
      <c r="T208" s="144">
        <f t="shared" si="71"/>
        <v>0</v>
      </c>
      <c r="U208" s="169">
        <f t="shared" si="72"/>
        <v>0</v>
      </c>
      <c r="V208" s="143">
        <f t="shared" si="80"/>
        <v>0</v>
      </c>
      <c r="W208" s="144">
        <f t="shared" si="73"/>
        <v>0</v>
      </c>
      <c r="X208" s="144">
        <f t="shared" si="74"/>
        <v>0</v>
      </c>
      <c r="Y208" s="169">
        <f t="shared" si="75"/>
        <v>0</v>
      </c>
      <c r="Z208" s="151">
        <v>0</v>
      </c>
      <c r="AA208" s="151">
        <v>0</v>
      </c>
      <c r="AB208" s="151">
        <v>0</v>
      </c>
      <c r="AC208" s="151">
        <v>0</v>
      </c>
    </row>
    <row r="209" spans="1:29" s="61" customFormat="1" ht="11.25">
      <c r="A209" s="147">
        <f t="shared" si="61"/>
        <v>0</v>
      </c>
      <c r="B209" s="152">
        <f t="shared" si="62"/>
        <v>0</v>
      </c>
      <c r="C209" s="141">
        <f t="shared" si="63"/>
        <v>16</v>
      </c>
      <c r="D209" s="142">
        <v>190</v>
      </c>
      <c r="E209" s="143">
        <f t="shared" si="76"/>
        <v>0</v>
      </c>
      <c r="F209" s="144">
        <f t="shared" si="64"/>
        <v>0</v>
      </c>
      <c r="G209" s="144">
        <f t="shared" si="65"/>
        <v>0</v>
      </c>
      <c r="H209" s="169">
        <f t="shared" si="82"/>
        <v>0</v>
      </c>
      <c r="I209" s="143">
        <f t="shared" si="77"/>
        <v>0</v>
      </c>
      <c r="J209" s="144">
        <f t="shared" si="66"/>
        <v>0</v>
      </c>
      <c r="K209" s="144">
        <f t="shared" si="67"/>
        <v>0</v>
      </c>
      <c r="L209" s="169">
        <f t="shared" si="81"/>
        <v>0</v>
      </c>
      <c r="M209" s="143">
        <f t="shared" si="78"/>
        <v>0</v>
      </c>
      <c r="N209" s="144">
        <f t="shared" si="68"/>
        <v>0</v>
      </c>
      <c r="O209" s="144">
        <f t="shared" si="69"/>
        <v>0</v>
      </c>
      <c r="P209" s="169">
        <f t="shared" si="83"/>
        <v>0</v>
      </c>
      <c r="R209" s="143">
        <f t="shared" si="79"/>
        <v>0</v>
      </c>
      <c r="S209" s="144">
        <f t="shared" si="70"/>
        <v>0</v>
      </c>
      <c r="T209" s="144">
        <f t="shared" si="71"/>
        <v>0</v>
      </c>
      <c r="U209" s="169">
        <f t="shared" si="72"/>
        <v>0</v>
      </c>
      <c r="V209" s="143">
        <f t="shared" si="80"/>
        <v>0</v>
      </c>
      <c r="W209" s="144">
        <f t="shared" si="73"/>
        <v>0</v>
      </c>
      <c r="X209" s="144">
        <f t="shared" si="74"/>
        <v>0</v>
      </c>
      <c r="Y209" s="169">
        <f t="shared" si="75"/>
        <v>0</v>
      </c>
      <c r="Z209" s="151">
        <v>0</v>
      </c>
      <c r="AA209" s="151">
        <v>0</v>
      </c>
      <c r="AB209" s="151">
        <v>0</v>
      </c>
      <c r="AC209" s="151">
        <v>0</v>
      </c>
    </row>
    <row r="210" spans="1:29" s="61" customFormat="1" ht="11.25">
      <c r="A210" s="147">
        <f t="shared" si="61"/>
        <v>0</v>
      </c>
      <c r="B210" s="152">
        <f t="shared" si="62"/>
        <v>0</v>
      </c>
      <c r="C210" s="141">
        <f t="shared" si="63"/>
        <v>16</v>
      </c>
      <c r="D210" s="142">
        <v>191</v>
      </c>
      <c r="E210" s="143">
        <f t="shared" si="76"/>
        <v>0</v>
      </c>
      <c r="F210" s="144">
        <f t="shared" si="64"/>
        <v>0</v>
      </c>
      <c r="G210" s="144">
        <f t="shared" si="65"/>
        <v>0</v>
      </c>
      <c r="H210" s="169">
        <f t="shared" si="82"/>
        <v>0</v>
      </c>
      <c r="I210" s="143">
        <f t="shared" si="77"/>
        <v>0</v>
      </c>
      <c r="J210" s="144">
        <f t="shared" si="66"/>
        <v>0</v>
      </c>
      <c r="K210" s="144">
        <f t="shared" si="67"/>
        <v>0</v>
      </c>
      <c r="L210" s="169">
        <f t="shared" si="81"/>
        <v>0</v>
      </c>
      <c r="M210" s="143">
        <f t="shared" si="78"/>
        <v>0</v>
      </c>
      <c r="N210" s="144">
        <f t="shared" si="68"/>
        <v>0</v>
      </c>
      <c r="O210" s="144">
        <f t="shared" si="69"/>
        <v>0</v>
      </c>
      <c r="P210" s="169">
        <f t="shared" si="83"/>
        <v>0</v>
      </c>
      <c r="R210" s="143">
        <f t="shared" si="79"/>
        <v>0</v>
      </c>
      <c r="S210" s="144">
        <f t="shared" si="70"/>
        <v>0</v>
      </c>
      <c r="T210" s="144">
        <f t="shared" si="71"/>
        <v>0</v>
      </c>
      <c r="U210" s="169">
        <f t="shared" si="72"/>
        <v>0</v>
      </c>
      <c r="V210" s="143">
        <f t="shared" si="80"/>
        <v>0</v>
      </c>
      <c r="W210" s="144">
        <f t="shared" si="73"/>
        <v>0</v>
      </c>
      <c r="X210" s="144">
        <f t="shared" si="74"/>
        <v>0</v>
      </c>
      <c r="Y210" s="169">
        <f t="shared" si="75"/>
        <v>0</v>
      </c>
      <c r="Z210" s="151">
        <v>0</v>
      </c>
      <c r="AA210" s="151">
        <v>0</v>
      </c>
      <c r="AB210" s="151">
        <v>0</v>
      </c>
      <c r="AC210" s="151">
        <v>0</v>
      </c>
    </row>
    <row r="211" spans="1:29" s="61" customFormat="1" ht="12" thickBot="1">
      <c r="A211" s="153">
        <f t="shared" si="61"/>
        <v>0</v>
      </c>
      <c r="B211" s="154">
        <f t="shared" si="62"/>
        <v>0</v>
      </c>
      <c r="C211" s="155">
        <f t="shared" si="63"/>
        <v>16</v>
      </c>
      <c r="D211" s="156">
        <v>192</v>
      </c>
      <c r="E211" s="157">
        <f t="shared" si="76"/>
        <v>0</v>
      </c>
      <c r="F211" s="158">
        <f t="shared" si="64"/>
        <v>0</v>
      </c>
      <c r="G211" s="158">
        <f t="shared" si="65"/>
        <v>0</v>
      </c>
      <c r="H211" s="172">
        <f t="shared" si="82"/>
        <v>0</v>
      </c>
      <c r="I211" s="157">
        <f t="shared" si="77"/>
        <v>0</v>
      </c>
      <c r="J211" s="158">
        <f t="shared" si="66"/>
        <v>0</v>
      </c>
      <c r="K211" s="158">
        <f t="shared" si="67"/>
        <v>0</v>
      </c>
      <c r="L211" s="172">
        <f t="shared" si="81"/>
        <v>0</v>
      </c>
      <c r="M211" s="157">
        <f t="shared" si="78"/>
        <v>0</v>
      </c>
      <c r="N211" s="158">
        <f t="shared" si="68"/>
        <v>0</v>
      </c>
      <c r="O211" s="158">
        <f t="shared" si="69"/>
        <v>0</v>
      </c>
      <c r="P211" s="172">
        <f t="shared" si="83"/>
        <v>0</v>
      </c>
      <c r="R211" s="157">
        <f t="shared" si="79"/>
        <v>0</v>
      </c>
      <c r="S211" s="158">
        <f t="shared" si="70"/>
        <v>0</v>
      </c>
      <c r="T211" s="158">
        <f t="shared" si="71"/>
        <v>0</v>
      </c>
      <c r="U211" s="172">
        <f t="shared" si="72"/>
        <v>0</v>
      </c>
      <c r="V211" s="157">
        <f t="shared" si="80"/>
        <v>0</v>
      </c>
      <c r="W211" s="158">
        <f t="shared" si="73"/>
        <v>0</v>
      </c>
      <c r="X211" s="158">
        <f t="shared" si="74"/>
        <v>0</v>
      </c>
      <c r="Y211" s="172">
        <f t="shared" si="75"/>
        <v>0</v>
      </c>
      <c r="Z211" s="151">
        <v>0</v>
      </c>
      <c r="AA211" s="151">
        <v>0</v>
      </c>
      <c r="AB211" s="151">
        <v>0</v>
      </c>
      <c r="AC211" s="151">
        <v>0</v>
      </c>
    </row>
    <row r="212" spans="1:29" s="61" customFormat="1" ht="11.25">
      <c r="A212" s="147">
        <f t="shared" ref="A212:A275" si="84">VLOOKUP(D212,$A$10:$C$14,3)</f>
        <v>0</v>
      </c>
      <c r="B212" s="152">
        <f t="shared" ref="B212:B275" si="85">A212/12</f>
        <v>0</v>
      </c>
      <c r="C212" s="141">
        <f t="shared" ref="C212:C275" si="86">INT((D212+11)/12)</f>
        <v>17</v>
      </c>
      <c r="D212" s="142">
        <v>193</v>
      </c>
      <c r="E212" s="143">
        <f t="shared" si="76"/>
        <v>0</v>
      </c>
      <c r="F212" s="144">
        <f t="shared" ref="F212:F275" si="87">ROUND(E212*$B212,2)</f>
        <v>0</v>
      </c>
      <c r="G212" s="144">
        <f t="shared" ref="G212:G275" si="88">IF(E212&lt;H212,E212,H212-F212)</f>
        <v>0</v>
      </c>
      <c r="H212" s="169">
        <f t="shared" si="82"/>
        <v>0</v>
      </c>
      <c r="I212" s="143">
        <f t="shared" si="77"/>
        <v>0</v>
      </c>
      <c r="J212" s="144">
        <f t="shared" ref="J212:J275" si="89">ROUND(I212*$B212,2)</f>
        <v>0</v>
      </c>
      <c r="K212" s="144">
        <f t="shared" ref="K212:K275" si="90">IF(I212&lt;L212,I212,L212-J212)</f>
        <v>0</v>
      </c>
      <c r="L212" s="169">
        <f t="shared" si="81"/>
        <v>0</v>
      </c>
      <c r="M212" s="143">
        <f t="shared" si="78"/>
        <v>0</v>
      </c>
      <c r="N212" s="144">
        <f t="shared" ref="N212:N275" si="91">ROUND(M212*$B212,2)</f>
        <v>0</v>
      </c>
      <c r="O212" s="144">
        <f t="shared" ref="O212:O275" si="92">IF(M212&lt;P212,M212,P212-N212)</f>
        <v>0</v>
      </c>
      <c r="P212" s="169">
        <f t="shared" si="83"/>
        <v>0</v>
      </c>
      <c r="R212" s="143">
        <f t="shared" si="79"/>
        <v>0</v>
      </c>
      <c r="S212" s="144">
        <f t="shared" ref="S212:S275" si="93">ROUND(R212*$B212,2)</f>
        <v>0</v>
      </c>
      <c r="T212" s="144">
        <f t="shared" ref="T212:T275" si="94">IF(R212&lt;U212,R212,U212-S212)</f>
        <v>0</v>
      </c>
      <c r="U212" s="169">
        <f t="shared" ref="U212:U275" si="95">IF(R212&lt;=0,0,$Y$15)</f>
        <v>0</v>
      </c>
      <c r="V212" s="143">
        <f t="shared" si="80"/>
        <v>0</v>
      </c>
      <c r="W212" s="144">
        <f t="shared" ref="W212:W275" si="96">ROUND(V212*$B212,2)</f>
        <v>0</v>
      </c>
      <c r="X212" s="144">
        <f t="shared" ref="X212:X275" si="97">IF(V212&lt;Y212,V212,Y212-W212)</f>
        <v>0</v>
      </c>
      <c r="Y212" s="169">
        <f t="shared" ref="Y212:Y275" si="98">IF(V212&lt;=0,0,PMT(B212,($B$2-D212+1),V212*-1))</f>
        <v>0</v>
      </c>
      <c r="Z212" s="151">
        <v>0</v>
      </c>
      <c r="AA212" s="151">
        <v>0</v>
      </c>
      <c r="AB212" s="151">
        <v>0</v>
      </c>
      <c r="AC212" s="151">
        <v>0</v>
      </c>
    </row>
    <row r="213" spans="1:29" s="61" customFormat="1" ht="11.25">
      <c r="A213" s="147">
        <f t="shared" si="84"/>
        <v>0</v>
      </c>
      <c r="B213" s="152">
        <f t="shared" si="85"/>
        <v>0</v>
      </c>
      <c r="C213" s="141">
        <f t="shared" si="86"/>
        <v>17</v>
      </c>
      <c r="D213" s="142">
        <v>194</v>
      </c>
      <c r="E213" s="143">
        <f t="shared" ref="E213:E276" si="99">IF(E212&lt;H212,0,E212-G212)</f>
        <v>0</v>
      </c>
      <c r="F213" s="144">
        <f t="shared" si="87"/>
        <v>0</v>
      </c>
      <c r="G213" s="144">
        <f t="shared" si="88"/>
        <v>0</v>
      </c>
      <c r="H213" s="169">
        <f t="shared" si="82"/>
        <v>0</v>
      </c>
      <c r="I213" s="143">
        <f t="shared" ref="I213:I276" si="100">IF(I212&lt;L212,0,I212-K212)</f>
        <v>0</v>
      </c>
      <c r="J213" s="144">
        <f t="shared" si="89"/>
        <v>0</v>
      </c>
      <c r="K213" s="144">
        <f t="shared" si="90"/>
        <v>0</v>
      </c>
      <c r="L213" s="169">
        <f t="shared" si="81"/>
        <v>0</v>
      </c>
      <c r="M213" s="143">
        <f t="shared" ref="M213:M276" si="101">IF(M212&lt;P212,0,M212-O212)</f>
        <v>0</v>
      </c>
      <c r="N213" s="144">
        <f t="shared" si="91"/>
        <v>0</v>
      </c>
      <c r="O213" s="144">
        <f t="shared" si="92"/>
        <v>0</v>
      </c>
      <c r="P213" s="169">
        <f t="shared" si="83"/>
        <v>0</v>
      </c>
      <c r="R213" s="143">
        <f t="shared" ref="R213:R276" si="102">IF(R212&lt;U212,0,R212-T212)</f>
        <v>0</v>
      </c>
      <c r="S213" s="144">
        <f t="shared" si="93"/>
        <v>0</v>
      </c>
      <c r="T213" s="144">
        <f t="shared" si="94"/>
        <v>0</v>
      </c>
      <c r="U213" s="169">
        <f t="shared" si="95"/>
        <v>0</v>
      </c>
      <c r="V213" s="143">
        <f t="shared" ref="V213:V276" si="103">IF(V212&lt;Y212,0,V212-X212)</f>
        <v>0</v>
      </c>
      <c r="W213" s="144">
        <f t="shared" si="96"/>
        <v>0</v>
      </c>
      <c r="X213" s="144">
        <f t="shared" si="97"/>
        <v>0</v>
      </c>
      <c r="Y213" s="169">
        <f t="shared" si="98"/>
        <v>0</v>
      </c>
      <c r="Z213" s="151">
        <v>0</v>
      </c>
      <c r="AA213" s="151">
        <v>0</v>
      </c>
      <c r="AB213" s="151">
        <v>0</v>
      </c>
      <c r="AC213" s="151">
        <v>0</v>
      </c>
    </row>
    <row r="214" spans="1:29" s="61" customFormat="1" ht="11.25">
      <c r="A214" s="147">
        <f t="shared" si="84"/>
        <v>0</v>
      </c>
      <c r="B214" s="152">
        <f t="shared" si="85"/>
        <v>0</v>
      </c>
      <c r="C214" s="141">
        <f t="shared" si="86"/>
        <v>17</v>
      </c>
      <c r="D214" s="142">
        <v>195</v>
      </c>
      <c r="E214" s="143">
        <f t="shared" si="99"/>
        <v>0</v>
      </c>
      <c r="F214" s="144">
        <f t="shared" si="87"/>
        <v>0</v>
      </c>
      <c r="G214" s="144">
        <f t="shared" si="88"/>
        <v>0</v>
      </c>
      <c r="H214" s="169">
        <f t="shared" si="82"/>
        <v>0</v>
      </c>
      <c r="I214" s="143">
        <f t="shared" si="100"/>
        <v>0</v>
      </c>
      <c r="J214" s="144">
        <f t="shared" si="89"/>
        <v>0</v>
      </c>
      <c r="K214" s="144">
        <f t="shared" si="90"/>
        <v>0</v>
      </c>
      <c r="L214" s="169">
        <f t="shared" si="81"/>
        <v>0</v>
      </c>
      <c r="M214" s="143">
        <f t="shared" si="101"/>
        <v>0</v>
      </c>
      <c r="N214" s="144">
        <f t="shared" si="91"/>
        <v>0</v>
      </c>
      <c r="O214" s="144">
        <f t="shared" si="92"/>
        <v>0</v>
      </c>
      <c r="P214" s="169">
        <f t="shared" si="83"/>
        <v>0</v>
      </c>
      <c r="R214" s="143">
        <f t="shared" si="102"/>
        <v>0</v>
      </c>
      <c r="S214" s="144">
        <f t="shared" si="93"/>
        <v>0</v>
      </c>
      <c r="T214" s="144">
        <f t="shared" si="94"/>
        <v>0</v>
      </c>
      <c r="U214" s="169">
        <f t="shared" si="95"/>
        <v>0</v>
      </c>
      <c r="V214" s="143">
        <f t="shared" si="103"/>
        <v>0</v>
      </c>
      <c r="W214" s="144">
        <f t="shared" si="96"/>
        <v>0</v>
      </c>
      <c r="X214" s="144">
        <f t="shared" si="97"/>
        <v>0</v>
      </c>
      <c r="Y214" s="169">
        <f t="shared" si="98"/>
        <v>0</v>
      </c>
      <c r="Z214" s="151">
        <v>0</v>
      </c>
      <c r="AA214" s="151">
        <v>0</v>
      </c>
      <c r="AB214" s="151">
        <v>0</v>
      </c>
      <c r="AC214" s="151">
        <v>0</v>
      </c>
    </row>
    <row r="215" spans="1:29" s="61" customFormat="1" ht="11.25">
      <c r="A215" s="147">
        <f t="shared" si="84"/>
        <v>0</v>
      </c>
      <c r="B215" s="152">
        <f t="shared" si="85"/>
        <v>0</v>
      </c>
      <c r="C215" s="141">
        <f t="shared" si="86"/>
        <v>17</v>
      </c>
      <c r="D215" s="142">
        <v>196</v>
      </c>
      <c r="E215" s="143">
        <f t="shared" si="99"/>
        <v>0</v>
      </c>
      <c r="F215" s="144">
        <f t="shared" si="87"/>
        <v>0</v>
      </c>
      <c r="G215" s="144">
        <f t="shared" si="88"/>
        <v>0</v>
      </c>
      <c r="H215" s="169">
        <f t="shared" si="82"/>
        <v>0</v>
      </c>
      <c r="I215" s="143">
        <f t="shared" si="100"/>
        <v>0</v>
      </c>
      <c r="J215" s="144">
        <f t="shared" si="89"/>
        <v>0</v>
      </c>
      <c r="K215" s="144">
        <f t="shared" si="90"/>
        <v>0</v>
      </c>
      <c r="L215" s="169">
        <f t="shared" si="81"/>
        <v>0</v>
      </c>
      <c r="M215" s="143">
        <f t="shared" si="101"/>
        <v>0</v>
      </c>
      <c r="N215" s="144">
        <f t="shared" si="91"/>
        <v>0</v>
      </c>
      <c r="O215" s="144">
        <f t="shared" si="92"/>
        <v>0</v>
      </c>
      <c r="P215" s="169">
        <f t="shared" si="83"/>
        <v>0</v>
      </c>
      <c r="R215" s="143">
        <f t="shared" si="102"/>
        <v>0</v>
      </c>
      <c r="S215" s="144">
        <f t="shared" si="93"/>
        <v>0</v>
      </c>
      <c r="T215" s="144">
        <f t="shared" si="94"/>
        <v>0</v>
      </c>
      <c r="U215" s="169">
        <f t="shared" si="95"/>
        <v>0</v>
      </c>
      <c r="V215" s="143">
        <f t="shared" si="103"/>
        <v>0</v>
      </c>
      <c r="W215" s="144">
        <f t="shared" si="96"/>
        <v>0</v>
      </c>
      <c r="X215" s="144">
        <f t="shared" si="97"/>
        <v>0</v>
      </c>
      <c r="Y215" s="169">
        <f t="shared" si="98"/>
        <v>0</v>
      </c>
      <c r="Z215" s="151">
        <v>0</v>
      </c>
      <c r="AA215" s="151">
        <v>0</v>
      </c>
      <c r="AB215" s="151">
        <v>0</v>
      </c>
      <c r="AC215" s="151">
        <v>0</v>
      </c>
    </row>
    <row r="216" spans="1:29" s="61" customFormat="1" ht="11.25">
      <c r="A216" s="147">
        <f t="shared" si="84"/>
        <v>0</v>
      </c>
      <c r="B216" s="152">
        <f t="shared" si="85"/>
        <v>0</v>
      </c>
      <c r="C216" s="141">
        <f t="shared" si="86"/>
        <v>17</v>
      </c>
      <c r="D216" s="142">
        <v>197</v>
      </c>
      <c r="E216" s="143">
        <f t="shared" si="99"/>
        <v>0</v>
      </c>
      <c r="F216" s="144">
        <f t="shared" si="87"/>
        <v>0</v>
      </c>
      <c r="G216" s="144">
        <f t="shared" si="88"/>
        <v>0</v>
      </c>
      <c r="H216" s="169">
        <f t="shared" si="82"/>
        <v>0</v>
      </c>
      <c r="I216" s="143">
        <f t="shared" si="100"/>
        <v>0</v>
      </c>
      <c r="J216" s="144">
        <f t="shared" si="89"/>
        <v>0</v>
      </c>
      <c r="K216" s="144">
        <f t="shared" si="90"/>
        <v>0</v>
      </c>
      <c r="L216" s="169">
        <f t="shared" si="81"/>
        <v>0</v>
      </c>
      <c r="M216" s="143">
        <f t="shared" si="101"/>
        <v>0</v>
      </c>
      <c r="N216" s="144">
        <f t="shared" si="91"/>
        <v>0</v>
      </c>
      <c r="O216" s="144">
        <f t="shared" si="92"/>
        <v>0</v>
      </c>
      <c r="P216" s="169">
        <f t="shared" si="83"/>
        <v>0</v>
      </c>
      <c r="R216" s="143">
        <f t="shared" si="102"/>
        <v>0</v>
      </c>
      <c r="S216" s="144">
        <f t="shared" si="93"/>
        <v>0</v>
      </c>
      <c r="T216" s="144">
        <f t="shared" si="94"/>
        <v>0</v>
      </c>
      <c r="U216" s="169">
        <f t="shared" si="95"/>
        <v>0</v>
      </c>
      <c r="V216" s="143">
        <f t="shared" si="103"/>
        <v>0</v>
      </c>
      <c r="W216" s="144">
        <f t="shared" si="96"/>
        <v>0</v>
      </c>
      <c r="X216" s="144">
        <f t="shared" si="97"/>
        <v>0</v>
      </c>
      <c r="Y216" s="169">
        <f t="shared" si="98"/>
        <v>0</v>
      </c>
      <c r="Z216" s="151">
        <v>0</v>
      </c>
      <c r="AA216" s="151">
        <v>0</v>
      </c>
      <c r="AB216" s="151">
        <v>0</v>
      </c>
      <c r="AC216" s="151">
        <v>0</v>
      </c>
    </row>
    <row r="217" spans="1:29" s="61" customFormat="1" ht="11.25">
      <c r="A217" s="147">
        <f t="shared" si="84"/>
        <v>0</v>
      </c>
      <c r="B217" s="152">
        <f t="shared" si="85"/>
        <v>0</v>
      </c>
      <c r="C217" s="141">
        <f t="shared" si="86"/>
        <v>17</v>
      </c>
      <c r="D217" s="142">
        <v>198</v>
      </c>
      <c r="E217" s="143">
        <f t="shared" si="99"/>
        <v>0</v>
      </c>
      <c r="F217" s="144">
        <f t="shared" si="87"/>
        <v>0</v>
      </c>
      <c r="G217" s="144">
        <f t="shared" si="88"/>
        <v>0</v>
      </c>
      <c r="H217" s="169">
        <f t="shared" si="82"/>
        <v>0</v>
      </c>
      <c r="I217" s="143">
        <f t="shared" si="100"/>
        <v>0</v>
      </c>
      <c r="J217" s="144">
        <f t="shared" si="89"/>
        <v>0</v>
      </c>
      <c r="K217" s="144">
        <f t="shared" si="90"/>
        <v>0</v>
      </c>
      <c r="L217" s="169">
        <f t="shared" si="81"/>
        <v>0</v>
      </c>
      <c r="M217" s="143">
        <f t="shared" si="101"/>
        <v>0</v>
      </c>
      <c r="N217" s="144">
        <f t="shared" si="91"/>
        <v>0</v>
      </c>
      <c r="O217" s="144">
        <f t="shared" si="92"/>
        <v>0</v>
      </c>
      <c r="P217" s="169">
        <f t="shared" si="83"/>
        <v>0</v>
      </c>
      <c r="R217" s="143">
        <f t="shared" si="102"/>
        <v>0</v>
      </c>
      <c r="S217" s="144">
        <f t="shared" si="93"/>
        <v>0</v>
      </c>
      <c r="T217" s="144">
        <f t="shared" si="94"/>
        <v>0</v>
      </c>
      <c r="U217" s="169">
        <f t="shared" si="95"/>
        <v>0</v>
      </c>
      <c r="V217" s="143">
        <f t="shared" si="103"/>
        <v>0</v>
      </c>
      <c r="W217" s="144">
        <f t="shared" si="96"/>
        <v>0</v>
      </c>
      <c r="X217" s="144">
        <f t="shared" si="97"/>
        <v>0</v>
      </c>
      <c r="Y217" s="169">
        <f t="shared" si="98"/>
        <v>0</v>
      </c>
      <c r="Z217" s="151">
        <v>0</v>
      </c>
      <c r="AA217" s="151">
        <v>0</v>
      </c>
      <c r="AB217" s="151">
        <v>0</v>
      </c>
      <c r="AC217" s="151">
        <v>0</v>
      </c>
    </row>
    <row r="218" spans="1:29" s="61" customFormat="1" ht="11.25">
      <c r="A218" s="147">
        <f t="shared" si="84"/>
        <v>0</v>
      </c>
      <c r="B218" s="152">
        <f t="shared" si="85"/>
        <v>0</v>
      </c>
      <c r="C218" s="141">
        <f t="shared" si="86"/>
        <v>17</v>
      </c>
      <c r="D218" s="142">
        <v>199</v>
      </c>
      <c r="E218" s="143">
        <f t="shared" si="99"/>
        <v>0</v>
      </c>
      <c r="F218" s="144">
        <f t="shared" si="87"/>
        <v>0</v>
      </c>
      <c r="G218" s="144">
        <f t="shared" si="88"/>
        <v>0</v>
      </c>
      <c r="H218" s="169">
        <f t="shared" si="82"/>
        <v>0</v>
      </c>
      <c r="I218" s="143">
        <f t="shared" si="100"/>
        <v>0</v>
      </c>
      <c r="J218" s="144">
        <f t="shared" si="89"/>
        <v>0</v>
      </c>
      <c r="K218" s="144">
        <f t="shared" si="90"/>
        <v>0</v>
      </c>
      <c r="L218" s="169">
        <f t="shared" si="81"/>
        <v>0</v>
      </c>
      <c r="M218" s="143">
        <f t="shared" si="101"/>
        <v>0</v>
      </c>
      <c r="N218" s="144">
        <f t="shared" si="91"/>
        <v>0</v>
      </c>
      <c r="O218" s="144">
        <f t="shared" si="92"/>
        <v>0</v>
      </c>
      <c r="P218" s="169">
        <f t="shared" si="83"/>
        <v>0</v>
      </c>
      <c r="R218" s="143">
        <f t="shared" si="102"/>
        <v>0</v>
      </c>
      <c r="S218" s="144">
        <f t="shared" si="93"/>
        <v>0</v>
      </c>
      <c r="T218" s="144">
        <f t="shared" si="94"/>
        <v>0</v>
      </c>
      <c r="U218" s="169">
        <f t="shared" si="95"/>
        <v>0</v>
      </c>
      <c r="V218" s="143">
        <f t="shared" si="103"/>
        <v>0</v>
      </c>
      <c r="W218" s="144">
        <f t="shared" si="96"/>
        <v>0</v>
      </c>
      <c r="X218" s="144">
        <f t="shared" si="97"/>
        <v>0</v>
      </c>
      <c r="Y218" s="169">
        <f t="shared" si="98"/>
        <v>0</v>
      </c>
      <c r="Z218" s="151">
        <v>0</v>
      </c>
      <c r="AA218" s="151">
        <v>0</v>
      </c>
      <c r="AB218" s="151">
        <v>0</v>
      </c>
      <c r="AC218" s="151">
        <v>0</v>
      </c>
    </row>
    <row r="219" spans="1:29" s="61" customFormat="1" ht="11.25">
      <c r="A219" s="147">
        <f t="shared" si="84"/>
        <v>0</v>
      </c>
      <c r="B219" s="152">
        <f t="shared" si="85"/>
        <v>0</v>
      </c>
      <c r="C219" s="141">
        <f t="shared" si="86"/>
        <v>17</v>
      </c>
      <c r="D219" s="142">
        <v>200</v>
      </c>
      <c r="E219" s="143">
        <f t="shared" si="99"/>
        <v>0</v>
      </c>
      <c r="F219" s="144">
        <f t="shared" si="87"/>
        <v>0</v>
      </c>
      <c r="G219" s="144">
        <f t="shared" si="88"/>
        <v>0</v>
      </c>
      <c r="H219" s="169">
        <f t="shared" si="82"/>
        <v>0</v>
      </c>
      <c r="I219" s="143">
        <f t="shared" si="100"/>
        <v>0</v>
      </c>
      <c r="J219" s="144">
        <f t="shared" si="89"/>
        <v>0</v>
      </c>
      <c r="K219" s="144">
        <f t="shared" si="90"/>
        <v>0</v>
      </c>
      <c r="L219" s="169">
        <f t="shared" si="81"/>
        <v>0</v>
      </c>
      <c r="M219" s="143">
        <f t="shared" si="101"/>
        <v>0</v>
      </c>
      <c r="N219" s="144">
        <f t="shared" si="91"/>
        <v>0</v>
      </c>
      <c r="O219" s="144">
        <f t="shared" si="92"/>
        <v>0</v>
      </c>
      <c r="P219" s="169">
        <f t="shared" si="83"/>
        <v>0</v>
      </c>
      <c r="R219" s="143">
        <f t="shared" si="102"/>
        <v>0</v>
      </c>
      <c r="S219" s="144">
        <f t="shared" si="93"/>
        <v>0</v>
      </c>
      <c r="T219" s="144">
        <f t="shared" si="94"/>
        <v>0</v>
      </c>
      <c r="U219" s="169">
        <f t="shared" si="95"/>
        <v>0</v>
      </c>
      <c r="V219" s="143">
        <f t="shared" si="103"/>
        <v>0</v>
      </c>
      <c r="W219" s="144">
        <f t="shared" si="96"/>
        <v>0</v>
      </c>
      <c r="X219" s="144">
        <f t="shared" si="97"/>
        <v>0</v>
      </c>
      <c r="Y219" s="169">
        <f t="shared" si="98"/>
        <v>0</v>
      </c>
      <c r="Z219" s="151">
        <v>0</v>
      </c>
      <c r="AA219" s="151">
        <v>0</v>
      </c>
      <c r="AB219" s="151">
        <v>0</v>
      </c>
      <c r="AC219" s="151">
        <v>0</v>
      </c>
    </row>
    <row r="220" spans="1:29" s="61" customFormat="1" ht="11.25">
      <c r="A220" s="147">
        <f t="shared" si="84"/>
        <v>0</v>
      </c>
      <c r="B220" s="152">
        <f t="shared" si="85"/>
        <v>0</v>
      </c>
      <c r="C220" s="141">
        <f t="shared" si="86"/>
        <v>17</v>
      </c>
      <c r="D220" s="142">
        <v>201</v>
      </c>
      <c r="E220" s="143">
        <f t="shared" si="99"/>
        <v>0</v>
      </c>
      <c r="F220" s="144">
        <f t="shared" si="87"/>
        <v>0</v>
      </c>
      <c r="G220" s="144">
        <f t="shared" si="88"/>
        <v>0</v>
      </c>
      <c r="H220" s="169">
        <f t="shared" si="82"/>
        <v>0</v>
      </c>
      <c r="I220" s="143">
        <f t="shared" si="100"/>
        <v>0</v>
      </c>
      <c r="J220" s="144">
        <f t="shared" si="89"/>
        <v>0</v>
      </c>
      <c r="K220" s="144">
        <f t="shared" si="90"/>
        <v>0</v>
      </c>
      <c r="L220" s="169">
        <f t="shared" si="81"/>
        <v>0</v>
      </c>
      <c r="M220" s="143">
        <f t="shared" si="101"/>
        <v>0</v>
      </c>
      <c r="N220" s="144">
        <f t="shared" si="91"/>
        <v>0</v>
      </c>
      <c r="O220" s="144">
        <f t="shared" si="92"/>
        <v>0</v>
      </c>
      <c r="P220" s="169">
        <f t="shared" si="83"/>
        <v>0</v>
      </c>
      <c r="R220" s="143">
        <f t="shared" si="102"/>
        <v>0</v>
      </c>
      <c r="S220" s="144">
        <f t="shared" si="93"/>
        <v>0</v>
      </c>
      <c r="T220" s="144">
        <f t="shared" si="94"/>
        <v>0</v>
      </c>
      <c r="U220" s="169">
        <f t="shared" si="95"/>
        <v>0</v>
      </c>
      <c r="V220" s="143">
        <f t="shared" si="103"/>
        <v>0</v>
      </c>
      <c r="W220" s="144">
        <f t="shared" si="96"/>
        <v>0</v>
      </c>
      <c r="X220" s="144">
        <f t="shared" si="97"/>
        <v>0</v>
      </c>
      <c r="Y220" s="169">
        <f t="shared" si="98"/>
        <v>0</v>
      </c>
      <c r="Z220" s="151">
        <v>0</v>
      </c>
      <c r="AA220" s="151">
        <v>0</v>
      </c>
      <c r="AB220" s="151">
        <v>0</v>
      </c>
      <c r="AC220" s="151">
        <v>0</v>
      </c>
    </row>
    <row r="221" spans="1:29" s="61" customFormat="1" ht="11.25">
      <c r="A221" s="147">
        <f t="shared" si="84"/>
        <v>0</v>
      </c>
      <c r="B221" s="152">
        <f t="shared" si="85"/>
        <v>0</v>
      </c>
      <c r="C221" s="141">
        <f t="shared" si="86"/>
        <v>17</v>
      </c>
      <c r="D221" s="142">
        <v>202</v>
      </c>
      <c r="E221" s="143">
        <f t="shared" si="99"/>
        <v>0</v>
      </c>
      <c r="F221" s="144">
        <f t="shared" si="87"/>
        <v>0</v>
      </c>
      <c r="G221" s="144">
        <f t="shared" si="88"/>
        <v>0</v>
      </c>
      <c r="H221" s="169">
        <f t="shared" si="82"/>
        <v>0</v>
      </c>
      <c r="I221" s="143">
        <f t="shared" si="100"/>
        <v>0</v>
      </c>
      <c r="J221" s="144">
        <f t="shared" si="89"/>
        <v>0</v>
      </c>
      <c r="K221" s="144">
        <f t="shared" si="90"/>
        <v>0</v>
      </c>
      <c r="L221" s="169">
        <f t="shared" si="81"/>
        <v>0</v>
      </c>
      <c r="M221" s="143">
        <f t="shared" si="101"/>
        <v>0</v>
      </c>
      <c r="N221" s="144">
        <f t="shared" si="91"/>
        <v>0</v>
      </c>
      <c r="O221" s="144">
        <f t="shared" si="92"/>
        <v>0</v>
      </c>
      <c r="P221" s="169">
        <f t="shared" si="83"/>
        <v>0</v>
      </c>
      <c r="R221" s="143">
        <f t="shared" si="102"/>
        <v>0</v>
      </c>
      <c r="S221" s="144">
        <f t="shared" si="93"/>
        <v>0</v>
      </c>
      <c r="T221" s="144">
        <f t="shared" si="94"/>
        <v>0</v>
      </c>
      <c r="U221" s="169">
        <f t="shared" si="95"/>
        <v>0</v>
      </c>
      <c r="V221" s="143">
        <f t="shared" si="103"/>
        <v>0</v>
      </c>
      <c r="W221" s="144">
        <f t="shared" si="96"/>
        <v>0</v>
      </c>
      <c r="X221" s="144">
        <f t="shared" si="97"/>
        <v>0</v>
      </c>
      <c r="Y221" s="169">
        <f t="shared" si="98"/>
        <v>0</v>
      </c>
      <c r="Z221" s="151">
        <v>0</v>
      </c>
      <c r="AA221" s="151">
        <v>0</v>
      </c>
      <c r="AB221" s="151">
        <v>0</v>
      </c>
      <c r="AC221" s="151">
        <v>0</v>
      </c>
    </row>
    <row r="222" spans="1:29" s="61" customFormat="1" ht="11.25">
      <c r="A222" s="147">
        <f t="shared" si="84"/>
        <v>0</v>
      </c>
      <c r="B222" s="152">
        <f t="shared" si="85"/>
        <v>0</v>
      </c>
      <c r="C222" s="141">
        <f t="shared" si="86"/>
        <v>17</v>
      </c>
      <c r="D222" s="142">
        <v>203</v>
      </c>
      <c r="E222" s="143">
        <f t="shared" si="99"/>
        <v>0</v>
      </c>
      <c r="F222" s="144">
        <f t="shared" si="87"/>
        <v>0</v>
      </c>
      <c r="G222" s="144">
        <f t="shared" si="88"/>
        <v>0</v>
      </c>
      <c r="H222" s="169">
        <f t="shared" si="82"/>
        <v>0</v>
      </c>
      <c r="I222" s="143">
        <f t="shared" si="100"/>
        <v>0</v>
      </c>
      <c r="J222" s="144">
        <f t="shared" si="89"/>
        <v>0</v>
      </c>
      <c r="K222" s="144">
        <f t="shared" si="90"/>
        <v>0</v>
      </c>
      <c r="L222" s="169">
        <f t="shared" si="81"/>
        <v>0</v>
      </c>
      <c r="M222" s="143">
        <f t="shared" si="101"/>
        <v>0</v>
      </c>
      <c r="N222" s="144">
        <f t="shared" si="91"/>
        <v>0</v>
      </c>
      <c r="O222" s="144">
        <f t="shared" si="92"/>
        <v>0</v>
      </c>
      <c r="P222" s="169">
        <f t="shared" si="83"/>
        <v>0</v>
      </c>
      <c r="R222" s="143">
        <f t="shared" si="102"/>
        <v>0</v>
      </c>
      <c r="S222" s="144">
        <f t="shared" si="93"/>
        <v>0</v>
      </c>
      <c r="T222" s="144">
        <f t="shared" si="94"/>
        <v>0</v>
      </c>
      <c r="U222" s="169">
        <f t="shared" si="95"/>
        <v>0</v>
      </c>
      <c r="V222" s="143">
        <f t="shared" si="103"/>
        <v>0</v>
      </c>
      <c r="W222" s="144">
        <f t="shared" si="96"/>
        <v>0</v>
      </c>
      <c r="X222" s="144">
        <f t="shared" si="97"/>
        <v>0</v>
      </c>
      <c r="Y222" s="169">
        <f t="shared" si="98"/>
        <v>0</v>
      </c>
      <c r="Z222" s="151">
        <v>0</v>
      </c>
      <c r="AA222" s="151">
        <v>0</v>
      </c>
      <c r="AB222" s="151">
        <v>0</v>
      </c>
      <c r="AC222" s="151">
        <v>0</v>
      </c>
    </row>
    <row r="223" spans="1:29" s="61" customFormat="1" ht="12" thickBot="1">
      <c r="A223" s="153">
        <f t="shared" si="84"/>
        <v>0</v>
      </c>
      <c r="B223" s="154">
        <f t="shared" si="85"/>
        <v>0</v>
      </c>
      <c r="C223" s="155">
        <f t="shared" si="86"/>
        <v>17</v>
      </c>
      <c r="D223" s="156">
        <v>204</v>
      </c>
      <c r="E223" s="157">
        <f t="shared" si="99"/>
        <v>0</v>
      </c>
      <c r="F223" s="158">
        <f t="shared" si="87"/>
        <v>0</v>
      </c>
      <c r="G223" s="158">
        <f t="shared" si="88"/>
        <v>0</v>
      </c>
      <c r="H223" s="172">
        <f t="shared" si="82"/>
        <v>0</v>
      </c>
      <c r="I223" s="157">
        <f t="shared" si="100"/>
        <v>0</v>
      </c>
      <c r="J223" s="158">
        <f t="shared" si="89"/>
        <v>0</v>
      </c>
      <c r="K223" s="158">
        <f t="shared" si="90"/>
        <v>0</v>
      </c>
      <c r="L223" s="172">
        <f t="shared" si="81"/>
        <v>0</v>
      </c>
      <c r="M223" s="157">
        <f t="shared" si="101"/>
        <v>0</v>
      </c>
      <c r="N223" s="158">
        <f t="shared" si="91"/>
        <v>0</v>
      </c>
      <c r="O223" s="158">
        <f t="shared" si="92"/>
        <v>0</v>
      </c>
      <c r="P223" s="172">
        <f t="shared" si="83"/>
        <v>0</v>
      </c>
      <c r="R223" s="157">
        <f t="shared" si="102"/>
        <v>0</v>
      </c>
      <c r="S223" s="158">
        <f t="shared" si="93"/>
        <v>0</v>
      </c>
      <c r="T223" s="158">
        <f t="shared" si="94"/>
        <v>0</v>
      </c>
      <c r="U223" s="172">
        <f t="shared" si="95"/>
        <v>0</v>
      </c>
      <c r="V223" s="157">
        <f t="shared" si="103"/>
        <v>0</v>
      </c>
      <c r="W223" s="158">
        <f t="shared" si="96"/>
        <v>0</v>
      </c>
      <c r="X223" s="158">
        <f t="shared" si="97"/>
        <v>0</v>
      </c>
      <c r="Y223" s="172">
        <f t="shared" si="98"/>
        <v>0</v>
      </c>
      <c r="Z223" s="151">
        <v>0</v>
      </c>
      <c r="AA223" s="151">
        <v>0</v>
      </c>
      <c r="AB223" s="151">
        <v>0</v>
      </c>
      <c r="AC223" s="151">
        <v>0</v>
      </c>
    </row>
    <row r="224" spans="1:29" s="61" customFormat="1" ht="11.25">
      <c r="A224" s="147">
        <f t="shared" si="84"/>
        <v>0</v>
      </c>
      <c r="B224" s="152">
        <f t="shared" si="85"/>
        <v>0</v>
      </c>
      <c r="C224" s="141">
        <f t="shared" si="86"/>
        <v>18</v>
      </c>
      <c r="D224" s="142">
        <v>205</v>
      </c>
      <c r="E224" s="143">
        <f t="shared" si="99"/>
        <v>0</v>
      </c>
      <c r="F224" s="144">
        <f t="shared" si="87"/>
        <v>0</v>
      </c>
      <c r="G224" s="144">
        <f t="shared" si="88"/>
        <v>0</v>
      </c>
      <c r="H224" s="169">
        <f t="shared" si="82"/>
        <v>0</v>
      </c>
      <c r="I224" s="143">
        <f t="shared" si="100"/>
        <v>0</v>
      </c>
      <c r="J224" s="144">
        <f t="shared" si="89"/>
        <v>0</v>
      </c>
      <c r="K224" s="144">
        <f t="shared" si="90"/>
        <v>0</v>
      </c>
      <c r="L224" s="169">
        <f t="shared" si="81"/>
        <v>0</v>
      </c>
      <c r="M224" s="143">
        <f t="shared" si="101"/>
        <v>0</v>
      </c>
      <c r="N224" s="144">
        <f t="shared" si="91"/>
        <v>0</v>
      </c>
      <c r="O224" s="144">
        <f t="shared" si="92"/>
        <v>0</v>
      </c>
      <c r="P224" s="169">
        <f t="shared" si="83"/>
        <v>0</v>
      </c>
      <c r="R224" s="143">
        <f t="shared" si="102"/>
        <v>0</v>
      </c>
      <c r="S224" s="144">
        <f t="shared" si="93"/>
        <v>0</v>
      </c>
      <c r="T224" s="144">
        <f t="shared" si="94"/>
        <v>0</v>
      </c>
      <c r="U224" s="170">
        <f t="shared" si="95"/>
        <v>0</v>
      </c>
      <c r="V224" s="143">
        <f t="shared" si="103"/>
        <v>0</v>
      </c>
      <c r="W224" s="144">
        <f t="shared" si="96"/>
        <v>0</v>
      </c>
      <c r="X224" s="144">
        <f t="shared" si="97"/>
        <v>0</v>
      </c>
      <c r="Y224" s="170">
        <f t="shared" si="98"/>
        <v>0</v>
      </c>
      <c r="Z224" s="151">
        <v>0</v>
      </c>
      <c r="AA224" s="151">
        <v>0</v>
      </c>
      <c r="AB224" s="151">
        <v>0</v>
      </c>
      <c r="AC224" s="151">
        <v>0</v>
      </c>
    </row>
    <row r="225" spans="1:29" s="61" customFormat="1" ht="11.25">
      <c r="A225" s="147">
        <f t="shared" si="84"/>
        <v>0</v>
      </c>
      <c r="B225" s="152">
        <f t="shared" si="85"/>
        <v>0</v>
      </c>
      <c r="C225" s="141">
        <f t="shared" si="86"/>
        <v>18</v>
      </c>
      <c r="D225" s="142">
        <v>206</v>
      </c>
      <c r="E225" s="143">
        <f t="shared" si="99"/>
        <v>0</v>
      </c>
      <c r="F225" s="144">
        <f t="shared" si="87"/>
        <v>0</v>
      </c>
      <c r="G225" s="144">
        <f t="shared" si="88"/>
        <v>0</v>
      </c>
      <c r="H225" s="169">
        <f t="shared" si="82"/>
        <v>0</v>
      </c>
      <c r="I225" s="143">
        <f t="shared" si="100"/>
        <v>0</v>
      </c>
      <c r="J225" s="144">
        <f t="shared" si="89"/>
        <v>0</v>
      </c>
      <c r="K225" s="144">
        <f t="shared" si="90"/>
        <v>0</v>
      </c>
      <c r="L225" s="169">
        <f t="shared" si="81"/>
        <v>0</v>
      </c>
      <c r="M225" s="143">
        <f t="shared" si="101"/>
        <v>0</v>
      </c>
      <c r="N225" s="144">
        <f t="shared" si="91"/>
        <v>0</v>
      </c>
      <c r="O225" s="144">
        <f t="shared" si="92"/>
        <v>0</v>
      </c>
      <c r="P225" s="169">
        <f t="shared" si="83"/>
        <v>0</v>
      </c>
      <c r="R225" s="143">
        <f t="shared" si="102"/>
        <v>0</v>
      </c>
      <c r="S225" s="144">
        <f t="shared" si="93"/>
        <v>0</v>
      </c>
      <c r="T225" s="144">
        <f t="shared" si="94"/>
        <v>0</v>
      </c>
      <c r="U225" s="170">
        <f t="shared" si="95"/>
        <v>0</v>
      </c>
      <c r="V225" s="143">
        <f t="shared" si="103"/>
        <v>0</v>
      </c>
      <c r="W225" s="144">
        <f t="shared" si="96"/>
        <v>0</v>
      </c>
      <c r="X225" s="144">
        <f t="shared" si="97"/>
        <v>0</v>
      </c>
      <c r="Y225" s="170">
        <f t="shared" si="98"/>
        <v>0</v>
      </c>
      <c r="Z225" s="151">
        <v>0</v>
      </c>
      <c r="AA225" s="151">
        <v>0</v>
      </c>
      <c r="AB225" s="151">
        <v>0</v>
      </c>
      <c r="AC225" s="151">
        <v>0</v>
      </c>
    </row>
    <row r="226" spans="1:29" s="61" customFormat="1" ht="11.25">
      <c r="A226" s="147">
        <f t="shared" si="84"/>
        <v>0</v>
      </c>
      <c r="B226" s="152">
        <f t="shared" si="85"/>
        <v>0</v>
      </c>
      <c r="C226" s="141">
        <f t="shared" si="86"/>
        <v>18</v>
      </c>
      <c r="D226" s="142">
        <v>207</v>
      </c>
      <c r="E226" s="143">
        <f t="shared" si="99"/>
        <v>0</v>
      </c>
      <c r="F226" s="144">
        <f t="shared" si="87"/>
        <v>0</v>
      </c>
      <c r="G226" s="144">
        <f t="shared" si="88"/>
        <v>0</v>
      </c>
      <c r="H226" s="169">
        <f t="shared" si="82"/>
        <v>0</v>
      </c>
      <c r="I226" s="143">
        <f t="shared" si="100"/>
        <v>0</v>
      </c>
      <c r="J226" s="144">
        <f t="shared" si="89"/>
        <v>0</v>
      </c>
      <c r="K226" s="144">
        <f t="shared" si="90"/>
        <v>0</v>
      </c>
      <c r="L226" s="169">
        <f t="shared" si="81"/>
        <v>0</v>
      </c>
      <c r="M226" s="143">
        <f t="shared" si="101"/>
        <v>0</v>
      </c>
      <c r="N226" s="144">
        <f t="shared" si="91"/>
        <v>0</v>
      </c>
      <c r="O226" s="144">
        <f t="shared" si="92"/>
        <v>0</v>
      </c>
      <c r="P226" s="169">
        <f t="shared" si="83"/>
        <v>0</v>
      </c>
      <c r="R226" s="143">
        <f t="shared" si="102"/>
        <v>0</v>
      </c>
      <c r="S226" s="144">
        <f t="shared" si="93"/>
        <v>0</v>
      </c>
      <c r="T226" s="144">
        <f t="shared" si="94"/>
        <v>0</v>
      </c>
      <c r="U226" s="170">
        <f t="shared" si="95"/>
        <v>0</v>
      </c>
      <c r="V226" s="143">
        <f t="shared" si="103"/>
        <v>0</v>
      </c>
      <c r="W226" s="144">
        <f t="shared" si="96"/>
        <v>0</v>
      </c>
      <c r="X226" s="144">
        <f t="shared" si="97"/>
        <v>0</v>
      </c>
      <c r="Y226" s="170">
        <f t="shared" si="98"/>
        <v>0</v>
      </c>
      <c r="Z226" s="151">
        <v>0</v>
      </c>
      <c r="AA226" s="151">
        <v>0</v>
      </c>
      <c r="AB226" s="151">
        <v>0</v>
      </c>
      <c r="AC226" s="151">
        <v>0</v>
      </c>
    </row>
    <row r="227" spans="1:29" s="61" customFormat="1" ht="11.25">
      <c r="A227" s="147">
        <f t="shared" si="84"/>
        <v>0</v>
      </c>
      <c r="B227" s="152">
        <f t="shared" si="85"/>
        <v>0</v>
      </c>
      <c r="C227" s="141">
        <f t="shared" si="86"/>
        <v>18</v>
      </c>
      <c r="D227" s="142">
        <v>208</v>
      </c>
      <c r="E227" s="143">
        <f t="shared" si="99"/>
        <v>0</v>
      </c>
      <c r="F227" s="144">
        <f t="shared" si="87"/>
        <v>0</v>
      </c>
      <c r="G227" s="144">
        <f t="shared" si="88"/>
        <v>0</v>
      </c>
      <c r="H227" s="169">
        <f t="shared" si="82"/>
        <v>0</v>
      </c>
      <c r="I227" s="143">
        <f t="shared" si="100"/>
        <v>0</v>
      </c>
      <c r="J227" s="144">
        <f t="shared" si="89"/>
        <v>0</v>
      </c>
      <c r="K227" s="144">
        <f t="shared" si="90"/>
        <v>0</v>
      </c>
      <c r="L227" s="169">
        <f t="shared" si="81"/>
        <v>0</v>
      </c>
      <c r="M227" s="143">
        <f t="shared" si="101"/>
        <v>0</v>
      </c>
      <c r="N227" s="144">
        <f t="shared" si="91"/>
        <v>0</v>
      </c>
      <c r="O227" s="144">
        <f t="shared" si="92"/>
        <v>0</v>
      </c>
      <c r="P227" s="169">
        <f t="shared" si="83"/>
        <v>0</v>
      </c>
      <c r="R227" s="143">
        <f t="shared" si="102"/>
        <v>0</v>
      </c>
      <c r="S227" s="144">
        <f t="shared" si="93"/>
        <v>0</v>
      </c>
      <c r="T227" s="144">
        <f t="shared" si="94"/>
        <v>0</v>
      </c>
      <c r="U227" s="170">
        <f t="shared" si="95"/>
        <v>0</v>
      </c>
      <c r="V227" s="143">
        <f t="shared" si="103"/>
        <v>0</v>
      </c>
      <c r="W227" s="144">
        <f t="shared" si="96"/>
        <v>0</v>
      </c>
      <c r="X227" s="144">
        <f t="shared" si="97"/>
        <v>0</v>
      </c>
      <c r="Y227" s="170">
        <f t="shared" si="98"/>
        <v>0</v>
      </c>
      <c r="Z227" s="151">
        <v>0</v>
      </c>
      <c r="AA227" s="151">
        <v>0</v>
      </c>
      <c r="AB227" s="151">
        <v>0</v>
      </c>
      <c r="AC227" s="151">
        <v>0</v>
      </c>
    </row>
    <row r="228" spans="1:29" s="61" customFormat="1" ht="11.25">
      <c r="A228" s="147">
        <f t="shared" si="84"/>
        <v>0</v>
      </c>
      <c r="B228" s="152">
        <f t="shared" si="85"/>
        <v>0</v>
      </c>
      <c r="C228" s="141">
        <f t="shared" si="86"/>
        <v>18</v>
      </c>
      <c r="D228" s="142">
        <v>209</v>
      </c>
      <c r="E228" s="143">
        <f t="shared" si="99"/>
        <v>0</v>
      </c>
      <c r="F228" s="144">
        <f t="shared" si="87"/>
        <v>0</v>
      </c>
      <c r="G228" s="144">
        <f t="shared" si="88"/>
        <v>0</v>
      </c>
      <c r="H228" s="169">
        <f t="shared" si="82"/>
        <v>0</v>
      </c>
      <c r="I228" s="143">
        <f t="shared" si="100"/>
        <v>0</v>
      </c>
      <c r="J228" s="144">
        <f t="shared" si="89"/>
        <v>0</v>
      </c>
      <c r="K228" s="144">
        <f t="shared" si="90"/>
        <v>0</v>
      </c>
      <c r="L228" s="169">
        <f t="shared" si="81"/>
        <v>0</v>
      </c>
      <c r="M228" s="143">
        <f t="shared" si="101"/>
        <v>0</v>
      </c>
      <c r="N228" s="144">
        <f t="shared" si="91"/>
        <v>0</v>
      </c>
      <c r="O228" s="144">
        <f t="shared" si="92"/>
        <v>0</v>
      </c>
      <c r="P228" s="169">
        <f t="shared" si="83"/>
        <v>0</v>
      </c>
      <c r="R228" s="143">
        <f t="shared" si="102"/>
        <v>0</v>
      </c>
      <c r="S228" s="144">
        <f t="shared" si="93"/>
        <v>0</v>
      </c>
      <c r="T228" s="144">
        <f t="shared" si="94"/>
        <v>0</v>
      </c>
      <c r="U228" s="170">
        <f t="shared" si="95"/>
        <v>0</v>
      </c>
      <c r="V228" s="143">
        <f t="shared" si="103"/>
        <v>0</v>
      </c>
      <c r="W228" s="144">
        <f t="shared" si="96"/>
        <v>0</v>
      </c>
      <c r="X228" s="144">
        <f t="shared" si="97"/>
        <v>0</v>
      </c>
      <c r="Y228" s="170">
        <f t="shared" si="98"/>
        <v>0</v>
      </c>
      <c r="Z228" s="151">
        <v>0</v>
      </c>
      <c r="AA228" s="151">
        <v>0</v>
      </c>
      <c r="AB228" s="151">
        <v>0</v>
      </c>
      <c r="AC228" s="151">
        <v>0</v>
      </c>
    </row>
    <row r="229" spans="1:29" s="61" customFormat="1" ht="11.25">
      <c r="A229" s="147">
        <f t="shared" si="84"/>
        <v>0</v>
      </c>
      <c r="B229" s="152">
        <f t="shared" si="85"/>
        <v>0</v>
      </c>
      <c r="C229" s="141">
        <f t="shared" si="86"/>
        <v>18</v>
      </c>
      <c r="D229" s="142">
        <v>210</v>
      </c>
      <c r="E229" s="143">
        <f t="shared" si="99"/>
        <v>0</v>
      </c>
      <c r="F229" s="144">
        <f t="shared" si="87"/>
        <v>0</v>
      </c>
      <c r="G229" s="144">
        <f t="shared" si="88"/>
        <v>0</v>
      </c>
      <c r="H229" s="169">
        <f t="shared" si="82"/>
        <v>0</v>
      </c>
      <c r="I229" s="143">
        <f t="shared" si="100"/>
        <v>0</v>
      </c>
      <c r="J229" s="144">
        <f t="shared" si="89"/>
        <v>0</v>
      </c>
      <c r="K229" s="144">
        <f t="shared" si="90"/>
        <v>0</v>
      </c>
      <c r="L229" s="169">
        <f t="shared" si="81"/>
        <v>0</v>
      </c>
      <c r="M229" s="143">
        <f t="shared" si="101"/>
        <v>0</v>
      </c>
      <c r="N229" s="144">
        <f t="shared" si="91"/>
        <v>0</v>
      </c>
      <c r="O229" s="144">
        <f t="shared" si="92"/>
        <v>0</v>
      </c>
      <c r="P229" s="169">
        <f t="shared" si="83"/>
        <v>0</v>
      </c>
      <c r="R229" s="143">
        <f t="shared" si="102"/>
        <v>0</v>
      </c>
      <c r="S229" s="144">
        <f t="shared" si="93"/>
        <v>0</v>
      </c>
      <c r="T229" s="144">
        <f t="shared" si="94"/>
        <v>0</v>
      </c>
      <c r="U229" s="170">
        <f t="shared" si="95"/>
        <v>0</v>
      </c>
      <c r="V229" s="143">
        <f t="shared" si="103"/>
        <v>0</v>
      </c>
      <c r="W229" s="144">
        <f t="shared" si="96"/>
        <v>0</v>
      </c>
      <c r="X229" s="144">
        <f t="shared" si="97"/>
        <v>0</v>
      </c>
      <c r="Y229" s="170">
        <f t="shared" si="98"/>
        <v>0</v>
      </c>
      <c r="Z229" s="151">
        <v>0</v>
      </c>
      <c r="AA229" s="151">
        <v>0</v>
      </c>
      <c r="AB229" s="151">
        <v>0</v>
      </c>
      <c r="AC229" s="151">
        <v>0</v>
      </c>
    </row>
    <row r="230" spans="1:29" s="61" customFormat="1" ht="11.25">
      <c r="A230" s="147">
        <f t="shared" si="84"/>
        <v>0</v>
      </c>
      <c r="B230" s="152">
        <f t="shared" si="85"/>
        <v>0</v>
      </c>
      <c r="C230" s="141">
        <f t="shared" si="86"/>
        <v>18</v>
      </c>
      <c r="D230" s="142">
        <v>211</v>
      </c>
      <c r="E230" s="143">
        <f t="shared" si="99"/>
        <v>0</v>
      </c>
      <c r="F230" s="144">
        <f t="shared" si="87"/>
        <v>0</v>
      </c>
      <c r="G230" s="144">
        <f t="shared" si="88"/>
        <v>0</v>
      </c>
      <c r="H230" s="169">
        <f t="shared" si="82"/>
        <v>0</v>
      </c>
      <c r="I230" s="143">
        <f t="shared" si="100"/>
        <v>0</v>
      </c>
      <c r="J230" s="144">
        <f t="shared" si="89"/>
        <v>0</v>
      </c>
      <c r="K230" s="144">
        <f t="shared" si="90"/>
        <v>0</v>
      </c>
      <c r="L230" s="169">
        <f t="shared" si="81"/>
        <v>0</v>
      </c>
      <c r="M230" s="143">
        <f t="shared" si="101"/>
        <v>0</v>
      </c>
      <c r="N230" s="144">
        <f t="shared" si="91"/>
        <v>0</v>
      </c>
      <c r="O230" s="144">
        <f t="shared" si="92"/>
        <v>0</v>
      </c>
      <c r="P230" s="169">
        <f t="shared" si="83"/>
        <v>0</v>
      </c>
      <c r="R230" s="143">
        <f t="shared" si="102"/>
        <v>0</v>
      </c>
      <c r="S230" s="144">
        <f t="shared" si="93"/>
        <v>0</v>
      </c>
      <c r="T230" s="144">
        <f t="shared" si="94"/>
        <v>0</v>
      </c>
      <c r="U230" s="170">
        <f t="shared" si="95"/>
        <v>0</v>
      </c>
      <c r="V230" s="143">
        <f t="shared" si="103"/>
        <v>0</v>
      </c>
      <c r="W230" s="144">
        <f t="shared" si="96"/>
        <v>0</v>
      </c>
      <c r="X230" s="144">
        <f t="shared" si="97"/>
        <v>0</v>
      </c>
      <c r="Y230" s="170">
        <f t="shared" si="98"/>
        <v>0</v>
      </c>
      <c r="Z230" s="151">
        <v>0</v>
      </c>
      <c r="AA230" s="151">
        <v>0</v>
      </c>
      <c r="AB230" s="151">
        <v>0</v>
      </c>
      <c r="AC230" s="151">
        <v>0</v>
      </c>
    </row>
    <row r="231" spans="1:29" s="61" customFormat="1" ht="11.25">
      <c r="A231" s="147">
        <f t="shared" si="84"/>
        <v>0</v>
      </c>
      <c r="B231" s="152">
        <f t="shared" si="85"/>
        <v>0</v>
      </c>
      <c r="C231" s="141">
        <f t="shared" si="86"/>
        <v>18</v>
      </c>
      <c r="D231" s="142">
        <v>212</v>
      </c>
      <c r="E231" s="143">
        <f t="shared" si="99"/>
        <v>0</v>
      </c>
      <c r="F231" s="144">
        <f t="shared" si="87"/>
        <v>0</v>
      </c>
      <c r="G231" s="144">
        <f t="shared" si="88"/>
        <v>0</v>
      </c>
      <c r="H231" s="169">
        <f t="shared" si="82"/>
        <v>0</v>
      </c>
      <c r="I231" s="143">
        <f t="shared" si="100"/>
        <v>0</v>
      </c>
      <c r="J231" s="144">
        <f t="shared" si="89"/>
        <v>0</v>
      </c>
      <c r="K231" s="144">
        <f t="shared" si="90"/>
        <v>0</v>
      </c>
      <c r="L231" s="169">
        <f t="shared" si="81"/>
        <v>0</v>
      </c>
      <c r="M231" s="143">
        <f t="shared" si="101"/>
        <v>0</v>
      </c>
      <c r="N231" s="144">
        <f t="shared" si="91"/>
        <v>0</v>
      </c>
      <c r="O231" s="144">
        <f t="shared" si="92"/>
        <v>0</v>
      </c>
      <c r="P231" s="169">
        <f t="shared" si="83"/>
        <v>0</v>
      </c>
      <c r="R231" s="143">
        <f t="shared" si="102"/>
        <v>0</v>
      </c>
      <c r="S231" s="144">
        <f t="shared" si="93"/>
        <v>0</v>
      </c>
      <c r="T231" s="144">
        <f t="shared" si="94"/>
        <v>0</v>
      </c>
      <c r="U231" s="170">
        <f t="shared" si="95"/>
        <v>0</v>
      </c>
      <c r="V231" s="143">
        <f t="shared" si="103"/>
        <v>0</v>
      </c>
      <c r="W231" s="144">
        <f t="shared" si="96"/>
        <v>0</v>
      </c>
      <c r="X231" s="144">
        <f t="shared" si="97"/>
        <v>0</v>
      </c>
      <c r="Y231" s="170">
        <f t="shared" si="98"/>
        <v>0</v>
      </c>
      <c r="Z231" s="151">
        <v>0</v>
      </c>
      <c r="AA231" s="151">
        <v>0</v>
      </c>
      <c r="AB231" s="151">
        <v>0</v>
      </c>
      <c r="AC231" s="151">
        <v>0</v>
      </c>
    </row>
    <row r="232" spans="1:29" s="61" customFormat="1" ht="11.25">
      <c r="A232" s="147">
        <f t="shared" si="84"/>
        <v>0</v>
      </c>
      <c r="B232" s="152">
        <f t="shared" si="85"/>
        <v>0</v>
      </c>
      <c r="C232" s="141">
        <f t="shared" si="86"/>
        <v>18</v>
      </c>
      <c r="D232" s="142">
        <v>213</v>
      </c>
      <c r="E232" s="143">
        <f t="shared" si="99"/>
        <v>0</v>
      </c>
      <c r="F232" s="144">
        <f t="shared" si="87"/>
        <v>0</v>
      </c>
      <c r="G232" s="144">
        <f t="shared" si="88"/>
        <v>0</v>
      </c>
      <c r="H232" s="169">
        <f t="shared" si="82"/>
        <v>0</v>
      </c>
      <c r="I232" s="143">
        <f t="shared" si="100"/>
        <v>0</v>
      </c>
      <c r="J232" s="144">
        <f t="shared" si="89"/>
        <v>0</v>
      </c>
      <c r="K232" s="144">
        <f t="shared" si="90"/>
        <v>0</v>
      </c>
      <c r="L232" s="169">
        <f t="shared" si="81"/>
        <v>0</v>
      </c>
      <c r="M232" s="143">
        <f t="shared" si="101"/>
        <v>0</v>
      </c>
      <c r="N232" s="144">
        <f t="shared" si="91"/>
        <v>0</v>
      </c>
      <c r="O232" s="144">
        <f t="shared" si="92"/>
        <v>0</v>
      </c>
      <c r="P232" s="169">
        <f t="shared" si="83"/>
        <v>0</v>
      </c>
      <c r="R232" s="143">
        <f t="shared" si="102"/>
        <v>0</v>
      </c>
      <c r="S232" s="144">
        <f t="shared" si="93"/>
        <v>0</v>
      </c>
      <c r="T232" s="144">
        <f t="shared" si="94"/>
        <v>0</v>
      </c>
      <c r="U232" s="170">
        <f t="shared" si="95"/>
        <v>0</v>
      </c>
      <c r="V232" s="143">
        <f t="shared" si="103"/>
        <v>0</v>
      </c>
      <c r="W232" s="144">
        <f t="shared" si="96"/>
        <v>0</v>
      </c>
      <c r="X232" s="144">
        <f t="shared" si="97"/>
        <v>0</v>
      </c>
      <c r="Y232" s="170">
        <f t="shared" si="98"/>
        <v>0</v>
      </c>
      <c r="Z232" s="151">
        <v>0</v>
      </c>
      <c r="AA232" s="151">
        <v>0</v>
      </c>
      <c r="AB232" s="151">
        <v>0</v>
      </c>
      <c r="AC232" s="151">
        <v>0</v>
      </c>
    </row>
    <row r="233" spans="1:29" s="61" customFormat="1" ht="11.25">
      <c r="A233" s="147">
        <f t="shared" si="84"/>
        <v>0</v>
      </c>
      <c r="B233" s="152">
        <f t="shared" si="85"/>
        <v>0</v>
      </c>
      <c r="C233" s="141">
        <f t="shared" si="86"/>
        <v>18</v>
      </c>
      <c r="D233" s="142">
        <v>214</v>
      </c>
      <c r="E233" s="143">
        <f t="shared" si="99"/>
        <v>0</v>
      </c>
      <c r="F233" s="144">
        <f t="shared" si="87"/>
        <v>0</v>
      </c>
      <c r="G233" s="144">
        <f t="shared" si="88"/>
        <v>0</v>
      </c>
      <c r="H233" s="169">
        <f t="shared" si="82"/>
        <v>0</v>
      </c>
      <c r="I233" s="143">
        <f t="shared" si="100"/>
        <v>0</v>
      </c>
      <c r="J233" s="144">
        <f t="shared" si="89"/>
        <v>0</v>
      </c>
      <c r="K233" s="144">
        <f t="shared" si="90"/>
        <v>0</v>
      </c>
      <c r="L233" s="169">
        <f t="shared" si="81"/>
        <v>0</v>
      </c>
      <c r="M233" s="143">
        <f t="shared" si="101"/>
        <v>0</v>
      </c>
      <c r="N233" s="144">
        <f t="shared" si="91"/>
        <v>0</v>
      </c>
      <c r="O233" s="144">
        <f t="shared" si="92"/>
        <v>0</v>
      </c>
      <c r="P233" s="169">
        <f t="shared" si="83"/>
        <v>0</v>
      </c>
      <c r="R233" s="143">
        <f t="shared" si="102"/>
        <v>0</v>
      </c>
      <c r="S233" s="144">
        <f t="shared" si="93"/>
        <v>0</v>
      </c>
      <c r="T233" s="144">
        <f t="shared" si="94"/>
        <v>0</v>
      </c>
      <c r="U233" s="170">
        <f t="shared" si="95"/>
        <v>0</v>
      </c>
      <c r="V233" s="143">
        <f t="shared" si="103"/>
        <v>0</v>
      </c>
      <c r="W233" s="144">
        <f t="shared" si="96"/>
        <v>0</v>
      </c>
      <c r="X233" s="144">
        <f t="shared" si="97"/>
        <v>0</v>
      </c>
      <c r="Y233" s="170">
        <f t="shared" si="98"/>
        <v>0</v>
      </c>
      <c r="Z233" s="151">
        <v>0</v>
      </c>
      <c r="AA233" s="151">
        <v>0</v>
      </c>
      <c r="AB233" s="151">
        <v>0</v>
      </c>
      <c r="AC233" s="151">
        <v>0</v>
      </c>
    </row>
    <row r="234" spans="1:29" s="61" customFormat="1" ht="11.25">
      <c r="A234" s="147">
        <f t="shared" si="84"/>
        <v>0</v>
      </c>
      <c r="B234" s="152">
        <f t="shared" si="85"/>
        <v>0</v>
      </c>
      <c r="C234" s="141">
        <f t="shared" si="86"/>
        <v>18</v>
      </c>
      <c r="D234" s="142">
        <v>215</v>
      </c>
      <c r="E234" s="143">
        <f t="shared" si="99"/>
        <v>0</v>
      </c>
      <c r="F234" s="144">
        <f t="shared" si="87"/>
        <v>0</v>
      </c>
      <c r="G234" s="144">
        <f t="shared" si="88"/>
        <v>0</v>
      </c>
      <c r="H234" s="169">
        <f t="shared" si="82"/>
        <v>0</v>
      </c>
      <c r="I234" s="143">
        <f t="shared" si="100"/>
        <v>0</v>
      </c>
      <c r="J234" s="144">
        <f t="shared" si="89"/>
        <v>0</v>
      </c>
      <c r="K234" s="144">
        <f t="shared" si="90"/>
        <v>0</v>
      </c>
      <c r="L234" s="169">
        <f t="shared" si="81"/>
        <v>0</v>
      </c>
      <c r="M234" s="143">
        <f t="shared" si="101"/>
        <v>0</v>
      </c>
      <c r="N234" s="144">
        <f t="shared" si="91"/>
        <v>0</v>
      </c>
      <c r="O234" s="144">
        <f t="shared" si="92"/>
        <v>0</v>
      </c>
      <c r="P234" s="169">
        <f t="shared" si="83"/>
        <v>0</v>
      </c>
      <c r="R234" s="143">
        <f t="shared" si="102"/>
        <v>0</v>
      </c>
      <c r="S234" s="144">
        <f t="shared" si="93"/>
        <v>0</v>
      </c>
      <c r="T234" s="144">
        <f t="shared" si="94"/>
        <v>0</v>
      </c>
      <c r="U234" s="170">
        <f t="shared" si="95"/>
        <v>0</v>
      </c>
      <c r="V234" s="143">
        <f t="shared" si="103"/>
        <v>0</v>
      </c>
      <c r="W234" s="144">
        <f t="shared" si="96"/>
        <v>0</v>
      </c>
      <c r="X234" s="144">
        <f t="shared" si="97"/>
        <v>0</v>
      </c>
      <c r="Y234" s="170">
        <f t="shared" si="98"/>
        <v>0</v>
      </c>
      <c r="Z234" s="151">
        <v>0</v>
      </c>
      <c r="AA234" s="151">
        <v>0</v>
      </c>
      <c r="AB234" s="151">
        <v>0</v>
      </c>
      <c r="AC234" s="151">
        <v>0</v>
      </c>
    </row>
    <row r="235" spans="1:29" s="61" customFormat="1" ht="12" thickBot="1">
      <c r="A235" s="153">
        <f t="shared" si="84"/>
        <v>0</v>
      </c>
      <c r="B235" s="154">
        <f t="shared" si="85"/>
        <v>0</v>
      </c>
      <c r="C235" s="155">
        <f t="shared" si="86"/>
        <v>18</v>
      </c>
      <c r="D235" s="156">
        <v>216</v>
      </c>
      <c r="E235" s="157">
        <f t="shared" si="99"/>
        <v>0</v>
      </c>
      <c r="F235" s="158">
        <f t="shared" si="87"/>
        <v>0</v>
      </c>
      <c r="G235" s="158">
        <f t="shared" si="88"/>
        <v>0</v>
      </c>
      <c r="H235" s="172">
        <f t="shared" si="82"/>
        <v>0</v>
      </c>
      <c r="I235" s="157">
        <f t="shared" si="100"/>
        <v>0</v>
      </c>
      <c r="J235" s="158">
        <f t="shared" si="89"/>
        <v>0</v>
      </c>
      <c r="K235" s="158">
        <f t="shared" si="90"/>
        <v>0</v>
      </c>
      <c r="L235" s="172">
        <f t="shared" si="81"/>
        <v>0</v>
      </c>
      <c r="M235" s="157">
        <f t="shared" si="101"/>
        <v>0</v>
      </c>
      <c r="N235" s="158">
        <f t="shared" si="91"/>
        <v>0</v>
      </c>
      <c r="O235" s="158">
        <f t="shared" si="92"/>
        <v>0</v>
      </c>
      <c r="P235" s="172">
        <f t="shared" si="83"/>
        <v>0</v>
      </c>
      <c r="R235" s="157">
        <f t="shared" si="102"/>
        <v>0</v>
      </c>
      <c r="S235" s="158">
        <f t="shared" si="93"/>
        <v>0</v>
      </c>
      <c r="T235" s="158">
        <f t="shared" si="94"/>
        <v>0</v>
      </c>
      <c r="U235" s="173">
        <f t="shared" si="95"/>
        <v>0</v>
      </c>
      <c r="V235" s="157">
        <f t="shared" si="103"/>
        <v>0</v>
      </c>
      <c r="W235" s="158">
        <f t="shared" si="96"/>
        <v>0</v>
      </c>
      <c r="X235" s="158">
        <f t="shared" si="97"/>
        <v>0</v>
      </c>
      <c r="Y235" s="173">
        <f t="shared" si="98"/>
        <v>0</v>
      </c>
      <c r="Z235" s="151">
        <v>0</v>
      </c>
      <c r="AA235" s="151">
        <v>0</v>
      </c>
      <c r="AB235" s="151">
        <v>0</v>
      </c>
      <c r="AC235" s="151">
        <v>0</v>
      </c>
    </row>
    <row r="236" spans="1:29" s="61" customFormat="1" ht="11.25">
      <c r="A236" s="147">
        <f t="shared" si="84"/>
        <v>0</v>
      </c>
      <c r="B236" s="152">
        <f t="shared" si="85"/>
        <v>0</v>
      </c>
      <c r="C236" s="141">
        <f t="shared" si="86"/>
        <v>19</v>
      </c>
      <c r="D236" s="142">
        <v>217</v>
      </c>
      <c r="E236" s="143">
        <f t="shared" si="99"/>
        <v>0</v>
      </c>
      <c r="F236" s="144">
        <f t="shared" si="87"/>
        <v>0</v>
      </c>
      <c r="G236" s="144">
        <f t="shared" si="88"/>
        <v>0</v>
      </c>
      <c r="H236" s="169">
        <f t="shared" si="82"/>
        <v>0</v>
      </c>
      <c r="I236" s="143">
        <f t="shared" si="100"/>
        <v>0</v>
      </c>
      <c r="J236" s="144">
        <f t="shared" si="89"/>
        <v>0</v>
      </c>
      <c r="K236" s="144">
        <f t="shared" si="90"/>
        <v>0</v>
      </c>
      <c r="L236" s="169">
        <f t="shared" si="81"/>
        <v>0</v>
      </c>
      <c r="M236" s="143">
        <f t="shared" si="101"/>
        <v>0</v>
      </c>
      <c r="N236" s="144">
        <f t="shared" si="91"/>
        <v>0</v>
      </c>
      <c r="O236" s="144">
        <f t="shared" si="92"/>
        <v>0</v>
      </c>
      <c r="P236" s="169">
        <f t="shared" si="83"/>
        <v>0</v>
      </c>
      <c r="R236" s="143">
        <f t="shared" si="102"/>
        <v>0</v>
      </c>
      <c r="S236" s="144">
        <f t="shared" si="93"/>
        <v>0</v>
      </c>
      <c r="T236" s="144">
        <f t="shared" si="94"/>
        <v>0</v>
      </c>
      <c r="U236" s="169">
        <f t="shared" si="95"/>
        <v>0</v>
      </c>
      <c r="V236" s="143">
        <f t="shared" si="103"/>
        <v>0</v>
      </c>
      <c r="W236" s="144">
        <f t="shared" si="96"/>
        <v>0</v>
      </c>
      <c r="X236" s="144">
        <f t="shared" si="97"/>
        <v>0</v>
      </c>
      <c r="Y236" s="169">
        <f t="shared" si="98"/>
        <v>0</v>
      </c>
      <c r="Z236" s="151">
        <v>0</v>
      </c>
      <c r="AA236" s="151">
        <v>0</v>
      </c>
      <c r="AB236" s="151">
        <v>0</v>
      </c>
      <c r="AC236" s="151">
        <v>0</v>
      </c>
    </row>
    <row r="237" spans="1:29" s="61" customFormat="1" ht="11.25">
      <c r="A237" s="147">
        <f t="shared" si="84"/>
        <v>0</v>
      </c>
      <c r="B237" s="152">
        <f t="shared" si="85"/>
        <v>0</v>
      </c>
      <c r="C237" s="141">
        <f t="shared" si="86"/>
        <v>19</v>
      </c>
      <c r="D237" s="142">
        <v>218</v>
      </c>
      <c r="E237" s="143">
        <f t="shared" si="99"/>
        <v>0</v>
      </c>
      <c r="F237" s="144">
        <f t="shared" si="87"/>
        <v>0</v>
      </c>
      <c r="G237" s="144">
        <f t="shared" si="88"/>
        <v>0</v>
      </c>
      <c r="H237" s="169">
        <f t="shared" si="82"/>
        <v>0</v>
      </c>
      <c r="I237" s="143">
        <f t="shared" si="100"/>
        <v>0</v>
      </c>
      <c r="J237" s="144">
        <f t="shared" si="89"/>
        <v>0</v>
      </c>
      <c r="K237" s="144">
        <f t="shared" si="90"/>
        <v>0</v>
      </c>
      <c r="L237" s="169">
        <f t="shared" si="81"/>
        <v>0</v>
      </c>
      <c r="M237" s="143">
        <f t="shared" si="101"/>
        <v>0</v>
      </c>
      <c r="N237" s="144">
        <f t="shared" si="91"/>
        <v>0</v>
      </c>
      <c r="O237" s="144">
        <f t="shared" si="92"/>
        <v>0</v>
      </c>
      <c r="P237" s="169">
        <f t="shared" si="83"/>
        <v>0</v>
      </c>
      <c r="R237" s="143">
        <f t="shared" si="102"/>
        <v>0</v>
      </c>
      <c r="S237" s="144">
        <f t="shared" si="93"/>
        <v>0</v>
      </c>
      <c r="T237" s="144">
        <f t="shared" si="94"/>
        <v>0</v>
      </c>
      <c r="U237" s="169">
        <f t="shared" si="95"/>
        <v>0</v>
      </c>
      <c r="V237" s="143">
        <f t="shared" si="103"/>
        <v>0</v>
      </c>
      <c r="W237" s="144">
        <f t="shared" si="96"/>
        <v>0</v>
      </c>
      <c r="X237" s="144">
        <f t="shared" si="97"/>
        <v>0</v>
      </c>
      <c r="Y237" s="169">
        <f t="shared" si="98"/>
        <v>0</v>
      </c>
      <c r="Z237" s="151">
        <v>0</v>
      </c>
      <c r="AA237" s="151">
        <v>0</v>
      </c>
      <c r="AB237" s="151">
        <v>0</v>
      </c>
      <c r="AC237" s="151">
        <v>0</v>
      </c>
    </row>
    <row r="238" spans="1:29" s="61" customFormat="1" ht="11.25">
      <c r="A238" s="147">
        <f t="shared" si="84"/>
        <v>0</v>
      </c>
      <c r="B238" s="152">
        <f t="shared" si="85"/>
        <v>0</v>
      </c>
      <c r="C238" s="141">
        <f t="shared" si="86"/>
        <v>19</v>
      </c>
      <c r="D238" s="142">
        <v>219</v>
      </c>
      <c r="E238" s="143">
        <f t="shared" si="99"/>
        <v>0</v>
      </c>
      <c r="F238" s="144">
        <f t="shared" si="87"/>
        <v>0</v>
      </c>
      <c r="G238" s="144">
        <f t="shared" si="88"/>
        <v>0</v>
      </c>
      <c r="H238" s="169">
        <f t="shared" si="82"/>
        <v>0</v>
      </c>
      <c r="I238" s="143">
        <f t="shared" si="100"/>
        <v>0</v>
      </c>
      <c r="J238" s="144">
        <f t="shared" si="89"/>
        <v>0</v>
      </c>
      <c r="K238" s="144">
        <f t="shared" si="90"/>
        <v>0</v>
      </c>
      <c r="L238" s="169">
        <f t="shared" si="81"/>
        <v>0</v>
      </c>
      <c r="M238" s="143">
        <f t="shared" si="101"/>
        <v>0</v>
      </c>
      <c r="N238" s="144">
        <f t="shared" si="91"/>
        <v>0</v>
      </c>
      <c r="O238" s="144">
        <f t="shared" si="92"/>
        <v>0</v>
      </c>
      <c r="P238" s="169">
        <f t="shared" si="83"/>
        <v>0</v>
      </c>
      <c r="R238" s="143">
        <f t="shared" si="102"/>
        <v>0</v>
      </c>
      <c r="S238" s="144">
        <f t="shared" si="93"/>
        <v>0</v>
      </c>
      <c r="T238" s="144">
        <f t="shared" si="94"/>
        <v>0</v>
      </c>
      <c r="U238" s="169">
        <f t="shared" si="95"/>
        <v>0</v>
      </c>
      <c r="V238" s="143">
        <f t="shared" si="103"/>
        <v>0</v>
      </c>
      <c r="W238" s="144">
        <f t="shared" si="96"/>
        <v>0</v>
      </c>
      <c r="X238" s="144">
        <f t="shared" si="97"/>
        <v>0</v>
      </c>
      <c r="Y238" s="169">
        <f t="shared" si="98"/>
        <v>0</v>
      </c>
      <c r="Z238" s="151">
        <v>0</v>
      </c>
      <c r="AA238" s="151">
        <v>0</v>
      </c>
      <c r="AB238" s="151">
        <v>0</v>
      </c>
      <c r="AC238" s="151">
        <v>0</v>
      </c>
    </row>
    <row r="239" spans="1:29" s="61" customFormat="1" ht="11.25">
      <c r="A239" s="147">
        <f t="shared" si="84"/>
        <v>0</v>
      </c>
      <c r="B239" s="152">
        <f t="shared" si="85"/>
        <v>0</v>
      </c>
      <c r="C239" s="141">
        <f t="shared" si="86"/>
        <v>19</v>
      </c>
      <c r="D239" s="142">
        <v>220</v>
      </c>
      <c r="E239" s="143">
        <f t="shared" si="99"/>
        <v>0</v>
      </c>
      <c r="F239" s="144">
        <f t="shared" si="87"/>
        <v>0</v>
      </c>
      <c r="G239" s="144">
        <f t="shared" si="88"/>
        <v>0</v>
      </c>
      <c r="H239" s="169">
        <f t="shared" si="82"/>
        <v>0</v>
      </c>
      <c r="I239" s="143">
        <f t="shared" si="100"/>
        <v>0</v>
      </c>
      <c r="J239" s="144">
        <f t="shared" si="89"/>
        <v>0</v>
      </c>
      <c r="K239" s="144">
        <f t="shared" si="90"/>
        <v>0</v>
      </c>
      <c r="L239" s="169">
        <f t="shared" si="81"/>
        <v>0</v>
      </c>
      <c r="M239" s="143">
        <f t="shared" si="101"/>
        <v>0</v>
      </c>
      <c r="N239" s="144">
        <f t="shared" si="91"/>
        <v>0</v>
      </c>
      <c r="O239" s="144">
        <f t="shared" si="92"/>
        <v>0</v>
      </c>
      <c r="P239" s="169">
        <f t="shared" si="83"/>
        <v>0</v>
      </c>
      <c r="R239" s="143">
        <f t="shared" si="102"/>
        <v>0</v>
      </c>
      <c r="S239" s="144">
        <f t="shared" si="93"/>
        <v>0</v>
      </c>
      <c r="T239" s="144">
        <f t="shared" si="94"/>
        <v>0</v>
      </c>
      <c r="U239" s="169">
        <f t="shared" si="95"/>
        <v>0</v>
      </c>
      <c r="V239" s="143">
        <f t="shared" si="103"/>
        <v>0</v>
      </c>
      <c r="W239" s="144">
        <f t="shared" si="96"/>
        <v>0</v>
      </c>
      <c r="X239" s="144">
        <f t="shared" si="97"/>
        <v>0</v>
      </c>
      <c r="Y239" s="169">
        <f t="shared" si="98"/>
        <v>0</v>
      </c>
      <c r="Z239" s="151">
        <v>0</v>
      </c>
      <c r="AA239" s="151">
        <v>0</v>
      </c>
      <c r="AB239" s="151">
        <v>0</v>
      </c>
      <c r="AC239" s="151">
        <v>0</v>
      </c>
    </row>
    <row r="240" spans="1:29" s="61" customFormat="1" ht="11.25">
      <c r="A240" s="147">
        <f t="shared" si="84"/>
        <v>0</v>
      </c>
      <c r="B240" s="152">
        <f t="shared" si="85"/>
        <v>0</v>
      </c>
      <c r="C240" s="141">
        <f t="shared" si="86"/>
        <v>19</v>
      </c>
      <c r="D240" s="142">
        <v>221</v>
      </c>
      <c r="E240" s="143">
        <f t="shared" si="99"/>
        <v>0</v>
      </c>
      <c r="F240" s="144">
        <f t="shared" si="87"/>
        <v>0</v>
      </c>
      <c r="G240" s="144">
        <f t="shared" si="88"/>
        <v>0</v>
      </c>
      <c r="H240" s="169">
        <f t="shared" si="82"/>
        <v>0</v>
      </c>
      <c r="I240" s="143">
        <f t="shared" si="100"/>
        <v>0</v>
      </c>
      <c r="J240" s="144">
        <f t="shared" si="89"/>
        <v>0</v>
      </c>
      <c r="K240" s="144">
        <f t="shared" si="90"/>
        <v>0</v>
      </c>
      <c r="L240" s="169">
        <f t="shared" si="81"/>
        <v>0</v>
      </c>
      <c r="M240" s="143">
        <f t="shared" si="101"/>
        <v>0</v>
      </c>
      <c r="N240" s="144">
        <f t="shared" si="91"/>
        <v>0</v>
      </c>
      <c r="O240" s="144">
        <f t="shared" si="92"/>
        <v>0</v>
      </c>
      <c r="P240" s="169">
        <f t="shared" si="83"/>
        <v>0</v>
      </c>
      <c r="R240" s="143">
        <f t="shared" si="102"/>
        <v>0</v>
      </c>
      <c r="S240" s="144">
        <f t="shared" si="93"/>
        <v>0</v>
      </c>
      <c r="T240" s="144">
        <f t="shared" si="94"/>
        <v>0</v>
      </c>
      <c r="U240" s="169">
        <f t="shared" si="95"/>
        <v>0</v>
      </c>
      <c r="V240" s="143">
        <f t="shared" si="103"/>
        <v>0</v>
      </c>
      <c r="W240" s="144">
        <f t="shared" si="96"/>
        <v>0</v>
      </c>
      <c r="X240" s="144">
        <f t="shared" si="97"/>
        <v>0</v>
      </c>
      <c r="Y240" s="169">
        <f t="shared" si="98"/>
        <v>0</v>
      </c>
      <c r="Z240" s="151">
        <v>0</v>
      </c>
      <c r="AA240" s="151">
        <v>0</v>
      </c>
      <c r="AB240" s="151">
        <v>0</v>
      </c>
      <c r="AC240" s="151">
        <v>0</v>
      </c>
    </row>
    <row r="241" spans="1:29" s="61" customFormat="1" ht="11.25">
      <c r="A241" s="147">
        <f t="shared" si="84"/>
        <v>0</v>
      </c>
      <c r="B241" s="152">
        <f t="shared" si="85"/>
        <v>0</v>
      </c>
      <c r="C241" s="141">
        <f t="shared" si="86"/>
        <v>19</v>
      </c>
      <c r="D241" s="142">
        <v>222</v>
      </c>
      <c r="E241" s="143">
        <f t="shared" si="99"/>
        <v>0</v>
      </c>
      <c r="F241" s="144">
        <f t="shared" si="87"/>
        <v>0</v>
      </c>
      <c r="G241" s="144">
        <f t="shared" si="88"/>
        <v>0</v>
      </c>
      <c r="H241" s="169">
        <f t="shared" si="82"/>
        <v>0</v>
      </c>
      <c r="I241" s="143">
        <f t="shared" si="100"/>
        <v>0</v>
      </c>
      <c r="J241" s="144">
        <f t="shared" si="89"/>
        <v>0</v>
      </c>
      <c r="K241" s="144">
        <f t="shared" si="90"/>
        <v>0</v>
      </c>
      <c r="L241" s="169">
        <f t="shared" si="81"/>
        <v>0</v>
      </c>
      <c r="M241" s="143">
        <f t="shared" si="101"/>
        <v>0</v>
      </c>
      <c r="N241" s="144">
        <f t="shared" si="91"/>
        <v>0</v>
      </c>
      <c r="O241" s="144">
        <f t="shared" si="92"/>
        <v>0</v>
      </c>
      <c r="P241" s="169">
        <f t="shared" si="83"/>
        <v>0</v>
      </c>
      <c r="R241" s="143">
        <f t="shared" si="102"/>
        <v>0</v>
      </c>
      <c r="S241" s="144">
        <f t="shared" si="93"/>
        <v>0</v>
      </c>
      <c r="T241" s="144">
        <f t="shared" si="94"/>
        <v>0</v>
      </c>
      <c r="U241" s="169">
        <f t="shared" si="95"/>
        <v>0</v>
      </c>
      <c r="V241" s="143">
        <f t="shared" si="103"/>
        <v>0</v>
      </c>
      <c r="W241" s="144">
        <f t="shared" si="96"/>
        <v>0</v>
      </c>
      <c r="X241" s="144">
        <f t="shared" si="97"/>
        <v>0</v>
      </c>
      <c r="Y241" s="169">
        <f t="shared" si="98"/>
        <v>0</v>
      </c>
      <c r="Z241" s="151">
        <v>0</v>
      </c>
      <c r="AA241" s="151">
        <v>0</v>
      </c>
      <c r="AB241" s="151">
        <v>0</v>
      </c>
      <c r="AC241" s="151">
        <v>0</v>
      </c>
    </row>
    <row r="242" spans="1:29" s="61" customFormat="1" ht="11.25">
      <c r="A242" s="147">
        <f t="shared" si="84"/>
        <v>0</v>
      </c>
      <c r="B242" s="152">
        <f t="shared" si="85"/>
        <v>0</v>
      </c>
      <c r="C242" s="141">
        <f t="shared" si="86"/>
        <v>19</v>
      </c>
      <c r="D242" s="142">
        <v>223</v>
      </c>
      <c r="E242" s="143">
        <f t="shared" si="99"/>
        <v>0</v>
      </c>
      <c r="F242" s="144">
        <f t="shared" si="87"/>
        <v>0</v>
      </c>
      <c r="G242" s="144">
        <f t="shared" si="88"/>
        <v>0</v>
      </c>
      <c r="H242" s="169">
        <f t="shared" si="82"/>
        <v>0</v>
      </c>
      <c r="I242" s="143">
        <f t="shared" si="100"/>
        <v>0</v>
      </c>
      <c r="J242" s="144">
        <f t="shared" si="89"/>
        <v>0</v>
      </c>
      <c r="K242" s="144">
        <f t="shared" si="90"/>
        <v>0</v>
      </c>
      <c r="L242" s="169">
        <f t="shared" si="81"/>
        <v>0</v>
      </c>
      <c r="M242" s="143">
        <f t="shared" si="101"/>
        <v>0</v>
      </c>
      <c r="N242" s="144">
        <f t="shared" si="91"/>
        <v>0</v>
      </c>
      <c r="O242" s="144">
        <f t="shared" si="92"/>
        <v>0</v>
      </c>
      <c r="P242" s="169">
        <f t="shared" si="83"/>
        <v>0</v>
      </c>
      <c r="R242" s="143">
        <f t="shared" si="102"/>
        <v>0</v>
      </c>
      <c r="S242" s="144">
        <f t="shared" si="93"/>
        <v>0</v>
      </c>
      <c r="T242" s="144">
        <f t="shared" si="94"/>
        <v>0</v>
      </c>
      <c r="U242" s="169">
        <f t="shared" si="95"/>
        <v>0</v>
      </c>
      <c r="V242" s="143">
        <f t="shared" si="103"/>
        <v>0</v>
      </c>
      <c r="W242" s="144">
        <f t="shared" si="96"/>
        <v>0</v>
      </c>
      <c r="X242" s="144">
        <f t="shared" si="97"/>
        <v>0</v>
      </c>
      <c r="Y242" s="169">
        <f t="shared" si="98"/>
        <v>0</v>
      </c>
      <c r="Z242" s="151">
        <v>0</v>
      </c>
      <c r="AA242" s="151">
        <v>0</v>
      </c>
      <c r="AB242" s="151">
        <v>0</v>
      </c>
      <c r="AC242" s="151">
        <v>0</v>
      </c>
    </row>
    <row r="243" spans="1:29" s="61" customFormat="1" ht="11.25">
      <c r="A243" s="147">
        <f t="shared" si="84"/>
        <v>0</v>
      </c>
      <c r="B243" s="152">
        <f t="shared" si="85"/>
        <v>0</v>
      </c>
      <c r="C243" s="141">
        <f t="shared" si="86"/>
        <v>19</v>
      </c>
      <c r="D243" s="142">
        <v>224</v>
      </c>
      <c r="E243" s="143">
        <f t="shared" si="99"/>
        <v>0</v>
      </c>
      <c r="F243" s="144">
        <f t="shared" si="87"/>
        <v>0</v>
      </c>
      <c r="G243" s="144">
        <f t="shared" si="88"/>
        <v>0</v>
      </c>
      <c r="H243" s="169">
        <f t="shared" si="82"/>
        <v>0</v>
      </c>
      <c r="I243" s="143">
        <f t="shared" si="100"/>
        <v>0</v>
      </c>
      <c r="J243" s="144">
        <f t="shared" si="89"/>
        <v>0</v>
      </c>
      <c r="K243" s="144">
        <f t="shared" si="90"/>
        <v>0</v>
      </c>
      <c r="L243" s="169">
        <f t="shared" si="81"/>
        <v>0</v>
      </c>
      <c r="M243" s="143">
        <f t="shared" si="101"/>
        <v>0</v>
      </c>
      <c r="N243" s="144">
        <f t="shared" si="91"/>
        <v>0</v>
      </c>
      <c r="O243" s="144">
        <f t="shared" si="92"/>
        <v>0</v>
      </c>
      <c r="P243" s="169">
        <f t="shared" si="83"/>
        <v>0</v>
      </c>
      <c r="R243" s="143">
        <f t="shared" si="102"/>
        <v>0</v>
      </c>
      <c r="S243" s="144">
        <f t="shared" si="93"/>
        <v>0</v>
      </c>
      <c r="T243" s="144">
        <f t="shared" si="94"/>
        <v>0</v>
      </c>
      <c r="U243" s="169">
        <f t="shared" si="95"/>
        <v>0</v>
      </c>
      <c r="V243" s="143">
        <f t="shared" si="103"/>
        <v>0</v>
      </c>
      <c r="W243" s="144">
        <f t="shared" si="96"/>
        <v>0</v>
      </c>
      <c r="X243" s="144">
        <f t="shared" si="97"/>
        <v>0</v>
      </c>
      <c r="Y243" s="169">
        <f t="shared" si="98"/>
        <v>0</v>
      </c>
      <c r="Z243" s="151">
        <v>0</v>
      </c>
      <c r="AA243" s="151">
        <v>0</v>
      </c>
      <c r="AB243" s="151">
        <v>0</v>
      </c>
      <c r="AC243" s="151">
        <v>0</v>
      </c>
    </row>
    <row r="244" spans="1:29" s="61" customFormat="1" ht="11.25">
      <c r="A244" s="147">
        <f t="shared" si="84"/>
        <v>0</v>
      </c>
      <c r="B244" s="152">
        <f t="shared" si="85"/>
        <v>0</v>
      </c>
      <c r="C244" s="141">
        <f t="shared" si="86"/>
        <v>19</v>
      </c>
      <c r="D244" s="142">
        <v>225</v>
      </c>
      <c r="E244" s="143">
        <f t="shared" si="99"/>
        <v>0</v>
      </c>
      <c r="F244" s="144">
        <f t="shared" si="87"/>
        <v>0</v>
      </c>
      <c r="G244" s="144">
        <f t="shared" si="88"/>
        <v>0</v>
      </c>
      <c r="H244" s="169">
        <f t="shared" si="82"/>
        <v>0</v>
      </c>
      <c r="I244" s="143">
        <f t="shared" si="100"/>
        <v>0</v>
      </c>
      <c r="J244" s="144">
        <f t="shared" si="89"/>
        <v>0</v>
      </c>
      <c r="K244" s="144">
        <f t="shared" si="90"/>
        <v>0</v>
      </c>
      <c r="L244" s="169">
        <f t="shared" si="81"/>
        <v>0</v>
      </c>
      <c r="M244" s="143">
        <f t="shared" si="101"/>
        <v>0</v>
      </c>
      <c r="N244" s="144">
        <f t="shared" si="91"/>
        <v>0</v>
      </c>
      <c r="O244" s="144">
        <f t="shared" si="92"/>
        <v>0</v>
      </c>
      <c r="P244" s="169">
        <f t="shared" si="83"/>
        <v>0</v>
      </c>
      <c r="R244" s="143">
        <f t="shared" si="102"/>
        <v>0</v>
      </c>
      <c r="S244" s="144">
        <f t="shared" si="93"/>
        <v>0</v>
      </c>
      <c r="T244" s="144">
        <f t="shared" si="94"/>
        <v>0</v>
      </c>
      <c r="U244" s="169">
        <f t="shared" si="95"/>
        <v>0</v>
      </c>
      <c r="V244" s="143">
        <f t="shared" si="103"/>
        <v>0</v>
      </c>
      <c r="W244" s="144">
        <f t="shared" si="96"/>
        <v>0</v>
      </c>
      <c r="X244" s="144">
        <f t="shared" si="97"/>
        <v>0</v>
      </c>
      <c r="Y244" s="169">
        <f t="shared" si="98"/>
        <v>0</v>
      </c>
      <c r="Z244" s="151">
        <v>0</v>
      </c>
      <c r="AA244" s="151">
        <v>0</v>
      </c>
      <c r="AB244" s="151">
        <v>0</v>
      </c>
      <c r="AC244" s="151">
        <v>0</v>
      </c>
    </row>
    <row r="245" spans="1:29" s="61" customFormat="1" ht="11.25">
      <c r="A245" s="147">
        <f t="shared" si="84"/>
        <v>0</v>
      </c>
      <c r="B245" s="152">
        <f t="shared" si="85"/>
        <v>0</v>
      </c>
      <c r="C245" s="141">
        <f t="shared" si="86"/>
        <v>19</v>
      </c>
      <c r="D245" s="142">
        <v>226</v>
      </c>
      <c r="E245" s="143">
        <f t="shared" si="99"/>
        <v>0</v>
      </c>
      <c r="F245" s="144">
        <f t="shared" si="87"/>
        <v>0</v>
      </c>
      <c r="G245" s="144">
        <f t="shared" si="88"/>
        <v>0</v>
      </c>
      <c r="H245" s="169">
        <f t="shared" si="82"/>
        <v>0</v>
      </c>
      <c r="I245" s="143">
        <f t="shared" si="100"/>
        <v>0</v>
      </c>
      <c r="J245" s="144">
        <f t="shared" si="89"/>
        <v>0</v>
      </c>
      <c r="K245" s="144">
        <f t="shared" si="90"/>
        <v>0</v>
      </c>
      <c r="L245" s="169">
        <f t="shared" si="81"/>
        <v>0</v>
      </c>
      <c r="M245" s="143">
        <f t="shared" si="101"/>
        <v>0</v>
      </c>
      <c r="N245" s="144">
        <f t="shared" si="91"/>
        <v>0</v>
      </c>
      <c r="O245" s="144">
        <f t="shared" si="92"/>
        <v>0</v>
      </c>
      <c r="P245" s="169">
        <f t="shared" si="83"/>
        <v>0</v>
      </c>
      <c r="R245" s="143">
        <f t="shared" si="102"/>
        <v>0</v>
      </c>
      <c r="S245" s="144">
        <f t="shared" si="93"/>
        <v>0</v>
      </c>
      <c r="T245" s="144">
        <f t="shared" si="94"/>
        <v>0</v>
      </c>
      <c r="U245" s="169">
        <f t="shared" si="95"/>
        <v>0</v>
      </c>
      <c r="V245" s="143">
        <f t="shared" si="103"/>
        <v>0</v>
      </c>
      <c r="W245" s="144">
        <f t="shared" si="96"/>
        <v>0</v>
      </c>
      <c r="X245" s="144">
        <f t="shared" si="97"/>
        <v>0</v>
      </c>
      <c r="Y245" s="169">
        <f t="shared" si="98"/>
        <v>0</v>
      </c>
      <c r="Z245" s="151">
        <v>0</v>
      </c>
      <c r="AA245" s="151">
        <v>0</v>
      </c>
      <c r="AB245" s="151">
        <v>0</v>
      </c>
      <c r="AC245" s="151">
        <v>0</v>
      </c>
    </row>
    <row r="246" spans="1:29" s="61" customFormat="1" ht="11.25">
      <c r="A246" s="147">
        <f t="shared" si="84"/>
        <v>0</v>
      </c>
      <c r="B246" s="152">
        <f t="shared" si="85"/>
        <v>0</v>
      </c>
      <c r="C246" s="141">
        <f t="shared" si="86"/>
        <v>19</v>
      </c>
      <c r="D246" s="142">
        <v>227</v>
      </c>
      <c r="E246" s="143">
        <f t="shared" si="99"/>
        <v>0</v>
      </c>
      <c r="F246" s="144">
        <f t="shared" si="87"/>
        <v>0</v>
      </c>
      <c r="G246" s="144">
        <f t="shared" si="88"/>
        <v>0</v>
      </c>
      <c r="H246" s="169">
        <f t="shared" si="82"/>
        <v>0</v>
      </c>
      <c r="I246" s="143">
        <f t="shared" si="100"/>
        <v>0</v>
      </c>
      <c r="J246" s="144">
        <f t="shared" si="89"/>
        <v>0</v>
      </c>
      <c r="K246" s="144">
        <f t="shared" si="90"/>
        <v>0</v>
      </c>
      <c r="L246" s="169">
        <f t="shared" si="81"/>
        <v>0</v>
      </c>
      <c r="M246" s="143">
        <f t="shared" si="101"/>
        <v>0</v>
      </c>
      <c r="N246" s="144">
        <f t="shared" si="91"/>
        <v>0</v>
      </c>
      <c r="O246" s="144">
        <f t="shared" si="92"/>
        <v>0</v>
      </c>
      <c r="P246" s="169">
        <f t="shared" si="83"/>
        <v>0</v>
      </c>
      <c r="R246" s="143">
        <f t="shared" si="102"/>
        <v>0</v>
      </c>
      <c r="S246" s="144">
        <f t="shared" si="93"/>
        <v>0</v>
      </c>
      <c r="T246" s="144">
        <f t="shared" si="94"/>
        <v>0</v>
      </c>
      <c r="U246" s="169">
        <f t="shared" si="95"/>
        <v>0</v>
      </c>
      <c r="V246" s="143">
        <f t="shared" si="103"/>
        <v>0</v>
      </c>
      <c r="W246" s="144">
        <f t="shared" si="96"/>
        <v>0</v>
      </c>
      <c r="X246" s="144">
        <f t="shared" si="97"/>
        <v>0</v>
      </c>
      <c r="Y246" s="169">
        <f t="shared" si="98"/>
        <v>0</v>
      </c>
      <c r="Z246" s="151">
        <v>0</v>
      </c>
      <c r="AA246" s="151">
        <v>0</v>
      </c>
      <c r="AB246" s="151">
        <v>0</v>
      </c>
      <c r="AC246" s="151">
        <v>0</v>
      </c>
    </row>
    <row r="247" spans="1:29" s="61" customFormat="1" ht="12" thickBot="1">
      <c r="A247" s="153">
        <f t="shared" si="84"/>
        <v>0</v>
      </c>
      <c r="B247" s="154">
        <f t="shared" si="85"/>
        <v>0</v>
      </c>
      <c r="C247" s="155">
        <f t="shared" si="86"/>
        <v>19</v>
      </c>
      <c r="D247" s="156">
        <v>228</v>
      </c>
      <c r="E247" s="157">
        <f t="shared" si="99"/>
        <v>0</v>
      </c>
      <c r="F247" s="158">
        <f t="shared" si="87"/>
        <v>0</v>
      </c>
      <c r="G247" s="158">
        <f t="shared" si="88"/>
        <v>0</v>
      </c>
      <c r="H247" s="172">
        <f t="shared" si="82"/>
        <v>0</v>
      </c>
      <c r="I247" s="157">
        <f t="shared" si="100"/>
        <v>0</v>
      </c>
      <c r="J247" s="158">
        <f t="shared" si="89"/>
        <v>0</v>
      </c>
      <c r="K247" s="158">
        <f t="shared" si="90"/>
        <v>0</v>
      </c>
      <c r="L247" s="172">
        <f t="shared" si="81"/>
        <v>0</v>
      </c>
      <c r="M247" s="157">
        <f t="shared" si="101"/>
        <v>0</v>
      </c>
      <c r="N247" s="158">
        <f t="shared" si="91"/>
        <v>0</v>
      </c>
      <c r="O247" s="158">
        <f t="shared" si="92"/>
        <v>0</v>
      </c>
      <c r="P247" s="172">
        <f t="shared" si="83"/>
        <v>0</v>
      </c>
      <c r="R247" s="157">
        <f t="shared" si="102"/>
        <v>0</v>
      </c>
      <c r="S247" s="158">
        <f t="shared" si="93"/>
        <v>0</v>
      </c>
      <c r="T247" s="158">
        <f t="shared" si="94"/>
        <v>0</v>
      </c>
      <c r="U247" s="172">
        <f t="shared" si="95"/>
        <v>0</v>
      </c>
      <c r="V247" s="157">
        <f t="shared" si="103"/>
        <v>0</v>
      </c>
      <c r="W247" s="158">
        <f t="shared" si="96"/>
        <v>0</v>
      </c>
      <c r="X247" s="158">
        <f t="shared" si="97"/>
        <v>0</v>
      </c>
      <c r="Y247" s="172">
        <f t="shared" si="98"/>
        <v>0</v>
      </c>
      <c r="Z247" s="151">
        <v>0</v>
      </c>
      <c r="AA247" s="151">
        <v>0</v>
      </c>
      <c r="AB247" s="151">
        <v>0</v>
      </c>
      <c r="AC247" s="151">
        <v>0</v>
      </c>
    </row>
    <row r="248" spans="1:29" s="61" customFormat="1" ht="11.25">
      <c r="A248" s="147">
        <f t="shared" si="84"/>
        <v>0</v>
      </c>
      <c r="B248" s="152">
        <f t="shared" si="85"/>
        <v>0</v>
      </c>
      <c r="C248" s="141">
        <f t="shared" si="86"/>
        <v>20</v>
      </c>
      <c r="D248" s="142">
        <v>229</v>
      </c>
      <c r="E248" s="143">
        <f t="shared" si="99"/>
        <v>0</v>
      </c>
      <c r="F248" s="144">
        <f t="shared" si="87"/>
        <v>0</v>
      </c>
      <c r="G248" s="144">
        <f t="shared" si="88"/>
        <v>0</v>
      </c>
      <c r="H248" s="169">
        <f t="shared" si="82"/>
        <v>0</v>
      </c>
      <c r="I248" s="143">
        <f t="shared" si="100"/>
        <v>0</v>
      </c>
      <c r="J248" s="144">
        <f t="shared" si="89"/>
        <v>0</v>
      </c>
      <c r="K248" s="144">
        <f t="shared" si="90"/>
        <v>0</v>
      </c>
      <c r="L248" s="169">
        <f t="shared" si="81"/>
        <v>0</v>
      </c>
      <c r="M248" s="143">
        <f t="shared" si="101"/>
        <v>0</v>
      </c>
      <c r="N248" s="144">
        <f t="shared" si="91"/>
        <v>0</v>
      </c>
      <c r="O248" s="144">
        <f t="shared" si="92"/>
        <v>0</v>
      </c>
      <c r="P248" s="169">
        <f t="shared" si="83"/>
        <v>0</v>
      </c>
      <c r="R248" s="143">
        <f t="shared" si="102"/>
        <v>0</v>
      </c>
      <c r="S248" s="144">
        <f t="shared" si="93"/>
        <v>0</v>
      </c>
      <c r="T248" s="144">
        <f t="shared" si="94"/>
        <v>0</v>
      </c>
      <c r="U248" s="169">
        <f t="shared" si="95"/>
        <v>0</v>
      </c>
      <c r="V248" s="143">
        <f t="shared" si="103"/>
        <v>0</v>
      </c>
      <c r="W248" s="144">
        <f t="shared" si="96"/>
        <v>0</v>
      </c>
      <c r="X248" s="144">
        <f t="shared" si="97"/>
        <v>0</v>
      </c>
      <c r="Y248" s="169">
        <f t="shared" si="98"/>
        <v>0</v>
      </c>
      <c r="Z248" s="151">
        <v>0</v>
      </c>
      <c r="AA248" s="151">
        <v>0</v>
      </c>
      <c r="AB248" s="151">
        <v>0</v>
      </c>
      <c r="AC248" s="151">
        <v>0</v>
      </c>
    </row>
    <row r="249" spans="1:29" s="61" customFormat="1" ht="11.25">
      <c r="A249" s="147">
        <f t="shared" si="84"/>
        <v>0</v>
      </c>
      <c r="B249" s="152">
        <f t="shared" si="85"/>
        <v>0</v>
      </c>
      <c r="C249" s="141">
        <f t="shared" si="86"/>
        <v>20</v>
      </c>
      <c r="D249" s="142">
        <v>230</v>
      </c>
      <c r="E249" s="143">
        <f t="shared" si="99"/>
        <v>0</v>
      </c>
      <c r="F249" s="144">
        <f t="shared" si="87"/>
        <v>0</v>
      </c>
      <c r="G249" s="144">
        <f t="shared" si="88"/>
        <v>0</v>
      </c>
      <c r="H249" s="169">
        <f t="shared" si="82"/>
        <v>0</v>
      </c>
      <c r="I249" s="143">
        <f t="shared" si="100"/>
        <v>0</v>
      </c>
      <c r="J249" s="144">
        <f t="shared" si="89"/>
        <v>0</v>
      </c>
      <c r="K249" s="144">
        <f t="shared" si="90"/>
        <v>0</v>
      </c>
      <c r="L249" s="169">
        <f t="shared" ref="L249:L312" si="104">IF(I249&lt;=0,0,L$13)</f>
        <v>0</v>
      </c>
      <c r="M249" s="143">
        <f t="shared" si="101"/>
        <v>0</v>
      </c>
      <c r="N249" s="144">
        <f t="shared" si="91"/>
        <v>0</v>
      </c>
      <c r="O249" s="144">
        <f t="shared" si="92"/>
        <v>0</v>
      </c>
      <c r="P249" s="169">
        <f t="shared" si="83"/>
        <v>0</v>
      </c>
      <c r="R249" s="143">
        <f t="shared" si="102"/>
        <v>0</v>
      </c>
      <c r="S249" s="144">
        <f t="shared" si="93"/>
        <v>0</v>
      </c>
      <c r="T249" s="144">
        <f t="shared" si="94"/>
        <v>0</v>
      </c>
      <c r="U249" s="169">
        <f t="shared" si="95"/>
        <v>0</v>
      </c>
      <c r="V249" s="143">
        <f t="shared" si="103"/>
        <v>0</v>
      </c>
      <c r="W249" s="144">
        <f t="shared" si="96"/>
        <v>0</v>
      </c>
      <c r="X249" s="144">
        <f t="shared" si="97"/>
        <v>0</v>
      </c>
      <c r="Y249" s="169">
        <f t="shared" si="98"/>
        <v>0</v>
      </c>
      <c r="Z249" s="151">
        <v>0</v>
      </c>
      <c r="AA249" s="151">
        <v>0</v>
      </c>
      <c r="AB249" s="151">
        <v>0</v>
      </c>
      <c r="AC249" s="151">
        <v>0</v>
      </c>
    </row>
    <row r="250" spans="1:29" s="61" customFormat="1" ht="11.25">
      <c r="A250" s="147">
        <f t="shared" si="84"/>
        <v>0</v>
      </c>
      <c r="B250" s="152">
        <f t="shared" si="85"/>
        <v>0</v>
      </c>
      <c r="C250" s="141">
        <f t="shared" si="86"/>
        <v>20</v>
      </c>
      <c r="D250" s="142">
        <v>231</v>
      </c>
      <c r="E250" s="143">
        <f t="shared" si="99"/>
        <v>0</v>
      </c>
      <c r="F250" s="144">
        <f t="shared" si="87"/>
        <v>0</v>
      </c>
      <c r="G250" s="144">
        <f t="shared" si="88"/>
        <v>0</v>
      </c>
      <c r="H250" s="169">
        <f t="shared" si="82"/>
        <v>0</v>
      </c>
      <c r="I250" s="143">
        <f t="shared" si="100"/>
        <v>0</v>
      </c>
      <c r="J250" s="144">
        <f t="shared" si="89"/>
        <v>0</v>
      </c>
      <c r="K250" s="144">
        <f t="shared" si="90"/>
        <v>0</v>
      </c>
      <c r="L250" s="169">
        <f t="shared" si="104"/>
        <v>0</v>
      </c>
      <c r="M250" s="143">
        <f t="shared" si="101"/>
        <v>0</v>
      </c>
      <c r="N250" s="144">
        <f t="shared" si="91"/>
        <v>0</v>
      </c>
      <c r="O250" s="144">
        <f t="shared" si="92"/>
        <v>0</v>
      </c>
      <c r="P250" s="169">
        <f t="shared" si="83"/>
        <v>0</v>
      </c>
      <c r="R250" s="143">
        <f t="shared" si="102"/>
        <v>0</v>
      </c>
      <c r="S250" s="144">
        <f t="shared" si="93"/>
        <v>0</v>
      </c>
      <c r="T250" s="144">
        <f t="shared" si="94"/>
        <v>0</v>
      </c>
      <c r="U250" s="169">
        <f t="shared" si="95"/>
        <v>0</v>
      </c>
      <c r="V250" s="143">
        <f t="shared" si="103"/>
        <v>0</v>
      </c>
      <c r="W250" s="144">
        <f t="shared" si="96"/>
        <v>0</v>
      </c>
      <c r="X250" s="144">
        <f t="shared" si="97"/>
        <v>0</v>
      </c>
      <c r="Y250" s="169">
        <f t="shared" si="98"/>
        <v>0</v>
      </c>
      <c r="Z250" s="151">
        <v>0</v>
      </c>
      <c r="AA250" s="151">
        <v>0</v>
      </c>
      <c r="AB250" s="151">
        <v>0</v>
      </c>
      <c r="AC250" s="151">
        <v>0</v>
      </c>
    </row>
    <row r="251" spans="1:29" s="61" customFormat="1" ht="11.25">
      <c r="A251" s="147">
        <f t="shared" si="84"/>
        <v>0</v>
      </c>
      <c r="B251" s="152">
        <f t="shared" si="85"/>
        <v>0</v>
      </c>
      <c r="C251" s="141">
        <f t="shared" si="86"/>
        <v>20</v>
      </c>
      <c r="D251" s="142">
        <v>232</v>
      </c>
      <c r="E251" s="143">
        <f t="shared" si="99"/>
        <v>0</v>
      </c>
      <c r="F251" s="144">
        <f t="shared" si="87"/>
        <v>0</v>
      </c>
      <c r="G251" s="144">
        <f t="shared" si="88"/>
        <v>0</v>
      </c>
      <c r="H251" s="169">
        <f t="shared" si="82"/>
        <v>0</v>
      </c>
      <c r="I251" s="143">
        <f t="shared" si="100"/>
        <v>0</v>
      </c>
      <c r="J251" s="144">
        <f t="shared" si="89"/>
        <v>0</v>
      </c>
      <c r="K251" s="144">
        <f t="shared" si="90"/>
        <v>0</v>
      </c>
      <c r="L251" s="169">
        <f t="shared" si="104"/>
        <v>0</v>
      </c>
      <c r="M251" s="143">
        <f t="shared" si="101"/>
        <v>0</v>
      </c>
      <c r="N251" s="144">
        <f t="shared" si="91"/>
        <v>0</v>
      </c>
      <c r="O251" s="144">
        <f t="shared" si="92"/>
        <v>0</v>
      </c>
      <c r="P251" s="169">
        <f t="shared" si="83"/>
        <v>0</v>
      </c>
      <c r="R251" s="143">
        <f t="shared" si="102"/>
        <v>0</v>
      </c>
      <c r="S251" s="144">
        <f t="shared" si="93"/>
        <v>0</v>
      </c>
      <c r="T251" s="144">
        <f t="shared" si="94"/>
        <v>0</v>
      </c>
      <c r="U251" s="169">
        <f t="shared" si="95"/>
        <v>0</v>
      </c>
      <c r="V251" s="143">
        <f t="shared" si="103"/>
        <v>0</v>
      </c>
      <c r="W251" s="144">
        <f t="shared" si="96"/>
        <v>0</v>
      </c>
      <c r="X251" s="144">
        <f t="shared" si="97"/>
        <v>0</v>
      </c>
      <c r="Y251" s="169">
        <f t="shared" si="98"/>
        <v>0</v>
      </c>
      <c r="Z251" s="151">
        <v>0</v>
      </c>
      <c r="AA251" s="151">
        <v>0</v>
      </c>
      <c r="AB251" s="151">
        <v>0</v>
      </c>
      <c r="AC251" s="151">
        <v>0</v>
      </c>
    </row>
    <row r="252" spans="1:29" s="61" customFormat="1" ht="11.25">
      <c r="A252" s="147">
        <f t="shared" si="84"/>
        <v>0</v>
      </c>
      <c r="B252" s="152">
        <f t="shared" si="85"/>
        <v>0</v>
      </c>
      <c r="C252" s="141">
        <f t="shared" si="86"/>
        <v>20</v>
      </c>
      <c r="D252" s="142">
        <v>233</v>
      </c>
      <c r="E252" s="143">
        <f t="shared" si="99"/>
        <v>0</v>
      </c>
      <c r="F252" s="144">
        <f t="shared" si="87"/>
        <v>0</v>
      </c>
      <c r="G252" s="144">
        <f t="shared" si="88"/>
        <v>0</v>
      </c>
      <c r="H252" s="169">
        <f t="shared" si="82"/>
        <v>0</v>
      </c>
      <c r="I252" s="143">
        <f t="shared" si="100"/>
        <v>0</v>
      </c>
      <c r="J252" s="144">
        <f t="shared" si="89"/>
        <v>0</v>
      </c>
      <c r="K252" s="144">
        <f t="shared" si="90"/>
        <v>0</v>
      </c>
      <c r="L252" s="169">
        <f t="shared" si="104"/>
        <v>0</v>
      </c>
      <c r="M252" s="143">
        <f t="shared" si="101"/>
        <v>0</v>
      </c>
      <c r="N252" s="144">
        <f t="shared" si="91"/>
        <v>0</v>
      </c>
      <c r="O252" s="144">
        <f t="shared" si="92"/>
        <v>0</v>
      </c>
      <c r="P252" s="169">
        <f t="shared" si="83"/>
        <v>0</v>
      </c>
      <c r="R252" s="143">
        <f t="shared" si="102"/>
        <v>0</v>
      </c>
      <c r="S252" s="144">
        <f t="shared" si="93"/>
        <v>0</v>
      </c>
      <c r="T252" s="144">
        <f t="shared" si="94"/>
        <v>0</v>
      </c>
      <c r="U252" s="169">
        <f t="shared" si="95"/>
        <v>0</v>
      </c>
      <c r="V252" s="143">
        <f t="shared" si="103"/>
        <v>0</v>
      </c>
      <c r="W252" s="144">
        <f t="shared" si="96"/>
        <v>0</v>
      </c>
      <c r="X252" s="144">
        <f t="shared" si="97"/>
        <v>0</v>
      </c>
      <c r="Y252" s="169">
        <f t="shared" si="98"/>
        <v>0</v>
      </c>
      <c r="Z252" s="151">
        <v>0</v>
      </c>
      <c r="AA252" s="151">
        <v>0</v>
      </c>
      <c r="AB252" s="151">
        <v>0</v>
      </c>
      <c r="AC252" s="151">
        <v>0</v>
      </c>
    </row>
    <row r="253" spans="1:29" s="61" customFormat="1" ht="11.25">
      <c r="A253" s="147">
        <f t="shared" si="84"/>
        <v>0</v>
      </c>
      <c r="B253" s="152">
        <f t="shared" si="85"/>
        <v>0</v>
      </c>
      <c r="C253" s="141">
        <f t="shared" si="86"/>
        <v>20</v>
      </c>
      <c r="D253" s="142">
        <v>234</v>
      </c>
      <c r="E253" s="143">
        <f t="shared" si="99"/>
        <v>0</v>
      </c>
      <c r="F253" s="144">
        <f t="shared" si="87"/>
        <v>0</v>
      </c>
      <c r="G253" s="144">
        <f t="shared" si="88"/>
        <v>0</v>
      </c>
      <c r="H253" s="169">
        <f t="shared" si="82"/>
        <v>0</v>
      </c>
      <c r="I253" s="143">
        <f t="shared" si="100"/>
        <v>0</v>
      </c>
      <c r="J253" s="144">
        <f t="shared" si="89"/>
        <v>0</v>
      </c>
      <c r="K253" s="144">
        <f t="shared" si="90"/>
        <v>0</v>
      </c>
      <c r="L253" s="169">
        <f t="shared" si="104"/>
        <v>0</v>
      </c>
      <c r="M253" s="143">
        <f t="shared" si="101"/>
        <v>0</v>
      </c>
      <c r="N253" s="144">
        <f t="shared" si="91"/>
        <v>0</v>
      </c>
      <c r="O253" s="144">
        <f t="shared" si="92"/>
        <v>0</v>
      </c>
      <c r="P253" s="169">
        <f t="shared" si="83"/>
        <v>0</v>
      </c>
      <c r="R253" s="143">
        <f t="shared" si="102"/>
        <v>0</v>
      </c>
      <c r="S253" s="144">
        <f t="shared" si="93"/>
        <v>0</v>
      </c>
      <c r="T253" s="144">
        <f t="shared" si="94"/>
        <v>0</v>
      </c>
      <c r="U253" s="169">
        <f t="shared" si="95"/>
        <v>0</v>
      </c>
      <c r="V253" s="143">
        <f t="shared" si="103"/>
        <v>0</v>
      </c>
      <c r="W253" s="144">
        <f t="shared" si="96"/>
        <v>0</v>
      </c>
      <c r="X253" s="144">
        <f t="shared" si="97"/>
        <v>0</v>
      </c>
      <c r="Y253" s="169">
        <f t="shared" si="98"/>
        <v>0</v>
      </c>
      <c r="Z253" s="151">
        <v>0</v>
      </c>
      <c r="AA253" s="151">
        <v>0</v>
      </c>
      <c r="AB253" s="151">
        <v>0</v>
      </c>
      <c r="AC253" s="151">
        <v>0</v>
      </c>
    </row>
    <row r="254" spans="1:29" s="61" customFormat="1" ht="11.25">
      <c r="A254" s="147">
        <f t="shared" si="84"/>
        <v>0</v>
      </c>
      <c r="B254" s="152">
        <f t="shared" si="85"/>
        <v>0</v>
      </c>
      <c r="C254" s="141">
        <f t="shared" si="86"/>
        <v>20</v>
      </c>
      <c r="D254" s="142">
        <v>235</v>
      </c>
      <c r="E254" s="143">
        <f t="shared" si="99"/>
        <v>0</v>
      </c>
      <c r="F254" s="144">
        <f t="shared" si="87"/>
        <v>0</v>
      </c>
      <c r="G254" s="144">
        <f t="shared" si="88"/>
        <v>0</v>
      </c>
      <c r="H254" s="169">
        <f t="shared" si="82"/>
        <v>0</v>
      </c>
      <c r="I254" s="143">
        <f t="shared" si="100"/>
        <v>0</v>
      </c>
      <c r="J254" s="144">
        <f t="shared" si="89"/>
        <v>0</v>
      </c>
      <c r="K254" s="144">
        <f t="shared" si="90"/>
        <v>0</v>
      </c>
      <c r="L254" s="169">
        <f t="shared" si="104"/>
        <v>0</v>
      </c>
      <c r="M254" s="143">
        <f t="shared" si="101"/>
        <v>0</v>
      </c>
      <c r="N254" s="144">
        <f t="shared" si="91"/>
        <v>0</v>
      </c>
      <c r="O254" s="144">
        <f t="shared" si="92"/>
        <v>0</v>
      </c>
      <c r="P254" s="169">
        <f t="shared" si="83"/>
        <v>0</v>
      </c>
      <c r="R254" s="143">
        <f t="shared" si="102"/>
        <v>0</v>
      </c>
      <c r="S254" s="144">
        <f t="shared" si="93"/>
        <v>0</v>
      </c>
      <c r="T254" s="144">
        <f t="shared" si="94"/>
        <v>0</v>
      </c>
      <c r="U254" s="169">
        <f t="shared" si="95"/>
        <v>0</v>
      </c>
      <c r="V254" s="143">
        <f t="shared" si="103"/>
        <v>0</v>
      </c>
      <c r="W254" s="144">
        <f t="shared" si="96"/>
        <v>0</v>
      </c>
      <c r="X254" s="144">
        <f t="shared" si="97"/>
        <v>0</v>
      </c>
      <c r="Y254" s="169">
        <f t="shared" si="98"/>
        <v>0</v>
      </c>
      <c r="Z254" s="151">
        <v>0</v>
      </c>
      <c r="AA254" s="151">
        <v>0</v>
      </c>
      <c r="AB254" s="151">
        <v>0</v>
      </c>
      <c r="AC254" s="151">
        <v>0</v>
      </c>
    </row>
    <row r="255" spans="1:29" s="61" customFormat="1" ht="11.25">
      <c r="A255" s="147">
        <f t="shared" si="84"/>
        <v>0</v>
      </c>
      <c r="B255" s="152">
        <f t="shared" si="85"/>
        <v>0</v>
      </c>
      <c r="C255" s="141">
        <f t="shared" si="86"/>
        <v>20</v>
      </c>
      <c r="D255" s="142">
        <v>236</v>
      </c>
      <c r="E255" s="143">
        <f t="shared" si="99"/>
        <v>0</v>
      </c>
      <c r="F255" s="144">
        <f t="shared" si="87"/>
        <v>0</v>
      </c>
      <c r="G255" s="144">
        <f t="shared" si="88"/>
        <v>0</v>
      </c>
      <c r="H255" s="169">
        <f t="shared" si="82"/>
        <v>0</v>
      </c>
      <c r="I255" s="143">
        <f t="shared" si="100"/>
        <v>0</v>
      </c>
      <c r="J255" s="144">
        <f t="shared" si="89"/>
        <v>0</v>
      </c>
      <c r="K255" s="144">
        <f t="shared" si="90"/>
        <v>0</v>
      </c>
      <c r="L255" s="169">
        <f t="shared" si="104"/>
        <v>0</v>
      </c>
      <c r="M255" s="143">
        <f t="shared" si="101"/>
        <v>0</v>
      </c>
      <c r="N255" s="144">
        <f t="shared" si="91"/>
        <v>0</v>
      </c>
      <c r="O255" s="144">
        <f t="shared" si="92"/>
        <v>0</v>
      </c>
      <c r="P255" s="169">
        <f t="shared" si="83"/>
        <v>0</v>
      </c>
      <c r="R255" s="143">
        <f t="shared" si="102"/>
        <v>0</v>
      </c>
      <c r="S255" s="144">
        <f t="shared" si="93"/>
        <v>0</v>
      </c>
      <c r="T255" s="144">
        <f t="shared" si="94"/>
        <v>0</v>
      </c>
      <c r="U255" s="169">
        <f t="shared" si="95"/>
        <v>0</v>
      </c>
      <c r="V255" s="143">
        <f t="shared" si="103"/>
        <v>0</v>
      </c>
      <c r="W255" s="144">
        <f t="shared" si="96"/>
        <v>0</v>
      </c>
      <c r="X255" s="144">
        <f t="shared" si="97"/>
        <v>0</v>
      </c>
      <c r="Y255" s="169">
        <f t="shared" si="98"/>
        <v>0</v>
      </c>
      <c r="Z255" s="151">
        <v>0</v>
      </c>
      <c r="AA255" s="151">
        <v>0</v>
      </c>
      <c r="AB255" s="151">
        <v>0</v>
      </c>
      <c r="AC255" s="151">
        <v>0</v>
      </c>
    </row>
    <row r="256" spans="1:29" s="61" customFormat="1" ht="11.25">
      <c r="A256" s="147">
        <f t="shared" si="84"/>
        <v>0</v>
      </c>
      <c r="B256" s="152">
        <f t="shared" si="85"/>
        <v>0</v>
      </c>
      <c r="C256" s="141">
        <f t="shared" si="86"/>
        <v>20</v>
      </c>
      <c r="D256" s="142">
        <v>237</v>
      </c>
      <c r="E256" s="143">
        <f t="shared" si="99"/>
        <v>0</v>
      </c>
      <c r="F256" s="144">
        <f t="shared" si="87"/>
        <v>0</v>
      </c>
      <c r="G256" s="144">
        <f t="shared" si="88"/>
        <v>0</v>
      </c>
      <c r="H256" s="169">
        <f t="shared" si="82"/>
        <v>0</v>
      </c>
      <c r="I256" s="143">
        <f t="shared" si="100"/>
        <v>0</v>
      </c>
      <c r="J256" s="144">
        <f t="shared" si="89"/>
        <v>0</v>
      </c>
      <c r="K256" s="144">
        <f t="shared" si="90"/>
        <v>0</v>
      </c>
      <c r="L256" s="169">
        <f t="shared" si="104"/>
        <v>0</v>
      </c>
      <c r="M256" s="143">
        <f t="shared" si="101"/>
        <v>0</v>
      </c>
      <c r="N256" s="144">
        <f t="shared" si="91"/>
        <v>0</v>
      </c>
      <c r="O256" s="144">
        <f t="shared" si="92"/>
        <v>0</v>
      </c>
      <c r="P256" s="169">
        <f t="shared" si="83"/>
        <v>0</v>
      </c>
      <c r="R256" s="143">
        <f t="shared" si="102"/>
        <v>0</v>
      </c>
      <c r="S256" s="144">
        <f t="shared" si="93"/>
        <v>0</v>
      </c>
      <c r="T256" s="144">
        <f t="shared" si="94"/>
        <v>0</v>
      </c>
      <c r="U256" s="169">
        <f t="shared" si="95"/>
        <v>0</v>
      </c>
      <c r="V256" s="143">
        <f t="shared" si="103"/>
        <v>0</v>
      </c>
      <c r="W256" s="144">
        <f t="shared" si="96"/>
        <v>0</v>
      </c>
      <c r="X256" s="144">
        <f t="shared" si="97"/>
        <v>0</v>
      </c>
      <c r="Y256" s="169">
        <f t="shared" si="98"/>
        <v>0</v>
      </c>
      <c r="Z256" s="151">
        <v>0</v>
      </c>
      <c r="AA256" s="151">
        <v>0</v>
      </c>
      <c r="AB256" s="151">
        <v>0</v>
      </c>
      <c r="AC256" s="151">
        <v>0</v>
      </c>
    </row>
    <row r="257" spans="1:29" s="61" customFormat="1" ht="11.25">
      <c r="A257" s="147">
        <f t="shared" si="84"/>
        <v>0</v>
      </c>
      <c r="B257" s="152">
        <f t="shared" si="85"/>
        <v>0</v>
      </c>
      <c r="C257" s="141">
        <f t="shared" si="86"/>
        <v>20</v>
      </c>
      <c r="D257" s="142">
        <v>238</v>
      </c>
      <c r="E257" s="143">
        <f t="shared" si="99"/>
        <v>0</v>
      </c>
      <c r="F257" s="144">
        <f t="shared" si="87"/>
        <v>0</v>
      </c>
      <c r="G257" s="144">
        <f t="shared" si="88"/>
        <v>0</v>
      </c>
      <c r="H257" s="169">
        <f t="shared" si="82"/>
        <v>0</v>
      </c>
      <c r="I257" s="143">
        <f t="shared" si="100"/>
        <v>0</v>
      </c>
      <c r="J257" s="144">
        <f t="shared" si="89"/>
        <v>0</v>
      </c>
      <c r="K257" s="144">
        <f t="shared" si="90"/>
        <v>0</v>
      </c>
      <c r="L257" s="169">
        <f t="shared" si="104"/>
        <v>0</v>
      </c>
      <c r="M257" s="143">
        <f t="shared" si="101"/>
        <v>0</v>
      </c>
      <c r="N257" s="144">
        <f t="shared" si="91"/>
        <v>0</v>
      </c>
      <c r="O257" s="144">
        <f t="shared" si="92"/>
        <v>0</v>
      </c>
      <c r="P257" s="169">
        <f t="shared" si="83"/>
        <v>0</v>
      </c>
      <c r="R257" s="143">
        <f t="shared" si="102"/>
        <v>0</v>
      </c>
      <c r="S257" s="144">
        <f t="shared" si="93"/>
        <v>0</v>
      </c>
      <c r="T257" s="144">
        <f t="shared" si="94"/>
        <v>0</v>
      </c>
      <c r="U257" s="169">
        <f t="shared" si="95"/>
        <v>0</v>
      </c>
      <c r="V257" s="143">
        <f t="shared" si="103"/>
        <v>0</v>
      </c>
      <c r="W257" s="144">
        <f t="shared" si="96"/>
        <v>0</v>
      </c>
      <c r="X257" s="144">
        <f t="shared" si="97"/>
        <v>0</v>
      </c>
      <c r="Y257" s="169">
        <f t="shared" si="98"/>
        <v>0</v>
      </c>
      <c r="Z257" s="151">
        <v>0</v>
      </c>
      <c r="AA257" s="151">
        <v>0</v>
      </c>
      <c r="AB257" s="151">
        <v>0</v>
      </c>
      <c r="AC257" s="151">
        <v>0</v>
      </c>
    </row>
    <row r="258" spans="1:29" s="61" customFormat="1" ht="11.25">
      <c r="A258" s="147">
        <f t="shared" si="84"/>
        <v>0</v>
      </c>
      <c r="B258" s="152">
        <f t="shared" si="85"/>
        <v>0</v>
      </c>
      <c r="C258" s="141">
        <f t="shared" si="86"/>
        <v>20</v>
      </c>
      <c r="D258" s="142">
        <v>239</v>
      </c>
      <c r="E258" s="143">
        <f t="shared" si="99"/>
        <v>0</v>
      </c>
      <c r="F258" s="144">
        <f t="shared" si="87"/>
        <v>0</v>
      </c>
      <c r="G258" s="144">
        <f t="shared" si="88"/>
        <v>0</v>
      </c>
      <c r="H258" s="169">
        <f t="shared" si="82"/>
        <v>0</v>
      </c>
      <c r="I258" s="143">
        <f t="shared" si="100"/>
        <v>0</v>
      </c>
      <c r="J258" s="144">
        <f t="shared" si="89"/>
        <v>0</v>
      </c>
      <c r="K258" s="144">
        <f t="shared" si="90"/>
        <v>0</v>
      </c>
      <c r="L258" s="169">
        <f t="shared" si="104"/>
        <v>0</v>
      </c>
      <c r="M258" s="143">
        <f t="shared" si="101"/>
        <v>0</v>
      </c>
      <c r="N258" s="144">
        <f t="shared" si="91"/>
        <v>0</v>
      </c>
      <c r="O258" s="144">
        <f t="shared" si="92"/>
        <v>0</v>
      </c>
      <c r="P258" s="169">
        <f t="shared" si="83"/>
        <v>0</v>
      </c>
      <c r="R258" s="143">
        <f t="shared" si="102"/>
        <v>0</v>
      </c>
      <c r="S258" s="144">
        <f t="shared" si="93"/>
        <v>0</v>
      </c>
      <c r="T258" s="144">
        <f t="shared" si="94"/>
        <v>0</v>
      </c>
      <c r="U258" s="169">
        <f t="shared" si="95"/>
        <v>0</v>
      </c>
      <c r="V258" s="143">
        <f t="shared" si="103"/>
        <v>0</v>
      </c>
      <c r="W258" s="144">
        <f t="shared" si="96"/>
        <v>0</v>
      </c>
      <c r="X258" s="144">
        <f t="shared" si="97"/>
        <v>0</v>
      </c>
      <c r="Y258" s="169">
        <f t="shared" si="98"/>
        <v>0</v>
      </c>
      <c r="Z258" s="151">
        <v>0</v>
      </c>
      <c r="AA258" s="151">
        <v>0</v>
      </c>
      <c r="AB258" s="151">
        <v>0</v>
      </c>
      <c r="AC258" s="151">
        <v>0</v>
      </c>
    </row>
    <row r="259" spans="1:29" s="61" customFormat="1" ht="12" thickBot="1">
      <c r="A259" s="153">
        <f t="shared" si="84"/>
        <v>0</v>
      </c>
      <c r="B259" s="154">
        <f t="shared" si="85"/>
        <v>0</v>
      </c>
      <c r="C259" s="155">
        <f t="shared" si="86"/>
        <v>20</v>
      </c>
      <c r="D259" s="156">
        <v>240</v>
      </c>
      <c r="E259" s="157">
        <f t="shared" si="99"/>
        <v>0</v>
      </c>
      <c r="F259" s="158">
        <f t="shared" si="87"/>
        <v>0</v>
      </c>
      <c r="G259" s="158">
        <f t="shared" si="88"/>
        <v>0</v>
      </c>
      <c r="H259" s="172">
        <f t="shared" si="82"/>
        <v>0</v>
      </c>
      <c r="I259" s="157">
        <f t="shared" si="100"/>
        <v>0</v>
      </c>
      <c r="J259" s="158">
        <f t="shared" si="89"/>
        <v>0</v>
      </c>
      <c r="K259" s="158">
        <f t="shared" si="90"/>
        <v>0</v>
      </c>
      <c r="L259" s="172">
        <f t="shared" si="104"/>
        <v>0</v>
      </c>
      <c r="M259" s="157">
        <f t="shared" si="101"/>
        <v>0</v>
      </c>
      <c r="N259" s="158">
        <f t="shared" si="91"/>
        <v>0</v>
      </c>
      <c r="O259" s="158">
        <f t="shared" si="92"/>
        <v>0</v>
      </c>
      <c r="P259" s="172">
        <f t="shared" si="83"/>
        <v>0</v>
      </c>
      <c r="R259" s="157">
        <f t="shared" si="102"/>
        <v>0</v>
      </c>
      <c r="S259" s="158">
        <f t="shared" si="93"/>
        <v>0</v>
      </c>
      <c r="T259" s="158">
        <f t="shared" si="94"/>
        <v>0</v>
      </c>
      <c r="U259" s="172">
        <f t="shared" si="95"/>
        <v>0</v>
      </c>
      <c r="V259" s="157">
        <f t="shared" si="103"/>
        <v>0</v>
      </c>
      <c r="W259" s="158">
        <f t="shared" si="96"/>
        <v>0</v>
      </c>
      <c r="X259" s="158">
        <f t="shared" si="97"/>
        <v>0</v>
      </c>
      <c r="Y259" s="172">
        <f t="shared" si="98"/>
        <v>0</v>
      </c>
      <c r="Z259" s="151">
        <v>0</v>
      </c>
      <c r="AA259" s="151">
        <v>0</v>
      </c>
      <c r="AB259" s="151">
        <v>0</v>
      </c>
      <c r="AC259" s="151">
        <v>0</v>
      </c>
    </row>
    <row r="260" spans="1:29" s="61" customFormat="1" ht="11.25">
      <c r="A260" s="147">
        <f t="shared" si="84"/>
        <v>0</v>
      </c>
      <c r="B260" s="152">
        <f t="shared" si="85"/>
        <v>0</v>
      </c>
      <c r="C260" s="141">
        <f t="shared" si="86"/>
        <v>21</v>
      </c>
      <c r="D260" s="142">
        <v>241</v>
      </c>
      <c r="E260" s="143">
        <f t="shared" si="99"/>
        <v>0</v>
      </c>
      <c r="F260" s="144">
        <f t="shared" si="87"/>
        <v>0</v>
      </c>
      <c r="G260" s="144">
        <f t="shared" si="88"/>
        <v>0</v>
      </c>
      <c r="H260" s="169">
        <f t="shared" si="82"/>
        <v>0</v>
      </c>
      <c r="I260" s="143">
        <f t="shared" si="100"/>
        <v>0</v>
      </c>
      <c r="J260" s="144">
        <f t="shared" si="89"/>
        <v>0</v>
      </c>
      <c r="K260" s="144">
        <f t="shared" si="90"/>
        <v>0</v>
      </c>
      <c r="L260" s="169">
        <f t="shared" si="104"/>
        <v>0</v>
      </c>
      <c r="M260" s="143">
        <f t="shared" si="101"/>
        <v>0</v>
      </c>
      <c r="N260" s="144">
        <f t="shared" si="91"/>
        <v>0</v>
      </c>
      <c r="O260" s="144">
        <f t="shared" si="92"/>
        <v>0</v>
      </c>
      <c r="P260" s="169">
        <f t="shared" si="83"/>
        <v>0</v>
      </c>
      <c r="R260" s="143">
        <f t="shared" si="102"/>
        <v>0</v>
      </c>
      <c r="S260" s="144">
        <f t="shared" si="93"/>
        <v>0</v>
      </c>
      <c r="T260" s="144">
        <f t="shared" si="94"/>
        <v>0</v>
      </c>
      <c r="U260" s="169">
        <f t="shared" si="95"/>
        <v>0</v>
      </c>
      <c r="V260" s="143">
        <f t="shared" si="103"/>
        <v>0</v>
      </c>
      <c r="W260" s="144">
        <f t="shared" si="96"/>
        <v>0</v>
      </c>
      <c r="X260" s="144">
        <f t="shared" si="97"/>
        <v>0</v>
      </c>
      <c r="Y260" s="169">
        <f t="shared" si="98"/>
        <v>0</v>
      </c>
      <c r="Z260" s="151">
        <v>0</v>
      </c>
      <c r="AA260" s="151">
        <v>0</v>
      </c>
      <c r="AB260" s="151">
        <v>0</v>
      </c>
      <c r="AC260" s="151">
        <v>0</v>
      </c>
    </row>
    <row r="261" spans="1:29" s="61" customFormat="1" ht="11.25">
      <c r="A261" s="147">
        <f t="shared" si="84"/>
        <v>0</v>
      </c>
      <c r="B261" s="152">
        <f t="shared" si="85"/>
        <v>0</v>
      </c>
      <c r="C261" s="141">
        <f t="shared" si="86"/>
        <v>21</v>
      </c>
      <c r="D261" s="142">
        <v>242</v>
      </c>
      <c r="E261" s="143">
        <f t="shared" si="99"/>
        <v>0</v>
      </c>
      <c r="F261" s="144">
        <f t="shared" si="87"/>
        <v>0</v>
      </c>
      <c r="G261" s="144">
        <f t="shared" si="88"/>
        <v>0</v>
      </c>
      <c r="H261" s="169">
        <f t="shared" ref="H261:H324" si="105">IF(E261&lt;=0,0,H$14)</f>
        <v>0</v>
      </c>
      <c r="I261" s="143">
        <f t="shared" si="100"/>
        <v>0</v>
      </c>
      <c r="J261" s="144">
        <f t="shared" si="89"/>
        <v>0</v>
      </c>
      <c r="K261" s="144">
        <f t="shared" si="90"/>
        <v>0</v>
      </c>
      <c r="L261" s="169">
        <f t="shared" si="104"/>
        <v>0</v>
      </c>
      <c r="M261" s="143">
        <f t="shared" si="101"/>
        <v>0</v>
      </c>
      <c r="N261" s="144">
        <f t="shared" si="91"/>
        <v>0</v>
      </c>
      <c r="O261" s="144">
        <f t="shared" si="92"/>
        <v>0</v>
      </c>
      <c r="P261" s="169">
        <f t="shared" ref="P261:P324" si="106">IF(M261&lt;=0,0,P$14)</f>
        <v>0</v>
      </c>
      <c r="R261" s="143">
        <f t="shared" si="102"/>
        <v>0</v>
      </c>
      <c r="S261" s="144">
        <f t="shared" si="93"/>
        <v>0</v>
      </c>
      <c r="T261" s="144">
        <f t="shared" si="94"/>
        <v>0</v>
      </c>
      <c r="U261" s="169">
        <f t="shared" si="95"/>
        <v>0</v>
      </c>
      <c r="V261" s="143">
        <f t="shared" si="103"/>
        <v>0</v>
      </c>
      <c r="W261" s="144">
        <f t="shared" si="96"/>
        <v>0</v>
      </c>
      <c r="X261" s="144">
        <f t="shared" si="97"/>
        <v>0</v>
      </c>
      <c r="Y261" s="169">
        <f t="shared" si="98"/>
        <v>0</v>
      </c>
      <c r="Z261" s="151">
        <v>0</v>
      </c>
      <c r="AA261" s="151">
        <v>0</v>
      </c>
      <c r="AB261" s="151">
        <v>0</v>
      </c>
      <c r="AC261" s="151">
        <v>0</v>
      </c>
    </row>
    <row r="262" spans="1:29" s="61" customFormat="1" ht="11.25">
      <c r="A262" s="147">
        <f t="shared" si="84"/>
        <v>0</v>
      </c>
      <c r="B262" s="152">
        <f t="shared" si="85"/>
        <v>0</v>
      </c>
      <c r="C262" s="141">
        <f t="shared" si="86"/>
        <v>21</v>
      </c>
      <c r="D262" s="142">
        <v>243</v>
      </c>
      <c r="E262" s="143">
        <f t="shared" si="99"/>
        <v>0</v>
      </c>
      <c r="F262" s="144">
        <f t="shared" si="87"/>
        <v>0</v>
      </c>
      <c r="G262" s="144">
        <f t="shared" si="88"/>
        <v>0</v>
      </c>
      <c r="H262" s="169">
        <f t="shared" si="105"/>
        <v>0</v>
      </c>
      <c r="I262" s="143">
        <f t="shared" si="100"/>
        <v>0</v>
      </c>
      <c r="J262" s="144">
        <f t="shared" si="89"/>
        <v>0</v>
      </c>
      <c r="K262" s="144">
        <f t="shared" si="90"/>
        <v>0</v>
      </c>
      <c r="L262" s="169">
        <f t="shared" si="104"/>
        <v>0</v>
      </c>
      <c r="M262" s="143">
        <f t="shared" si="101"/>
        <v>0</v>
      </c>
      <c r="N262" s="144">
        <f t="shared" si="91"/>
        <v>0</v>
      </c>
      <c r="O262" s="144">
        <f t="shared" si="92"/>
        <v>0</v>
      </c>
      <c r="P262" s="169">
        <f t="shared" si="106"/>
        <v>0</v>
      </c>
      <c r="R262" s="143">
        <f t="shared" si="102"/>
        <v>0</v>
      </c>
      <c r="S262" s="144">
        <f t="shared" si="93"/>
        <v>0</v>
      </c>
      <c r="T262" s="144">
        <f t="shared" si="94"/>
        <v>0</v>
      </c>
      <c r="U262" s="169">
        <f t="shared" si="95"/>
        <v>0</v>
      </c>
      <c r="V262" s="143">
        <f t="shared" si="103"/>
        <v>0</v>
      </c>
      <c r="W262" s="144">
        <f t="shared" si="96"/>
        <v>0</v>
      </c>
      <c r="X262" s="144">
        <f t="shared" si="97"/>
        <v>0</v>
      </c>
      <c r="Y262" s="169">
        <f t="shared" si="98"/>
        <v>0</v>
      </c>
      <c r="Z262" s="151">
        <v>0</v>
      </c>
      <c r="AA262" s="151">
        <v>0</v>
      </c>
      <c r="AB262" s="151">
        <v>0</v>
      </c>
      <c r="AC262" s="151">
        <v>0</v>
      </c>
    </row>
    <row r="263" spans="1:29" s="61" customFormat="1" ht="11.25">
      <c r="A263" s="147">
        <f t="shared" si="84"/>
        <v>0</v>
      </c>
      <c r="B263" s="152">
        <f t="shared" si="85"/>
        <v>0</v>
      </c>
      <c r="C263" s="141">
        <f t="shared" si="86"/>
        <v>21</v>
      </c>
      <c r="D263" s="142">
        <v>244</v>
      </c>
      <c r="E263" s="143">
        <f t="shared" si="99"/>
        <v>0</v>
      </c>
      <c r="F263" s="144">
        <f t="shared" si="87"/>
        <v>0</v>
      </c>
      <c r="G263" s="144">
        <f t="shared" si="88"/>
        <v>0</v>
      </c>
      <c r="H263" s="169">
        <f t="shared" si="105"/>
        <v>0</v>
      </c>
      <c r="I263" s="143">
        <f t="shared" si="100"/>
        <v>0</v>
      </c>
      <c r="J263" s="144">
        <f t="shared" si="89"/>
        <v>0</v>
      </c>
      <c r="K263" s="144">
        <f t="shared" si="90"/>
        <v>0</v>
      </c>
      <c r="L263" s="169">
        <f t="shared" si="104"/>
        <v>0</v>
      </c>
      <c r="M263" s="143">
        <f t="shared" si="101"/>
        <v>0</v>
      </c>
      <c r="N263" s="144">
        <f t="shared" si="91"/>
        <v>0</v>
      </c>
      <c r="O263" s="144">
        <f t="shared" si="92"/>
        <v>0</v>
      </c>
      <c r="P263" s="169">
        <f t="shared" si="106"/>
        <v>0</v>
      </c>
      <c r="R263" s="143">
        <f t="shared" si="102"/>
        <v>0</v>
      </c>
      <c r="S263" s="144">
        <f t="shared" si="93"/>
        <v>0</v>
      </c>
      <c r="T263" s="144">
        <f t="shared" si="94"/>
        <v>0</v>
      </c>
      <c r="U263" s="169">
        <f t="shared" si="95"/>
        <v>0</v>
      </c>
      <c r="V263" s="143">
        <f t="shared" si="103"/>
        <v>0</v>
      </c>
      <c r="W263" s="144">
        <f t="shared" si="96"/>
        <v>0</v>
      </c>
      <c r="X263" s="144">
        <f t="shared" si="97"/>
        <v>0</v>
      </c>
      <c r="Y263" s="169">
        <f t="shared" si="98"/>
        <v>0</v>
      </c>
      <c r="Z263" s="151">
        <v>0</v>
      </c>
      <c r="AA263" s="151">
        <v>0</v>
      </c>
      <c r="AB263" s="151">
        <v>0</v>
      </c>
      <c r="AC263" s="151">
        <v>0</v>
      </c>
    </row>
    <row r="264" spans="1:29" s="61" customFormat="1" ht="11.25">
      <c r="A264" s="147">
        <f t="shared" si="84"/>
        <v>0</v>
      </c>
      <c r="B264" s="152">
        <f t="shared" si="85"/>
        <v>0</v>
      </c>
      <c r="C264" s="141">
        <f t="shared" si="86"/>
        <v>21</v>
      </c>
      <c r="D264" s="142">
        <v>245</v>
      </c>
      <c r="E264" s="143">
        <f t="shared" si="99"/>
        <v>0</v>
      </c>
      <c r="F264" s="144">
        <f t="shared" si="87"/>
        <v>0</v>
      </c>
      <c r="G264" s="144">
        <f t="shared" si="88"/>
        <v>0</v>
      </c>
      <c r="H264" s="169">
        <f t="shared" si="105"/>
        <v>0</v>
      </c>
      <c r="I264" s="143">
        <f t="shared" si="100"/>
        <v>0</v>
      </c>
      <c r="J264" s="144">
        <f t="shared" si="89"/>
        <v>0</v>
      </c>
      <c r="K264" s="144">
        <f t="shared" si="90"/>
        <v>0</v>
      </c>
      <c r="L264" s="169">
        <f t="shared" si="104"/>
        <v>0</v>
      </c>
      <c r="M264" s="143">
        <f t="shared" si="101"/>
        <v>0</v>
      </c>
      <c r="N264" s="144">
        <f t="shared" si="91"/>
        <v>0</v>
      </c>
      <c r="O264" s="144">
        <f t="shared" si="92"/>
        <v>0</v>
      </c>
      <c r="P264" s="169">
        <f t="shared" si="106"/>
        <v>0</v>
      </c>
      <c r="R264" s="143">
        <f t="shared" si="102"/>
        <v>0</v>
      </c>
      <c r="S264" s="144">
        <f t="shared" si="93"/>
        <v>0</v>
      </c>
      <c r="T264" s="144">
        <f t="shared" si="94"/>
        <v>0</v>
      </c>
      <c r="U264" s="169">
        <f t="shared" si="95"/>
        <v>0</v>
      </c>
      <c r="V264" s="143">
        <f t="shared" si="103"/>
        <v>0</v>
      </c>
      <c r="W264" s="144">
        <f t="shared" si="96"/>
        <v>0</v>
      </c>
      <c r="X264" s="144">
        <f t="shared" si="97"/>
        <v>0</v>
      </c>
      <c r="Y264" s="169">
        <f t="shared" si="98"/>
        <v>0</v>
      </c>
      <c r="Z264" s="151">
        <v>0</v>
      </c>
      <c r="AA264" s="151">
        <v>0</v>
      </c>
      <c r="AB264" s="151">
        <v>0</v>
      </c>
      <c r="AC264" s="151">
        <v>0</v>
      </c>
    </row>
    <row r="265" spans="1:29" s="61" customFormat="1" ht="11.25">
      <c r="A265" s="147">
        <f t="shared" si="84"/>
        <v>0</v>
      </c>
      <c r="B265" s="152">
        <f t="shared" si="85"/>
        <v>0</v>
      </c>
      <c r="C265" s="141">
        <f t="shared" si="86"/>
        <v>21</v>
      </c>
      <c r="D265" s="142">
        <v>246</v>
      </c>
      <c r="E265" s="143">
        <f t="shared" si="99"/>
        <v>0</v>
      </c>
      <c r="F265" s="144">
        <f t="shared" si="87"/>
        <v>0</v>
      </c>
      <c r="G265" s="144">
        <f t="shared" si="88"/>
        <v>0</v>
      </c>
      <c r="H265" s="169">
        <f t="shared" si="105"/>
        <v>0</v>
      </c>
      <c r="I265" s="143">
        <f t="shared" si="100"/>
        <v>0</v>
      </c>
      <c r="J265" s="144">
        <f t="shared" si="89"/>
        <v>0</v>
      </c>
      <c r="K265" s="144">
        <f t="shared" si="90"/>
        <v>0</v>
      </c>
      <c r="L265" s="169">
        <f t="shared" si="104"/>
        <v>0</v>
      </c>
      <c r="M265" s="143">
        <f t="shared" si="101"/>
        <v>0</v>
      </c>
      <c r="N265" s="144">
        <f t="shared" si="91"/>
        <v>0</v>
      </c>
      <c r="O265" s="144">
        <f t="shared" si="92"/>
        <v>0</v>
      </c>
      <c r="P265" s="169">
        <f t="shared" si="106"/>
        <v>0</v>
      </c>
      <c r="R265" s="143">
        <f t="shared" si="102"/>
        <v>0</v>
      </c>
      <c r="S265" s="144">
        <f t="shared" si="93"/>
        <v>0</v>
      </c>
      <c r="T265" s="144">
        <f t="shared" si="94"/>
        <v>0</v>
      </c>
      <c r="U265" s="169">
        <f t="shared" si="95"/>
        <v>0</v>
      </c>
      <c r="V265" s="143">
        <f t="shared" si="103"/>
        <v>0</v>
      </c>
      <c r="W265" s="144">
        <f t="shared" si="96"/>
        <v>0</v>
      </c>
      <c r="X265" s="144">
        <f t="shared" si="97"/>
        <v>0</v>
      </c>
      <c r="Y265" s="169">
        <f t="shared" si="98"/>
        <v>0</v>
      </c>
      <c r="Z265" s="151">
        <v>0</v>
      </c>
      <c r="AA265" s="151">
        <v>0</v>
      </c>
      <c r="AB265" s="151">
        <v>0</v>
      </c>
      <c r="AC265" s="151">
        <v>0</v>
      </c>
    </row>
    <row r="266" spans="1:29" s="61" customFormat="1" ht="11.25">
      <c r="A266" s="147">
        <f t="shared" si="84"/>
        <v>0</v>
      </c>
      <c r="B266" s="152">
        <f t="shared" si="85"/>
        <v>0</v>
      </c>
      <c r="C266" s="141">
        <f t="shared" si="86"/>
        <v>21</v>
      </c>
      <c r="D266" s="142">
        <v>247</v>
      </c>
      <c r="E266" s="143">
        <f t="shared" si="99"/>
        <v>0</v>
      </c>
      <c r="F266" s="144">
        <f t="shared" si="87"/>
        <v>0</v>
      </c>
      <c r="G266" s="144">
        <f t="shared" si="88"/>
        <v>0</v>
      </c>
      <c r="H266" s="169">
        <f t="shared" si="105"/>
        <v>0</v>
      </c>
      <c r="I266" s="143">
        <f t="shared" si="100"/>
        <v>0</v>
      </c>
      <c r="J266" s="144">
        <f t="shared" si="89"/>
        <v>0</v>
      </c>
      <c r="K266" s="144">
        <f t="shared" si="90"/>
        <v>0</v>
      </c>
      <c r="L266" s="169">
        <f t="shared" si="104"/>
        <v>0</v>
      </c>
      <c r="M266" s="143">
        <f t="shared" si="101"/>
        <v>0</v>
      </c>
      <c r="N266" s="144">
        <f t="shared" si="91"/>
        <v>0</v>
      </c>
      <c r="O266" s="144">
        <f t="shared" si="92"/>
        <v>0</v>
      </c>
      <c r="P266" s="169">
        <f t="shared" si="106"/>
        <v>0</v>
      </c>
      <c r="R266" s="143">
        <f t="shared" si="102"/>
        <v>0</v>
      </c>
      <c r="S266" s="144">
        <f t="shared" si="93"/>
        <v>0</v>
      </c>
      <c r="T266" s="144">
        <f t="shared" si="94"/>
        <v>0</v>
      </c>
      <c r="U266" s="169">
        <f t="shared" si="95"/>
        <v>0</v>
      </c>
      <c r="V266" s="143">
        <f t="shared" si="103"/>
        <v>0</v>
      </c>
      <c r="W266" s="144">
        <f t="shared" si="96"/>
        <v>0</v>
      </c>
      <c r="X266" s="144">
        <f t="shared" si="97"/>
        <v>0</v>
      </c>
      <c r="Y266" s="169">
        <f t="shared" si="98"/>
        <v>0</v>
      </c>
      <c r="Z266" s="151">
        <v>0</v>
      </c>
      <c r="AA266" s="151">
        <v>0</v>
      </c>
      <c r="AB266" s="151">
        <v>0</v>
      </c>
      <c r="AC266" s="151">
        <v>0</v>
      </c>
    </row>
    <row r="267" spans="1:29" s="61" customFormat="1" ht="11.25">
      <c r="A267" s="147">
        <f t="shared" si="84"/>
        <v>0</v>
      </c>
      <c r="B267" s="152">
        <f t="shared" si="85"/>
        <v>0</v>
      </c>
      <c r="C267" s="141">
        <f t="shared" si="86"/>
        <v>21</v>
      </c>
      <c r="D267" s="142">
        <v>248</v>
      </c>
      <c r="E267" s="143">
        <f t="shared" si="99"/>
        <v>0</v>
      </c>
      <c r="F267" s="144">
        <f t="shared" si="87"/>
        <v>0</v>
      </c>
      <c r="G267" s="144">
        <f t="shared" si="88"/>
        <v>0</v>
      </c>
      <c r="H267" s="169">
        <f t="shared" si="105"/>
        <v>0</v>
      </c>
      <c r="I267" s="143">
        <f t="shared" si="100"/>
        <v>0</v>
      </c>
      <c r="J267" s="144">
        <f t="shared" si="89"/>
        <v>0</v>
      </c>
      <c r="K267" s="144">
        <f t="shared" si="90"/>
        <v>0</v>
      </c>
      <c r="L267" s="169">
        <f t="shared" si="104"/>
        <v>0</v>
      </c>
      <c r="M267" s="143">
        <f t="shared" si="101"/>
        <v>0</v>
      </c>
      <c r="N267" s="144">
        <f t="shared" si="91"/>
        <v>0</v>
      </c>
      <c r="O267" s="144">
        <f t="shared" si="92"/>
        <v>0</v>
      </c>
      <c r="P267" s="169">
        <f t="shared" si="106"/>
        <v>0</v>
      </c>
      <c r="R267" s="143">
        <f t="shared" si="102"/>
        <v>0</v>
      </c>
      <c r="S267" s="144">
        <f t="shared" si="93"/>
        <v>0</v>
      </c>
      <c r="T267" s="144">
        <f t="shared" si="94"/>
        <v>0</v>
      </c>
      <c r="U267" s="169">
        <f t="shared" si="95"/>
        <v>0</v>
      </c>
      <c r="V267" s="143">
        <f t="shared" si="103"/>
        <v>0</v>
      </c>
      <c r="W267" s="144">
        <f t="shared" si="96"/>
        <v>0</v>
      </c>
      <c r="X267" s="144">
        <f t="shared" si="97"/>
        <v>0</v>
      </c>
      <c r="Y267" s="169">
        <f t="shared" si="98"/>
        <v>0</v>
      </c>
      <c r="Z267" s="151">
        <v>0</v>
      </c>
      <c r="AA267" s="151">
        <v>0</v>
      </c>
      <c r="AB267" s="151">
        <v>0</v>
      </c>
      <c r="AC267" s="151">
        <v>0</v>
      </c>
    </row>
    <row r="268" spans="1:29" s="61" customFormat="1" ht="11.25">
      <c r="A268" s="147">
        <f t="shared" si="84"/>
        <v>0</v>
      </c>
      <c r="B268" s="152">
        <f t="shared" si="85"/>
        <v>0</v>
      </c>
      <c r="C268" s="141">
        <f t="shared" si="86"/>
        <v>21</v>
      </c>
      <c r="D268" s="142">
        <v>249</v>
      </c>
      <c r="E268" s="143">
        <f t="shared" si="99"/>
        <v>0</v>
      </c>
      <c r="F268" s="144">
        <f t="shared" si="87"/>
        <v>0</v>
      </c>
      <c r="G268" s="144">
        <f t="shared" si="88"/>
        <v>0</v>
      </c>
      <c r="H268" s="169">
        <f t="shared" si="105"/>
        <v>0</v>
      </c>
      <c r="I268" s="143">
        <f t="shared" si="100"/>
        <v>0</v>
      </c>
      <c r="J268" s="144">
        <f t="shared" si="89"/>
        <v>0</v>
      </c>
      <c r="K268" s="144">
        <f t="shared" si="90"/>
        <v>0</v>
      </c>
      <c r="L268" s="169">
        <f t="shared" si="104"/>
        <v>0</v>
      </c>
      <c r="M268" s="143">
        <f t="shared" si="101"/>
        <v>0</v>
      </c>
      <c r="N268" s="144">
        <f t="shared" si="91"/>
        <v>0</v>
      </c>
      <c r="O268" s="144">
        <f t="shared" si="92"/>
        <v>0</v>
      </c>
      <c r="P268" s="169">
        <f t="shared" si="106"/>
        <v>0</v>
      </c>
      <c r="R268" s="143">
        <f t="shared" si="102"/>
        <v>0</v>
      </c>
      <c r="S268" s="144">
        <f t="shared" si="93"/>
        <v>0</v>
      </c>
      <c r="T268" s="144">
        <f t="shared" si="94"/>
        <v>0</v>
      </c>
      <c r="U268" s="169">
        <f t="shared" si="95"/>
        <v>0</v>
      </c>
      <c r="V268" s="143">
        <f t="shared" si="103"/>
        <v>0</v>
      </c>
      <c r="W268" s="144">
        <f t="shared" si="96"/>
        <v>0</v>
      </c>
      <c r="X268" s="144">
        <f t="shared" si="97"/>
        <v>0</v>
      </c>
      <c r="Y268" s="169">
        <f t="shared" si="98"/>
        <v>0</v>
      </c>
      <c r="Z268" s="151">
        <v>0</v>
      </c>
      <c r="AA268" s="151">
        <v>0</v>
      </c>
      <c r="AB268" s="151">
        <v>0</v>
      </c>
      <c r="AC268" s="151">
        <v>0</v>
      </c>
    </row>
    <row r="269" spans="1:29" s="61" customFormat="1" ht="11.25">
      <c r="A269" s="147">
        <f t="shared" si="84"/>
        <v>0</v>
      </c>
      <c r="B269" s="152">
        <f t="shared" si="85"/>
        <v>0</v>
      </c>
      <c r="C269" s="141">
        <f t="shared" si="86"/>
        <v>21</v>
      </c>
      <c r="D269" s="142">
        <v>250</v>
      </c>
      <c r="E269" s="143">
        <f t="shared" si="99"/>
        <v>0</v>
      </c>
      <c r="F269" s="144">
        <f t="shared" si="87"/>
        <v>0</v>
      </c>
      <c r="G269" s="144">
        <f t="shared" si="88"/>
        <v>0</v>
      </c>
      <c r="H269" s="169">
        <f t="shared" si="105"/>
        <v>0</v>
      </c>
      <c r="I269" s="143">
        <f t="shared" si="100"/>
        <v>0</v>
      </c>
      <c r="J269" s="144">
        <f t="shared" si="89"/>
        <v>0</v>
      </c>
      <c r="K269" s="144">
        <f t="shared" si="90"/>
        <v>0</v>
      </c>
      <c r="L269" s="169">
        <f t="shared" si="104"/>
        <v>0</v>
      </c>
      <c r="M269" s="143">
        <f t="shared" si="101"/>
        <v>0</v>
      </c>
      <c r="N269" s="144">
        <f t="shared" si="91"/>
        <v>0</v>
      </c>
      <c r="O269" s="144">
        <f t="shared" si="92"/>
        <v>0</v>
      </c>
      <c r="P269" s="169">
        <f t="shared" si="106"/>
        <v>0</v>
      </c>
      <c r="R269" s="143">
        <f t="shared" si="102"/>
        <v>0</v>
      </c>
      <c r="S269" s="144">
        <f t="shared" si="93"/>
        <v>0</v>
      </c>
      <c r="T269" s="144">
        <f t="shared" si="94"/>
        <v>0</v>
      </c>
      <c r="U269" s="169">
        <f t="shared" si="95"/>
        <v>0</v>
      </c>
      <c r="V269" s="143">
        <f t="shared" si="103"/>
        <v>0</v>
      </c>
      <c r="W269" s="144">
        <f t="shared" si="96"/>
        <v>0</v>
      </c>
      <c r="X269" s="144">
        <f t="shared" si="97"/>
        <v>0</v>
      </c>
      <c r="Y269" s="169">
        <f t="shared" si="98"/>
        <v>0</v>
      </c>
      <c r="Z269" s="151">
        <v>0</v>
      </c>
      <c r="AA269" s="151">
        <v>0</v>
      </c>
      <c r="AB269" s="151">
        <v>0</v>
      </c>
      <c r="AC269" s="151">
        <v>0</v>
      </c>
    </row>
    <row r="270" spans="1:29" s="61" customFormat="1" ht="11.25">
      <c r="A270" s="147">
        <f t="shared" si="84"/>
        <v>0</v>
      </c>
      <c r="B270" s="152">
        <f t="shared" si="85"/>
        <v>0</v>
      </c>
      <c r="C270" s="141">
        <f t="shared" si="86"/>
        <v>21</v>
      </c>
      <c r="D270" s="142">
        <v>251</v>
      </c>
      <c r="E270" s="143">
        <f t="shared" si="99"/>
        <v>0</v>
      </c>
      <c r="F270" s="144">
        <f t="shared" si="87"/>
        <v>0</v>
      </c>
      <c r="G270" s="144">
        <f t="shared" si="88"/>
        <v>0</v>
      </c>
      <c r="H270" s="169">
        <f t="shared" si="105"/>
        <v>0</v>
      </c>
      <c r="I270" s="143">
        <f t="shared" si="100"/>
        <v>0</v>
      </c>
      <c r="J270" s="144">
        <f t="shared" si="89"/>
        <v>0</v>
      </c>
      <c r="K270" s="144">
        <f t="shared" si="90"/>
        <v>0</v>
      </c>
      <c r="L270" s="169">
        <f t="shared" si="104"/>
        <v>0</v>
      </c>
      <c r="M270" s="143">
        <f t="shared" si="101"/>
        <v>0</v>
      </c>
      <c r="N270" s="144">
        <f t="shared" si="91"/>
        <v>0</v>
      </c>
      <c r="O270" s="144">
        <f t="shared" si="92"/>
        <v>0</v>
      </c>
      <c r="P270" s="169">
        <f t="shared" si="106"/>
        <v>0</v>
      </c>
      <c r="R270" s="143">
        <f t="shared" si="102"/>
        <v>0</v>
      </c>
      <c r="S270" s="144">
        <f t="shared" si="93"/>
        <v>0</v>
      </c>
      <c r="T270" s="144">
        <f t="shared" si="94"/>
        <v>0</v>
      </c>
      <c r="U270" s="169">
        <f t="shared" si="95"/>
        <v>0</v>
      </c>
      <c r="V270" s="143">
        <f t="shared" si="103"/>
        <v>0</v>
      </c>
      <c r="W270" s="144">
        <f t="shared" si="96"/>
        <v>0</v>
      </c>
      <c r="X270" s="144">
        <f t="shared" si="97"/>
        <v>0</v>
      </c>
      <c r="Y270" s="169">
        <f t="shared" si="98"/>
        <v>0</v>
      </c>
      <c r="Z270" s="151">
        <v>0</v>
      </c>
      <c r="AA270" s="151">
        <v>0</v>
      </c>
      <c r="AB270" s="151">
        <v>0</v>
      </c>
      <c r="AC270" s="151">
        <v>0</v>
      </c>
    </row>
    <row r="271" spans="1:29" s="61" customFormat="1" ht="12" thickBot="1">
      <c r="A271" s="153">
        <f t="shared" si="84"/>
        <v>0</v>
      </c>
      <c r="B271" s="154">
        <f t="shared" si="85"/>
        <v>0</v>
      </c>
      <c r="C271" s="155">
        <f t="shared" si="86"/>
        <v>21</v>
      </c>
      <c r="D271" s="156">
        <v>252</v>
      </c>
      <c r="E271" s="157">
        <f t="shared" si="99"/>
        <v>0</v>
      </c>
      <c r="F271" s="158">
        <f t="shared" si="87"/>
        <v>0</v>
      </c>
      <c r="G271" s="158">
        <f t="shared" si="88"/>
        <v>0</v>
      </c>
      <c r="H271" s="172">
        <f t="shared" si="105"/>
        <v>0</v>
      </c>
      <c r="I271" s="157">
        <f t="shared" si="100"/>
        <v>0</v>
      </c>
      <c r="J271" s="158">
        <f t="shared" si="89"/>
        <v>0</v>
      </c>
      <c r="K271" s="158">
        <f t="shared" si="90"/>
        <v>0</v>
      </c>
      <c r="L271" s="172">
        <f t="shared" si="104"/>
        <v>0</v>
      </c>
      <c r="M271" s="157">
        <f t="shared" si="101"/>
        <v>0</v>
      </c>
      <c r="N271" s="158">
        <f t="shared" si="91"/>
        <v>0</v>
      </c>
      <c r="O271" s="158">
        <f t="shared" si="92"/>
        <v>0</v>
      </c>
      <c r="P271" s="172">
        <f t="shared" si="106"/>
        <v>0</v>
      </c>
      <c r="R271" s="157">
        <f t="shared" si="102"/>
        <v>0</v>
      </c>
      <c r="S271" s="158">
        <f t="shared" si="93"/>
        <v>0</v>
      </c>
      <c r="T271" s="158">
        <f t="shared" si="94"/>
        <v>0</v>
      </c>
      <c r="U271" s="172">
        <f t="shared" si="95"/>
        <v>0</v>
      </c>
      <c r="V271" s="157">
        <f t="shared" si="103"/>
        <v>0</v>
      </c>
      <c r="W271" s="158">
        <f t="shared" si="96"/>
        <v>0</v>
      </c>
      <c r="X271" s="158">
        <f t="shared" si="97"/>
        <v>0</v>
      </c>
      <c r="Y271" s="172">
        <f t="shared" si="98"/>
        <v>0</v>
      </c>
      <c r="Z271" s="151">
        <v>0</v>
      </c>
      <c r="AA271" s="151">
        <v>0</v>
      </c>
      <c r="AB271" s="151">
        <v>0</v>
      </c>
      <c r="AC271" s="151">
        <v>0</v>
      </c>
    </row>
    <row r="272" spans="1:29" s="61" customFormat="1" ht="11.25">
      <c r="A272" s="147">
        <f t="shared" si="84"/>
        <v>0</v>
      </c>
      <c r="B272" s="152">
        <f t="shared" si="85"/>
        <v>0</v>
      </c>
      <c r="C272" s="141">
        <f t="shared" si="86"/>
        <v>22</v>
      </c>
      <c r="D272" s="142">
        <v>253</v>
      </c>
      <c r="E272" s="143">
        <f t="shared" si="99"/>
        <v>0</v>
      </c>
      <c r="F272" s="144">
        <f t="shared" si="87"/>
        <v>0</v>
      </c>
      <c r="G272" s="144">
        <f t="shared" si="88"/>
        <v>0</v>
      </c>
      <c r="H272" s="169">
        <f t="shared" si="105"/>
        <v>0</v>
      </c>
      <c r="I272" s="143">
        <f t="shared" si="100"/>
        <v>0</v>
      </c>
      <c r="J272" s="144">
        <f t="shared" si="89"/>
        <v>0</v>
      </c>
      <c r="K272" s="144">
        <f t="shared" si="90"/>
        <v>0</v>
      </c>
      <c r="L272" s="169">
        <f t="shared" si="104"/>
        <v>0</v>
      </c>
      <c r="M272" s="143">
        <f t="shared" si="101"/>
        <v>0</v>
      </c>
      <c r="N272" s="144">
        <f t="shared" si="91"/>
        <v>0</v>
      </c>
      <c r="O272" s="144">
        <f t="shared" si="92"/>
        <v>0</v>
      </c>
      <c r="P272" s="169">
        <f t="shared" si="106"/>
        <v>0</v>
      </c>
      <c r="R272" s="143">
        <f t="shared" si="102"/>
        <v>0</v>
      </c>
      <c r="S272" s="144">
        <f t="shared" si="93"/>
        <v>0</v>
      </c>
      <c r="T272" s="144">
        <f t="shared" si="94"/>
        <v>0</v>
      </c>
      <c r="U272" s="169">
        <f t="shared" si="95"/>
        <v>0</v>
      </c>
      <c r="V272" s="143">
        <f t="shared" si="103"/>
        <v>0</v>
      </c>
      <c r="W272" s="144">
        <f t="shared" si="96"/>
        <v>0</v>
      </c>
      <c r="X272" s="144">
        <f t="shared" si="97"/>
        <v>0</v>
      </c>
      <c r="Y272" s="169">
        <f t="shared" si="98"/>
        <v>0</v>
      </c>
      <c r="Z272" s="151">
        <v>0</v>
      </c>
      <c r="AA272" s="151">
        <v>0</v>
      </c>
      <c r="AB272" s="151">
        <v>0</v>
      </c>
      <c r="AC272" s="151">
        <v>0</v>
      </c>
    </row>
    <row r="273" spans="1:29" s="61" customFormat="1" ht="11.25">
      <c r="A273" s="147">
        <f t="shared" si="84"/>
        <v>0</v>
      </c>
      <c r="B273" s="152">
        <f t="shared" si="85"/>
        <v>0</v>
      </c>
      <c r="C273" s="141">
        <f t="shared" si="86"/>
        <v>22</v>
      </c>
      <c r="D273" s="142">
        <v>254</v>
      </c>
      <c r="E273" s="143">
        <f t="shared" si="99"/>
        <v>0</v>
      </c>
      <c r="F273" s="144">
        <f t="shared" si="87"/>
        <v>0</v>
      </c>
      <c r="G273" s="144">
        <f t="shared" si="88"/>
        <v>0</v>
      </c>
      <c r="H273" s="169">
        <f t="shared" si="105"/>
        <v>0</v>
      </c>
      <c r="I273" s="143">
        <f t="shared" si="100"/>
        <v>0</v>
      </c>
      <c r="J273" s="144">
        <f t="shared" si="89"/>
        <v>0</v>
      </c>
      <c r="K273" s="144">
        <f t="shared" si="90"/>
        <v>0</v>
      </c>
      <c r="L273" s="169">
        <f t="shared" si="104"/>
        <v>0</v>
      </c>
      <c r="M273" s="143">
        <f t="shared" si="101"/>
        <v>0</v>
      </c>
      <c r="N273" s="144">
        <f t="shared" si="91"/>
        <v>0</v>
      </c>
      <c r="O273" s="144">
        <f t="shared" si="92"/>
        <v>0</v>
      </c>
      <c r="P273" s="169">
        <f t="shared" si="106"/>
        <v>0</v>
      </c>
      <c r="R273" s="143">
        <f t="shared" si="102"/>
        <v>0</v>
      </c>
      <c r="S273" s="144">
        <f t="shared" si="93"/>
        <v>0</v>
      </c>
      <c r="T273" s="144">
        <f t="shared" si="94"/>
        <v>0</v>
      </c>
      <c r="U273" s="169">
        <f t="shared" si="95"/>
        <v>0</v>
      </c>
      <c r="V273" s="143">
        <f t="shared" si="103"/>
        <v>0</v>
      </c>
      <c r="W273" s="144">
        <f t="shared" si="96"/>
        <v>0</v>
      </c>
      <c r="X273" s="144">
        <f t="shared" si="97"/>
        <v>0</v>
      </c>
      <c r="Y273" s="169">
        <f t="shared" si="98"/>
        <v>0</v>
      </c>
      <c r="Z273" s="151">
        <v>0</v>
      </c>
      <c r="AA273" s="151">
        <v>0</v>
      </c>
      <c r="AB273" s="151">
        <v>0</v>
      </c>
      <c r="AC273" s="151">
        <v>0</v>
      </c>
    </row>
    <row r="274" spans="1:29" s="61" customFormat="1" ht="11.25">
      <c r="A274" s="147">
        <f t="shared" si="84"/>
        <v>0</v>
      </c>
      <c r="B274" s="152">
        <f t="shared" si="85"/>
        <v>0</v>
      </c>
      <c r="C274" s="141">
        <f t="shared" si="86"/>
        <v>22</v>
      </c>
      <c r="D274" s="142">
        <v>255</v>
      </c>
      <c r="E274" s="143">
        <f t="shared" si="99"/>
        <v>0</v>
      </c>
      <c r="F274" s="144">
        <f t="shared" si="87"/>
        <v>0</v>
      </c>
      <c r="G274" s="144">
        <f t="shared" si="88"/>
        <v>0</v>
      </c>
      <c r="H274" s="169">
        <f t="shared" si="105"/>
        <v>0</v>
      </c>
      <c r="I274" s="143">
        <f t="shared" si="100"/>
        <v>0</v>
      </c>
      <c r="J274" s="144">
        <f t="shared" si="89"/>
        <v>0</v>
      </c>
      <c r="K274" s="144">
        <f t="shared" si="90"/>
        <v>0</v>
      </c>
      <c r="L274" s="169">
        <f t="shared" si="104"/>
        <v>0</v>
      </c>
      <c r="M274" s="143">
        <f t="shared" si="101"/>
        <v>0</v>
      </c>
      <c r="N274" s="144">
        <f t="shared" si="91"/>
        <v>0</v>
      </c>
      <c r="O274" s="144">
        <f t="shared" si="92"/>
        <v>0</v>
      </c>
      <c r="P274" s="169">
        <f t="shared" si="106"/>
        <v>0</v>
      </c>
      <c r="R274" s="143">
        <f t="shared" si="102"/>
        <v>0</v>
      </c>
      <c r="S274" s="144">
        <f t="shared" si="93"/>
        <v>0</v>
      </c>
      <c r="T274" s="144">
        <f t="shared" si="94"/>
        <v>0</v>
      </c>
      <c r="U274" s="169">
        <f t="shared" si="95"/>
        <v>0</v>
      </c>
      <c r="V274" s="143">
        <f t="shared" si="103"/>
        <v>0</v>
      </c>
      <c r="W274" s="144">
        <f t="shared" si="96"/>
        <v>0</v>
      </c>
      <c r="X274" s="144">
        <f t="shared" si="97"/>
        <v>0</v>
      </c>
      <c r="Y274" s="169">
        <f t="shared" si="98"/>
        <v>0</v>
      </c>
      <c r="Z274" s="151">
        <v>0</v>
      </c>
      <c r="AA274" s="151">
        <v>0</v>
      </c>
      <c r="AB274" s="151">
        <v>0</v>
      </c>
      <c r="AC274" s="151">
        <v>0</v>
      </c>
    </row>
    <row r="275" spans="1:29" s="61" customFormat="1" ht="11.25">
      <c r="A275" s="147">
        <f t="shared" si="84"/>
        <v>0</v>
      </c>
      <c r="B275" s="152">
        <f t="shared" si="85"/>
        <v>0</v>
      </c>
      <c r="C275" s="141">
        <f t="shared" si="86"/>
        <v>22</v>
      </c>
      <c r="D275" s="142">
        <v>256</v>
      </c>
      <c r="E275" s="143">
        <f t="shared" si="99"/>
        <v>0</v>
      </c>
      <c r="F275" s="144">
        <f t="shared" si="87"/>
        <v>0</v>
      </c>
      <c r="G275" s="144">
        <f t="shared" si="88"/>
        <v>0</v>
      </c>
      <c r="H275" s="169">
        <f t="shared" si="105"/>
        <v>0</v>
      </c>
      <c r="I275" s="143">
        <f t="shared" si="100"/>
        <v>0</v>
      </c>
      <c r="J275" s="144">
        <f t="shared" si="89"/>
        <v>0</v>
      </c>
      <c r="K275" s="144">
        <f t="shared" si="90"/>
        <v>0</v>
      </c>
      <c r="L275" s="169">
        <f t="shared" si="104"/>
        <v>0</v>
      </c>
      <c r="M275" s="143">
        <f t="shared" si="101"/>
        <v>0</v>
      </c>
      <c r="N275" s="144">
        <f t="shared" si="91"/>
        <v>0</v>
      </c>
      <c r="O275" s="144">
        <f t="shared" si="92"/>
        <v>0</v>
      </c>
      <c r="P275" s="169">
        <f t="shared" si="106"/>
        <v>0</v>
      </c>
      <c r="R275" s="143">
        <f t="shared" si="102"/>
        <v>0</v>
      </c>
      <c r="S275" s="144">
        <f t="shared" si="93"/>
        <v>0</v>
      </c>
      <c r="T275" s="144">
        <f t="shared" si="94"/>
        <v>0</v>
      </c>
      <c r="U275" s="169">
        <f t="shared" si="95"/>
        <v>0</v>
      </c>
      <c r="V275" s="143">
        <f t="shared" si="103"/>
        <v>0</v>
      </c>
      <c r="W275" s="144">
        <f t="shared" si="96"/>
        <v>0</v>
      </c>
      <c r="X275" s="144">
        <f t="shared" si="97"/>
        <v>0</v>
      </c>
      <c r="Y275" s="169">
        <f t="shared" si="98"/>
        <v>0</v>
      </c>
      <c r="Z275" s="151">
        <v>0</v>
      </c>
      <c r="AA275" s="151">
        <v>0</v>
      </c>
      <c r="AB275" s="151">
        <v>0</v>
      </c>
      <c r="AC275" s="151">
        <v>0</v>
      </c>
    </row>
    <row r="276" spans="1:29" s="61" customFormat="1" ht="11.25">
      <c r="A276" s="147">
        <f t="shared" ref="A276:A339" si="107">VLOOKUP(D276,$A$10:$C$14,3)</f>
        <v>0</v>
      </c>
      <c r="B276" s="152">
        <f t="shared" ref="B276:B339" si="108">A276/12</f>
        <v>0</v>
      </c>
      <c r="C276" s="141">
        <f t="shared" ref="C276:C339" si="109">INT((D276+11)/12)</f>
        <v>22</v>
      </c>
      <c r="D276" s="142">
        <v>257</v>
      </c>
      <c r="E276" s="143">
        <f t="shared" si="99"/>
        <v>0</v>
      </c>
      <c r="F276" s="144">
        <f t="shared" ref="F276:F339" si="110">ROUND(E276*$B276,2)</f>
        <v>0</v>
      </c>
      <c r="G276" s="144">
        <f t="shared" ref="G276:G339" si="111">IF(E276&lt;H276,E276,H276-F276)</f>
        <v>0</v>
      </c>
      <c r="H276" s="169">
        <f t="shared" si="105"/>
        <v>0</v>
      </c>
      <c r="I276" s="143">
        <f t="shared" si="100"/>
        <v>0</v>
      </c>
      <c r="J276" s="144">
        <f t="shared" ref="J276:J339" si="112">ROUND(I276*$B276,2)</f>
        <v>0</v>
      </c>
      <c r="K276" s="144">
        <f t="shared" ref="K276:K339" si="113">IF(I276&lt;L276,I276,L276-J276)</f>
        <v>0</v>
      </c>
      <c r="L276" s="169">
        <f t="shared" si="104"/>
        <v>0</v>
      </c>
      <c r="M276" s="143">
        <f t="shared" si="101"/>
        <v>0</v>
      </c>
      <c r="N276" s="144">
        <f t="shared" ref="N276:N339" si="114">ROUND(M276*$B276,2)</f>
        <v>0</v>
      </c>
      <c r="O276" s="144">
        <f t="shared" ref="O276:O339" si="115">IF(M276&lt;P276,M276,P276-N276)</f>
        <v>0</v>
      </c>
      <c r="P276" s="169">
        <f t="shared" si="106"/>
        <v>0</v>
      </c>
      <c r="R276" s="143">
        <f t="shared" si="102"/>
        <v>0</v>
      </c>
      <c r="S276" s="144">
        <f t="shared" ref="S276:S339" si="116">ROUND(R276*$B276,2)</f>
        <v>0</v>
      </c>
      <c r="T276" s="144">
        <f t="shared" ref="T276:T339" si="117">IF(R276&lt;U276,R276,U276-S276)</f>
        <v>0</v>
      </c>
      <c r="U276" s="169">
        <f t="shared" ref="U276:U339" si="118">IF(R276&lt;=0,0,$Y$15)</f>
        <v>0</v>
      </c>
      <c r="V276" s="143">
        <f t="shared" si="103"/>
        <v>0</v>
      </c>
      <c r="W276" s="144">
        <f t="shared" ref="W276:W339" si="119">ROUND(V276*$B276,2)</f>
        <v>0</v>
      </c>
      <c r="X276" s="144">
        <f t="shared" ref="X276:X339" si="120">IF(V276&lt;Y276,V276,Y276-W276)</f>
        <v>0</v>
      </c>
      <c r="Y276" s="169">
        <f t="shared" ref="Y276:Y339" si="121">IF(V276&lt;=0,0,PMT(B276,($B$2-D276+1),V276*-1))</f>
        <v>0</v>
      </c>
      <c r="Z276" s="151">
        <v>0</v>
      </c>
      <c r="AA276" s="151">
        <v>0</v>
      </c>
      <c r="AB276" s="151">
        <v>0</v>
      </c>
      <c r="AC276" s="151">
        <v>0</v>
      </c>
    </row>
    <row r="277" spans="1:29" s="61" customFormat="1" ht="11.25">
      <c r="A277" s="147">
        <f t="shared" si="107"/>
        <v>0</v>
      </c>
      <c r="B277" s="152">
        <f t="shared" si="108"/>
        <v>0</v>
      </c>
      <c r="C277" s="141">
        <f t="shared" si="109"/>
        <v>22</v>
      </c>
      <c r="D277" s="142">
        <v>258</v>
      </c>
      <c r="E277" s="143">
        <f t="shared" ref="E277:E340" si="122">IF(E276&lt;H276,0,E276-G276)</f>
        <v>0</v>
      </c>
      <c r="F277" s="144">
        <f t="shared" si="110"/>
        <v>0</v>
      </c>
      <c r="G277" s="144">
        <f t="shared" si="111"/>
        <v>0</v>
      </c>
      <c r="H277" s="169">
        <f t="shared" si="105"/>
        <v>0</v>
      </c>
      <c r="I277" s="143">
        <f t="shared" ref="I277:I340" si="123">IF(I276&lt;L276,0,I276-K276)</f>
        <v>0</v>
      </c>
      <c r="J277" s="144">
        <f t="shared" si="112"/>
        <v>0</v>
      </c>
      <c r="K277" s="144">
        <f t="shared" si="113"/>
        <v>0</v>
      </c>
      <c r="L277" s="169">
        <f t="shared" si="104"/>
        <v>0</v>
      </c>
      <c r="M277" s="143">
        <f t="shared" ref="M277:M340" si="124">IF(M276&lt;P276,0,M276-O276)</f>
        <v>0</v>
      </c>
      <c r="N277" s="144">
        <f t="shared" si="114"/>
        <v>0</v>
      </c>
      <c r="O277" s="144">
        <f t="shared" si="115"/>
        <v>0</v>
      </c>
      <c r="P277" s="169">
        <f t="shared" si="106"/>
        <v>0</v>
      </c>
      <c r="R277" s="143">
        <f t="shared" ref="R277:R340" si="125">IF(R276&lt;U276,0,R276-T276)</f>
        <v>0</v>
      </c>
      <c r="S277" s="144">
        <f t="shared" si="116"/>
        <v>0</v>
      </c>
      <c r="T277" s="144">
        <f t="shared" si="117"/>
        <v>0</v>
      </c>
      <c r="U277" s="169">
        <f t="shared" si="118"/>
        <v>0</v>
      </c>
      <c r="V277" s="143">
        <f t="shared" ref="V277:V340" si="126">IF(V276&lt;Y276,0,V276-X276)</f>
        <v>0</v>
      </c>
      <c r="W277" s="144">
        <f t="shared" si="119"/>
        <v>0</v>
      </c>
      <c r="X277" s="144">
        <f t="shared" si="120"/>
        <v>0</v>
      </c>
      <c r="Y277" s="169">
        <f t="shared" si="121"/>
        <v>0</v>
      </c>
      <c r="Z277" s="151">
        <v>0</v>
      </c>
      <c r="AA277" s="151">
        <v>0</v>
      </c>
      <c r="AB277" s="151">
        <v>0</v>
      </c>
      <c r="AC277" s="151">
        <v>0</v>
      </c>
    </row>
    <row r="278" spans="1:29" s="61" customFormat="1" ht="11.25">
      <c r="A278" s="147">
        <f t="shared" si="107"/>
        <v>0</v>
      </c>
      <c r="B278" s="152">
        <f t="shared" si="108"/>
        <v>0</v>
      </c>
      <c r="C278" s="141">
        <f t="shared" si="109"/>
        <v>22</v>
      </c>
      <c r="D278" s="142">
        <v>259</v>
      </c>
      <c r="E278" s="143">
        <f t="shared" si="122"/>
        <v>0</v>
      </c>
      <c r="F278" s="144">
        <f t="shared" si="110"/>
        <v>0</v>
      </c>
      <c r="G278" s="144">
        <f t="shared" si="111"/>
        <v>0</v>
      </c>
      <c r="H278" s="169">
        <f t="shared" si="105"/>
        <v>0</v>
      </c>
      <c r="I278" s="143">
        <f t="shared" si="123"/>
        <v>0</v>
      </c>
      <c r="J278" s="144">
        <f t="shared" si="112"/>
        <v>0</v>
      </c>
      <c r="K278" s="144">
        <f t="shared" si="113"/>
        <v>0</v>
      </c>
      <c r="L278" s="169">
        <f t="shared" si="104"/>
        <v>0</v>
      </c>
      <c r="M278" s="143">
        <f t="shared" si="124"/>
        <v>0</v>
      </c>
      <c r="N278" s="144">
        <f t="shared" si="114"/>
        <v>0</v>
      </c>
      <c r="O278" s="144">
        <f t="shared" si="115"/>
        <v>0</v>
      </c>
      <c r="P278" s="169">
        <f t="shared" si="106"/>
        <v>0</v>
      </c>
      <c r="R278" s="143">
        <f t="shared" si="125"/>
        <v>0</v>
      </c>
      <c r="S278" s="144">
        <f t="shared" si="116"/>
        <v>0</v>
      </c>
      <c r="T278" s="144">
        <f t="shared" si="117"/>
        <v>0</v>
      </c>
      <c r="U278" s="169">
        <f t="shared" si="118"/>
        <v>0</v>
      </c>
      <c r="V278" s="143">
        <f t="shared" si="126"/>
        <v>0</v>
      </c>
      <c r="W278" s="144">
        <f t="shared" si="119"/>
        <v>0</v>
      </c>
      <c r="X278" s="144">
        <f t="shared" si="120"/>
        <v>0</v>
      </c>
      <c r="Y278" s="169">
        <f t="shared" si="121"/>
        <v>0</v>
      </c>
      <c r="Z278" s="151">
        <v>0</v>
      </c>
      <c r="AA278" s="151">
        <v>0</v>
      </c>
      <c r="AB278" s="151">
        <v>0</v>
      </c>
      <c r="AC278" s="151">
        <v>0</v>
      </c>
    </row>
    <row r="279" spans="1:29" s="61" customFormat="1" ht="11.25">
      <c r="A279" s="147">
        <f t="shared" si="107"/>
        <v>0</v>
      </c>
      <c r="B279" s="152">
        <f t="shared" si="108"/>
        <v>0</v>
      </c>
      <c r="C279" s="141">
        <f t="shared" si="109"/>
        <v>22</v>
      </c>
      <c r="D279" s="142">
        <v>260</v>
      </c>
      <c r="E279" s="143">
        <f t="shared" si="122"/>
        <v>0</v>
      </c>
      <c r="F279" s="144">
        <f t="shared" si="110"/>
        <v>0</v>
      </c>
      <c r="G279" s="144">
        <f t="shared" si="111"/>
        <v>0</v>
      </c>
      <c r="H279" s="169">
        <f t="shared" si="105"/>
        <v>0</v>
      </c>
      <c r="I279" s="143">
        <f t="shared" si="123"/>
        <v>0</v>
      </c>
      <c r="J279" s="144">
        <f t="shared" si="112"/>
        <v>0</v>
      </c>
      <c r="K279" s="144">
        <f t="shared" si="113"/>
        <v>0</v>
      </c>
      <c r="L279" s="169">
        <f t="shared" si="104"/>
        <v>0</v>
      </c>
      <c r="M279" s="143">
        <f t="shared" si="124"/>
        <v>0</v>
      </c>
      <c r="N279" s="144">
        <f t="shared" si="114"/>
        <v>0</v>
      </c>
      <c r="O279" s="144">
        <f t="shared" si="115"/>
        <v>0</v>
      </c>
      <c r="P279" s="169">
        <f t="shared" si="106"/>
        <v>0</v>
      </c>
      <c r="R279" s="143">
        <f t="shared" si="125"/>
        <v>0</v>
      </c>
      <c r="S279" s="144">
        <f t="shared" si="116"/>
        <v>0</v>
      </c>
      <c r="T279" s="144">
        <f t="shared" si="117"/>
        <v>0</v>
      </c>
      <c r="U279" s="169">
        <f t="shared" si="118"/>
        <v>0</v>
      </c>
      <c r="V279" s="143">
        <f t="shared" si="126"/>
        <v>0</v>
      </c>
      <c r="W279" s="144">
        <f t="shared" si="119"/>
        <v>0</v>
      </c>
      <c r="X279" s="144">
        <f t="shared" si="120"/>
        <v>0</v>
      </c>
      <c r="Y279" s="169">
        <f t="shared" si="121"/>
        <v>0</v>
      </c>
      <c r="Z279" s="151">
        <v>0</v>
      </c>
      <c r="AA279" s="151">
        <v>0</v>
      </c>
      <c r="AB279" s="151">
        <v>0</v>
      </c>
      <c r="AC279" s="151">
        <v>0</v>
      </c>
    </row>
    <row r="280" spans="1:29" s="61" customFormat="1" ht="11.25">
      <c r="A280" s="147">
        <f t="shared" si="107"/>
        <v>0</v>
      </c>
      <c r="B280" s="152">
        <f t="shared" si="108"/>
        <v>0</v>
      </c>
      <c r="C280" s="141">
        <f t="shared" si="109"/>
        <v>22</v>
      </c>
      <c r="D280" s="142">
        <v>261</v>
      </c>
      <c r="E280" s="143">
        <f t="shared" si="122"/>
        <v>0</v>
      </c>
      <c r="F280" s="144">
        <f t="shared" si="110"/>
        <v>0</v>
      </c>
      <c r="G280" s="144">
        <f t="shared" si="111"/>
        <v>0</v>
      </c>
      <c r="H280" s="169">
        <f t="shared" si="105"/>
        <v>0</v>
      </c>
      <c r="I280" s="143">
        <f t="shared" si="123"/>
        <v>0</v>
      </c>
      <c r="J280" s="144">
        <f t="shared" si="112"/>
        <v>0</v>
      </c>
      <c r="K280" s="144">
        <f t="shared" si="113"/>
        <v>0</v>
      </c>
      <c r="L280" s="169">
        <f t="shared" si="104"/>
        <v>0</v>
      </c>
      <c r="M280" s="143">
        <f t="shared" si="124"/>
        <v>0</v>
      </c>
      <c r="N280" s="144">
        <f t="shared" si="114"/>
        <v>0</v>
      </c>
      <c r="O280" s="144">
        <f t="shared" si="115"/>
        <v>0</v>
      </c>
      <c r="P280" s="169">
        <f t="shared" si="106"/>
        <v>0</v>
      </c>
      <c r="R280" s="143">
        <f t="shared" si="125"/>
        <v>0</v>
      </c>
      <c r="S280" s="144">
        <f t="shared" si="116"/>
        <v>0</v>
      </c>
      <c r="T280" s="144">
        <f t="shared" si="117"/>
        <v>0</v>
      </c>
      <c r="U280" s="169">
        <f t="shared" si="118"/>
        <v>0</v>
      </c>
      <c r="V280" s="143">
        <f t="shared" si="126"/>
        <v>0</v>
      </c>
      <c r="W280" s="144">
        <f t="shared" si="119"/>
        <v>0</v>
      </c>
      <c r="X280" s="144">
        <f t="shared" si="120"/>
        <v>0</v>
      </c>
      <c r="Y280" s="169">
        <f t="shared" si="121"/>
        <v>0</v>
      </c>
      <c r="Z280" s="151">
        <v>0</v>
      </c>
      <c r="AA280" s="151">
        <v>0</v>
      </c>
      <c r="AB280" s="151">
        <v>0</v>
      </c>
      <c r="AC280" s="151">
        <v>0</v>
      </c>
    </row>
    <row r="281" spans="1:29" s="61" customFormat="1" ht="11.25">
      <c r="A281" s="147">
        <f t="shared" si="107"/>
        <v>0</v>
      </c>
      <c r="B281" s="152">
        <f t="shared" si="108"/>
        <v>0</v>
      </c>
      <c r="C281" s="141">
        <f t="shared" si="109"/>
        <v>22</v>
      </c>
      <c r="D281" s="142">
        <v>262</v>
      </c>
      <c r="E281" s="143">
        <f t="shared" si="122"/>
        <v>0</v>
      </c>
      <c r="F281" s="144">
        <f t="shared" si="110"/>
        <v>0</v>
      </c>
      <c r="G281" s="144">
        <f t="shared" si="111"/>
        <v>0</v>
      </c>
      <c r="H281" s="169">
        <f t="shared" si="105"/>
        <v>0</v>
      </c>
      <c r="I281" s="143">
        <f t="shared" si="123"/>
        <v>0</v>
      </c>
      <c r="J281" s="144">
        <f t="shared" si="112"/>
        <v>0</v>
      </c>
      <c r="K281" s="144">
        <f t="shared" si="113"/>
        <v>0</v>
      </c>
      <c r="L281" s="169">
        <f t="shared" si="104"/>
        <v>0</v>
      </c>
      <c r="M281" s="143">
        <f t="shared" si="124"/>
        <v>0</v>
      </c>
      <c r="N281" s="144">
        <f t="shared" si="114"/>
        <v>0</v>
      </c>
      <c r="O281" s="144">
        <f t="shared" si="115"/>
        <v>0</v>
      </c>
      <c r="P281" s="169">
        <f t="shared" si="106"/>
        <v>0</v>
      </c>
      <c r="R281" s="143">
        <f t="shared" si="125"/>
        <v>0</v>
      </c>
      <c r="S281" s="144">
        <f t="shared" si="116"/>
        <v>0</v>
      </c>
      <c r="T281" s="144">
        <f t="shared" si="117"/>
        <v>0</v>
      </c>
      <c r="U281" s="169">
        <f t="shared" si="118"/>
        <v>0</v>
      </c>
      <c r="V281" s="143">
        <f t="shared" si="126"/>
        <v>0</v>
      </c>
      <c r="W281" s="144">
        <f t="shared" si="119"/>
        <v>0</v>
      </c>
      <c r="X281" s="144">
        <f t="shared" si="120"/>
        <v>0</v>
      </c>
      <c r="Y281" s="169">
        <f t="shared" si="121"/>
        <v>0</v>
      </c>
      <c r="Z281" s="151">
        <v>0</v>
      </c>
      <c r="AA281" s="151">
        <v>0</v>
      </c>
      <c r="AB281" s="151">
        <v>0</v>
      </c>
      <c r="AC281" s="151">
        <v>0</v>
      </c>
    </row>
    <row r="282" spans="1:29" s="61" customFormat="1" ht="11.25">
      <c r="A282" s="147">
        <f t="shared" si="107"/>
        <v>0</v>
      </c>
      <c r="B282" s="152">
        <f t="shared" si="108"/>
        <v>0</v>
      </c>
      <c r="C282" s="141">
        <f t="shared" si="109"/>
        <v>22</v>
      </c>
      <c r="D282" s="142">
        <v>263</v>
      </c>
      <c r="E282" s="143">
        <f t="shared" si="122"/>
        <v>0</v>
      </c>
      <c r="F282" s="144">
        <f t="shared" si="110"/>
        <v>0</v>
      </c>
      <c r="G282" s="144">
        <f t="shared" si="111"/>
        <v>0</v>
      </c>
      <c r="H282" s="169">
        <f t="shared" si="105"/>
        <v>0</v>
      </c>
      <c r="I282" s="143">
        <f t="shared" si="123"/>
        <v>0</v>
      </c>
      <c r="J282" s="144">
        <f t="shared" si="112"/>
        <v>0</v>
      </c>
      <c r="K282" s="144">
        <f t="shared" si="113"/>
        <v>0</v>
      </c>
      <c r="L282" s="169">
        <f t="shared" si="104"/>
        <v>0</v>
      </c>
      <c r="M282" s="143">
        <f t="shared" si="124"/>
        <v>0</v>
      </c>
      <c r="N282" s="144">
        <f t="shared" si="114"/>
        <v>0</v>
      </c>
      <c r="O282" s="144">
        <f t="shared" si="115"/>
        <v>0</v>
      </c>
      <c r="P282" s="169">
        <f t="shared" si="106"/>
        <v>0</v>
      </c>
      <c r="R282" s="143">
        <f t="shared" si="125"/>
        <v>0</v>
      </c>
      <c r="S282" s="144">
        <f t="shared" si="116"/>
        <v>0</v>
      </c>
      <c r="T282" s="144">
        <f t="shared" si="117"/>
        <v>0</v>
      </c>
      <c r="U282" s="169">
        <f t="shared" si="118"/>
        <v>0</v>
      </c>
      <c r="V282" s="143">
        <f t="shared" si="126"/>
        <v>0</v>
      </c>
      <c r="W282" s="144">
        <f t="shared" si="119"/>
        <v>0</v>
      </c>
      <c r="X282" s="144">
        <f t="shared" si="120"/>
        <v>0</v>
      </c>
      <c r="Y282" s="169">
        <f t="shared" si="121"/>
        <v>0</v>
      </c>
      <c r="Z282" s="151">
        <v>0</v>
      </c>
      <c r="AA282" s="151">
        <v>0</v>
      </c>
      <c r="AB282" s="151">
        <v>0</v>
      </c>
      <c r="AC282" s="151">
        <v>0</v>
      </c>
    </row>
    <row r="283" spans="1:29" s="61" customFormat="1" ht="12" thickBot="1">
      <c r="A283" s="153">
        <f t="shared" si="107"/>
        <v>0</v>
      </c>
      <c r="B283" s="154">
        <f t="shared" si="108"/>
        <v>0</v>
      </c>
      <c r="C283" s="155">
        <f t="shared" si="109"/>
        <v>22</v>
      </c>
      <c r="D283" s="156">
        <v>264</v>
      </c>
      <c r="E283" s="157">
        <f t="shared" si="122"/>
        <v>0</v>
      </c>
      <c r="F283" s="158">
        <f t="shared" si="110"/>
        <v>0</v>
      </c>
      <c r="G283" s="158">
        <f t="shared" si="111"/>
        <v>0</v>
      </c>
      <c r="H283" s="172">
        <f t="shared" si="105"/>
        <v>0</v>
      </c>
      <c r="I283" s="157">
        <f t="shared" si="123"/>
        <v>0</v>
      </c>
      <c r="J283" s="158">
        <f t="shared" si="112"/>
        <v>0</v>
      </c>
      <c r="K283" s="158">
        <f t="shared" si="113"/>
        <v>0</v>
      </c>
      <c r="L283" s="172">
        <f t="shared" si="104"/>
        <v>0</v>
      </c>
      <c r="M283" s="157">
        <f t="shared" si="124"/>
        <v>0</v>
      </c>
      <c r="N283" s="158">
        <f t="shared" si="114"/>
        <v>0</v>
      </c>
      <c r="O283" s="158">
        <f t="shared" si="115"/>
        <v>0</v>
      </c>
      <c r="P283" s="172">
        <f t="shared" si="106"/>
        <v>0</v>
      </c>
      <c r="R283" s="157">
        <f t="shared" si="125"/>
        <v>0</v>
      </c>
      <c r="S283" s="158">
        <f t="shared" si="116"/>
        <v>0</v>
      </c>
      <c r="T283" s="158">
        <f t="shared" si="117"/>
        <v>0</v>
      </c>
      <c r="U283" s="172">
        <f t="shared" si="118"/>
        <v>0</v>
      </c>
      <c r="V283" s="157">
        <f t="shared" si="126"/>
        <v>0</v>
      </c>
      <c r="W283" s="158">
        <f t="shared" si="119"/>
        <v>0</v>
      </c>
      <c r="X283" s="158">
        <f t="shared" si="120"/>
        <v>0</v>
      </c>
      <c r="Y283" s="172">
        <f t="shared" si="121"/>
        <v>0</v>
      </c>
      <c r="Z283" s="151">
        <v>0</v>
      </c>
      <c r="AA283" s="151">
        <v>0</v>
      </c>
      <c r="AB283" s="151">
        <v>0</v>
      </c>
      <c r="AC283" s="151">
        <v>0</v>
      </c>
    </row>
    <row r="284" spans="1:29" s="61" customFormat="1" ht="11.25">
      <c r="A284" s="147">
        <f t="shared" si="107"/>
        <v>0</v>
      </c>
      <c r="B284" s="152">
        <f t="shared" si="108"/>
        <v>0</v>
      </c>
      <c r="C284" s="141">
        <f t="shared" si="109"/>
        <v>23</v>
      </c>
      <c r="D284" s="142">
        <v>265</v>
      </c>
      <c r="E284" s="143">
        <f t="shared" si="122"/>
        <v>0</v>
      </c>
      <c r="F284" s="144">
        <f t="shared" si="110"/>
        <v>0</v>
      </c>
      <c r="G284" s="144">
        <f t="shared" si="111"/>
        <v>0</v>
      </c>
      <c r="H284" s="169">
        <f t="shared" si="105"/>
        <v>0</v>
      </c>
      <c r="I284" s="143">
        <f t="shared" si="123"/>
        <v>0</v>
      </c>
      <c r="J284" s="144">
        <f t="shared" si="112"/>
        <v>0</v>
      </c>
      <c r="K284" s="144">
        <f t="shared" si="113"/>
        <v>0</v>
      </c>
      <c r="L284" s="169">
        <f t="shared" si="104"/>
        <v>0</v>
      </c>
      <c r="M284" s="143">
        <f t="shared" si="124"/>
        <v>0</v>
      </c>
      <c r="N284" s="144">
        <f t="shared" si="114"/>
        <v>0</v>
      </c>
      <c r="O284" s="144">
        <f t="shared" si="115"/>
        <v>0</v>
      </c>
      <c r="P284" s="169">
        <f t="shared" si="106"/>
        <v>0</v>
      </c>
      <c r="R284" s="143">
        <f t="shared" si="125"/>
        <v>0</v>
      </c>
      <c r="S284" s="144">
        <f t="shared" si="116"/>
        <v>0</v>
      </c>
      <c r="T284" s="144">
        <f t="shared" si="117"/>
        <v>0</v>
      </c>
      <c r="U284" s="169">
        <f t="shared" si="118"/>
        <v>0</v>
      </c>
      <c r="V284" s="143">
        <f t="shared" si="126"/>
        <v>0</v>
      </c>
      <c r="W284" s="144">
        <f t="shared" si="119"/>
        <v>0</v>
      </c>
      <c r="X284" s="144">
        <f t="shared" si="120"/>
        <v>0</v>
      </c>
      <c r="Y284" s="169">
        <f t="shared" si="121"/>
        <v>0</v>
      </c>
      <c r="Z284" s="151">
        <v>0</v>
      </c>
      <c r="AA284" s="151">
        <v>0</v>
      </c>
      <c r="AB284" s="151">
        <v>0</v>
      </c>
      <c r="AC284" s="151">
        <v>0</v>
      </c>
    </row>
    <row r="285" spans="1:29" s="61" customFormat="1" ht="11.25">
      <c r="A285" s="147">
        <f t="shared" si="107"/>
        <v>0</v>
      </c>
      <c r="B285" s="152">
        <f t="shared" si="108"/>
        <v>0</v>
      </c>
      <c r="C285" s="141">
        <f t="shared" si="109"/>
        <v>23</v>
      </c>
      <c r="D285" s="142">
        <v>266</v>
      </c>
      <c r="E285" s="143">
        <f t="shared" si="122"/>
        <v>0</v>
      </c>
      <c r="F285" s="144">
        <f t="shared" si="110"/>
        <v>0</v>
      </c>
      <c r="G285" s="144">
        <f t="shared" si="111"/>
        <v>0</v>
      </c>
      <c r="H285" s="169">
        <f t="shared" si="105"/>
        <v>0</v>
      </c>
      <c r="I285" s="143">
        <f t="shared" si="123"/>
        <v>0</v>
      </c>
      <c r="J285" s="144">
        <f t="shared" si="112"/>
        <v>0</v>
      </c>
      <c r="K285" s="144">
        <f t="shared" si="113"/>
        <v>0</v>
      </c>
      <c r="L285" s="169">
        <f t="shared" si="104"/>
        <v>0</v>
      </c>
      <c r="M285" s="143">
        <f t="shared" si="124"/>
        <v>0</v>
      </c>
      <c r="N285" s="144">
        <f t="shared" si="114"/>
        <v>0</v>
      </c>
      <c r="O285" s="144">
        <f t="shared" si="115"/>
        <v>0</v>
      </c>
      <c r="P285" s="169">
        <f t="shared" si="106"/>
        <v>0</v>
      </c>
      <c r="R285" s="143">
        <f t="shared" si="125"/>
        <v>0</v>
      </c>
      <c r="S285" s="144">
        <f t="shared" si="116"/>
        <v>0</v>
      </c>
      <c r="T285" s="144">
        <f t="shared" si="117"/>
        <v>0</v>
      </c>
      <c r="U285" s="169">
        <f t="shared" si="118"/>
        <v>0</v>
      </c>
      <c r="V285" s="143">
        <f t="shared" si="126"/>
        <v>0</v>
      </c>
      <c r="W285" s="144">
        <f t="shared" si="119"/>
        <v>0</v>
      </c>
      <c r="X285" s="144">
        <f t="shared" si="120"/>
        <v>0</v>
      </c>
      <c r="Y285" s="169">
        <f t="shared" si="121"/>
        <v>0</v>
      </c>
      <c r="Z285" s="151">
        <v>0</v>
      </c>
      <c r="AA285" s="151">
        <v>0</v>
      </c>
      <c r="AB285" s="151">
        <v>0</v>
      </c>
      <c r="AC285" s="151">
        <v>0</v>
      </c>
    </row>
    <row r="286" spans="1:29" s="61" customFormat="1" ht="11.25">
      <c r="A286" s="147">
        <f t="shared" si="107"/>
        <v>0</v>
      </c>
      <c r="B286" s="152">
        <f t="shared" si="108"/>
        <v>0</v>
      </c>
      <c r="C286" s="141">
        <f t="shared" si="109"/>
        <v>23</v>
      </c>
      <c r="D286" s="142">
        <v>267</v>
      </c>
      <c r="E286" s="143">
        <f t="shared" si="122"/>
        <v>0</v>
      </c>
      <c r="F286" s="144">
        <f t="shared" si="110"/>
        <v>0</v>
      </c>
      <c r="G286" s="144">
        <f t="shared" si="111"/>
        <v>0</v>
      </c>
      <c r="H286" s="169">
        <f t="shared" si="105"/>
        <v>0</v>
      </c>
      <c r="I286" s="143">
        <f t="shared" si="123"/>
        <v>0</v>
      </c>
      <c r="J286" s="144">
        <f t="shared" si="112"/>
        <v>0</v>
      </c>
      <c r="K286" s="144">
        <f t="shared" si="113"/>
        <v>0</v>
      </c>
      <c r="L286" s="169">
        <f t="shared" si="104"/>
        <v>0</v>
      </c>
      <c r="M286" s="143">
        <f t="shared" si="124"/>
        <v>0</v>
      </c>
      <c r="N286" s="144">
        <f t="shared" si="114"/>
        <v>0</v>
      </c>
      <c r="O286" s="144">
        <f t="shared" si="115"/>
        <v>0</v>
      </c>
      <c r="P286" s="169">
        <f t="shared" si="106"/>
        <v>0</v>
      </c>
      <c r="R286" s="143">
        <f t="shared" si="125"/>
        <v>0</v>
      </c>
      <c r="S286" s="144">
        <f t="shared" si="116"/>
        <v>0</v>
      </c>
      <c r="T286" s="144">
        <f t="shared" si="117"/>
        <v>0</v>
      </c>
      <c r="U286" s="169">
        <f t="shared" si="118"/>
        <v>0</v>
      </c>
      <c r="V286" s="143">
        <f t="shared" si="126"/>
        <v>0</v>
      </c>
      <c r="W286" s="144">
        <f t="shared" si="119"/>
        <v>0</v>
      </c>
      <c r="X286" s="144">
        <f t="shared" si="120"/>
        <v>0</v>
      </c>
      <c r="Y286" s="169">
        <f t="shared" si="121"/>
        <v>0</v>
      </c>
      <c r="Z286" s="151">
        <v>0</v>
      </c>
      <c r="AA286" s="151">
        <v>0</v>
      </c>
      <c r="AB286" s="151">
        <v>0</v>
      </c>
      <c r="AC286" s="151">
        <v>0</v>
      </c>
    </row>
    <row r="287" spans="1:29" s="61" customFormat="1" ht="11.25">
      <c r="A287" s="147">
        <f t="shared" si="107"/>
        <v>0</v>
      </c>
      <c r="B287" s="152">
        <f t="shared" si="108"/>
        <v>0</v>
      </c>
      <c r="C287" s="141">
        <f t="shared" si="109"/>
        <v>23</v>
      </c>
      <c r="D287" s="142">
        <v>268</v>
      </c>
      <c r="E287" s="143">
        <f t="shared" si="122"/>
        <v>0</v>
      </c>
      <c r="F287" s="144">
        <f t="shared" si="110"/>
        <v>0</v>
      </c>
      <c r="G287" s="144">
        <f t="shared" si="111"/>
        <v>0</v>
      </c>
      <c r="H287" s="169">
        <f t="shared" si="105"/>
        <v>0</v>
      </c>
      <c r="I287" s="143">
        <f t="shared" si="123"/>
        <v>0</v>
      </c>
      <c r="J287" s="144">
        <f t="shared" si="112"/>
        <v>0</v>
      </c>
      <c r="K287" s="144">
        <f t="shared" si="113"/>
        <v>0</v>
      </c>
      <c r="L287" s="169">
        <f t="shared" si="104"/>
        <v>0</v>
      </c>
      <c r="M287" s="143">
        <f t="shared" si="124"/>
        <v>0</v>
      </c>
      <c r="N287" s="144">
        <f t="shared" si="114"/>
        <v>0</v>
      </c>
      <c r="O287" s="144">
        <f t="shared" si="115"/>
        <v>0</v>
      </c>
      <c r="P287" s="169">
        <f t="shared" si="106"/>
        <v>0</v>
      </c>
      <c r="R287" s="143">
        <f t="shared" si="125"/>
        <v>0</v>
      </c>
      <c r="S287" s="144">
        <f t="shared" si="116"/>
        <v>0</v>
      </c>
      <c r="T287" s="144">
        <f t="shared" si="117"/>
        <v>0</v>
      </c>
      <c r="U287" s="169">
        <f t="shared" si="118"/>
        <v>0</v>
      </c>
      <c r="V287" s="143">
        <f t="shared" si="126"/>
        <v>0</v>
      </c>
      <c r="W287" s="144">
        <f t="shared" si="119"/>
        <v>0</v>
      </c>
      <c r="X287" s="144">
        <f t="shared" si="120"/>
        <v>0</v>
      </c>
      <c r="Y287" s="169">
        <f t="shared" si="121"/>
        <v>0</v>
      </c>
      <c r="Z287" s="151">
        <v>0</v>
      </c>
      <c r="AA287" s="151">
        <v>0</v>
      </c>
      <c r="AB287" s="151">
        <v>0</v>
      </c>
      <c r="AC287" s="151">
        <v>0</v>
      </c>
    </row>
    <row r="288" spans="1:29" s="61" customFormat="1" ht="11.25">
      <c r="A288" s="147">
        <f t="shared" si="107"/>
        <v>0</v>
      </c>
      <c r="B288" s="152">
        <f t="shared" si="108"/>
        <v>0</v>
      </c>
      <c r="C288" s="141">
        <f t="shared" si="109"/>
        <v>23</v>
      </c>
      <c r="D288" s="142">
        <v>269</v>
      </c>
      <c r="E288" s="143">
        <f t="shared" si="122"/>
        <v>0</v>
      </c>
      <c r="F288" s="144">
        <f t="shared" si="110"/>
        <v>0</v>
      </c>
      <c r="G288" s="144">
        <f t="shared" si="111"/>
        <v>0</v>
      </c>
      <c r="H288" s="169">
        <f t="shared" si="105"/>
        <v>0</v>
      </c>
      <c r="I288" s="143">
        <f t="shared" si="123"/>
        <v>0</v>
      </c>
      <c r="J288" s="144">
        <f t="shared" si="112"/>
        <v>0</v>
      </c>
      <c r="K288" s="144">
        <f t="shared" si="113"/>
        <v>0</v>
      </c>
      <c r="L288" s="169">
        <f t="shared" si="104"/>
        <v>0</v>
      </c>
      <c r="M288" s="143">
        <f t="shared" si="124"/>
        <v>0</v>
      </c>
      <c r="N288" s="144">
        <f t="shared" si="114"/>
        <v>0</v>
      </c>
      <c r="O288" s="144">
        <f t="shared" si="115"/>
        <v>0</v>
      </c>
      <c r="P288" s="169">
        <f t="shared" si="106"/>
        <v>0</v>
      </c>
      <c r="R288" s="143">
        <f t="shared" si="125"/>
        <v>0</v>
      </c>
      <c r="S288" s="144">
        <f t="shared" si="116"/>
        <v>0</v>
      </c>
      <c r="T288" s="144">
        <f t="shared" si="117"/>
        <v>0</v>
      </c>
      <c r="U288" s="169">
        <f t="shared" si="118"/>
        <v>0</v>
      </c>
      <c r="V288" s="143">
        <f t="shared" si="126"/>
        <v>0</v>
      </c>
      <c r="W288" s="144">
        <f t="shared" si="119"/>
        <v>0</v>
      </c>
      <c r="X288" s="144">
        <f t="shared" si="120"/>
        <v>0</v>
      </c>
      <c r="Y288" s="169">
        <f t="shared" si="121"/>
        <v>0</v>
      </c>
      <c r="Z288" s="151">
        <v>0</v>
      </c>
      <c r="AA288" s="151">
        <v>0</v>
      </c>
      <c r="AB288" s="151">
        <v>0</v>
      </c>
      <c r="AC288" s="151">
        <v>0</v>
      </c>
    </row>
    <row r="289" spans="1:29" s="61" customFormat="1" ht="11.25">
      <c r="A289" s="147">
        <f t="shared" si="107"/>
        <v>0</v>
      </c>
      <c r="B289" s="152">
        <f t="shared" si="108"/>
        <v>0</v>
      </c>
      <c r="C289" s="141">
        <f t="shared" si="109"/>
        <v>23</v>
      </c>
      <c r="D289" s="142">
        <v>270</v>
      </c>
      <c r="E289" s="143">
        <f t="shared" si="122"/>
        <v>0</v>
      </c>
      <c r="F289" s="144">
        <f t="shared" si="110"/>
        <v>0</v>
      </c>
      <c r="G289" s="144">
        <f t="shared" si="111"/>
        <v>0</v>
      </c>
      <c r="H289" s="169">
        <f t="shared" si="105"/>
        <v>0</v>
      </c>
      <c r="I289" s="143">
        <f t="shared" si="123"/>
        <v>0</v>
      </c>
      <c r="J289" s="144">
        <f t="shared" si="112"/>
        <v>0</v>
      </c>
      <c r="K289" s="144">
        <f t="shared" si="113"/>
        <v>0</v>
      </c>
      <c r="L289" s="169">
        <f t="shared" si="104"/>
        <v>0</v>
      </c>
      <c r="M289" s="143">
        <f t="shared" si="124"/>
        <v>0</v>
      </c>
      <c r="N289" s="144">
        <f t="shared" si="114"/>
        <v>0</v>
      </c>
      <c r="O289" s="144">
        <f t="shared" si="115"/>
        <v>0</v>
      </c>
      <c r="P289" s="169">
        <f t="shared" si="106"/>
        <v>0</v>
      </c>
      <c r="R289" s="143">
        <f t="shared" si="125"/>
        <v>0</v>
      </c>
      <c r="S289" s="144">
        <f t="shared" si="116"/>
        <v>0</v>
      </c>
      <c r="T289" s="144">
        <f t="shared" si="117"/>
        <v>0</v>
      </c>
      <c r="U289" s="169">
        <f t="shared" si="118"/>
        <v>0</v>
      </c>
      <c r="V289" s="143">
        <f t="shared" si="126"/>
        <v>0</v>
      </c>
      <c r="W289" s="144">
        <f t="shared" si="119"/>
        <v>0</v>
      </c>
      <c r="X289" s="144">
        <f t="shared" si="120"/>
        <v>0</v>
      </c>
      <c r="Y289" s="169">
        <f t="shared" si="121"/>
        <v>0</v>
      </c>
      <c r="Z289" s="151">
        <v>0</v>
      </c>
      <c r="AA289" s="151">
        <v>0</v>
      </c>
      <c r="AB289" s="151">
        <v>0</v>
      </c>
      <c r="AC289" s="151">
        <v>0</v>
      </c>
    </row>
    <row r="290" spans="1:29" s="61" customFormat="1" ht="11.25">
      <c r="A290" s="147">
        <f t="shared" si="107"/>
        <v>0</v>
      </c>
      <c r="B290" s="152">
        <f t="shared" si="108"/>
        <v>0</v>
      </c>
      <c r="C290" s="141">
        <f t="shared" si="109"/>
        <v>23</v>
      </c>
      <c r="D290" s="142">
        <v>271</v>
      </c>
      <c r="E290" s="143">
        <f t="shared" si="122"/>
        <v>0</v>
      </c>
      <c r="F290" s="144">
        <f t="shared" si="110"/>
        <v>0</v>
      </c>
      <c r="G290" s="144">
        <f t="shared" si="111"/>
        <v>0</v>
      </c>
      <c r="H290" s="169">
        <f t="shared" si="105"/>
        <v>0</v>
      </c>
      <c r="I290" s="143">
        <f t="shared" si="123"/>
        <v>0</v>
      </c>
      <c r="J290" s="144">
        <f t="shared" si="112"/>
        <v>0</v>
      </c>
      <c r="K290" s="144">
        <f t="shared" si="113"/>
        <v>0</v>
      </c>
      <c r="L290" s="169">
        <f t="shared" si="104"/>
        <v>0</v>
      </c>
      <c r="M290" s="143">
        <f t="shared" si="124"/>
        <v>0</v>
      </c>
      <c r="N290" s="144">
        <f t="shared" si="114"/>
        <v>0</v>
      </c>
      <c r="O290" s="144">
        <f t="shared" si="115"/>
        <v>0</v>
      </c>
      <c r="P290" s="169">
        <f t="shared" si="106"/>
        <v>0</v>
      </c>
      <c r="R290" s="143">
        <f t="shared" si="125"/>
        <v>0</v>
      </c>
      <c r="S290" s="144">
        <f t="shared" si="116"/>
        <v>0</v>
      </c>
      <c r="T290" s="144">
        <f t="shared" si="117"/>
        <v>0</v>
      </c>
      <c r="U290" s="169">
        <f t="shared" si="118"/>
        <v>0</v>
      </c>
      <c r="V290" s="143">
        <f t="shared" si="126"/>
        <v>0</v>
      </c>
      <c r="W290" s="144">
        <f t="shared" si="119"/>
        <v>0</v>
      </c>
      <c r="X290" s="144">
        <f t="shared" si="120"/>
        <v>0</v>
      </c>
      <c r="Y290" s="169">
        <f t="shared" si="121"/>
        <v>0</v>
      </c>
      <c r="Z290" s="151">
        <v>0</v>
      </c>
      <c r="AA290" s="151">
        <v>0</v>
      </c>
      <c r="AB290" s="151">
        <v>0</v>
      </c>
      <c r="AC290" s="151">
        <v>0</v>
      </c>
    </row>
    <row r="291" spans="1:29" s="61" customFormat="1" ht="11.25">
      <c r="A291" s="147">
        <f t="shared" si="107"/>
        <v>0</v>
      </c>
      <c r="B291" s="152">
        <f t="shared" si="108"/>
        <v>0</v>
      </c>
      <c r="C291" s="141">
        <f t="shared" si="109"/>
        <v>23</v>
      </c>
      <c r="D291" s="142">
        <v>272</v>
      </c>
      <c r="E291" s="143">
        <f t="shared" si="122"/>
        <v>0</v>
      </c>
      <c r="F291" s="144">
        <f t="shared" si="110"/>
        <v>0</v>
      </c>
      <c r="G291" s="144">
        <f t="shared" si="111"/>
        <v>0</v>
      </c>
      <c r="H291" s="169">
        <f t="shared" si="105"/>
        <v>0</v>
      </c>
      <c r="I291" s="143">
        <f t="shared" si="123"/>
        <v>0</v>
      </c>
      <c r="J291" s="144">
        <f t="shared" si="112"/>
        <v>0</v>
      </c>
      <c r="K291" s="144">
        <f t="shared" si="113"/>
        <v>0</v>
      </c>
      <c r="L291" s="169">
        <f t="shared" si="104"/>
        <v>0</v>
      </c>
      <c r="M291" s="143">
        <f t="shared" si="124"/>
        <v>0</v>
      </c>
      <c r="N291" s="144">
        <f t="shared" si="114"/>
        <v>0</v>
      </c>
      <c r="O291" s="144">
        <f t="shared" si="115"/>
        <v>0</v>
      </c>
      <c r="P291" s="169">
        <f t="shared" si="106"/>
        <v>0</v>
      </c>
      <c r="R291" s="143">
        <f t="shared" si="125"/>
        <v>0</v>
      </c>
      <c r="S291" s="144">
        <f t="shared" si="116"/>
        <v>0</v>
      </c>
      <c r="T291" s="144">
        <f t="shared" si="117"/>
        <v>0</v>
      </c>
      <c r="U291" s="169">
        <f t="shared" si="118"/>
        <v>0</v>
      </c>
      <c r="V291" s="143">
        <f t="shared" si="126"/>
        <v>0</v>
      </c>
      <c r="W291" s="144">
        <f t="shared" si="119"/>
        <v>0</v>
      </c>
      <c r="X291" s="144">
        <f t="shared" si="120"/>
        <v>0</v>
      </c>
      <c r="Y291" s="169">
        <f t="shared" si="121"/>
        <v>0</v>
      </c>
      <c r="Z291" s="151">
        <v>0</v>
      </c>
      <c r="AA291" s="151">
        <v>0</v>
      </c>
      <c r="AB291" s="151">
        <v>0</v>
      </c>
      <c r="AC291" s="151">
        <v>0</v>
      </c>
    </row>
    <row r="292" spans="1:29" s="61" customFormat="1" ht="11.25">
      <c r="A292" s="147">
        <f t="shared" si="107"/>
        <v>0</v>
      </c>
      <c r="B292" s="152">
        <f t="shared" si="108"/>
        <v>0</v>
      </c>
      <c r="C292" s="141">
        <f t="shared" si="109"/>
        <v>23</v>
      </c>
      <c r="D292" s="142">
        <v>273</v>
      </c>
      <c r="E292" s="143">
        <f t="shared" si="122"/>
        <v>0</v>
      </c>
      <c r="F292" s="144">
        <f t="shared" si="110"/>
        <v>0</v>
      </c>
      <c r="G292" s="144">
        <f t="shared" si="111"/>
        <v>0</v>
      </c>
      <c r="H292" s="169">
        <f t="shared" si="105"/>
        <v>0</v>
      </c>
      <c r="I292" s="143">
        <f t="shared" si="123"/>
        <v>0</v>
      </c>
      <c r="J292" s="144">
        <f t="shared" si="112"/>
        <v>0</v>
      </c>
      <c r="K292" s="144">
        <f t="shared" si="113"/>
        <v>0</v>
      </c>
      <c r="L292" s="169">
        <f t="shared" si="104"/>
        <v>0</v>
      </c>
      <c r="M292" s="143">
        <f t="shared" si="124"/>
        <v>0</v>
      </c>
      <c r="N292" s="144">
        <f t="shared" si="114"/>
        <v>0</v>
      </c>
      <c r="O292" s="144">
        <f t="shared" si="115"/>
        <v>0</v>
      </c>
      <c r="P292" s="169">
        <f t="shared" si="106"/>
        <v>0</v>
      </c>
      <c r="R292" s="143">
        <f t="shared" si="125"/>
        <v>0</v>
      </c>
      <c r="S292" s="144">
        <f t="shared" si="116"/>
        <v>0</v>
      </c>
      <c r="T292" s="144">
        <f t="shared" si="117"/>
        <v>0</v>
      </c>
      <c r="U292" s="169">
        <f t="shared" si="118"/>
        <v>0</v>
      </c>
      <c r="V292" s="143">
        <f t="shared" si="126"/>
        <v>0</v>
      </c>
      <c r="W292" s="144">
        <f t="shared" si="119"/>
        <v>0</v>
      </c>
      <c r="X292" s="144">
        <f t="shared" si="120"/>
        <v>0</v>
      </c>
      <c r="Y292" s="169">
        <f t="shared" si="121"/>
        <v>0</v>
      </c>
      <c r="Z292" s="151">
        <v>0</v>
      </c>
      <c r="AA292" s="151">
        <v>0</v>
      </c>
      <c r="AB292" s="151">
        <v>0</v>
      </c>
      <c r="AC292" s="151">
        <v>0</v>
      </c>
    </row>
    <row r="293" spans="1:29" s="61" customFormat="1" ht="11.25">
      <c r="A293" s="147">
        <f t="shared" si="107"/>
        <v>0</v>
      </c>
      <c r="B293" s="152">
        <f t="shared" si="108"/>
        <v>0</v>
      </c>
      <c r="C293" s="141">
        <f t="shared" si="109"/>
        <v>23</v>
      </c>
      <c r="D293" s="142">
        <v>274</v>
      </c>
      <c r="E293" s="143">
        <f t="shared" si="122"/>
        <v>0</v>
      </c>
      <c r="F293" s="144">
        <f t="shared" si="110"/>
        <v>0</v>
      </c>
      <c r="G293" s="144">
        <f t="shared" si="111"/>
        <v>0</v>
      </c>
      <c r="H293" s="169">
        <f t="shared" si="105"/>
        <v>0</v>
      </c>
      <c r="I293" s="143">
        <f t="shared" si="123"/>
        <v>0</v>
      </c>
      <c r="J293" s="144">
        <f t="shared" si="112"/>
        <v>0</v>
      </c>
      <c r="K293" s="144">
        <f t="shared" si="113"/>
        <v>0</v>
      </c>
      <c r="L293" s="169">
        <f t="shared" si="104"/>
        <v>0</v>
      </c>
      <c r="M293" s="143">
        <f t="shared" si="124"/>
        <v>0</v>
      </c>
      <c r="N293" s="144">
        <f t="shared" si="114"/>
        <v>0</v>
      </c>
      <c r="O293" s="144">
        <f t="shared" si="115"/>
        <v>0</v>
      </c>
      <c r="P293" s="169">
        <f t="shared" si="106"/>
        <v>0</v>
      </c>
      <c r="R293" s="143">
        <f t="shared" si="125"/>
        <v>0</v>
      </c>
      <c r="S293" s="144">
        <f t="shared" si="116"/>
        <v>0</v>
      </c>
      <c r="T293" s="144">
        <f t="shared" si="117"/>
        <v>0</v>
      </c>
      <c r="U293" s="169">
        <f t="shared" si="118"/>
        <v>0</v>
      </c>
      <c r="V293" s="143">
        <f t="shared" si="126"/>
        <v>0</v>
      </c>
      <c r="W293" s="144">
        <f t="shared" si="119"/>
        <v>0</v>
      </c>
      <c r="X293" s="144">
        <f t="shared" si="120"/>
        <v>0</v>
      </c>
      <c r="Y293" s="169">
        <f t="shared" si="121"/>
        <v>0</v>
      </c>
      <c r="Z293" s="151">
        <v>0</v>
      </c>
      <c r="AA293" s="151">
        <v>0</v>
      </c>
      <c r="AB293" s="151">
        <v>0</v>
      </c>
      <c r="AC293" s="151">
        <v>0</v>
      </c>
    </row>
    <row r="294" spans="1:29" s="61" customFormat="1" ht="11.25">
      <c r="A294" s="147">
        <f t="shared" si="107"/>
        <v>0</v>
      </c>
      <c r="B294" s="152">
        <f t="shared" si="108"/>
        <v>0</v>
      </c>
      <c r="C294" s="141">
        <f t="shared" si="109"/>
        <v>23</v>
      </c>
      <c r="D294" s="142">
        <v>275</v>
      </c>
      <c r="E294" s="143">
        <f t="shared" si="122"/>
        <v>0</v>
      </c>
      <c r="F294" s="144">
        <f t="shared" si="110"/>
        <v>0</v>
      </c>
      <c r="G294" s="144">
        <f t="shared" si="111"/>
        <v>0</v>
      </c>
      <c r="H294" s="169">
        <f t="shared" si="105"/>
        <v>0</v>
      </c>
      <c r="I294" s="143">
        <f t="shared" si="123"/>
        <v>0</v>
      </c>
      <c r="J294" s="144">
        <f t="shared" si="112"/>
        <v>0</v>
      </c>
      <c r="K294" s="144">
        <f t="shared" si="113"/>
        <v>0</v>
      </c>
      <c r="L294" s="169">
        <f t="shared" si="104"/>
        <v>0</v>
      </c>
      <c r="M294" s="143">
        <f t="shared" si="124"/>
        <v>0</v>
      </c>
      <c r="N294" s="144">
        <f t="shared" si="114"/>
        <v>0</v>
      </c>
      <c r="O294" s="144">
        <f t="shared" si="115"/>
        <v>0</v>
      </c>
      <c r="P294" s="169">
        <f t="shared" si="106"/>
        <v>0</v>
      </c>
      <c r="R294" s="143">
        <f t="shared" si="125"/>
        <v>0</v>
      </c>
      <c r="S294" s="144">
        <f t="shared" si="116"/>
        <v>0</v>
      </c>
      <c r="T294" s="144">
        <f t="shared" si="117"/>
        <v>0</v>
      </c>
      <c r="U294" s="169">
        <f t="shared" si="118"/>
        <v>0</v>
      </c>
      <c r="V294" s="143">
        <f t="shared" si="126"/>
        <v>0</v>
      </c>
      <c r="W294" s="144">
        <f t="shared" si="119"/>
        <v>0</v>
      </c>
      <c r="X294" s="144">
        <f t="shared" si="120"/>
        <v>0</v>
      </c>
      <c r="Y294" s="169">
        <f t="shared" si="121"/>
        <v>0</v>
      </c>
      <c r="Z294" s="151">
        <v>0</v>
      </c>
      <c r="AA294" s="151">
        <v>0</v>
      </c>
      <c r="AB294" s="151">
        <v>0</v>
      </c>
      <c r="AC294" s="151">
        <v>0</v>
      </c>
    </row>
    <row r="295" spans="1:29" s="61" customFormat="1" ht="12" thickBot="1">
      <c r="A295" s="153">
        <f t="shared" si="107"/>
        <v>0</v>
      </c>
      <c r="B295" s="154">
        <f t="shared" si="108"/>
        <v>0</v>
      </c>
      <c r="C295" s="155">
        <f t="shared" si="109"/>
        <v>23</v>
      </c>
      <c r="D295" s="156">
        <v>276</v>
      </c>
      <c r="E295" s="157">
        <f t="shared" si="122"/>
        <v>0</v>
      </c>
      <c r="F295" s="158">
        <f t="shared" si="110"/>
        <v>0</v>
      </c>
      <c r="G295" s="158">
        <f t="shared" si="111"/>
        <v>0</v>
      </c>
      <c r="H295" s="172">
        <f t="shared" si="105"/>
        <v>0</v>
      </c>
      <c r="I295" s="157">
        <f t="shared" si="123"/>
        <v>0</v>
      </c>
      <c r="J295" s="158">
        <f t="shared" si="112"/>
        <v>0</v>
      </c>
      <c r="K295" s="158">
        <f t="shared" si="113"/>
        <v>0</v>
      </c>
      <c r="L295" s="172">
        <f t="shared" si="104"/>
        <v>0</v>
      </c>
      <c r="M295" s="157">
        <f t="shared" si="124"/>
        <v>0</v>
      </c>
      <c r="N295" s="158">
        <f t="shared" si="114"/>
        <v>0</v>
      </c>
      <c r="O295" s="158">
        <f t="shared" si="115"/>
        <v>0</v>
      </c>
      <c r="P295" s="172">
        <f t="shared" si="106"/>
        <v>0</v>
      </c>
      <c r="R295" s="157">
        <f t="shared" si="125"/>
        <v>0</v>
      </c>
      <c r="S295" s="158">
        <f t="shared" si="116"/>
        <v>0</v>
      </c>
      <c r="T295" s="158">
        <f t="shared" si="117"/>
        <v>0</v>
      </c>
      <c r="U295" s="172">
        <f t="shared" si="118"/>
        <v>0</v>
      </c>
      <c r="V295" s="157">
        <f t="shared" si="126"/>
        <v>0</v>
      </c>
      <c r="W295" s="158">
        <f t="shared" si="119"/>
        <v>0</v>
      </c>
      <c r="X295" s="158">
        <f t="shared" si="120"/>
        <v>0</v>
      </c>
      <c r="Y295" s="172">
        <f t="shared" si="121"/>
        <v>0</v>
      </c>
      <c r="Z295" s="151">
        <v>0</v>
      </c>
      <c r="AA295" s="151">
        <v>0</v>
      </c>
      <c r="AB295" s="151">
        <v>0</v>
      </c>
      <c r="AC295" s="151">
        <v>0</v>
      </c>
    </row>
    <row r="296" spans="1:29" s="61" customFormat="1" ht="11.25">
      <c r="A296" s="147">
        <f t="shared" si="107"/>
        <v>0</v>
      </c>
      <c r="B296" s="152">
        <f t="shared" si="108"/>
        <v>0</v>
      </c>
      <c r="C296" s="141">
        <f t="shared" si="109"/>
        <v>24</v>
      </c>
      <c r="D296" s="142">
        <v>277</v>
      </c>
      <c r="E296" s="143">
        <f t="shared" si="122"/>
        <v>0</v>
      </c>
      <c r="F296" s="144">
        <f t="shared" si="110"/>
        <v>0</v>
      </c>
      <c r="G296" s="144">
        <f t="shared" si="111"/>
        <v>0</v>
      </c>
      <c r="H296" s="169">
        <f t="shared" si="105"/>
        <v>0</v>
      </c>
      <c r="I296" s="143">
        <f t="shared" si="123"/>
        <v>0</v>
      </c>
      <c r="J296" s="144">
        <f t="shared" si="112"/>
        <v>0</v>
      </c>
      <c r="K296" s="144">
        <f t="shared" si="113"/>
        <v>0</v>
      </c>
      <c r="L296" s="169">
        <f t="shared" si="104"/>
        <v>0</v>
      </c>
      <c r="M296" s="143">
        <f t="shared" si="124"/>
        <v>0</v>
      </c>
      <c r="N296" s="144">
        <f t="shared" si="114"/>
        <v>0</v>
      </c>
      <c r="O296" s="144">
        <f t="shared" si="115"/>
        <v>0</v>
      </c>
      <c r="P296" s="169">
        <f t="shared" si="106"/>
        <v>0</v>
      </c>
      <c r="R296" s="143">
        <f t="shared" si="125"/>
        <v>0</v>
      </c>
      <c r="S296" s="144">
        <f t="shared" si="116"/>
        <v>0</v>
      </c>
      <c r="T296" s="144">
        <f t="shared" si="117"/>
        <v>0</v>
      </c>
      <c r="U296" s="169">
        <f t="shared" si="118"/>
        <v>0</v>
      </c>
      <c r="V296" s="143">
        <f t="shared" si="126"/>
        <v>0</v>
      </c>
      <c r="W296" s="144">
        <f t="shared" si="119"/>
        <v>0</v>
      </c>
      <c r="X296" s="144">
        <f t="shared" si="120"/>
        <v>0</v>
      </c>
      <c r="Y296" s="169">
        <f t="shared" si="121"/>
        <v>0</v>
      </c>
      <c r="Z296" s="151">
        <v>0</v>
      </c>
      <c r="AA296" s="151">
        <v>0</v>
      </c>
      <c r="AB296" s="151">
        <v>0</v>
      </c>
      <c r="AC296" s="151">
        <v>0</v>
      </c>
    </row>
    <row r="297" spans="1:29" s="61" customFormat="1" ht="11.25">
      <c r="A297" s="147">
        <f t="shared" si="107"/>
        <v>0</v>
      </c>
      <c r="B297" s="152">
        <f t="shared" si="108"/>
        <v>0</v>
      </c>
      <c r="C297" s="141">
        <f t="shared" si="109"/>
        <v>24</v>
      </c>
      <c r="D297" s="142">
        <v>278</v>
      </c>
      <c r="E297" s="143">
        <f t="shared" si="122"/>
        <v>0</v>
      </c>
      <c r="F297" s="144">
        <f t="shared" si="110"/>
        <v>0</v>
      </c>
      <c r="G297" s="144">
        <f t="shared" si="111"/>
        <v>0</v>
      </c>
      <c r="H297" s="169">
        <f t="shared" si="105"/>
        <v>0</v>
      </c>
      <c r="I297" s="143">
        <f t="shared" si="123"/>
        <v>0</v>
      </c>
      <c r="J297" s="144">
        <f t="shared" si="112"/>
        <v>0</v>
      </c>
      <c r="K297" s="144">
        <f t="shared" si="113"/>
        <v>0</v>
      </c>
      <c r="L297" s="169">
        <f t="shared" si="104"/>
        <v>0</v>
      </c>
      <c r="M297" s="143">
        <f t="shared" si="124"/>
        <v>0</v>
      </c>
      <c r="N297" s="144">
        <f t="shared" si="114"/>
        <v>0</v>
      </c>
      <c r="O297" s="144">
        <f t="shared" si="115"/>
        <v>0</v>
      </c>
      <c r="P297" s="169">
        <f t="shared" si="106"/>
        <v>0</v>
      </c>
      <c r="R297" s="143">
        <f t="shared" si="125"/>
        <v>0</v>
      </c>
      <c r="S297" s="144">
        <f t="shared" si="116"/>
        <v>0</v>
      </c>
      <c r="T297" s="144">
        <f t="shared" si="117"/>
        <v>0</v>
      </c>
      <c r="U297" s="169">
        <f t="shared" si="118"/>
        <v>0</v>
      </c>
      <c r="V297" s="143">
        <f t="shared" si="126"/>
        <v>0</v>
      </c>
      <c r="W297" s="144">
        <f t="shared" si="119"/>
        <v>0</v>
      </c>
      <c r="X297" s="144">
        <f t="shared" si="120"/>
        <v>0</v>
      </c>
      <c r="Y297" s="169">
        <f t="shared" si="121"/>
        <v>0</v>
      </c>
      <c r="Z297" s="151">
        <v>0</v>
      </c>
      <c r="AA297" s="151">
        <v>0</v>
      </c>
      <c r="AB297" s="151">
        <v>0</v>
      </c>
      <c r="AC297" s="151">
        <v>0</v>
      </c>
    </row>
    <row r="298" spans="1:29" s="61" customFormat="1" ht="11.25">
      <c r="A298" s="147">
        <f t="shared" si="107"/>
        <v>0</v>
      </c>
      <c r="B298" s="152">
        <f t="shared" si="108"/>
        <v>0</v>
      </c>
      <c r="C298" s="141">
        <f t="shared" si="109"/>
        <v>24</v>
      </c>
      <c r="D298" s="142">
        <v>279</v>
      </c>
      <c r="E298" s="143">
        <f t="shared" si="122"/>
        <v>0</v>
      </c>
      <c r="F298" s="144">
        <f t="shared" si="110"/>
        <v>0</v>
      </c>
      <c r="G298" s="144">
        <f t="shared" si="111"/>
        <v>0</v>
      </c>
      <c r="H298" s="169">
        <f t="shared" si="105"/>
        <v>0</v>
      </c>
      <c r="I298" s="143">
        <f t="shared" si="123"/>
        <v>0</v>
      </c>
      <c r="J298" s="144">
        <f t="shared" si="112"/>
        <v>0</v>
      </c>
      <c r="K298" s="144">
        <f t="shared" si="113"/>
        <v>0</v>
      </c>
      <c r="L298" s="169">
        <f t="shared" si="104"/>
        <v>0</v>
      </c>
      <c r="M298" s="143">
        <f t="shared" si="124"/>
        <v>0</v>
      </c>
      <c r="N298" s="144">
        <f t="shared" si="114"/>
        <v>0</v>
      </c>
      <c r="O298" s="144">
        <f t="shared" si="115"/>
        <v>0</v>
      </c>
      <c r="P298" s="169">
        <f t="shared" si="106"/>
        <v>0</v>
      </c>
      <c r="R298" s="143">
        <f t="shared" si="125"/>
        <v>0</v>
      </c>
      <c r="S298" s="144">
        <f t="shared" si="116"/>
        <v>0</v>
      </c>
      <c r="T298" s="144">
        <f t="shared" si="117"/>
        <v>0</v>
      </c>
      <c r="U298" s="169">
        <f t="shared" si="118"/>
        <v>0</v>
      </c>
      <c r="V298" s="143">
        <f t="shared" si="126"/>
        <v>0</v>
      </c>
      <c r="W298" s="144">
        <f t="shared" si="119"/>
        <v>0</v>
      </c>
      <c r="X298" s="144">
        <f t="shared" si="120"/>
        <v>0</v>
      </c>
      <c r="Y298" s="169">
        <f t="shared" si="121"/>
        <v>0</v>
      </c>
      <c r="Z298" s="151">
        <v>0</v>
      </c>
      <c r="AA298" s="151">
        <v>0</v>
      </c>
      <c r="AB298" s="151">
        <v>0</v>
      </c>
      <c r="AC298" s="151">
        <v>0</v>
      </c>
    </row>
    <row r="299" spans="1:29" s="61" customFormat="1" ht="11.25">
      <c r="A299" s="147">
        <f t="shared" si="107"/>
        <v>0</v>
      </c>
      <c r="B299" s="152">
        <f t="shared" si="108"/>
        <v>0</v>
      </c>
      <c r="C299" s="141">
        <f t="shared" si="109"/>
        <v>24</v>
      </c>
      <c r="D299" s="142">
        <v>280</v>
      </c>
      <c r="E299" s="143">
        <f t="shared" si="122"/>
        <v>0</v>
      </c>
      <c r="F299" s="144">
        <f t="shared" si="110"/>
        <v>0</v>
      </c>
      <c r="G299" s="144">
        <f t="shared" si="111"/>
        <v>0</v>
      </c>
      <c r="H299" s="169">
        <f t="shared" si="105"/>
        <v>0</v>
      </c>
      <c r="I299" s="143">
        <f t="shared" si="123"/>
        <v>0</v>
      </c>
      <c r="J299" s="144">
        <f t="shared" si="112"/>
        <v>0</v>
      </c>
      <c r="K299" s="144">
        <f t="shared" si="113"/>
        <v>0</v>
      </c>
      <c r="L299" s="169">
        <f t="shared" si="104"/>
        <v>0</v>
      </c>
      <c r="M299" s="143">
        <f t="shared" si="124"/>
        <v>0</v>
      </c>
      <c r="N299" s="144">
        <f t="shared" si="114"/>
        <v>0</v>
      </c>
      <c r="O299" s="144">
        <f t="shared" si="115"/>
        <v>0</v>
      </c>
      <c r="P299" s="169">
        <f t="shared" si="106"/>
        <v>0</v>
      </c>
      <c r="R299" s="143">
        <f t="shared" si="125"/>
        <v>0</v>
      </c>
      <c r="S299" s="144">
        <f t="shared" si="116"/>
        <v>0</v>
      </c>
      <c r="T299" s="144">
        <f t="shared" si="117"/>
        <v>0</v>
      </c>
      <c r="U299" s="169">
        <f t="shared" si="118"/>
        <v>0</v>
      </c>
      <c r="V299" s="143">
        <f t="shared" si="126"/>
        <v>0</v>
      </c>
      <c r="W299" s="144">
        <f t="shared" si="119"/>
        <v>0</v>
      </c>
      <c r="X299" s="144">
        <f t="shared" si="120"/>
        <v>0</v>
      </c>
      <c r="Y299" s="169">
        <f t="shared" si="121"/>
        <v>0</v>
      </c>
      <c r="Z299" s="151">
        <v>0</v>
      </c>
      <c r="AA299" s="151">
        <v>0</v>
      </c>
      <c r="AB299" s="151">
        <v>0</v>
      </c>
      <c r="AC299" s="151">
        <v>0</v>
      </c>
    </row>
    <row r="300" spans="1:29" s="61" customFormat="1" ht="11.25">
      <c r="A300" s="147">
        <f t="shared" si="107"/>
        <v>0</v>
      </c>
      <c r="B300" s="152">
        <f t="shared" si="108"/>
        <v>0</v>
      </c>
      <c r="C300" s="141">
        <f t="shared" si="109"/>
        <v>24</v>
      </c>
      <c r="D300" s="142">
        <v>281</v>
      </c>
      <c r="E300" s="143">
        <f t="shared" si="122"/>
        <v>0</v>
      </c>
      <c r="F300" s="144">
        <f t="shared" si="110"/>
        <v>0</v>
      </c>
      <c r="G300" s="144">
        <f t="shared" si="111"/>
        <v>0</v>
      </c>
      <c r="H300" s="169">
        <f t="shared" si="105"/>
        <v>0</v>
      </c>
      <c r="I300" s="143">
        <f t="shared" si="123"/>
        <v>0</v>
      </c>
      <c r="J300" s="144">
        <f t="shared" si="112"/>
        <v>0</v>
      </c>
      <c r="K300" s="144">
        <f t="shared" si="113"/>
        <v>0</v>
      </c>
      <c r="L300" s="169">
        <f t="shared" si="104"/>
        <v>0</v>
      </c>
      <c r="M300" s="143">
        <f t="shared" si="124"/>
        <v>0</v>
      </c>
      <c r="N300" s="144">
        <f t="shared" si="114"/>
        <v>0</v>
      </c>
      <c r="O300" s="144">
        <f t="shared" si="115"/>
        <v>0</v>
      </c>
      <c r="P300" s="169">
        <f t="shared" si="106"/>
        <v>0</v>
      </c>
      <c r="R300" s="143">
        <f t="shared" si="125"/>
        <v>0</v>
      </c>
      <c r="S300" s="144">
        <f t="shared" si="116"/>
        <v>0</v>
      </c>
      <c r="T300" s="144">
        <f t="shared" si="117"/>
        <v>0</v>
      </c>
      <c r="U300" s="169">
        <f t="shared" si="118"/>
        <v>0</v>
      </c>
      <c r="V300" s="143">
        <f t="shared" si="126"/>
        <v>0</v>
      </c>
      <c r="W300" s="144">
        <f t="shared" si="119"/>
        <v>0</v>
      </c>
      <c r="X300" s="144">
        <f t="shared" si="120"/>
        <v>0</v>
      </c>
      <c r="Y300" s="169">
        <f t="shared" si="121"/>
        <v>0</v>
      </c>
      <c r="Z300" s="151">
        <v>0</v>
      </c>
      <c r="AA300" s="151">
        <v>0</v>
      </c>
      <c r="AB300" s="151">
        <v>0</v>
      </c>
      <c r="AC300" s="151">
        <v>0</v>
      </c>
    </row>
    <row r="301" spans="1:29" s="61" customFormat="1" ht="11.25">
      <c r="A301" s="147">
        <f t="shared" si="107"/>
        <v>0</v>
      </c>
      <c r="B301" s="152">
        <f t="shared" si="108"/>
        <v>0</v>
      </c>
      <c r="C301" s="141">
        <f t="shared" si="109"/>
        <v>24</v>
      </c>
      <c r="D301" s="142">
        <v>282</v>
      </c>
      <c r="E301" s="143">
        <f t="shared" si="122"/>
        <v>0</v>
      </c>
      <c r="F301" s="144">
        <f t="shared" si="110"/>
        <v>0</v>
      </c>
      <c r="G301" s="144">
        <f t="shared" si="111"/>
        <v>0</v>
      </c>
      <c r="H301" s="169">
        <f t="shared" si="105"/>
        <v>0</v>
      </c>
      <c r="I301" s="143">
        <f t="shared" si="123"/>
        <v>0</v>
      </c>
      <c r="J301" s="144">
        <f t="shared" si="112"/>
        <v>0</v>
      </c>
      <c r="K301" s="144">
        <f t="shared" si="113"/>
        <v>0</v>
      </c>
      <c r="L301" s="169">
        <f t="shared" si="104"/>
        <v>0</v>
      </c>
      <c r="M301" s="143">
        <f t="shared" si="124"/>
        <v>0</v>
      </c>
      <c r="N301" s="144">
        <f t="shared" si="114"/>
        <v>0</v>
      </c>
      <c r="O301" s="144">
        <f t="shared" si="115"/>
        <v>0</v>
      </c>
      <c r="P301" s="169">
        <f t="shared" si="106"/>
        <v>0</v>
      </c>
      <c r="R301" s="143">
        <f t="shared" si="125"/>
        <v>0</v>
      </c>
      <c r="S301" s="144">
        <f t="shared" si="116"/>
        <v>0</v>
      </c>
      <c r="T301" s="144">
        <f t="shared" si="117"/>
        <v>0</v>
      </c>
      <c r="U301" s="169">
        <f t="shared" si="118"/>
        <v>0</v>
      </c>
      <c r="V301" s="143">
        <f t="shared" si="126"/>
        <v>0</v>
      </c>
      <c r="W301" s="144">
        <f t="shared" si="119"/>
        <v>0</v>
      </c>
      <c r="X301" s="144">
        <f t="shared" si="120"/>
        <v>0</v>
      </c>
      <c r="Y301" s="169">
        <f t="shared" si="121"/>
        <v>0</v>
      </c>
      <c r="Z301" s="151">
        <v>0</v>
      </c>
      <c r="AA301" s="151">
        <v>0</v>
      </c>
      <c r="AB301" s="151">
        <v>0</v>
      </c>
      <c r="AC301" s="151">
        <v>0</v>
      </c>
    </row>
    <row r="302" spans="1:29" s="61" customFormat="1" ht="11.25">
      <c r="A302" s="147">
        <f t="shared" si="107"/>
        <v>0</v>
      </c>
      <c r="B302" s="152">
        <f t="shared" si="108"/>
        <v>0</v>
      </c>
      <c r="C302" s="141">
        <f t="shared" si="109"/>
        <v>24</v>
      </c>
      <c r="D302" s="142">
        <v>283</v>
      </c>
      <c r="E302" s="143">
        <f t="shared" si="122"/>
        <v>0</v>
      </c>
      <c r="F302" s="144">
        <f t="shared" si="110"/>
        <v>0</v>
      </c>
      <c r="G302" s="144">
        <f t="shared" si="111"/>
        <v>0</v>
      </c>
      <c r="H302" s="169">
        <f t="shared" si="105"/>
        <v>0</v>
      </c>
      <c r="I302" s="143">
        <f t="shared" si="123"/>
        <v>0</v>
      </c>
      <c r="J302" s="144">
        <f t="shared" si="112"/>
        <v>0</v>
      </c>
      <c r="K302" s="144">
        <f t="shared" si="113"/>
        <v>0</v>
      </c>
      <c r="L302" s="169">
        <f t="shared" si="104"/>
        <v>0</v>
      </c>
      <c r="M302" s="143">
        <f t="shared" si="124"/>
        <v>0</v>
      </c>
      <c r="N302" s="144">
        <f t="shared" si="114"/>
        <v>0</v>
      </c>
      <c r="O302" s="144">
        <f t="shared" si="115"/>
        <v>0</v>
      </c>
      <c r="P302" s="169">
        <f t="shared" si="106"/>
        <v>0</v>
      </c>
      <c r="R302" s="143">
        <f t="shared" si="125"/>
        <v>0</v>
      </c>
      <c r="S302" s="144">
        <f t="shared" si="116"/>
        <v>0</v>
      </c>
      <c r="T302" s="144">
        <f t="shared" si="117"/>
        <v>0</v>
      </c>
      <c r="U302" s="169">
        <f t="shared" si="118"/>
        <v>0</v>
      </c>
      <c r="V302" s="143">
        <f t="shared" si="126"/>
        <v>0</v>
      </c>
      <c r="W302" s="144">
        <f t="shared" si="119"/>
        <v>0</v>
      </c>
      <c r="X302" s="144">
        <f t="shared" si="120"/>
        <v>0</v>
      </c>
      <c r="Y302" s="169">
        <f t="shared" si="121"/>
        <v>0</v>
      </c>
      <c r="Z302" s="151">
        <v>0</v>
      </c>
      <c r="AA302" s="151">
        <v>0</v>
      </c>
      <c r="AB302" s="151">
        <v>0</v>
      </c>
      <c r="AC302" s="151">
        <v>0</v>
      </c>
    </row>
    <row r="303" spans="1:29" s="61" customFormat="1" ht="11.25">
      <c r="A303" s="147">
        <f t="shared" si="107"/>
        <v>0</v>
      </c>
      <c r="B303" s="152">
        <f t="shared" si="108"/>
        <v>0</v>
      </c>
      <c r="C303" s="141">
        <f t="shared" si="109"/>
        <v>24</v>
      </c>
      <c r="D303" s="142">
        <v>284</v>
      </c>
      <c r="E303" s="143">
        <f t="shared" si="122"/>
        <v>0</v>
      </c>
      <c r="F303" s="144">
        <f t="shared" si="110"/>
        <v>0</v>
      </c>
      <c r="G303" s="144">
        <f t="shared" si="111"/>
        <v>0</v>
      </c>
      <c r="H303" s="169">
        <f t="shared" si="105"/>
        <v>0</v>
      </c>
      <c r="I303" s="143">
        <f t="shared" si="123"/>
        <v>0</v>
      </c>
      <c r="J303" s="144">
        <f t="shared" si="112"/>
        <v>0</v>
      </c>
      <c r="K303" s="144">
        <f t="shared" si="113"/>
        <v>0</v>
      </c>
      <c r="L303" s="169">
        <f t="shared" si="104"/>
        <v>0</v>
      </c>
      <c r="M303" s="143">
        <f t="shared" si="124"/>
        <v>0</v>
      </c>
      <c r="N303" s="144">
        <f t="shared" si="114"/>
        <v>0</v>
      </c>
      <c r="O303" s="144">
        <f t="shared" si="115"/>
        <v>0</v>
      </c>
      <c r="P303" s="169">
        <f t="shared" si="106"/>
        <v>0</v>
      </c>
      <c r="R303" s="143">
        <f t="shared" si="125"/>
        <v>0</v>
      </c>
      <c r="S303" s="144">
        <f t="shared" si="116"/>
        <v>0</v>
      </c>
      <c r="T303" s="144">
        <f t="shared" si="117"/>
        <v>0</v>
      </c>
      <c r="U303" s="169">
        <f t="shared" si="118"/>
        <v>0</v>
      </c>
      <c r="V303" s="143">
        <f t="shared" si="126"/>
        <v>0</v>
      </c>
      <c r="W303" s="144">
        <f t="shared" si="119"/>
        <v>0</v>
      </c>
      <c r="X303" s="144">
        <f t="shared" si="120"/>
        <v>0</v>
      </c>
      <c r="Y303" s="169">
        <f t="shared" si="121"/>
        <v>0</v>
      </c>
      <c r="Z303" s="151">
        <v>0</v>
      </c>
      <c r="AA303" s="151">
        <v>0</v>
      </c>
      <c r="AB303" s="151">
        <v>0</v>
      </c>
      <c r="AC303" s="151">
        <v>0</v>
      </c>
    </row>
    <row r="304" spans="1:29" s="61" customFormat="1" ht="11.25">
      <c r="A304" s="147">
        <f t="shared" si="107"/>
        <v>0</v>
      </c>
      <c r="B304" s="152">
        <f t="shared" si="108"/>
        <v>0</v>
      </c>
      <c r="C304" s="141">
        <f t="shared" si="109"/>
        <v>24</v>
      </c>
      <c r="D304" s="142">
        <v>285</v>
      </c>
      <c r="E304" s="143">
        <f t="shared" si="122"/>
        <v>0</v>
      </c>
      <c r="F304" s="144">
        <f t="shared" si="110"/>
        <v>0</v>
      </c>
      <c r="G304" s="144">
        <f t="shared" si="111"/>
        <v>0</v>
      </c>
      <c r="H304" s="169">
        <f t="shared" si="105"/>
        <v>0</v>
      </c>
      <c r="I304" s="143">
        <f t="shared" si="123"/>
        <v>0</v>
      </c>
      <c r="J304" s="144">
        <f t="shared" si="112"/>
        <v>0</v>
      </c>
      <c r="K304" s="144">
        <f t="shared" si="113"/>
        <v>0</v>
      </c>
      <c r="L304" s="169">
        <f t="shared" si="104"/>
        <v>0</v>
      </c>
      <c r="M304" s="143">
        <f t="shared" si="124"/>
        <v>0</v>
      </c>
      <c r="N304" s="144">
        <f t="shared" si="114"/>
        <v>0</v>
      </c>
      <c r="O304" s="144">
        <f t="shared" si="115"/>
        <v>0</v>
      </c>
      <c r="P304" s="169">
        <f t="shared" si="106"/>
        <v>0</v>
      </c>
      <c r="R304" s="143">
        <f t="shared" si="125"/>
        <v>0</v>
      </c>
      <c r="S304" s="144">
        <f t="shared" si="116"/>
        <v>0</v>
      </c>
      <c r="T304" s="144">
        <f t="shared" si="117"/>
        <v>0</v>
      </c>
      <c r="U304" s="169">
        <f t="shared" si="118"/>
        <v>0</v>
      </c>
      <c r="V304" s="143">
        <f t="shared" si="126"/>
        <v>0</v>
      </c>
      <c r="W304" s="144">
        <f t="shared" si="119"/>
        <v>0</v>
      </c>
      <c r="X304" s="144">
        <f t="shared" si="120"/>
        <v>0</v>
      </c>
      <c r="Y304" s="169">
        <f t="shared" si="121"/>
        <v>0</v>
      </c>
      <c r="Z304" s="151">
        <v>0</v>
      </c>
      <c r="AA304" s="151">
        <v>0</v>
      </c>
      <c r="AB304" s="151">
        <v>0</v>
      </c>
      <c r="AC304" s="151">
        <v>0</v>
      </c>
    </row>
    <row r="305" spans="1:29" s="61" customFormat="1" ht="11.25">
      <c r="A305" s="147">
        <f t="shared" si="107"/>
        <v>0</v>
      </c>
      <c r="B305" s="152">
        <f t="shared" si="108"/>
        <v>0</v>
      </c>
      <c r="C305" s="141">
        <f t="shared" si="109"/>
        <v>24</v>
      </c>
      <c r="D305" s="142">
        <v>286</v>
      </c>
      <c r="E305" s="143">
        <f t="shared" si="122"/>
        <v>0</v>
      </c>
      <c r="F305" s="144">
        <f t="shared" si="110"/>
        <v>0</v>
      </c>
      <c r="G305" s="144">
        <f t="shared" si="111"/>
        <v>0</v>
      </c>
      <c r="H305" s="169">
        <f t="shared" si="105"/>
        <v>0</v>
      </c>
      <c r="I305" s="143">
        <f t="shared" si="123"/>
        <v>0</v>
      </c>
      <c r="J305" s="144">
        <f t="shared" si="112"/>
        <v>0</v>
      </c>
      <c r="K305" s="144">
        <f t="shared" si="113"/>
        <v>0</v>
      </c>
      <c r="L305" s="169">
        <f t="shared" si="104"/>
        <v>0</v>
      </c>
      <c r="M305" s="143">
        <f t="shared" si="124"/>
        <v>0</v>
      </c>
      <c r="N305" s="144">
        <f t="shared" si="114"/>
        <v>0</v>
      </c>
      <c r="O305" s="144">
        <f t="shared" si="115"/>
        <v>0</v>
      </c>
      <c r="P305" s="169">
        <f t="shared" si="106"/>
        <v>0</v>
      </c>
      <c r="R305" s="143">
        <f t="shared" si="125"/>
        <v>0</v>
      </c>
      <c r="S305" s="144">
        <f t="shared" si="116"/>
        <v>0</v>
      </c>
      <c r="T305" s="144">
        <f t="shared" si="117"/>
        <v>0</v>
      </c>
      <c r="U305" s="169">
        <f t="shared" si="118"/>
        <v>0</v>
      </c>
      <c r="V305" s="143">
        <f t="shared" si="126"/>
        <v>0</v>
      </c>
      <c r="W305" s="144">
        <f t="shared" si="119"/>
        <v>0</v>
      </c>
      <c r="X305" s="144">
        <f t="shared" si="120"/>
        <v>0</v>
      </c>
      <c r="Y305" s="169">
        <f t="shared" si="121"/>
        <v>0</v>
      </c>
      <c r="Z305" s="151">
        <v>0</v>
      </c>
      <c r="AA305" s="151">
        <v>0</v>
      </c>
      <c r="AB305" s="151">
        <v>0</v>
      </c>
      <c r="AC305" s="151">
        <v>0</v>
      </c>
    </row>
    <row r="306" spans="1:29" s="61" customFormat="1" ht="11.25">
      <c r="A306" s="147">
        <f t="shared" si="107"/>
        <v>0</v>
      </c>
      <c r="B306" s="152">
        <f t="shared" si="108"/>
        <v>0</v>
      </c>
      <c r="C306" s="141">
        <f t="shared" si="109"/>
        <v>24</v>
      </c>
      <c r="D306" s="142">
        <v>287</v>
      </c>
      <c r="E306" s="143">
        <f t="shared" si="122"/>
        <v>0</v>
      </c>
      <c r="F306" s="144">
        <f t="shared" si="110"/>
        <v>0</v>
      </c>
      <c r="G306" s="144">
        <f t="shared" si="111"/>
        <v>0</v>
      </c>
      <c r="H306" s="169">
        <f t="shared" si="105"/>
        <v>0</v>
      </c>
      <c r="I306" s="143">
        <f t="shared" si="123"/>
        <v>0</v>
      </c>
      <c r="J306" s="144">
        <f t="shared" si="112"/>
        <v>0</v>
      </c>
      <c r="K306" s="144">
        <f t="shared" si="113"/>
        <v>0</v>
      </c>
      <c r="L306" s="169">
        <f t="shared" si="104"/>
        <v>0</v>
      </c>
      <c r="M306" s="143">
        <f t="shared" si="124"/>
        <v>0</v>
      </c>
      <c r="N306" s="144">
        <f t="shared" si="114"/>
        <v>0</v>
      </c>
      <c r="O306" s="144">
        <f t="shared" si="115"/>
        <v>0</v>
      </c>
      <c r="P306" s="169">
        <f t="shared" si="106"/>
        <v>0</v>
      </c>
      <c r="R306" s="143">
        <f t="shared" si="125"/>
        <v>0</v>
      </c>
      <c r="S306" s="144">
        <f t="shared" si="116"/>
        <v>0</v>
      </c>
      <c r="T306" s="144">
        <f t="shared" si="117"/>
        <v>0</v>
      </c>
      <c r="U306" s="169">
        <f t="shared" si="118"/>
        <v>0</v>
      </c>
      <c r="V306" s="143">
        <f t="shared" si="126"/>
        <v>0</v>
      </c>
      <c r="W306" s="144">
        <f t="shared" si="119"/>
        <v>0</v>
      </c>
      <c r="X306" s="144">
        <f t="shared" si="120"/>
        <v>0</v>
      </c>
      <c r="Y306" s="169">
        <f t="shared" si="121"/>
        <v>0</v>
      </c>
      <c r="Z306" s="151">
        <v>0</v>
      </c>
      <c r="AA306" s="151">
        <v>0</v>
      </c>
      <c r="AB306" s="151">
        <v>0</v>
      </c>
      <c r="AC306" s="151">
        <v>0</v>
      </c>
    </row>
    <row r="307" spans="1:29" s="61" customFormat="1" ht="12" thickBot="1">
      <c r="A307" s="153">
        <f t="shared" si="107"/>
        <v>0</v>
      </c>
      <c r="B307" s="154">
        <f t="shared" si="108"/>
        <v>0</v>
      </c>
      <c r="C307" s="155">
        <f t="shared" si="109"/>
        <v>24</v>
      </c>
      <c r="D307" s="156">
        <v>288</v>
      </c>
      <c r="E307" s="157">
        <f t="shared" si="122"/>
        <v>0</v>
      </c>
      <c r="F307" s="158">
        <f t="shared" si="110"/>
        <v>0</v>
      </c>
      <c r="G307" s="158">
        <f t="shared" si="111"/>
        <v>0</v>
      </c>
      <c r="H307" s="172">
        <f t="shared" si="105"/>
        <v>0</v>
      </c>
      <c r="I307" s="157">
        <f t="shared" si="123"/>
        <v>0</v>
      </c>
      <c r="J307" s="158">
        <f t="shared" si="112"/>
        <v>0</v>
      </c>
      <c r="K307" s="158">
        <f t="shared" si="113"/>
        <v>0</v>
      </c>
      <c r="L307" s="172">
        <f t="shared" si="104"/>
        <v>0</v>
      </c>
      <c r="M307" s="157">
        <f t="shared" si="124"/>
        <v>0</v>
      </c>
      <c r="N307" s="158">
        <f t="shared" si="114"/>
        <v>0</v>
      </c>
      <c r="O307" s="158">
        <f t="shared" si="115"/>
        <v>0</v>
      </c>
      <c r="P307" s="172">
        <f t="shared" si="106"/>
        <v>0</v>
      </c>
      <c r="R307" s="157">
        <f t="shared" si="125"/>
        <v>0</v>
      </c>
      <c r="S307" s="158">
        <f t="shared" si="116"/>
        <v>0</v>
      </c>
      <c r="T307" s="158">
        <f t="shared" si="117"/>
        <v>0</v>
      </c>
      <c r="U307" s="172">
        <f t="shared" si="118"/>
        <v>0</v>
      </c>
      <c r="V307" s="157">
        <f t="shared" si="126"/>
        <v>0</v>
      </c>
      <c r="W307" s="158">
        <f t="shared" si="119"/>
        <v>0</v>
      </c>
      <c r="X307" s="158">
        <f t="shared" si="120"/>
        <v>0</v>
      </c>
      <c r="Y307" s="172">
        <f t="shared" si="121"/>
        <v>0</v>
      </c>
      <c r="Z307" s="151">
        <v>0</v>
      </c>
      <c r="AA307" s="151">
        <v>0</v>
      </c>
      <c r="AB307" s="151">
        <v>0</v>
      </c>
      <c r="AC307" s="151">
        <v>0</v>
      </c>
    </row>
    <row r="308" spans="1:29" s="61" customFormat="1" ht="11.25">
      <c r="A308" s="147">
        <f t="shared" si="107"/>
        <v>0</v>
      </c>
      <c r="B308" s="152">
        <f t="shared" si="108"/>
        <v>0</v>
      </c>
      <c r="C308" s="141">
        <f t="shared" si="109"/>
        <v>25</v>
      </c>
      <c r="D308" s="142">
        <v>289</v>
      </c>
      <c r="E308" s="143">
        <f t="shared" si="122"/>
        <v>0</v>
      </c>
      <c r="F308" s="144">
        <f t="shared" si="110"/>
        <v>0</v>
      </c>
      <c r="G308" s="144">
        <f t="shared" si="111"/>
        <v>0</v>
      </c>
      <c r="H308" s="169">
        <f t="shared" si="105"/>
        <v>0</v>
      </c>
      <c r="I308" s="143">
        <f t="shared" si="123"/>
        <v>0</v>
      </c>
      <c r="J308" s="144">
        <f t="shared" si="112"/>
        <v>0</v>
      </c>
      <c r="K308" s="144">
        <f t="shared" si="113"/>
        <v>0</v>
      </c>
      <c r="L308" s="169">
        <f t="shared" si="104"/>
        <v>0</v>
      </c>
      <c r="M308" s="143">
        <f t="shared" si="124"/>
        <v>0</v>
      </c>
      <c r="N308" s="144">
        <f t="shared" si="114"/>
        <v>0</v>
      </c>
      <c r="O308" s="144">
        <f t="shared" si="115"/>
        <v>0</v>
      </c>
      <c r="P308" s="169">
        <f t="shared" si="106"/>
        <v>0</v>
      </c>
      <c r="R308" s="143">
        <f t="shared" si="125"/>
        <v>0</v>
      </c>
      <c r="S308" s="144">
        <f t="shared" si="116"/>
        <v>0</v>
      </c>
      <c r="T308" s="144">
        <f t="shared" si="117"/>
        <v>0</v>
      </c>
      <c r="U308" s="169">
        <f t="shared" si="118"/>
        <v>0</v>
      </c>
      <c r="V308" s="143">
        <f t="shared" si="126"/>
        <v>0</v>
      </c>
      <c r="W308" s="144">
        <f t="shared" si="119"/>
        <v>0</v>
      </c>
      <c r="X308" s="144">
        <f t="shared" si="120"/>
        <v>0</v>
      </c>
      <c r="Y308" s="169">
        <f t="shared" si="121"/>
        <v>0</v>
      </c>
      <c r="Z308" s="151">
        <v>0</v>
      </c>
      <c r="AA308" s="151">
        <v>0</v>
      </c>
      <c r="AB308" s="151">
        <v>0</v>
      </c>
      <c r="AC308" s="151">
        <v>0</v>
      </c>
    </row>
    <row r="309" spans="1:29" s="61" customFormat="1" ht="11.25">
      <c r="A309" s="147">
        <f t="shared" si="107"/>
        <v>0</v>
      </c>
      <c r="B309" s="152">
        <f t="shared" si="108"/>
        <v>0</v>
      </c>
      <c r="C309" s="141">
        <f t="shared" si="109"/>
        <v>25</v>
      </c>
      <c r="D309" s="142">
        <v>290</v>
      </c>
      <c r="E309" s="143">
        <f t="shared" si="122"/>
        <v>0</v>
      </c>
      <c r="F309" s="144">
        <f t="shared" si="110"/>
        <v>0</v>
      </c>
      <c r="G309" s="144">
        <f t="shared" si="111"/>
        <v>0</v>
      </c>
      <c r="H309" s="169">
        <f t="shared" si="105"/>
        <v>0</v>
      </c>
      <c r="I309" s="143">
        <f t="shared" si="123"/>
        <v>0</v>
      </c>
      <c r="J309" s="144">
        <f t="shared" si="112"/>
        <v>0</v>
      </c>
      <c r="K309" s="144">
        <f t="shared" si="113"/>
        <v>0</v>
      </c>
      <c r="L309" s="169">
        <f t="shared" si="104"/>
        <v>0</v>
      </c>
      <c r="M309" s="143">
        <f t="shared" si="124"/>
        <v>0</v>
      </c>
      <c r="N309" s="144">
        <f t="shared" si="114"/>
        <v>0</v>
      </c>
      <c r="O309" s="144">
        <f t="shared" si="115"/>
        <v>0</v>
      </c>
      <c r="P309" s="169">
        <f t="shared" si="106"/>
        <v>0</v>
      </c>
      <c r="R309" s="143">
        <f t="shared" si="125"/>
        <v>0</v>
      </c>
      <c r="S309" s="144">
        <f t="shared" si="116"/>
        <v>0</v>
      </c>
      <c r="T309" s="144">
        <f t="shared" si="117"/>
        <v>0</v>
      </c>
      <c r="U309" s="169">
        <f t="shared" si="118"/>
        <v>0</v>
      </c>
      <c r="V309" s="143">
        <f t="shared" si="126"/>
        <v>0</v>
      </c>
      <c r="W309" s="144">
        <f t="shared" si="119"/>
        <v>0</v>
      </c>
      <c r="X309" s="144">
        <f t="shared" si="120"/>
        <v>0</v>
      </c>
      <c r="Y309" s="169">
        <f t="shared" si="121"/>
        <v>0</v>
      </c>
      <c r="Z309" s="151">
        <v>0</v>
      </c>
      <c r="AA309" s="151">
        <v>0</v>
      </c>
      <c r="AB309" s="151">
        <v>0</v>
      </c>
      <c r="AC309" s="151">
        <v>0</v>
      </c>
    </row>
    <row r="310" spans="1:29" s="61" customFormat="1" ht="11.25">
      <c r="A310" s="147">
        <f t="shared" si="107"/>
        <v>0</v>
      </c>
      <c r="B310" s="152">
        <f t="shared" si="108"/>
        <v>0</v>
      </c>
      <c r="C310" s="141">
        <f t="shared" si="109"/>
        <v>25</v>
      </c>
      <c r="D310" s="142">
        <v>291</v>
      </c>
      <c r="E310" s="143">
        <f t="shared" si="122"/>
        <v>0</v>
      </c>
      <c r="F310" s="144">
        <f t="shared" si="110"/>
        <v>0</v>
      </c>
      <c r="G310" s="144">
        <f t="shared" si="111"/>
        <v>0</v>
      </c>
      <c r="H310" s="169">
        <f t="shared" si="105"/>
        <v>0</v>
      </c>
      <c r="I310" s="143">
        <f t="shared" si="123"/>
        <v>0</v>
      </c>
      <c r="J310" s="144">
        <f t="shared" si="112"/>
        <v>0</v>
      </c>
      <c r="K310" s="144">
        <f t="shared" si="113"/>
        <v>0</v>
      </c>
      <c r="L310" s="169">
        <f t="shared" si="104"/>
        <v>0</v>
      </c>
      <c r="M310" s="143">
        <f t="shared" si="124"/>
        <v>0</v>
      </c>
      <c r="N310" s="144">
        <f t="shared" si="114"/>
        <v>0</v>
      </c>
      <c r="O310" s="144">
        <f t="shared" si="115"/>
        <v>0</v>
      </c>
      <c r="P310" s="169">
        <f t="shared" si="106"/>
        <v>0</v>
      </c>
      <c r="R310" s="143">
        <f t="shared" si="125"/>
        <v>0</v>
      </c>
      <c r="S310" s="144">
        <f t="shared" si="116"/>
        <v>0</v>
      </c>
      <c r="T310" s="144">
        <f t="shared" si="117"/>
        <v>0</v>
      </c>
      <c r="U310" s="169">
        <f t="shared" si="118"/>
        <v>0</v>
      </c>
      <c r="V310" s="143">
        <f t="shared" si="126"/>
        <v>0</v>
      </c>
      <c r="W310" s="144">
        <f t="shared" si="119"/>
        <v>0</v>
      </c>
      <c r="X310" s="144">
        <f t="shared" si="120"/>
        <v>0</v>
      </c>
      <c r="Y310" s="169">
        <f t="shared" si="121"/>
        <v>0</v>
      </c>
      <c r="Z310" s="151">
        <v>0</v>
      </c>
      <c r="AA310" s="151">
        <v>0</v>
      </c>
      <c r="AB310" s="151">
        <v>0</v>
      </c>
      <c r="AC310" s="151">
        <v>0</v>
      </c>
    </row>
    <row r="311" spans="1:29" s="61" customFormat="1" ht="11.25">
      <c r="A311" s="147">
        <f t="shared" si="107"/>
        <v>0</v>
      </c>
      <c r="B311" s="152">
        <f t="shared" si="108"/>
        <v>0</v>
      </c>
      <c r="C311" s="141">
        <f t="shared" si="109"/>
        <v>25</v>
      </c>
      <c r="D311" s="142">
        <v>292</v>
      </c>
      <c r="E311" s="143">
        <f t="shared" si="122"/>
        <v>0</v>
      </c>
      <c r="F311" s="144">
        <f t="shared" si="110"/>
        <v>0</v>
      </c>
      <c r="G311" s="144">
        <f t="shared" si="111"/>
        <v>0</v>
      </c>
      <c r="H311" s="169">
        <f t="shared" si="105"/>
        <v>0</v>
      </c>
      <c r="I311" s="143">
        <f t="shared" si="123"/>
        <v>0</v>
      </c>
      <c r="J311" s="144">
        <f t="shared" si="112"/>
        <v>0</v>
      </c>
      <c r="K311" s="144">
        <f t="shared" si="113"/>
        <v>0</v>
      </c>
      <c r="L311" s="169">
        <f t="shared" si="104"/>
        <v>0</v>
      </c>
      <c r="M311" s="143">
        <f t="shared" si="124"/>
        <v>0</v>
      </c>
      <c r="N311" s="144">
        <f t="shared" si="114"/>
        <v>0</v>
      </c>
      <c r="O311" s="144">
        <f t="shared" si="115"/>
        <v>0</v>
      </c>
      <c r="P311" s="169">
        <f t="shared" si="106"/>
        <v>0</v>
      </c>
      <c r="R311" s="143">
        <f t="shared" si="125"/>
        <v>0</v>
      </c>
      <c r="S311" s="144">
        <f t="shared" si="116"/>
        <v>0</v>
      </c>
      <c r="T311" s="144">
        <f t="shared" si="117"/>
        <v>0</v>
      </c>
      <c r="U311" s="169">
        <f t="shared" si="118"/>
        <v>0</v>
      </c>
      <c r="V311" s="143">
        <f t="shared" si="126"/>
        <v>0</v>
      </c>
      <c r="W311" s="144">
        <f t="shared" si="119"/>
        <v>0</v>
      </c>
      <c r="X311" s="144">
        <f t="shared" si="120"/>
        <v>0</v>
      </c>
      <c r="Y311" s="169">
        <f t="shared" si="121"/>
        <v>0</v>
      </c>
      <c r="Z311" s="151">
        <v>0</v>
      </c>
      <c r="AA311" s="151">
        <v>0</v>
      </c>
      <c r="AB311" s="151">
        <v>0</v>
      </c>
      <c r="AC311" s="151">
        <v>0</v>
      </c>
    </row>
    <row r="312" spans="1:29" s="61" customFormat="1" ht="11.25">
      <c r="A312" s="147">
        <f t="shared" si="107"/>
        <v>0</v>
      </c>
      <c r="B312" s="152">
        <f t="shared" si="108"/>
        <v>0</v>
      </c>
      <c r="C312" s="141">
        <f t="shared" si="109"/>
        <v>25</v>
      </c>
      <c r="D312" s="142">
        <v>293</v>
      </c>
      <c r="E312" s="143">
        <f t="shared" si="122"/>
        <v>0</v>
      </c>
      <c r="F312" s="144">
        <f t="shared" si="110"/>
        <v>0</v>
      </c>
      <c r="G312" s="144">
        <f t="shared" si="111"/>
        <v>0</v>
      </c>
      <c r="H312" s="169">
        <f t="shared" si="105"/>
        <v>0</v>
      </c>
      <c r="I312" s="143">
        <f t="shared" si="123"/>
        <v>0</v>
      </c>
      <c r="J312" s="144">
        <f t="shared" si="112"/>
        <v>0</v>
      </c>
      <c r="K312" s="144">
        <f t="shared" si="113"/>
        <v>0</v>
      </c>
      <c r="L312" s="169">
        <f t="shared" si="104"/>
        <v>0</v>
      </c>
      <c r="M312" s="143">
        <f t="shared" si="124"/>
        <v>0</v>
      </c>
      <c r="N312" s="144">
        <f t="shared" si="114"/>
        <v>0</v>
      </c>
      <c r="O312" s="144">
        <f t="shared" si="115"/>
        <v>0</v>
      </c>
      <c r="P312" s="169">
        <f t="shared" si="106"/>
        <v>0</v>
      </c>
      <c r="R312" s="143">
        <f t="shared" si="125"/>
        <v>0</v>
      </c>
      <c r="S312" s="144">
        <f t="shared" si="116"/>
        <v>0</v>
      </c>
      <c r="T312" s="144">
        <f t="shared" si="117"/>
        <v>0</v>
      </c>
      <c r="U312" s="169">
        <f t="shared" si="118"/>
        <v>0</v>
      </c>
      <c r="V312" s="143">
        <f t="shared" si="126"/>
        <v>0</v>
      </c>
      <c r="W312" s="144">
        <f t="shared" si="119"/>
        <v>0</v>
      </c>
      <c r="X312" s="144">
        <f t="shared" si="120"/>
        <v>0</v>
      </c>
      <c r="Y312" s="169">
        <f t="shared" si="121"/>
        <v>0</v>
      </c>
      <c r="Z312" s="151">
        <v>0</v>
      </c>
      <c r="AA312" s="151">
        <v>0</v>
      </c>
      <c r="AB312" s="151">
        <v>0</v>
      </c>
      <c r="AC312" s="151">
        <v>0</v>
      </c>
    </row>
    <row r="313" spans="1:29" s="61" customFormat="1" ht="11.25">
      <c r="A313" s="147">
        <f t="shared" si="107"/>
        <v>0</v>
      </c>
      <c r="B313" s="152">
        <f t="shared" si="108"/>
        <v>0</v>
      </c>
      <c r="C313" s="141">
        <f t="shared" si="109"/>
        <v>25</v>
      </c>
      <c r="D313" s="142">
        <v>294</v>
      </c>
      <c r="E313" s="143">
        <f t="shared" si="122"/>
        <v>0</v>
      </c>
      <c r="F313" s="144">
        <f t="shared" si="110"/>
        <v>0</v>
      </c>
      <c r="G313" s="144">
        <f t="shared" si="111"/>
        <v>0</v>
      </c>
      <c r="H313" s="169">
        <f t="shared" si="105"/>
        <v>0</v>
      </c>
      <c r="I313" s="143">
        <f t="shared" si="123"/>
        <v>0</v>
      </c>
      <c r="J313" s="144">
        <f t="shared" si="112"/>
        <v>0</v>
      </c>
      <c r="K313" s="144">
        <f t="shared" si="113"/>
        <v>0</v>
      </c>
      <c r="L313" s="169">
        <f t="shared" ref="L313:L376" si="127">IF(I313&lt;=0,0,L$13)</f>
        <v>0</v>
      </c>
      <c r="M313" s="143">
        <f t="shared" si="124"/>
        <v>0</v>
      </c>
      <c r="N313" s="144">
        <f t="shared" si="114"/>
        <v>0</v>
      </c>
      <c r="O313" s="144">
        <f t="shared" si="115"/>
        <v>0</v>
      </c>
      <c r="P313" s="169">
        <f t="shared" si="106"/>
        <v>0</v>
      </c>
      <c r="R313" s="143">
        <f t="shared" si="125"/>
        <v>0</v>
      </c>
      <c r="S313" s="144">
        <f t="shared" si="116"/>
        <v>0</v>
      </c>
      <c r="T313" s="144">
        <f t="shared" si="117"/>
        <v>0</v>
      </c>
      <c r="U313" s="169">
        <f t="shared" si="118"/>
        <v>0</v>
      </c>
      <c r="V313" s="143">
        <f t="shared" si="126"/>
        <v>0</v>
      </c>
      <c r="W313" s="144">
        <f t="shared" si="119"/>
        <v>0</v>
      </c>
      <c r="X313" s="144">
        <f t="shared" si="120"/>
        <v>0</v>
      </c>
      <c r="Y313" s="169">
        <f t="shared" si="121"/>
        <v>0</v>
      </c>
      <c r="Z313" s="151">
        <v>0</v>
      </c>
      <c r="AA313" s="151">
        <v>0</v>
      </c>
      <c r="AB313" s="151">
        <v>0</v>
      </c>
      <c r="AC313" s="151">
        <v>0</v>
      </c>
    </row>
    <row r="314" spans="1:29" s="61" customFormat="1" ht="11.25">
      <c r="A314" s="147">
        <f t="shared" si="107"/>
        <v>0</v>
      </c>
      <c r="B314" s="152">
        <f t="shared" si="108"/>
        <v>0</v>
      </c>
      <c r="C314" s="141">
        <f t="shared" si="109"/>
        <v>25</v>
      </c>
      <c r="D314" s="142">
        <v>295</v>
      </c>
      <c r="E314" s="143">
        <f t="shared" si="122"/>
        <v>0</v>
      </c>
      <c r="F314" s="144">
        <f t="shared" si="110"/>
        <v>0</v>
      </c>
      <c r="G314" s="144">
        <f t="shared" si="111"/>
        <v>0</v>
      </c>
      <c r="H314" s="169">
        <f t="shared" si="105"/>
        <v>0</v>
      </c>
      <c r="I314" s="143">
        <f t="shared" si="123"/>
        <v>0</v>
      </c>
      <c r="J314" s="144">
        <f t="shared" si="112"/>
        <v>0</v>
      </c>
      <c r="K314" s="144">
        <f t="shared" si="113"/>
        <v>0</v>
      </c>
      <c r="L314" s="169">
        <f t="shared" si="127"/>
        <v>0</v>
      </c>
      <c r="M314" s="143">
        <f t="shared" si="124"/>
        <v>0</v>
      </c>
      <c r="N314" s="144">
        <f t="shared" si="114"/>
        <v>0</v>
      </c>
      <c r="O314" s="144">
        <f t="shared" si="115"/>
        <v>0</v>
      </c>
      <c r="P314" s="169">
        <f t="shared" si="106"/>
        <v>0</v>
      </c>
      <c r="R314" s="143">
        <f t="shared" si="125"/>
        <v>0</v>
      </c>
      <c r="S314" s="144">
        <f t="shared" si="116"/>
        <v>0</v>
      </c>
      <c r="T314" s="144">
        <f t="shared" si="117"/>
        <v>0</v>
      </c>
      <c r="U314" s="169">
        <f t="shared" si="118"/>
        <v>0</v>
      </c>
      <c r="V314" s="143">
        <f t="shared" si="126"/>
        <v>0</v>
      </c>
      <c r="W314" s="144">
        <f t="shared" si="119"/>
        <v>0</v>
      </c>
      <c r="X314" s="144">
        <f t="shared" si="120"/>
        <v>0</v>
      </c>
      <c r="Y314" s="169">
        <f t="shared" si="121"/>
        <v>0</v>
      </c>
      <c r="Z314" s="151">
        <v>0</v>
      </c>
      <c r="AA314" s="151">
        <v>0</v>
      </c>
      <c r="AB314" s="151">
        <v>0</v>
      </c>
      <c r="AC314" s="151">
        <v>0</v>
      </c>
    </row>
    <row r="315" spans="1:29" s="61" customFormat="1" ht="11.25">
      <c r="A315" s="147">
        <f t="shared" si="107"/>
        <v>0</v>
      </c>
      <c r="B315" s="152">
        <f t="shared" si="108"/>
        <v>0</v>
      </c>
      <c r="C315" s="141">
        <f t="shared" si="109"/>
        <v>25</v>
      </c>
      <c r="D315" s="142">
        <v>296</v>
      </c>
      <c r="E315" s="143">
        <f t="shared" si="122"/>
        <v>0</v>
      </c>
      <c r="F315" s="144">
        <f t="shared" si="110"/>
        <v>0</v>
      </c>
      <c r="G315" s="144">
        <f t="shared" si="111"/>
        <v>0</v>
      </c>
      <c r="H315" s="169">
        <f t="shared" si="105"/>
        <v>0</v>
      </c>
      <c r="I315" s="143">
        <f t="shared" si="123"/>
        <v>0</v>
      </c>
      <c r="J315" s="144">
        <f t="shared" si="112"/>
        <v>0</v>
      </c>
      <c r="K315" s="144">
        <f t="shared" si="113"/>
        <v>0</v>
      </c>
      <c r="L315" s="169">
        <f t="shared" si="127"/>
        <v>0</v>
      </c>
      <c r="M315" s="143">
        <f t="shared" si="124"/>
        <v>0</v>
      </c>
      <c r="N315" s="144">
        <f t="shared" si="114"/>
        <v>0</v>
      </c>
      <c r="O315" s="144">
        <f t="shared" si="115"/>
        <v>0</v>
      </c>
      <c r="P315" s="169">
        <f t="shared" si="106"/>
        <v>0</v>
      </c>
      <c r="R315" s="143">
        <f t="shared" si="125"/>
        <v>0</v>
      </c>
      <c r="S315" s="144">
        <f t="shared" si="116"/>
        <v>0</v>
      </c>
      <c r="T315" s="144">
        <f t="shared" si="117"/>
        <v>0</v>
      </c>
      <c r="U315" s="169">
        <f t="shared" si="118"/>
        <v>0</v>
      </c>
      <c r="V315" s="143">
        <f t="shared" si="126"/>
        <v>0</v>
      </c>
      <c r="W315" s="144">
        <f t="shared" si="119"/>
        <v>0</v>
      </c>
      <c r="X315" s="144">
        <f t="shared" si="120"/>
        <v>0</v>
      </c>
      <c r="Y315" s="169">
        <f t="shared" si="121"/>
        <v>0</v>
      </c>
      <c r="Z315" s="151">
        <v>0</v>
      </c>
      <c r="AA315" s="151">
        <v>0</v>
      </c>
      <c r="AB315" s="151">
        <v>0</v>
      </c>
      <c r="AC315" s="151">
        <v>0</v>
      </c>
    </row>
    <row r="316" spans="1:29" s="61" customFormat="1" ht="11.25">
      <c r="A316" s="147">
        <f t="shared" si="107"/>
        <v>0</v>
      </c>
      <c r="B316" s="152">
        <f t="shared" si="108"/>
        <v>0</v>
      </c>
      <c r="C316" s="141">
        <f t="shared" si="109"/>
        <v>25</v>
      </c>
      <c r="D316" s="142">
        <v>297</v>
      </c>
      <c r="E316" s="143">
        <f t="shared" si="122"/>
        <v>0</v>
      </c>
      <c r="F316" s="144">
        <f t="shared" si="110"/>
        <v>0</v>
      </c>
      <c r="G316" s="144">
        <f t="shared" si="111"/>
        <v>0</v>
      </c>
      <c r="H316" s="169">
        <f t="shared" si="105"/>
        <v>0</v>
      </c>
      <c r="I316" s="143">
        <f t="shared" si="123"/>
        <v>0</v>
      </c>
      <c r="J316" s="144">
        <f t="shared" si="112"/>
        <v>0</v>
      </c>
      <c r="K316" s="144">
        <f t="shared" si="113"/>
        <v>0</v>
      </c>
      <c r="L316" s="169">
        <f t="shared" si="127"/>
        <v>0</v>
      </c>
      <c r="M316" s="143">
        <f t="shared" si="124"/>
        <v>0</v>
      </c>
      <c r="N316" s="144">
        <f t="shared" si="114"/>
        <v>0</v>
      </c>
      <c r="O316" s="144">
        <f t="shared" si="115"/>
        <v>0</v>
      </c>
      <c r="P316" s="169">
        <f t="shared" si="106"/>
        <v>0</v>
      </c>
      <c r="R316" s="143">
        <f t="shared" si="125"/>
        <v>0</v>
      </c>
      <c r="S316" s="144">
        <f t="shared" si="116"/>
        <v>0</v>
      </c>
      <c r="T316" s="144">
        <f t="shared" si="117"/>
        <v>0</v>
      </c>
      <c r="U316" s="169">
        <f t="shared" si="118"/>
        <v>0</v>
      </c>
      <c r="V316" s="143">
        <f t="shared" si="126"/>
        <v>0</v>
      </c>
      <c r="W316" s="144">
        <f t="shared" si="119"/>
        <v>0</v>
      </c>
      <c r="X316" s="144">
        <f t="shared" si="120"/>
        <v>0</v>
      </c>
      <c r="Y316" s="169">
        <f t="shared" si="121"/>
        <v>0</v>
      </c>
      <c r="Z316" s="151">
        <v>0</v>
      </c>
      <c r="AA316" s="151">
        <v>0</v>
      </c>
      <c r="AB316" s="151">
        <v>0</v>
      </c>
      <c r="AC316" s="151">
        <v>0</v>
      </c>
    </row>
    <row r="317" spans="1:29" s="61" customFormat="1" ht="11.25">
      <c r="A317" s="147">
        <f t="shared" si="107"/>
        <v>0</v>
      </c>
      <c r="B317" s="152">
        <f t="shared" si="108"/>
        <v>0</v>
      </c>
      <c r="C317" s="141">
        <f t="shared" si="109"/>
        <v>25</v>
      </c>
      <c r="D317" s="142">
        <v>298</v>
      </c>
      <c r="E317" s="143">
        <f t="shared" si="122"/>
        <v>0</v>
      </c>
      <c r="F317" s="144">
        <f t="shared" si="110"/>
        <v>0</v>
      </c>
      <c r="G317" s="144">
        <f t="shared" si="111"/>
        <v>0</v>
      </c>
      <c r="H317" s="169">
        <f t="shared" si="105"/>
        <v>0</v>
      </c>
      <c r="I317" s="143">
        <f t="shared" si="123"/>
        <v>0</v>
      </c>
      <c r="J317" s="144">
        <f t="shared" si="112"/>
        <v>0</v>
      </c>
      <c r="K317" s="144">
        <f t="shared" si="113"/>
        <v>0</v>
      </c>
      <c r="L317" s="169">
        <f t="shared" si="127"/>
        <v>0</v>
      </c>
      <c r="M317" s="143">
        <f t="shared" si="124"/>
        <v>0</v>
      </c>
      <c r="N317" s="144">
        <f t="shared" si="114"/>
        <v>0</v>
      </c>
      <c r="O317" s="144">
        <f t="shared" si="115"/>
        <v>0</v>
      </c>
      <c r="P317" s="169">
        <f t="shared" si="106"/>
        <v>0</v>
      </c>
      <c r="R317" s="143">
        <f t="shared" si="125"/>
        <v>0</v>
      </c>
      <c r="S317" s="144">
        <f t="shared" si="116"/>
        <v>0</v>
      </c>
      <c r="T317" s="144">
        <f t="shared" si="117"/>
        <v>0</v>
      </c>
      <c r="U317" s="169">
        <f t="shared" si="118"/>
        <v>0</v>
      </c>
      <c r="V317" s="143">
        <f t="shared" si="126"/>
        <v>0</v>
      </c>
      <c r="W317" s="144">
        <f t="shared" si="119"/>
        <v>0</v>
      </c>
      <c r="X317" s="144">
        <f t="shared" si="120"/>
        <v>0</v>
      </c>
      <c r="Y317" s="169">
        <f t="shared" si="121"/>
        <v>0</v>
      </c>
      <c r="Z317" s="151">
        <v>0</v>
      </c>
      <c r="AA317" s="151">
        <v>0</v>
      </c>
      <c r="AB317" s="151">
        <v>0</v>
      </c>
      <c r="AC317" s="151">
        <v>0</v>
      </c>
    </row>
    <row r="318" spans="1:29" s="61" customFormat="1" ht="11.25">
      <c r="A318" s="147">
        <f t="shared" si="107"/>
        <v>0</v>
      </c>
      <c r="B318" s="152">
        <f t="shared" si="108"/>
        <v>0</v>
      </c>
      <c r="C318" s="141">
        <f t="shared" si="109"/>
        <v>25</v>
      </c>
      <c r="D318" s="142">
        <v>299</v>
      </c>
      <c r="E318" s="143">
        <f t="shared" si="122"/>
        <v>0</v>
      </c>
      <c r="F318" s="144">
        <f t="shared" si="110"/>
        <v>0</v>
      </c>
      <c r="G318" s="144">
        <f t="shared" si="111"/>
        <v>0</v>
      </c>
      <c r="H318" s="169">
        <f t="shared" si="105"/>
        <v>0</v>
      </c>
      <c r="I318" s="143">
        <f t="shared" si="123"/>
        <v>0</v>
      </c>
      <c r="J318" s="144">
        <f t="shared" si="112"/>
        <v>0</v>
      </c>
      <c r="K318" s="144">
        <f t="shared" si="113"/>
        <v>0</v>
      </c>
      <c r="L318" s="169">
        <f t="shared" si="127"/>
        <v>0</v>
      </c>
      <c r="M318" s="143">
        <f t="shared" si="124"/>
        <v>0</v>
      </c>
      <c r="N318" s="144">
        <f t="shared" si="114"/>
        <v>0</v>
      </c>
      <c r="O318" s="144">
        <f t="shared" si="115"/>
        <v>0</v>
      </c>
      <c r="P318" s="169">
        <f t="shared" si="106"/>
        <v>0</v>
      </c>
      <c r="R318" s="143">
        <f t="shared" si="125"/>
        <v>0</v>
      </c>
      <c r="S318" s="144">
        <f t="shared" si="116"/>
        <v>0</v>
      </c>
      <c r="T318" s="144">
        <f t="shared" si="117"/>
        <v>0</v>
      </c>
      <c r="U318" s="169">
        <f t="shared" si="118"/>
        <v>0</v>
      </c>
      <c r="V318" s="143">
        <f t="shared" si="126"/>
        <v>0</v>
      </c>
      <c r="W318" s="144">
        <f t="shared" si="119"/>
        <v>0</v>
      </c>
      <c r="X318" s="144">
        <f t="shared" si="120"/>
        <v>0</v>
      </c>
      <c r="Y318" s="169">
        <f t="shared" si="121"/>
        <v>0</v>
      </c>
      <c r="Z318" s="151">
        <v>0</v>
      </c>
      <c r="AA318" s="151">
        <v>0</v>
      </c>
      <c r="AB318" s="151">
        <v>0</v>
      </c>
      <c r="AC318" s="151">
        <v>0</v>
      </c>
    </row>
    <row r="319" spans="1:29" s="61" customFormat="1" ht="12" thickBot="1">
      <c r="A319" s="153">
        <f t="shared" si="107"/>
        <v>0</v>
      </c>
      <c r="B319" s="154">
        <f t="shared" si="108"/>
        <v>0</v>
      </c>
      <c r="C319" s="155">
        <f t="shared" si="109"/>
        <v>25</v>
      </c>
      <c r="D319" s="156">
        <v>300</v>
      </c>
      <c r="E319" s="157">
        <f t="shared" si="122"/>
        <v>0</v>
      </c>
      <c r="F319" s="158">
        <f t="shared" si="110"/>
        <v>0</v>
      </c>
      <c r="G319" s="158">
        <f t="shared" si="111"/>
        <v>0</v>
      </c>
      <c r="H319" s="172">
        <f t="shared" si="105"/>
        <v>0</v>
      </c>
      <c r="I319" s="157">
        <f t="shared" si="123"/>
        <v>0</v>
      </c>
      <c r="J319" s="158">
        <f t="shared" si="112"/>
        <v>0</v>
      </c>
      <c r="K319" s="158">
        <f t="shared" si="113"/>
        <v>0</v>
      </c>
      <c r="L319" s="172">
        <f t="shared" si="127"/>
        <v>0</v>
      </c>
      <c r="M319" s="157">
        <f t="shared" si="124"/>
        <v>0</v>
      </c>
      <c r="N319" s="158">
        <f t="shared" si="114"/>
        <v>0</v>
      </c>
      <c r="O319" s="158">
        <f t="shared" si="115"/>
        <v>0</v>
      </c>
      <c r="P319" s="172">
        <f t="shared" si="106"/>
        <v>0</v>
      </c>
      <c r="R319" s="157">
        <f t="shared" si="125"/>
        <v>0</v>
      </c>
      <c r="S319" s="158">
        <f t="shared" si="116"/>
        <v>0</v>
      </c>
      <c r="T319" s="158">
        <f t="shared" si="117"/>
        <v>0</v>
      </c>
      <c r="U319" s="172">
        <f t="shared" si="118"/>
        <v>0</v>
      </c>
      <c r="V319" s="157">
        <f t="shared" si="126"/>
        <v>0</v>
      </c>
      <c r="W319" s="158">
        <f t="shared" si="119"/>
        <v>0</v>
      </c>
      <c r="X319" s="158">
        <f t="shared" si="120"/>
        <v>0</v>
      </c>
      <c r="Y319" s="172">
        <f t="shared" si="121"/>
        <v>0</v>
      </c>
      <c r="Z319" s="151">
        <v>0</v>
      </c>
      <c r="AA319" s="151">
        <v>0</v>
      </c>
      <c r="AB319" s="151">
        <v>0</v>
      </c>
      <c r="AC319" s="151">
        <v>0</v>
      </c>
    </row>
    <row r="320" spans="1:29" s="61" customFormat="1" ht="11.25">
      <c r="A320" s="147">
        <f t="shared" si="107"/>
        <v>0</v>
      </c>
      <c r="B320" s="152">
        <f t="shared" si="108"/>
        <v>0</v>
      </c>
      <c r="C320" s="141">
        <f t="shared" si="109"/>
        <v>26</v>
      </c>
      <c r="D320" s="142">
        <v>301</v>
      </c>
      <c r="E320" s="143">
        <f t="shared" si="122"/>
        <v>0</v>
      </c>
      <c r="F320" s="144">
        <f t="shared" si="110"/>
        <v>0</v>
      </c>
      <c r="G320" s="144">
        <f t="shared" si="111"/>
        <v>0</v>
      </c>
      <c r="H320" s="169">
        <f t="shared" si="105"/>
        <v>0</v>
      </c>
      <c r="I320" s="143">
        <f t="shared" si="123"/>
        <v>0</v>
      </c>
      <c r="J320" s="144">
        <f t="shared" si="112"/>
        <v>0</v>
      </c>
      <c r="K320" s="144">
        <f t="shared" si="113"/>
        <v>0</v>
      </c>
      <c r="L320" s="169">
        <f t="shared" si="127"/>
        <v>0</v>
      </c>
      <c r="M320" s="143">
        <f t="shared" si="124"/>
        <v>0</v>
      </c>
      <c r="N320" s="144">
        <f t="shared" si="114"/>
        <v>0</v>
      </c>
      <c r="O320" s="144">
        <f t="shared" si="115"/>
        <v>0</v>
      </c>
      <c r="P320" s="169">
        <f t="shared" si="106"/>
        <v>0</v>
      </c>
      <c r="R320" s="143">
        <f t="shared" si="125"/>
        <v>0</v>
      </c>
      <c r="S320" s="144">
        <f t="shared" si="116"/>
        <v>0</v>
      </c>
      <c r="T320" s="144">
        <f t="shared" si="117"/>
        <v>0</v>
      </c>
      <c r="U320" s="169">
        <f t="shared" si="118"/>
        <v>0</v>
      </c>
      <c r="V320" s="143">
        <f t="shared" si="126"/>
        <v>0</v>
      </c>
      <c r="W320" s="144">
        <f t="shared" si="119"/>
        <v>0</v>
      </c>
      <c r="X320" s="144">
        <f t="shared" si="120"/>
        <v>0</v>
      </c>
      <c r="Y320" s="169">
        <f t="shared" si="121"/>
        <v>0</v>
      </c>
      <c r="Z320" s="151">
        <v>0</v>
      </c>
      <c r="AA320" s="151">
        <v>0</v>
      </c>
      <c r="AB320" s="151">
        <v>0</v>
      </c>
      <c r="AC320" s="151">
        <v>0</v>
      </c>
    </row>
    <row r="321" spans="1:29" s="61" customFormat="1" ht="11.25">
      <c r="A321" s="147">
        <f t="shared" si="107"/>
        <v>0</v>
      </c>
      <c r="B321" s="152">
        <f t="shared" si="108"/>
        <v>0</v>
      </c>
      <c r="C321" s="141">
        <f t="shared" si="109"/>
        <v>26</v>
      </c>
      <c r="D321" s="142">
        <v>302</v>
      </c>
      <c r="E321" s="143">
        <f t="shared" si="122"/>
        <v>0</v>
      </c>
      <c r="F321" s="144">
        <f t="shared" si="110"/>
        <v>0</v>
      </c>
      <c r="G321" s="144">
        <f t="shared" si="111"/>
        <v>0</v>
      </c>
      <c r="H321" s="169">
        <f t="shared" si="105"/>
        <v>0</v>
      </c>
      <c r="I321" s="143">
        <f t="shared" si="123"/>
        <v>0</v>
      </c>
      <c r="J321" s="144">
        <f t="shared" si="112"/>
        <v>0</v>
      </c>
      <c r="K321" s="144">
        <f t="shared" si="113"/>
        <v>0</v>
      </c>
      <c r="L321" s="169">
        <f t="shared" si="127"/>
        <v>0</v>
      </c>
      <c r="M321" s="143">
        <f t="shared" si="124"/>
        <v>0</v>
      </c>
      <c r="N321" s="144">
        <f t="shared" si="114"/>
        <v>0</v>
      </c>
      <c r="O321" s="144">
        <f t="shared" si="115"/>
        <v>0</v>
      </c>
      <c r="P321" s="169">
        <f t="shared" si="106"/>
        <v>0</v>
      </c>
      <c r="R321" s="143">
        <f t="shared" si="125"/>
        <v>0</v>
      </c>
      <c r="S321" s="144">
        <f t="shared" si="116"/>
        <v>0</v>
      </c>
      <c r="T321" s="144">
        <f t="shared" si="117"/>
        <v>0</v>
      </c>
      <c r="U321" s="169">
        <f t="shared" si="118"/>
        <v>0</v>
      </c>
      <c r="V321" s="143">
        <f t="shared" si="126"/>
        <v>0</v>
      </c>
      <c r="W321" s="144">
        <f t="shared" si="119"/>
        <v>0</v>
      </c>
      <c r="X321" s="144">
        <f t="shared" si="120"/>
        <v>0</v>
      </c>
      <c r="Y321" s="169">
        <f t="shared" si="121"/>
        <v>0</v>
      </c>
      <c r="Z321" s="151">
        <v>0</v>
      </c>
      <c r="AA321" s="151">
        <v>0</v>
      </c>
      <c r="AB321" s="151">
        <v>0</v>
      </c>
      <c r="AC321" s="151">
        <v>0</v>
      </c>
    </row>
    <row r="322" spans="1:29" s="61" customFormat="1" ht="11.25">
      <c r="A322" s="147">
        <f t="shared" si="107"/>
        <v>0</v>
      </c>
      <c r="B322" s="152">
        <f t="shared" si="108"/>
        <v>0</v>
      </c>
      <c r="C322" s="141">
        <f t="shared" si="109"/>
        <v>26</v>
      </c>
      <c r="D322" s="142">
        <v>303</v>
      </c>
      <c r="E322" s="143">
        <f t="shared" si="122"/>
        <v>0</v>
      </c>
      <c r="F322" s="144">
        <f t="shared" si="110"/>
        <v>0</v>
      </c>
      <c r="G322" s="144">
        <f t="shared" si="111"/>
        <v>0</v>
      </c>
      <c r="H322" s="169">
        <f t="shared" si="105"/>
        <v>0</v>
      </c>
      <c r="I322" s="143">
        <f t="shared" si="123"/>
        <v>0</v>
      </c>
      <c r="J322" s="144">
        <f t="shared" si="112"/>
        <v>0</v>
      </c>
      <c r="K322" s="144">
        <f t="shared" si="113"/>
        <v>0</v>
      </c>
      <c r="L322" s="169">
        <f t="shared" si="127"/>
        <v>0</v>
      </c>
      <c r="M322" s="143">
        <f t="shared" si="124"/>
        <v>0</v>
      </c>
      <c r="N322" s="144">
        <f t="shared" si="114"/>
        <v>0</v>
      </c>
      <c r="O322" s="144">
        <f t="shared" si="115"/>
        <v>0</v>
      </c>
      <c r="P322" s="169">
        <f t="shared" si="106"/>
        <v>0</v>
      </c>
      <c r="R322" s="143">
        <f t="shared" si="125"/>
        <v>0</v>
      </c>
      <c r="S322" s="144">
        <f t="shared" si="116"/>
        <v>0</v>
      </c>
      <c r="T322" s="144">
        <f t="shared" si="117"/>
        <v>0</v>
      </c>
      <c r="U322" s="169">
        <f t="shared" si="118"/>
        <v>0</v>
      </c>
      <c r="V322" s="143">
        <f t="shared" si="126"/>
        <v>0</v>
      </c>
      <c r="W322" s="144">
        <f t="shared" si="119"/>
        <v>0</v>
      </c>
      <c r="X322" s="144">
        <f t="shared" si="120"/>
        <v>0</v>
      </c>
      <c r="Y322" s="169">
        <f t="shared" si="121"/>
        <v>0</v>
      </c>
      <c r="Z322" s="151">
        <v>0</v>
      </c>
      <c r="AA322" s="151">
        <v>0</v>
      </c>
      <c r="AB322" s="151">
        <v>0</v>
      </c>
      <c r="AC322" s="151">
        <v>0</v>
      </c>
    </row>
    <row r="323" spans="1:29" s="61" customFormat="1" ht="11.25">
      <c r="A323" s="147">
        <f t="shared" si="107"/>
        <v>0</v>
      </c>
      <c r="B323" s="152">
        <f t="shared" si="108"/>
        <v>0</v>
      </c>
      <c r="C323" s="141">
        <f t="shared" si="109"/>
        <v>26</v>
      </c>
      <c r="D323" s="142">
        <v>304</v>
      </c>
      <c r="E323" s="143">
        <f t="shared" si="122"/>
        <v>0</v>
      </c>
      <c r="F323" s="144">
        <f t="shared" si="110"/>
        <v>0</v>
      </c>
      <c r="G323" s="144">
        <f t="shared" si="111"/>
        <v>0</v>
      </c>
      <c r="H323" s="169">
        <f t="shared" si="105"/>
        <v>0</v>
      </c>
      <c r="I323" s="143">
        <f t="shared" si="123"/>
        <v>0</v>
      </c>
      <c r="J323" s="144">
        <f t="shared" si="112"/>
        <v>0</v>
      </c>
      <c r="K323" s="144">
        <f t="shared" si="113"/>
        <v>0</v>
      </c>
      <c r="L323" s="169">
        <f t="shared" si="127"/>
        <v>0</v>
      </c>
      <c r="M323" s="143">
        <f t="shared" si="124"/>
        <v>0</v>
      </c>
      <c r="N323" s="144">
        <f t="shared" si="114"/>
        <v>0</v>
      </c>
      <c r="O323" s="144">
        <f t="shared" si="115"/>
        <v>0</v>
      </c>
      <c r="P323" s="169">
        <f t="shared" si="106"/>
        <v>0</v>
      </c>
      <c r="R323" s="143">
        <f t="shared" si="125"/>
        <v>0</v>
      </c>
      <c r="S323" s="144">
        <f t="shared" si="116"/>
        <v>0</v>
      </c>
      <c r="T323" s="144">
        <f t="shared" si="117"/>
        <v>0</v>
      </c>
      <c r="U323" s="169">
        <f t="shared" si="118"/>
        <v>0</v>
      </c>
      <c r="V323" s="143">
        <f t="shared" si="126"/>
        <v>0</v>
      </c>
      <c r="W323" s="144">
        <f t="shared" si="119"/>
        <v>0</v>
      </c>
      <c r="X323" s="144">
        <f t="shared" si="120"/>
        <v>0</v>
      </c>
      <c r="Y323" s="169">
        <f t="shared" si="121"/>
        <v>0</v>
      </c>
      <c r="Z323" s="151">
        <v>0</v>
      </c>
      <c r="AA323" s="151">
        <v>0</v>
      </c>
      <c r="AB323" s="151">
        <v>0</v>
      </c>
      <c r="AC323" s="151">
        <v>0</v>
      </c>
    </row>
    <row r="324" spans="1:29" s="61" customFormat="1" ht="11.25">
      <c r="A324" s="147">
        <f t="shared" si="107"/>
        <v>0</v>
      </c>
      <c r="B324" s="152">
        <f t="shared" si="108"/>
        <v>0</v>
      </c>
      <c r="C324" s="141">
        <f t="shared" si="109"/>
        <v>26</v>
      </c>
      <c r="D324" s="142">
        <v>305</v>
      </c>
      <c r="E324" s="143">
        <f t="shared" si="122"/>
        <v>0</v>
      </c>
      <c r="F324" s="144">
        <f t="shared" si="110"/>
        <v>0</v>
      </c>
      <c r="G324" s="144">
        <f t="shared" si="111"/>
        <v>0</v>
      </c>
      <c r="H324" s="169">
        <f t="shared" si="105"/>
        <v>0</v>
      </c>
      <c r="I324" s="143">
        <f t="shared" si="123"/>
        <v>0</v>
      </c>
      <c r="J324" s="144">
        <f t="shared" si="112"/>
        <v>0</v>
      </c>
      <c r="K324" s="144">
        <f t="shared" si="113"/>
        <v>0</v>
      </c>
      <c r="L324" s="169">
        <f t="shared" si="127"/>
        <v>0</v>
      </c>
      <c r="M324" s="143">
        <f t="shared" si="124"/>
        <v>0</v>
      </c>
      <c r="N324" s="144">
        <f t="shared" si="114"/>
        <v>0</v>
      </c>
      <c r="O324" s="144">
        <f t="shared" si="115"/>
        <v>0</v>
      </c>
      <c r="P324" s="169">
        <f t="shared" si="106"/>
        <v>0</v>
      </c>
      <c r="R324" s="143">
        <f t="shared" si="125"/>
        <v>0</v>
      </c>
      <c r="S324" s="144">
        <f t="shared" si="116"/>
        <v>0</v>
      </c>
      <c r="T324" s="144">
        <f t="shared" si="117"/>
        <v>0</v>
      </c>
      <c r="U324" s="169">
        <f t="shared" si="118"/>
        <v>0</v>
      </c>
      <c r="V324" s="143">
        <f t="shared" si="126"/>
        <v>0</v>
      </c>
      <c r="W324" s="144">
        <f t="shared" si="119"/>
        <v>0</v>
      </c>
      <c r="X324" s="144">
        <f t="shared" si="120"/>
        <v>0</v>
      </c>
      <c r="Y324" s="169">
        <f t="shared" si="121"/>
        <v>0</v>
      </c>
      <c r="Z324" s="151">
        <v>0</v>
      </c>
      <c r="AA324" s="151">
        <v>0</v>
      </c>
      <c r="AB324" s="151">
        <v>0</v>
      </c>
      <c r="AC324" s="151">
        <v>0</v>
      </c>
    </row>
    <row r="325" spans="1:29" s="61" customFormat="1" ht="11.25">
      <c r="A325" s="147">
        <f t="shared" si="107"/>
        <v>0</v>
      </c>
      <c r="B325" s="152">
        <f t="shared" si="108"/>
        <v>0</v>
      </c>
      <c r="C325" s="141">
        <f t="shared" si="109"/>
        <v>26</v>
      </c>
      <c r="D325" s="142">
        <v>306</v>
      </c>
      <c r="E325" s="143">
        <f t="shared" si="122"/>
        <v>0</v>
      </c>
      <c r="F325" s="144">
        <f t="shared" si="110"/>
        <v>0</v>
      </c>
      <c r="G325" s="144">
        <f t="shared" si="111"/>
        <v>0</v>
      </c>
      <c r="H325" s="169">
        <f t="shared" ref="H325:H388" si="128">IF(E325&lt;=0,0,H$14)</f>
        <v>0</v>
      </c>
      <c r="I325" s="143">
        <f t="shared" si="123"/>
        <v>0</v>
      </c>
      <c r="J325" s="144">
        <f t="shared" si="112"/>
        <v>0</v>
      </c>
      <c r="K325" s="144">
        <f t="shared" si="113"/>
        <v>0</v>
      </c>
      <c r="L325" s="169">
        <f t="shared" si="127"/>
        <v>0</v>
      </c>
      <c r="M325" s="143">
        <f t="shared" si="124"/>
        <v>0</v>
      </c>
      <c r="N325" s="144">
        <f t="shared" si="114"/>
        <v>0</v>
      </c>
      <c r="O325" s="144">
        <f t="shared" si="115"/>
        <v>0</v>
      </c>
      <c r="P325" s="169">
        <f t="shared" ref="P325:P388" si="129">IF(M325&lt;=0,0,P$14)</f>
        <v>0</v>
      </c>
      <c r="R325" s="143">
        <f t="shared" si="125"/>
        <v>0</v>
      </c>
      <c r="S325" s="144">
        <f t="shared" si="116"/>
        <v>0</v>
      </c>
      <c r="T325" s="144">
        <f t="shared" si="117"/>
        <v>0</v>
      </c>
      <c r="U325" s="169">
        <f t="shared" si="118"/>
        <v>0</v>
      </c>
      <c r="V325" s="143">
        <f t="shared" si="126"/>
        <v>0</v>
      </c>
      <c r="W325" s="144">
        <f t="shared" si="119"/>
        <v>0</v>
      </c>
      <c r="X325" s="144">
        <f t="shared" si="120"/>
        <v>0</v>
      </c>
      <c r="Y325" s="169">
        <f t="shared" si="121"/>
        <v>0</v>
      </c>
      <c r="Z325" s="151">
        <v>0</v>
      </c>
      <c r="AA325" s="151">
        <v>0</v>
      </c>
      <c r="AB325" s="151">
        <v>0</v>
      </c>
      <c r="AC325" s="151">
        <v>0</v>
      </c>
    </row>
    <row r="326" spans="1:29" s="61" customFormat="1" ht="11.25">
      <c r="A326" s="147">
        <f t="shared" si="107"/>
        <v>0</v>
      </c>
      <c r="B326" s="152">
        <f t="shared" si="108"/>
        <v>0</v>
      </c>
      <c r="C326" s="141">
        <f t="shared" si="109"/>
        <v>26</v>
      </c>
      <c r="D326" s="142">
        <v>307</v>
      </c>
      <c r="E326" s="143">
        <f t="shared" si="122"/>
        <v>0</v>
      </c>
      <c r="F326" s="144">
        <f t="shared" si="110"/>
        <v>0</v>
      </c>
      <c r="G326" s="144">
        <f t="shared" si="111"/>
        <v>0</v>
      </c>
      <c r="H326" s="169">
        <f t="shared" si="128"/>
        <v>0</v>
      </c>
      <c r="I326" s="143">
        <f t="shared" si="123"/>
        <v>0</v>
      </c>
      <c r="J326" s="144">
        <f t="shared" si="112"/>
        <v>0</v>
      </c>
      <c r="K326" s="144">
        <f t="shared" si="113"/>
        <v>0</v>
      </c>
      <c r="L326" s="169">
        <f t="shared" si="127"/>
        <v>0</v>
      </c>
      <c r="M326" s="143">
        <f t="shared" si="124"/>
        <v>0</v>
      </c>
      <c r="N326" s="144">
        <f t="shared" si="114"/>
        <v>0</v>
      </c>
      <c r="O326" s="144">
        <f t="shared" si="115"/>
        <v>0</v>
      </c>
      <c r="P326" s="169">
        <f t="shared" si="129"/>
        <v>0</v>
      </c>
      <c r="R326" s="143">
        <f t="shared" si="125"/>
        <v>0</v>
      </c>
      <c r="S326" s="144">
        <f t="shared" si="116"/>
        <v>0</v>
      </c>
      <c r="T326" s="144">
        <f t="shared" si="117"/>
        <v>0</v>
      </c>
      <c r="U326" s="169">
        <f t="shared" si="118"/>
        <v>0</v>
      </c>
      <c r="V326" s="143">
        <f t="shared" si="126"/>
        <v>0</v>
      </c>
      <c r="W326" s="144">
        <f t="shared" si="119"/>
        <v>0</v>
      </c>
      <c r="X326" s="144">
        <f t="shared" si="120"/>
        <v>0</v>
      </c>
      <c r="Y326" s="169">
        <f t="shared" si="121"/>
        <v>0</v>
      </c>
      <c r="Z326" s="151">
        <v>0</v>
      </c>
      <c r="AA326" s="151">
        <v>0</v>
      </c>
      <c r="AB326" s="151">
        <v>0</v>
      </c>
      <c r="AC326" s="151">
        <v>0</v>
      </c>
    </row>
    <row r="327" spans="1:29" s="61" customFormat="1" ht="11.25">
      <c r="A327" s="147">
        <f t="shared" si="107"/>
        <v>0</v>
      </c>
      <c r="B327" s="152">
        <f t="shared" si="108"/>
        <v>0</v>
      </c>
      <c r="C327" s="141">
        <f t="shared" si="109"/>
        <v>26</v>
      </c>
      <c r="D327" s="142">
        <v>308</v>
      </c>
      <c r="E327" s="143">
        <f t="shared" si="122"/>
        <v>0</v>
      </c>
      <c r="F327" s="144">
        <f t="shared" si="110"/>
        <v>0</v>
      </c>
      <c r="G327" s="144">
        <f t="shared" si="111"/>
        <v>0</v>
      </c>
      <c r="H327" s="169">
        <f t="shared" si="128"/>
        <v>0</v>
      </c>
      <c r="I327" s="143">
        <f t="shared" si="123"/>
        <v>0</v>
      </c>
      <c r="J327" s="144">
        <f t="shared" si="112"/>
        <v>0</v>
      </c>
      <c r="K327" s="144">
        <f t="shared" si="113"/>
        <v>0</v>
      </c>
      <c r="L327" s="169">
        <f t="shared" si="127"/>
        <v>0</v>
      </c>
      <c r="M327" s="143">
        <f t="shared" si="124"/>
        <v>0</v>
      </c>
      <c r="N327" s="144">
        <f t="shared" si="114"/>
        <v>0</v>
      </c>
      <c r="O327" s="144">
        <f t="shared" si="115"/>
        <v>0</v>
      </c>
      <c r="P327" s="169">
        <f t="shared" si="129"/>
        <v>0</v>
      </c>
      <c r="R327" s="143">
        <f t="shared" si="125"/>
        <v>0</v>
      </c>
      <c r="S327" s="144">
        <f t="shared" si="116"/>
        <v>0</v>
      </c>
      <c r="T327" s="144">
        <f t="shared" si="117"/>
        <v>0</v>
      </c>
      <c r="U327" s="169">
        <f t="shared" si="118"/>
        <v>0</v>
      </c>
      <c r="V327" s="143">
        <f t="shared" si="126"/>
        <v>0</v>
      </c>
      <c r="W327" s="144">
        <f t="shared" si="119"/>
        <v>0</v>
      </c>
      <c r="X327" s="144">
        <f t="shared" si="120"/>
        <v>0</v>
      </c>
      <c r="Y327" s="169">
        <f t="shared" si="121"/>
        <v>0</v>
      </c>
      <c r="Z327" s="151">
        <v>0</v>
      </c>
      <c r="AA327" s="151">
        <v>0</v>
      </c>
      <c r="AB327" s="151">
        <v>0</v>
      </c>
      <c r="AC327" s="151">
        <v>0</v>
      </c>
    </row>
    <row r="328" spans="1:29" s="61" customFormat="1" ht="11.25">
      <c r="A328" s="147">
        <f t="shared" si="107"/>
        <v>0</v>
      </c>
      <c r="B328" s="152">
        <f t="shared" si="108"/>
        <v>0</v>
      </c>
      <c r="C328" s="141">
        <f t="shared" si="109"/>
        <v>26</v>
      </c>
      <c r="D328" s="142">
        <v>309</v>
      </c>
      <c r="E328" s="143">
        <f t="shared" si="122"/>
        <v>0</v>
      </c>
      <c r="F328" s="144">
        <f t="shared" si="110"/>
        <v>0</v>
      </c>
      <c r="G328" s="144">
        <f t="shared" si="111"/>
        <v>0</v>
      </c>
      <c r="H328" s="169">
        <f t="shared" si="128"/>
        <v>0</v>
      </c>
      <c r="I328" s="143">
        <f t="shared" si="123"/>
        <v>0</v>
      </c>
      <c r="J328" s="144">
        <f t="shared" si="112"/>
        <v>0</v>
      </c>
      <c r="K328" s="144">
        <f t="shared" si="113"/>
        <v>0</v>
      </c>
      <c r="L328" s="169">
        <f t="shared" si="127"/>
        <v>0</v>
      </c>
      <c r="M328" s="143">
        <f t="shared" si="124"/>
        <v>0</v>
      </c>
      <c r="N328" s="144">
        <f t="shared" si="114"/>
        <v>0</v>
      </c>
      <c r="O328" s="144">
        <f t="shared" si="115"/>
        <v>0</v>
      </c>
      <c r="P328" s="169">
        <f t="shared" si="129"/>
        <v>0</v>
      </c>
      <c r="R328" s="143">
        <f t="shared" si="125"/>
        <v>0</v>
      </c>
      <c r="S328" s="144">
        <f t="shared" si="116"/>
        <v>0</v>
      </c>
      <c r="T328" s="144">
        <f t="shared" si="117"/>
        <v>0</v>
      </c>
      <c r="U328" s="169">
        <f t="shared" si="118"/>
        <v>0</v>
      </c>
      <c r="V328" s="143">
        <f t="shared" si="126"/>
        <v>0</v>
      </c>
      <c r="W328" s="144">
        <f t="shared" si="119"/>
        <v>0</v>
      </c>
      <c r="X328" s="144">
        <f t="shared" si="120"/>
        <v>0</v>
      </c>
      <c r="Y328" s="169">
        <f t="shared" si="121"/>
        <v>0</v>
      </c>
      <c r="Z328" s="151">
        <v>0</v>
      </c>
      <c r="AA328" s="151">
        <v>0</v>
      </c>
      <c r="AB328" s="151">
        <v>0</v>
      </c>
      <c r="AC328" s="151">
        <v>0</v>
      </c>
    </row>
    <row r="329" spans="1:29" s="61" customFormat="1" ht="11.25">
      <c r="A329" s="147">
        <f t="shared" si="107"/>
        <v>0</v>
      </c>
      <c r="B329" s="152">
        <f t="shared" si="108"/>
        <v>0</v>
      </c>
      <c r="C329" s="141">
        <f t="shared" si="109"/>
        <v>26</v>
      </c>
      <c r="D329" s="142">
        <v>310</v>
      </c>
      <c r="E329" s="143">
        <f t="shared" si="122"/>
        <v>0</v>
      </c>
      <c r="F329" s="144">
        <f t="shared" si="110"/>
        <v>0</v>
      </c>
      <c r="G329" s="144">
        <f t="shared" si="111"/>
        <v>0</v>
      </c>
      <c r="H329" s="169">
        <f t="shared" si="128"/>
        <v>0</v>
      </c>
      <c r="I329" s="143">
        <f t="shared" si="123"/>
        <v>0</v>
      </c>
      <c r="J329" s="144">
        <f t="shared" si="112"/>
        <v>0</v>
      </c>
      <c r="K329" s="144">
        <f t="shared" si="113"/>
        <v>0</v>
      </c>
      <c r="L329" s="169">
        <f t="shared" si="127"/>
        <v>0</v>
      </c>
      <c r="M329" s="143">
        <f t="shared" si="124"/>
        <v>0</v>
      </c>
      <c r="N329" s="144">
        <f t="shared" si="114"/>
        <v>0</v>
      </c>
      <c r="O329" s="144">
        <f t="shared" si="115"/>
        <v>0</v>
      </c>
      <c r="P329" s="169">
        <f t="shared" si="129"/>
        <v>0</v>
      </c>
      <c r="R329" s="143">
        <f t="shared" si="125"/>
        <v>0</v>
      </c>
      <c r="S329" s="144">
        <f t="shared" si="116"/>
        <v>0</v>
      </c>
      <c r="T329" s="144">
        <f t="shared" si="117"/>
        <v>0</v>
      </c>
      <c r="U329" s="169">
        <f t="shared" si="118"/>
        <v>0</v>
      </c>
      <c r="V329" s="143">
        <f t="shared" si="126"/>
        <v>0</v>
      </c>
      <c r="W329" s="144">
        <f t="shared" si="119"/>
        <v>0</v>
      </c>
      <c r="X329" s="144">
        <f t="shared" si="120"/>
        <v>0</v>
      </c>
      <c r="Y329" s="169">
        <f t="shared" si="121"/>
        <v>0</v>
      </c>
      <c r="Z329" s="151">
        <v>0</v>
      </c>
      <c r="AA329" s="151">
        <v>0</v>
      </c>
      <c r="AB329" s="151">
        <v>0</v>
      </c>
      <c r="AC329" s="151">
        <v>0</v>
      </c>
    </row>
    <row r="330" spans="1:29" s="61" customFormat="1" ht="11.25">
      <c r="A330" s="147">
        <f t="shared" si="107"/>
        <v>0</v>
      </c>
      <c r="B330" s="152">
        <f t="shared" si="108"/>
        <v>0</v>
      </c>
      <c r="C330" s="141">
        <f t="shared" si="109"/>
        <v>26</v>
      </c>
      <c r="D330" s="142">
        <v>311</v>
      </c>
      <c r="E330" s="143">
        <f t="shared" si="122"/>
        <v>0</v>
      </c>
      <c r="F330" s="144">
        <f t="shared" si="110"/>
        <v>0</v>
      </c>
      <c r="G330" s="144">
        <f t="shared" si="111"/>
        <v>0</v>
      </c>
      <c r="H330" s="169">
        <f t="shared" si="128"/>
        <v>0</v>
      </c>
      <c r="I330" s="143">
        <f t="shared" si="123"/>
        <v>0</v>
      </c>
      <c r="J330" s="144">
        <f t="shared" si="112"/>
        <v>0</v>
      </c>
      <c r="K330" s="144">
        <f t="shared" si="113"/>
        <v>0</v>
      </c>
      <c r="L330" s="169">
        <f t="shared" si="127"/>
        <v>0</v>
      </c>
      <c r="M330" s="143">
        <f t="shared" si="124"/>
        <v>0</v>
      </c>
      <c r="N330" s="144">
        <f t="shared" si="114"/>
        <v>0</v>
      </c>
      <c r="O330" s="144">
        <f t="shared" si="115"/>
        <v>0</v>
      </c>
      <c r="P330" s="169">
        <f t="shared" si="129"/>
        <v>0</v>
      </c>
      <c r="R330" s="143">
        <f t="shared" si="125"/>
        <v>0</v>
      </c>
      <c r="S330" s="144">
        <f t="shared" si="116"/>
        <v>0</v>
      </c>
      <c r="T330" s="144">
        <f t="shared" si="117"/>
        <v>0</v>
      </c>
      <c r="U330" s="169">
        <f t="shared" si="118"/>
        <v>0</v>
      </c>
      <c r="V330" s="143">
        <f t="shared" si="126"/>
        <v>0</v>
      </c>
      <c r="W330" s="144">
        <f t="shared" si="119"/>
        <v>0</v>
      </c>
      <c r="X330" s="144">
        <f t="shared" si="120"/>
        <v>0</v>
      </c>
      <c r="Y330" s="169">
        <f t="shared" si="121"/>
        <v>0</v>
      </c>
      <c r="Z330" s="151">
        <v>0</v>
      </c>
      <c r="AA330" s="151">
        <v>0</v>
      </c>
      <c r="AB330" s="151">
        <v>0</v>
      </c>
      <c r="AC330" s="151">
        <v>0</v>
      </c>
    </row>
    <row r="331" spans="1:29" s="61" customFormat="1" ht="12" thickBot="1">
      <c r="A331" s="153">
        <f t="shared" si="107"/>
        <v>0</v>
      </c>
      <c r="B331" s="154">
        <f t="shared" si="108"/>
        <v>0</v>
      </c>
      <c r="C331" s="155">
        <f t="shared" si="109"/>
        <v>26</v>
      </c>
      <c r="D331" s="156">
        <v>312</v>
      </c>
      <c r="E331" s="157">
        <f t="shared" si="122"/>
        <v>0</v>
      </c>
      <c r="F331" s="158">
        <f t="shared" si="110"/>
        <v>0</v>
      </c>
      <c r="G331" s="158">
        <f t="shared" si="111"/>
        <v>0</v>
      </c>
      <c r="H331" s="172">
        <f t="shared" si="128"/>
        <v>0</v>
      </c>
      <c r="I331" s="157">
        <f t="shared" si="123"/>
        <v>0</v>
      </c>
      <c r="J331" s="158">
        <f t="shared" si="112"/>
        <v>0</v>
      </c>
      <c r="K331" s="158">
        <f t="shared" si="113"/>
        <v>0</v>
      </c>
      <c r="L331" s="172">
        <f t="shared" si="127"/>
        <v>0</v>
      </c>
      <c r="M331" s="157">
        <f t="shared" si="124"/>
        <v>0</v>
      </c>
      <c r="N331" s="158">
        <f t="shared" si="114"/>
        <v>0</v>
      </c>
      <c r="O331" s="158">
        <f t="shared" si="115"/>
        <v>0</v>
      </c>
      <c r="P331" s="172">
        <f t="shared" si="129"/>
        <v>0</v>
      </c>
      <c r="R331" s="157">
        <f t="shared" si="125"/>
        <v>0</v>
      </c>
      <c r="S331" s="158">
        <f t="shared" si="116"/>
        <v>0</v>
      </c>
      <c r="T331" s="158">
        <f t="shared" si="117"/>
        <v>0</v>
      </c>
      <c r="U331" s="172">
        <f t="shared" si="118"/>
        <v>0</v>
      </c>
      <c r="V331" s="157">
        <f t="shared" si="126"/>
        <v>0</v>
      </c>
      <c r="W331" s="158">
        <f t="shared" si="119"/>
        <v>0</v>
      </c>
      <c r="X331" s="158">
        <f t="shared" si="120"/>
        <v>0</v>
      </c>
      <c r="Y331" s="172">
        <f t="shared" si="121"/>
        <v>0</v>
      </c>
      <c r="Z331" s="151">
        <v>0</v>
      </c>
      <c r="AA331" s="151">
        <v>0</v>
      </c>
      <c r="AB331" s="151">
        <v>0</v>
      </c>
      <c r="AC331" s="151">
        <v>0</v>
      </c>
    </row>
    <row r="332" spans="1:29" s="61" customFormat="1" ht="11.25">
      <c r="A332" s="147">
        <f t="shared" si="107"/>
        <v>0</v>
      </c>
      <c r="B332" s="152">
        <f t="shared" si="108"/>
        <v>0</v>
      </c>
      <c r="C332" s="141">
        <f t="shared" si="109"/>
        <v>27</v>
      </c>
      <c r="D332" s="142">
        <v>313</v>
      </c>
      <c r="E332" s="143">
        <f t="shared" si="122"/>
        <v>0</v>
      </c>
      <c r="F332" s="144">
        <f t="shared" si="110"/>
        <v>0</v>
      </c>
      <c r="G332" s="144">
        <f t="shared" si="111"/>
        <v>0</v>
      </c>
      <c r="H332" s="169">
        <f t="shared" si="128"/>
        <v>0</v>
      </c>
      <c r="I332" s="143">
        <f t="shared" si="123"/>
        <v>0</v>
      </c>
      <c r="J332" s="144">
        <f t="shared" si="112"/>
        <v>0</v>
      </c>
      <c r="K332" s="144">
        <f t="shared" si="113"/>
        <v>0</v>
      </c>
      <c r="L332" s="169">
        <f t="shared" si="127"/>
        <v>0</v>
      </c>
      <c r="M332" s="143">
        <f t="shared" si="124"/>
        <v>0</v>
      </c>
      <c r="N332" s="144">
        <f t="shared" si="114"/>
        <v>0</v>
      </c>
      <c r="O332" s="144">
        <f t="shared" si="115"/>
        <v>0</v>
      </c>
      <c r="P332" s="169">
        <f t="shared" si="129"/>
        <v>0</v>
      </c>
      <c r="R332" s="143">
        <f t="shared" si="125"/>
        <v>0</v>
      </c>
      <c r="S332" s="144">
        <f t="shared" si="116"/>
        <v>0</v>
      </c>
      <c r="T332" s="144">
        <f t="shared" si="117"/>
        <v>0</v>
      </c>
      <c r="U332" s="169">
        <f t="shared" si="118"/>
        <v>0</v>
      </c>
      <c r="V332" s="143">
        <f t="shared" si="126"/>
        <v>0</v>
      </c>
      <c r="W332" s="144">
        <f t="shared" si="119"/>
        <v>0</v>
      </c>
      <c r="X332" s="144">
        <f t="shared" si="120"/>
        <v>0</v>
      </c>
      <c r="Y332" s="169">
        <f t="shared" si="121"/>
        <v>0</v>
      </c>
      <c r="Z332" s="151">
        <v>0</v>
      </c>
      <c r="AA332" s="151">
        <v>0</v>
      </c>
      <c r="AB332" s="151">
        <v>0</v>
      </c>
      <c r="AC332" s="151">
        <v>0</v>
      </c>
    </row>
    <row r="333" spans="1:29" s="61" customFormat="1" ht="11.25">
      <c r="A333" s="147">
        <f t="shared" si="107"/>
        <v>0</v>
      </c>
      <c r="B333" s="152">
        <f t="shared" si="108"/>
        <v>0</v>
      </c>
      <c r="C333" s="141">
        <f t="shared" si="109"/>
        <v>27</v>
      </c>
      <c r="D333" s="142">
        <v>314</v>
      </c>
      <c r="E333" s="143">
        <f t="shared" si="122"/>
        <v>0</v>
      </c>
      <c r="F333" s="144">
        <f t="shared" si="110"/>
        <v>0</v>
      </c>
      <c r="G333" s="144">
        <f t="shared" si="111"/>
        <v>0</v>
      </c>
      <c r="H333" s="169">
        <f t="shared" si="128"/>
        <v>0</v>
      </c>
      <c r="I333" s="143">
        <f t="shared" si="123"/>
        <v>0</v>
      </c>
      <c r="J333" s="144">
        <f t="shared" si="112"/>
        <v>0</v>
      </c>
      <c r="K333" s="144">
        <f t="shared" si="113"/>
        <v>0</v>
      </c>
      <c r="L333" s="169">
        <f t="shared" si="127"/>
        <v>0</v>
      </c>
      <c r="M333" s="143">
        <f t="shared" si="124"/>
        <v>0</v>
      </c>
      <c r="N333" s="144">
        <f t="shared" si="114"/>
        <v>0</v>
      </c>
      <c r="O333" s="144">
        <f t="shared" si="115"/>
        <v>0</v>
      </c>
      <c r="P333" s="169">
        <f t="shared" si="129"/>
        <v>0</v>
      </c>
      <c r="R333" s="143">
        <f t="shared" si="125"/>
        <v>0</v>
      </c>
      <c r="S333" s="144">
        <f t="shared" si="116"/>
        <v>0</v>
      </c>
      <c r="T333" s="144">
        <f t="shared" si="117"/>
        <v>0</v>
      </c>
      <c r="U333" s="169">
        <f t="shared" si="118"/>
        <v>0</v>
      </c>
      <c r="V333" s="143">
        <f t="shared" si="126"/>
        <v>0</v>
      </c>
      <c r="W333" s="144">
        <f t="shared" si="119"/>
        <v>0</v>
      </c>
      <c r="X333" s="144">
        <f t="shared" si="120"/>
        <v>0</v>
      </c>
      <c r="Y333" s="169">
        <f t="shared" si="121"/>
        <v>0</v>
      </c>
      <c r="Z333" s="151">
        <v>0</v>
      </c>
      <c r="AA333" s="151">
        <v>0</v>
      </c>
      <c r="AB333" s="151">
        <v>0</v>
      </c>
      <c r="AC333" s="151">
        <v>0</v>
      </c>
    </row>
    <row r="334" spans="1:29" s="61" customFormat="1" ht="11.25">
      <c r="A334" s="147">
        <f t="shared" si="107"/>
        <v>0</v>
      </c>
      <c r="B334" s="152">
        <f t="shared" si="108"/>
        <v>0</v>
      </c>
      <c r="C334" s="141">
        <f t="shared" si="109"/>
        <v>27</v>
      </c>
      <c r="D334" s="142">
        <v>315</v>
      </c>
      <c r="E334" s="143">
        <f t="shared" si="122"/>
        <v>0</v>
      </c>
      <c r="F334" s="144">
        <f t="shared" si="110"/>
        <v>0</v>
      </c>
      <c r="G334" s="144">
        <f t="shared" si="111"/>
        <v>0</v>
      </c>
      <c r="H334" s="169">
        <f t="shared" si="128"/>
        <v>0</v>
      </c>
      <c r="I334" s="143">
        <f t="shared" si="123"/>
        <v>0</v>
      </c>
      <c r="J334" s="144">
        <f t="shared" si="112"/>
        <v>0</v>
      </c>
      <c r="K334" s="144">
        <f t="shared" si="113"/>
        <v>0</v>
      </c>
      <c r="L334" s="169">
        <f t="shared" si="127"/>
        <v>0</v>
      </c>
      <c r="M334" s="143">
        <f t="shared" si="124"/>
        <v>0</v>
      </c>
      <c r="N334" s="144">
        <f t="shared" si="114"/>
        <v>0</v>
      </c>
      <c r="O334" s="144">
        <f t="shared" si="115"/>
        <v>0</v>
      </c>
      <c r="P334" s="169">
        <f t="shared" si="129"/>
        <v>0</v>
      </c>
      <c r="R334" s="143">
        <f t="shared" si="125"/>
        <v>0</v>
      </c>
      <c r="S334" s="144">
        <f t="shared" si="116"/>
        <v>0</v>
      </c>
      <c r="T334" s="144">
        <f t="shared" si="117"/>
        <v>0</v>
      </c>
      <c r="U334" s="169">
        <f t="shared" si="118"/>
        <v>0</v>
      </c>
      <c r="V334" s="143">
        <f t="shared" si="126"/>
        <v>0</v>
      </c>
      <c r="W334" s="144">
        <f t="shared" si="119"/>
        <v>0</v>
      </c>
      <c r="X334" s="144">
        <f t="shared" si="120"/>
        <v>0</v>
      </c>
      <c r="Y334" s="169">
        <f t="shared" si="121"/>
        <v>0</v>
      </c>
      <c r="Z334" s="151">
        <v>0</v>
      </c>
      <c r="AA334" s="151">
        <v>0</v>
      </c>
      <c r="AB334" s="151">
        <v>0</v>
      </c>
      <c r="AC334" s="151">
        <v>0</v>
      </c>
    </row>
    <row r="335" spans="1:29" s="61" customFormat="1" ht="11.25">
      <c r="A335" s="147">
        <f t="shared" si="107"/>
        <v>0</v>
      </c>
      <c r="B335" s="152">
        <f t="shared" si="108"/>
        <v>0</v>
      </c>
      <c r="C335" s="141">
        <f t="shared" si="109"/>
        <v>27</v>
      </c>
      <c r="D335" s="142">
        <v>316</v>
      </c>
      <c r="E335" s="143">
        <f t="shared" si="122"/>
        <v>0</v>
      </c>
      <c r="F335" s="144">
        <f t="shared" si="110"/>
        <v>0</v>
      </c>
      <c r="G335" s="144">
        <f t="shared" si="111"/>
        <v>0</v>
      </c>
      <c r="H335" s="169">
        <f t="shared" si="128"/>
        <v>0</v>
      </c>
      <c r="I335" s="143">
        <f t="shared" si="123"/>
        <v>0</v>
      </c>
      <c r="J335" s="144">
        <f t="shared" si="112"/>
        <v>0</v>
      </c>
      <c r="K335" s="144">
        <f t="shared" si="113"/>
        <v>0</v>
      </c>
      <c r="L335" s="169">
        <f t="shared" si="127"/>
        <v>0</v>
      </c>
      <c r="M335" s="143">
        <f t="shared" si="124"/>
        <v>0</v>
      </c>
      <c r="N335" s="144">
        <f t="shared" si="114"/>
        <v>0</v>
      </c>
      <c r="O335" s="144">
        <f t="shared" si="115"/>
        <v>0</v>
      </c>
      <c r="P335" s="169">
        <f t="shared" si="129"/>
        <v>0</v>
      </c>
      <c r="R335" s="143">
        <f t="shared" si="125"/>
        <v>0</v>
      </c>
      <c r="S335" s="144">
        <f t="shared" si="116"/>
        <v>0</v>
      </c>
      <c r="T335" s="144">
        <f t="shared" si="117"/>
        <v>0</v>
      </c>
      <c r="U335" s="169">
        <f t="shared" si="118"/>
        <v>0</v>
      </c>
      <c r="V335" s="143">
        <f t="shared" si="126"/>
        <v>0</v>
      </c>
      <c r="W335" s="144">
        <f t="shared" si="119"/>
        <v>0</v>
      </c>
      <c r="X335" s="144">
        <f t="shared" si="120"/>
        <v>0</v>
      </c>
      <c r="Y335" s="169">
        <f t="shared" si="121"/>
        <v>0</v>
      </c>
      <c r="Z335" s="151">
        <v>0</v>
      </c>
      <c r="AA335" s="151">
        <v>0</v>
      </c>
      <c r="AB335" s="151">
        <v>0</v>
      </c>
      <c r="AC335" s="151">
        <v>0</v>
      </c>
    </row>
    <row r="336" spans="1:29" s="61" customFormat="1" ht="11.25">
      <c r="A336" s="147">
        <f t="shared" si="107"/>
        <v>0</v>
      </c>
      <c r="B336" s="152">
        <f t="shared" si="108"/>
        <v>0</v>
      </c>
      <c r="C336" s="141">
        <f t="shared" si="109"/>
        <v>27</v>
      </c>
      <c r="D336" s="142">
        <v>317</v>
      </c>
      <c r="E336" s="143">
        <f t="shared" si="122"/>
        <v>0</v>
      </c>
      <c r="F336" s="144">
        <f t="shared" si="110"/>
        <v>0</v>
      </c>
      <c r="G336" s="144">
        <f t="shared" si="111"/>
        <v>0</v>
      </c>
      <c r="H336" s="169">
        <f t="shared" si="128"/>
        <v>0</v>
      </c>
      <c r="I336" s="143">
        <f t="shared" si="123"/>
        <v>0</v>
      </c>
      <c r="J336" s="144">
        <f t="shared" si="112"/>
        <v>0</v>
      </c>
      <c r="K336" s="144">
        <f t="shared" si="113"/>
        <v>0</v>
      </c>
      <c r="L336" s="169">
        <f t="shared" si="127"/>
        <v>0</v>
      </c>
      <c r="M336" s="143">
        <f t="shared" si="124"/>
        <v>0</v>
      </c>
      <c r="N336" s="144">
        <f t="shared" si="114"/>
        <v>0</v>
      </c>
      <c r="O336" s="144">
        <f t="shared" si="115"/>
        <v>0</v>
      </c>
      <c r="P336" s="169">
        <f t="shared" si="129"/>
        <v>0</v>
      </c>
      <c r="R336" s="143">
        <f t="shared" si="125"/>
        <v>0</v>
      </c>
      <c r="S336" s="144">
        <f t="shared" si="116"/>
        <v>0</v>
      </c>
      <c r="T336" s="144">
        <f t="shared" si="117"/>
        <v>0</v>
      </c>
      <c r="U336" s="169">
        <f t="shared" si="118"/>
        <v>0</v>
      </c>
      <c r="V336" s="143">
        <f t="shared" si="126"/>
        <v>0</v>
      </c>
      <c r="W336" s="144">
        <f t="shared" si="119"/>
        <v>0</v>
      </c>
      <c r="X336" s="144">
        <f t="shared" si="120"/>
        <v>0</v>
      </c>
      <c r="Y336" s="169">
        <f t="shared" si="121"/>
        <v>0</v>
      </c>
      <c r="Z336" s="151">
        <v>0</v>
      </c>
      <c r="AA336" s="151">
        <v>0</v>
      </c>
      <c r="AB336" s="151">
        <v>0</v>
      </c>
      <c r="AC336" s="151">
        <v>0</v>
      </c>
    </row>
    <row r="337" spans="1:29" s="61" customFormat="1" ht="11.25">
      <c r="A337" s="147">
        <f t="shared" si="107"/>
        <v>0</v>
      </c>
      <c r="B337" s="152">
        <f t="shared" si="108"/>
        <v>0</v>
      </c>
      <c r="C337" s="141">
        <f t="shared" si="109"/>
        <v>27</v>
      </c>
      <c r="D337" s="142">
        <v>318</v>
      </c>
      <c r="E337" s="143">
        <f t="shared" si="122"/>
        <v>0</v>
      </c>
      <c r="F337" s="144">
        <f t="shared" si="110"/>
        <v>0</v>
      </c>
      <c r="G337" s="144">
        <f t="shared" si="111"/>
        <v>0</v>
      </c>
      <c r="H337" s="169">
        <f t="shared" si="128"/>
        <v>0</v>
      </c>
      <c r="I337" s="143">
        <f t="shared" si="123"/>
        <v>0</v>
      </c>
      <c r="J337" s="144">
        <f t="shared" si="112"/>
        <v>0</v>
      </c>
      <c r="K337" s="144">
        <f t="shared" si="113"/>
        <v>0</v>
      </c>
      <c r="L337" s="169">
        <f t="shared" si="127"/>
        <v>0</v>
      </c>
      <c r="M337" s="143">
        <f t="shared" si="124"/>
        <v>0</v>
      </c>
      <c r="N337" s="144">
        <f t="shared" si="114"/>
        <v>0</v>
      </c>
      <c r="O337" s="144">
        <f t="shared" si="115"/>
        <v>0</v>
      </c>
      <c r="P337" s="169">
        <f t="shared" si="129"/>
        <v>0</v>
      </c>
      <c r="R337" s="143">
        <f t="shared" si="125"/>
        <v>0</v>
      </c>
      <c r="S337" s="144">
        <f t="shared" si="116"/>
        <v>0</v>
      </c>
      <c r="T337" s="144">
        <f t="shared" si="117"/>
        <v>0</v>
      </c>
      <c r="U337" s="169">
        <f t="shared" si="118"/>
        <v>0</v>
      </c>
      <c r="V337" s="143">
        <f t="shared" si="126"/>
        <v>0</v>
      </c>
      <c r="W337" s="144">
        <f t="shared" si="119"/>
        <v>0</v>
      </c>
      <c r="X337" s="144">
        <f t="shared" si="120"/>
        <v>0</v>
      </c>
      <c r="Y337" s="169">
        <f t="shared" si="121"/>
        <v>0</v>
      </c>
      <c r="Z337" s="151">
        <v>0</v>
      </c>
      <c r="AA337" s="151">
        <v>0</v>
      </c>
      <c r="AB337" s="151">
        <v>0</v>
      </c>
      <c r="AC337" s="151">
        <v>0</v>
      </c>
    </row>
    <row r="338" spans="1:29" s="61" customFormat="1" ht="11.25">
      <c r="A338" s="147">
        <f t="shared" si="107"/>
        <v>0</v>
      </c>
      <c r="B338" s="152">
        <f t="shared" si="108"/>
        <v>0</v>
      </c>
      <c r="C338" s="141">
        <f t="shared" si="109"/>
        <v>27</v>
      </c>
      <c r="D338" s="142">
        <v>319</v>
      </c>
      <c r="E338" s="143">
        <f t="shared" si="122"/>
        <v>0</v>
      </c>
      <c r="F338" s="144">
        <f t="shared" si="110"/>
        <v>0</v>
      </c>
      <c r="G338" s="144">
        <f t="shared" si="111"/>
        <v>0</v>
      </c>
      <c r="H338" s="169">
        <f t="shared" si="128"/>
        <v>0</v>
      </c>
      <c r="I338" s="143">
        <f t="shared" si="123"/>
        <v>0</v>
      </c>
      <c r="J338" s="144">
        <f t="shared" si="112"/>
        <v>0</v>
      </c>
      <c r="K338" s="144">
        <f t="shared" si="113"/>
        <v>0</v>
      </c>
      <c r="L338" s="169">
        <f t="shared" si="127"/>
        <v>0</v>
      </c>
      <c r="M338" s="143">
        <f t="shared" si="124"/>
        <v>0</v>
      </c>
      <c r="N338" s="144">
        <f t="shared" si="114"/>
        <v>0</v>
      </c>
      <c r="O338" s="144">
        <f t="shared" si="115"/>
        <v>0</v>
      </c>
      <c r="P338" s="169">
        <f t="shared" si="129"/>
        <v>0</v>
      </c>
      <c r="R338" s="143">
        <f t="shared" si="125"/>
        <v>0</v>
      </c>
      <c r="S338" s="144">
        <f t="shared" si="116"/>
        <v>0</v>
      </c>
      <c r="T338" s="144">
        <f t="shared" si="117"/>
        <v>0</v>
      </c>
      <c r="U338" s="169">
        <f t="shared" si="118"/>
        <v>0</v>
      </c>
      <c r="V338" s="143">
        <f t="shared" si="126"/>
        <v>0</v>
      </c>
      <c r="W338" s="144">
        <f t="shared" si="119"/>
        <v>0</v>
      </c>
      <c r="X338" s="144">
        <f t="shared" si="120"/>
        <v>0</v>
      </c>
      <c r="Y338" s="169">
        <f t="shared" si="121"/>
        <v>0</v>
      </c>
      <c r="Z338" s="151">
        <v>0</v>
      </c>
      <c r="AA338" s="151">
        <v>0</v>
      </c>
      <c r="AB338" s="151">
        <v>0</v>
      </c>
      <c r="AC338" s="151">
        <v>0</v>
      </c>
    </row>
    <row r="339" spans="1:29" s="61" customFormat="1" ht="11.25">
      <c r="A339" s="147">
        <f t="shared" si="107"/>
        <v>0</v>
      </c>
      <c r="B339" s="152">
        <f t="shared" si="108"/>
        <v>0</v>
      </c>
      <c r="C339" s="141">
        <f t="shared" si="109"/>
        <v>27</v>
      </c>
      <c r="D339" s="142">
        <v>320</v>
      </c>
      <c r="E339" s="143">
        <f t="shared" si="122"/>
        <v>0</v>
      </c>
      <c r="F339" s="144">
        <f t="shared" si="110"/>
        <v>0</v>
      </c>
      <c r="G339" s="144">
        <f t="shared" si="111"/>
        <v>0</v>
      </c>
      <c r="H339" s="169">
        <f t="shared" si="128"/>
        <v>0</v>
      </c>
      <c r="I339" s="143">
        <f t="shared" si="123"/>
        <v>0</v>
      </c>
      <c r="J339" s="144">
        <f t="shared" si="112"/>
        <v>0</v>
      </c>
      <c r="K339" s="144">
        <f t="shared" si="113"/>
        <v>0</v>
      </c>
      <c r="L339" s="169">
        <f t="shared" si="127"/>
        <v>0</v>
      </c>
      <c r="M339" s="143">
        <f t="shared" si="124"/>
        <v>0</v>
      </c>
      <c r="N339" s="144">
        <f t="shared" si="114"/>
        <v>0</v>
      </c>
      <c r="O339" s="144">
        <f t="shared" si="115"/>
        <v>0</v>
      </c>
      <c r="P339" s="169">
        <f t="shared" si="129"/>
        <v>0</v>
      </c>
      <c r="R339" s="143">
        <f t="shared" si="125"/>
        <v>0</v>
      </c>
      <c r="S339" s="144">
        <f t="shared" si="116"/>
        <v>0</v>
      </c>
      <c r="T339" s="144">
        <f t="shared" si="117"/>
        <v>0</v>
      </c>
      <c r="U339" s="169">
        <f t="shared" si="118"/>
        <v>0</v>
      </c>
      <c r="V339" s="143">
        <f t="shared" si="126"/>
        <v>0</v>
      </c>
      <c r="W339" s="144">
        <f t="shared" si="119"/>
        <v>0</v>
      </c>
      <c r="X339" s="144">
        <f t="shared" si="120"/>
        <v>0</v>
      </c>
      <c r="Y339" s="169">
        <f t="shared" si="121"/>
        <v>0</v>
      </c>
      <c r="Z339" s="151">
        <v>0</v>
      </c>
      <c r="AA339" s="151">
        <v>0</v>
      </c>
      <c r="AB339" s="151">
        <v>0</v>
      </c>
      <c r="AC339" s="151">
        <v>0</v>
      </c>
    </row>
    <row r="340" spans="1:29" s="61" customFormat="1" ht="11.25">
      <c r="A340" s="147">
        <f t="shared" ref="A340:A403" si="130">VLOOKUP(D340,$A$10:$C$14,3)</f>
        <v>0</v>
      </c>
      <c r="B340" s="152">
        <f t="shared" ref="B340:B403" si="131">A340/12</f>
        <v>0</v>
      </c>
      <c r="C340" s="141">
        <f t="shared" ref="C340:C403" si="132">INT((D340+11)/12)</f>
        <v>27</v>
      </c>
      <c r="D340" s="142">
        <v>321</v>
      </c>
      <c r="E340" s="143">
        <f t="shared" si="122"/>
        <v>0</v>
      </c>
      <c r="F340" s="144">
        <f t="shared" ref="F340:F403" si="133">ROUND(E340*$B340,2)</f>
        <v>0</v>
      </c>
      <c r="G340" s="144">
        <f t="shared" ref="G340:G403" si="134">IF(E340&lt;H340,E340,H340-F340)</f>
        <v>0</v>
      </c>
      <c r="H340" s="169">
        <f t="shared" si="128"/>
        <v>0</v>
      </c>
      <c r="I340" s="143">
        <f t="shared" si="123"/>
        <v>0</v>
      </c>
      <c r="J340" s="144">
        <f t="shared" ref="J340:J403" si="135">ROUND(I340*$B340,2)</f>
        <v>0</v>
      </c>
      <c r="K340" s="144">
        <f t="shared" ref="K340:K403" si="136">IF(I340&lt;L340,I340,L340-J340)</f>
        <v>0</v>
      </c>
      <c r="L340" s="169">
        <f t="shared" si="127"/>
        <v>0</v>
      </c>
      <c r="M340" s="143">
        <f t="shared" si="124"/>
        <v>0</v>
      </c>
      <c r="N340" s="144">
        <f t="shared" ref="N340:N403" si="137">ROUND(M340*$B340,2)</f>
        <v>0</v>
      </c>
      <c r="O340" s="144">
        <f t="shared" ref="O340:O403" si="138">IF(M340&lt;P340,M340,P340-N340)</f>
        <v>0</v>
      </c>
      <c r="P340" s="169">
        <f t="shared" si="129"/>
        <v>0</v>
      </c>
      <c r="R340" s="143">
        <f t="shared" si="125"/>
        <v>0</v>
      </c>
      <c r="S340" s="144">
        <f t="shared" ref="S340:S403" si="139">ROUND(R340*$B340,2)</f>
        <v>0</v>
      </c>
      <c r="T340" s="144">
        <f t="shared" ref="T340:T403" si="140">IF(R340&lt;U340,R340,U340-S340)</f>
        <v>0</v>
      </c>
      <c r="U340" s="169">
        <f t="shared" ref="U340:U403" si="141">IF(R340&lt;=0,0,$Y$15)</f>
        <v>0</v>
      </c>
      <c r="V340" s="143">
        <f t="shared" si="126"/>
        <v>0</v>
      </c>
      <c r="W340" s="144">
        <f t="shared" ref="W340:W403" si="142">ROUND(V340*$B340,2)</f>
        <v>0</v>
      </c>
      <c r="X340" s="144">
        <f t="shared" ref="X340:X403" si="143">IF(V340&lt;Y340,V340,Y340-W340)</f>
        <v>0</v>
      </c>
      <c r="Y340" s="169">
        <f t="shared" ref="Y340:Y403" si="144">IF(V340&lt;=0,0,PMT(B340,($B$2-D340+1),V340*-1))</f>
        <v>0</v>
      </c>
      <c r="Z340" s="151">
        <v>0</v>
      </c>
      <c r="AA340" s="151">
        <v>0</v>
      </c>
      <c r="AB340" s="151">
        <v>0</v>
      </c>
      <c r="AC340" s="151">
        <v>0</v>
      </c>
    </row>
    <row r="341" spans="1:29" s="61" customFormat="1" ht="11.25">
      <c r="A341" s="147">
        <f t="shared" si="130"/>
        <v>0</v>
      </c>
      <c r="B341" s="152">
        <f t="shared" si="131"/>
        <v>0</v>
      </c>
      <c r="C341" s="141">
        <f t="shared" si="132"/>
        <v>27</v>
      </c>
      <c r="D341" s="142">
        <v>322</v>
      </c>
      <c r="E341" s="143">
        <f t="shared" ref="E341:E404" si="145">IF(E340&lt;H340,0,E340-G340)</f>
        <v>0</v>
      </c>
      <c r="F341" s="144">
        <f t="shared" si="133"/>
        <v>0</v>
      </c>
      <c r="G341" s="144">
        <f t="shared" si="134"/>
        <v>0</v>
      </c>
      <c r="H341" s="169">
        <f t="shared" si="128"/>
        <v>0</v>
      </c>
      <c r="I341" s="143">
        <f t="shared" ref="I341:I404" si="146">IF(I340&lt;L340,0,I340-K340)</f>
        <v>0</v>
      </c>
      <c r="J341" s="144">
        <f t="shared" si="135"/>
        <v>0</v>
      </c>
      <c r="K341" s="144">
        <f t="shared" si="136"/>
        <v>0</v>
      </c>
      <c r="L341" s="169">
        <f t="shared" si="127"/>
        <v>0</v>
      </c>
      <c r="M341" s="143">
        <f t="shared" ref="M341:M404" si="147">IF(M340&lt;P340,0,M340-O340)</f>
        <v>0</v>
      </c>
      <c r="N341" s="144">
        <f t="shared" si="137"/>
        <v>0</v>
      </c>
      <c r="O341" s="144">
        <f t="shared" si="138"/>
        <v>0</v>
      </c>
      <c r="P341" s="169">
        <f t="shared" si="129"/>
        <v>0</v>
      </c>
      <c r="R341" s="143">
        <f t="shared" ref="R341:R404" si="148">IF(R340&lt;U340,0,R340-T340)</f>
        <v>0</v>
      </c>
      <c r="S341" s="144">
        <f t="shared" si="139"/>
        <v>0</v>
      </c>
      <c r="T341" s="144">
        <f t="shared" si="140"/>
        <v>0</v>
      </c>
      <c r="U341" s="169">
        <f t="shared" si="141"/>
        <v>0</v>
      </c>
      <c r="V341" s="143">
        <f t="shared" ref="V341:V404" si="149">IF(V340&lt;Y340,0,V340-X340)</f>
        <v>0</v>
      </c>
      <c r="W341" s="144">
        <f t="shared" si="142"/>
        <v>0</v>
      </c>
      <c r="X341" s="144">
        <f t="shared" si="143"/>
        <v>0</v>
      </c>
      <c r="Y341" s="169">
        <f t="shared" si="144"/>
        <v>0</v>
      </c>
      <c r="Z341" s="151">
        <v>0</v>
      </c>
      <c r="AA341" s="151">
        <v>0</v>
      </c>
      <c r="AB341" s="151">
        <v>0</v>
      </c>
      <c r="AC341" s="151">
        <v>0</v>
      </c>
    </row>
    <row r="342" spans="1:29" s="61" customFormat="1" ht="11.25">
      <c r="A342" s="147">
        <f t="shared" si="130"/>
        <v>0</v>
      </c>
      <c r="B342" s="152">
        <f t="shared" si="131"/>
        <v>0</v>
      </c>
      <c r="C342" s="141">
        <f t="shared" si="132"/>
        <v>27</v>
      </c>
      <c r="D342" s="142">
        <v>323</v>
      </c>
      <c r="E342" s="143">
        <f t="shared" si="145"/>
        <v>0</v>
      </c>
      <c r="F342" s="144">
        <f t="shared" si="133"/>
        <v>0</v>
      </c>
      <c r="G342" s="144">
        <f t="shared" si="134"/>
        <v>0</v>
      </c>
      <c r="H342" s="169">
        <f t="shared" si="128"/>
        <v>0</v>
      </c>
      <c r="I342" s="143">
        <f t="shared" si="146"/>
        <v>0</v>
      </c>
      <c r="J342" s="144">
        <f t="shared" si="135"/>
        <v>0</v>
      </c>
      <c r="K342" s="144">
        <f t="shared" si="136"/>
        <v>0</v>
      </c>
      <c r="L342" s="169">
        <f t="shared" si="127"/>
        <v>0</v>
      </c>
      <c r="M342" s="143">
        <f t="shared" si="147"/>
        <v>0</v>
      </c>
      <c r="N342" s="144">
        <f t="shared" si="137"/>
        <v>0</v>
      </c>
      <c r="O342" s="144">
        <f t="shared" si="138"/>
        <v>0</v>
      </c>
      <c r="P342" s="169">
        <f t="shared" si="129"/>
        <v>0</v>
      </c>
      <c r="R342" s="143">
        <f t="shared" si="148"/>
        <v>0</v>
      </c>
      <c r="S342" s="144">
        <f t="shared" si="139"/>
        <v>0</v>
      </c>
      <c r="T342" s="144">
        <f t="shared" si="140"/>
        <v>0</v>
      </c>
      <c r="U342" s="169">
        <f t="shared" si="141"/>
        <v>0</v>
      </c>
      <c r="V342" s="143">
        <f t="shared" si="149"/>
        <v>0</v>
      </c>
      <c r="W342" s="144">
        <f t="shared" si="142"/>
        <v>0</v>
      </c>
      <c r="X342" s="144">
        <f t="shared" si="143"/>
        <v>0</v>
      </c>
      <c r="Y342" s="169">
        <f t="shared" si="144"/>
        <v>0</v>
      </c>
      <c r="Z342" s="151">
        <v>0</v>
      </c>
      <c r="AA342" s="151">
        <v>0</v>
      </c>
      <c r="AB342" s="151">
        <v>0</v>
      </c>
      <c r="AC342" s="151">
        <v>0</v>
      </c>
    </row>
    <row r="343" spans="1:29" s="61" customFormat="1" ht="12" thickBot="1">
      <c r="A343" s="153">
        <f t="shared" si="130"/>
        <v>0</v>
      </c>
      <c r="B343" s="154">
        <f t="shared" si="131"/>
        <v>0</v>
      </c>
      <c r="C343" s="155">
        <f t="shared" si="132"/>
        <v>27</v>
      </c>
      <c r="D343" s="156">
        <v>324</v>
      </c>
      <c r="E343" s="157">
        <f t="shared" si="145"/>
        <v>0</v>
      </c>
      <c r="F343" s="158">
        <f t="shared" si="133"/>
        <v>0</v>
      </c>
      <c r="G343" s="158">
        <f t="shared" si="134"/>
        <v>0</v>
      </c>
      <c r="H343" s="172">
        <f t="shared" si="128"/>
        <v>0</v>
      </c>
      <c r="I343" s="157">
        <f t="shared" si="146"/>
        <v>0</v>
      </c>
      <c r="J343" s="158">
        <f t="shared" si="135"/>
        <v>0</v>
      </c>
      <c r="K343" s="158">
        <f t="shared" si="136"/>
        <v>0</v>
      </c>
      <c r="L343" s="172">
        <f t="shared" si="127"/>
        <v>0</v>
      </c>
      <c r="M343" s="157">
        <f t="shared" si="147"/>
        <v>0</v>
      </c>
      <c r="N343" s="158">
        <f t="shared" si="137"/>
        <v>0</v>
      </c>
      <c r="O343" s="158">
        <f t="shared" si="138"/>
        <v>0</v>
      </c>
      <c r="P343" s="172">
        <f t="shared" si="129"/>
        <v>0</v>
      </c>
      <c r="R343" s="157">
        <f t="shared" si="148"/>
        <v>0</v>
      </c>
      <c r="S343" s="158">
        <f t="shared" si="139"/>
        <v>0</v>
      </c>
      <c r="T343" s="158">
        <f t="shared" si="140"/>
        <v>0</v>
      </c>
      <c r="U343" s="172">
        <f t="shared" si="141"/>
        <v>0</v>
      </c>
      <c r="V343" s="157">
        <f t="shared" si="149"/>
        <v>0</v>
      </c>
      <c r="W343" s="158">
        <f t="shared" si="142"/>
        <v>0</v>
      </c>
      <c r="X343" s="158">
        <f t="shared" si="143"/>
        <v>0</v>
      </c>
      <c r="Y343" s="172">
        <f t="shared" si="144"/>
        <v>0</v>
      </c>
      <c r="Z343" s="151">
        <v>0</v>
      </c>
      <c r="AA343" s="151">
        <v>0</v>
      </c>
      <c r="AB343" s="151">
        <v>0</v>
      </c>
      <c r="AC343" s="151">
        <v>0</v>
      </c>
    </row>
    <row r="344" spans="1:29" s="61" customFormat="1" ht="11.25">
      <c r="A344" s="147">
        <f t="shared" si="130"/>
        <v>0</v>
      </c>
      <c r="B344" s="152">
        <f t="shared" si="131"/>
        <v>0</v>
      </c>
      <c r="C344" s="141">
        <f t="shared" si="132"/>
        <v>28</v>
      </c>
      <c r="D344" s="142">
        <v>325</v>
      </c>
      <c r="E344" s="143">
        <f t="shared" si="145"/>
        <v>0</v>
      </c>
      <c r="F344" s="144">
        <f t="shared" si="133"/>
        <v>0</v>
      </c>
      <c r="G344" s="144">
        <f t="shared" si="134"/>
        <v>0</v>
      </c>
      <c r="H344" s="169">
        <f t="shared" si="128"/>
        <v>0</v>
      </c>
      <c r="I344" s="143">
        <f t="shared" si="146"/>
        <v>0</v>
      </c>
      <c r="J344" s="144">
        <f t="shared" si="135"/>
        <v>0</v>
      </c>
      <c r="K344" s="144">
        <f t="shared" si="136"/>
        <v>0</v>
      </c>
      <c r="L344" s="169">
        <f t="shared" si="127"/>
        <v>0</v>
      </c>
      <c r="M344" s="143">
        <f t="shared" si="147"/>
        <v>0</v>
      </c>
      <c r="N344" s="144">
        <f t="shared" si="137"/>
        <v>0</v>
      </c>
      <c r="O344" s="144">
        <f t="shared" si="138"/>
        <v>0</v>
      </c>
      <c r="P344" s="169">
        <f t="shared" si="129"/>
        <v>0</v>
      </c>
      <c r="R344" s="143">
        <f t="shared" si="148"/>
        <v>0</v>
      </c>
      <c r="S344" s="144">
        <f t="shared" si="139"/>
        <v>0</v>
      </c>
      <c r="T344" s="144">
        <f t="shared" si="140"/>
        <v>0</v>
      </c>
      <c r="U344" s="169">
        <f t="shared" si="141"/>
        <v>0</v>
      </c>
      <c r="V344" s="143">
        <f t="shared" si="149"/>
        <v>0</v>
      </c>
      <c r="W344" s="144">
        <f t="shared" si="142"/>
        <v>0</v>
      </c>
      <c r="X344" s="144">
        <f t="shared" si="143"/>
        <v>0</v>
      </c>
      <c r="Y344" s="169">
        <f t="shared" si="144"/>
        <v>0</v>
      </c>
      <c r="Z344" s="151">
        <v>0</v>
      </c>
      <c r="AA344" s="151">
        <v>0</v>
      </c>
      <c r="AB344" s="151">
        <v>0</v>
      </c>
      <c r="AC344" s="151">
        <v>0</v>
      </c>
    </row>
    <row r="345" spans="1:29" s="61" customFormat="1" ht="11.25">
      <c r="A345" s="147">
        <f t="shared" si="130"/>
        <v>0</v>
      </c>
      <c r="B345" s="152">
        <f t="shared" si="131"/>
        <v>0</v>
      </c>
      <c r="C345" s="141">
        <f t="shared" si="132"/>
        <v>28</v>
      </c>
      <c r="D345" s="142">
        <v>326</v>
      </c>
      <c r="E345" s="143">
        <f t="shared" si="145"/>
        <v>0</v>
      </c>
      <c r="F345" s="144">
        <f t="shared" si="133"/>
        <v>0</v>
      </c>
      <c r="G345" s="144">
        <f t="shared" si="134"/>
        <v>0</v>
      </c>
      <c r="H345" s="169">
        <f t="shared" si="128"/>
        <v>0</v>
      </c>
      <c r="I345" s="143">
        <f t="shared" si="146"/>
        <v>0</v>
      </c>
      <c r="J345" s="144">
        <f t="shared" si="135"/>
        <v>0</v>
      </c>
      <c r="K345" s="144">
        <f t="shared" si="136"/>
        <v>0</v>
      </c>
      <c r="L345" s="169">
        <f t="shared" si="127"/>
        <v>0</v>
      </c>
      <c r="M345" s="143">
        <f t="shared" si="147"/>
        <v>0</v>
      </c>
      <c r="N345" s="144">
        <f t="shared" si="137"/>
        <v>0</v>
      </c>
      <c r="O345" s="144">
        <f t="shared" si="138"/>
        <v>0</v>
      </c>
      <c r="P345" s="169">
        <f t="shared" si="129"/>
        <v>0</v>
      </c>
      <c r="R345" s="143">
        <f t="shared" si="148"/>
        <v>0</v>
      </c>
      <c r="S345" s="144">
        <f t="shared" si="139"/>
        <v>0</v>
      </c>
      <c r="T345" s="144">
        <f t="shared" si="140"/>
        <v>0</v>
      </c>
      <c r="U345" s="169">
        <f t="shared" si="141"/>
        <v>0</v>
      </c>
      <c r="V345" s="143">
        <f t="shared" si="149"/>
        <v>0</v>
      </c>
      <c r="W345" s="144">
        <f t="shared" si="142"/>
        <v>0</v>
      </c>
      <c r="X345" s="144">
        <f t="shared" si="143"/>
        <v>0</v>
      </c>
      <c r="Y345" s="169">
        <f t="shared" si="144"/>
        <v>0</v>
      </c>
      <c r="Z345" s="151">
        <v>0</v>
      </c>
      <c r="AA345" s="151">
        <v>0</v>
      </c>
      <c r="AB345" s="151">
        <v>0</v>
      </c>
      <c r="AC345" s="151">
        <v>0</v>
      </c>
    </row>
    <row r="346" spans="1:29" s="61" customFormat="1" ht="11.25">
      <c r="A346" s="147">
        <f t="shared" si="130"/>
        <v>0</v>
      </c>
      <c r="B346" s="152">
        <f t="shared" si="131"/>
        <v>0</v>
      </c>
      <c r="C346" s="141">
        <f t="shared" si="132"/>
        <v>28</v>
      </c>
      <c r="D346" s="142">
        <v>327</v>
      </c>
      <c r="E346" s="143">
        <f t="shared" si="145"/>
        <v>0</v>
      </c>
      <c r="F346" s="144">
        <f t="shared" si="133"/>
        <v>0</v>
      </c>
      <c r="G346" s="144">
        <f t="shared" si="134"/>
        <v>0</v>
      </c>
      <c r="H346" s="169">
        <f t="shared" si="128"/>
        <v>0</v>
      </c>
      <c r="I346" s="143">
        <f t="shared" si="146"/>
        <v>0</v>
      </c>
      <c r="J346" s="144">
        <f t="shared" si="135"/>
        <v>0</v>
      </c>
      <c r="K346" s="144">
        <f t="shared" si="136"/>
        <v>0</v>
      </c>
      <c r="L346" s="169">
        <f t="shared" si="127"/>
        <v>0</v>
      </c>
      <c r="M346" s="143">
        <f t="shared" si="147"/>
        <v>0</v>
      </c>
      <c r="N346" s="144">
        <f t="shared" si="137"/>
        <v>0</v>
      </c>
      <c r="O346" s="144">
        <f t="shared" si="138"/>
        <v>0</v>
      </c>
      <c r="P346" s="169">
        <f t="shared" si="129"/>
        <v>0</v>
      </c>
      <c r="R346" s="143">
        <f t="shared" si="148"/>
        <v>0</v>
      </c>
      <c r="S346" s="144">
        <f t="shared" si="139"/>
        <v>0</v>
      </c>
      <c r="T346" s="144">
        <f t="shared" si="140"/>
        <v>0</v>
      </c>
      <c r="U346" s="169">
        <f t="shared" si="141"/>
        <v>0</v>
      </c>
      <c r="V346" s="143">
        <f t="shared" si="149"/>
        <v>0</v>
      </c>
      <c r="W346" s="144">
        <f t="shared" si="142"/>
        <v>0</v>
      </c>
      <c r="X346" s="144">
        <f t="shared" si="143"/>
        <v>0</v>
      </c>
      <c r="Y346" s="169">
        <f t="shared" si="144"/>
        <v>0</v>
      </c>
      <c r="Z346" s="151">
        <v>0</v>
      </c>
      <c r="AA346" s="151">
        <v>0</v>
      </c>
      <c r="AB346" s="151">
        <v>0</v>
      </c>
      <c r="AC346" s="151">
        <v>0</v>
      </c>
    </row>
    <row r="347" spans="1:29" s="61" customFormat="1" ht="11.25">
      <c r="A347" s="147">
        <f t="shared" si="130"/>
        <v>0</v>
      </c>
      <c r="B347" s="152">
        <f t="shared" si="131"/>
        <v>0</v>
      </c>
      <c r="C347" s="141">
        <f t="shared" si="132"/>
        <v>28</v>
      </c>
      <c r="D347" s="142">
        <v>328</v>
      </c>
      <c r="E347" s="143">
        <f t="shared" si="145"/>
        <v>0</v>
      </c>
      <c r="F347" s="144">
        <f t="shared" si="133"/>
        <v>0</v>
      </c>
      <c r="G347" s="144">
        <f t="shared" si="134"/>
        <v>0</v>
      </c>
      <c r="H347" s="169">
        <f t="shared" si="128"/>
        <v>0</v>
      </c>
      <c r="I347" s="143">
        <f t="shared" si="146"/>
        <v>0</v>
      </c>
      <c r="J347" s="144">
        <f t="shared" si="135"/>
        <v>0</v>
      </c>
      <c r="K347" s="144">
        <f t="shared" si="136"/>
        <v>0</v>
      </c>
      <c r="L347" s="169">
        <f t="shared" si="127"/>
        <v>0</v>
      </c>
      <c r="M347" s="143">
        <f t="shared" si="147"/>
        <v>0</v>
      </c>
      <c r="N347" s="144">
        <f t="shared" si="137"/>
        <v>0</v>
      </c>
      <c r="O347" s="144">
        <f t="shared" si="138"/>
        <v>0</v>
      </c>
      <c r="P347" s="169">
        <f t="shared" si="129"/>
        <v>0</v>
      </c>
      <c r="R347" s="143">
        <f t="shared" si="148"/>
        <v>0</v>
      </c>
      <c r="S347" s="144">
        <f t="shared" si="139"/>
        <v>0</v>
      </c>
      <c r="T347" s="144">
        <f t="shared" si="140"/>
        <v>0</v>
      </c>
      <c r="U347" s="169">
        <f t="shared" si="141"/>
        <v>0</v>
      </c>
      <c r="V347" s="143">
        <f t="shared" si="149"/>
        <v>0</v>
      </c>
      <c r="W347" s="144">
        <f t="shared" si="142"/>
        <v>0</v>
      </c>
      <c r="X347" s="144">
        <f t="shared" si="143"/>
        <v>0</v>
      </c>
      <c r="Y347" s="169">
        <f t="shared" si="144"/>
        <v>0</v>
      </c>
      <c r="Z347" s="151">
        <v>0</v>
      </c>
      <c r="AA347" s="151">
        <v>0</v>
      </c>
      <c r="AB347" s="151">
        <v>0</v>
      </c>
      <c r="AC347" s="151">
        <v>0</v>
      </c>
    </row>
    <row r="348" spans="1:29" s="61" customFormat="1" ht="11.25">
      <c r="A348" s="147">
        <f t="shared" si="130"/>
        <v>0</v>
      </c>
      <c r="B348" s="152">
        <f t="shared" si="131"/>
        <v>0</v>
      </c>
      <c r="C348" s="141">
        <f t="shared" si="132"/>
        <v>28</v>
      </c>
      <c r="D348" s="142">
        <v>329</v>
      </c>
      <c r="E348" s="143">
        <f t="shared" si="145"/>
        <v>0</v>
      </c>
      <c r="F348" s="144">
        <f t="shared" si="133"/>
        <v>0</v>
      </c>
      <c r="G348" s="144">
        <f t="shared" si="134"/>
        <v>0</v>
      </c>
      <c r="H348" s="169">
        <f t="shared" si="128"/>
        <v>0</v>
      </c>
      <c r="I348" s="143">
        <f t="shared" si="146"/>
        <v>0</v>
      </c>
      <c r="J348" s="144">
        <f t="shared" si="135"/>
        <v>0</v>
      </c>
      <c r="K348" s="144">
        <f t="shared" si="136"/>
        <v>0</v>
      </c>
      <c r="L348" s="169">
        <f t="shared" si="127"/>
        <v>0</v>
      </c>
      <c r="M348" s="143">
        <f t="shared" si="147"/>
        <v>0</v>
      </c>
      <c r="N348" s="144">
        <f t="shared" si="137"/>
        <v>0</v>
      </c>
      <c r="O348" s="144">
        <f t="shared" si="138"/>
        <v>0</v>
      </c>
      <c r="P348" s="169">
        <f t="shared" si="129"/>
        <v>0</v>
      </c>
      <c r="R348" s="143">
        <f t="shared" si="148"/>
        <v>0</v>
      </c>
      <c r="S348" s="144">
        <f t="shared" si="139"/>
        <v>0</v>
      </c>
      <c r="T348" s="144">
        <f t="shared" si="140"/>
        <v>0</v>
      </c>
      <c r="U348" s="169">
        <f t="shared" si="141"/>
        <v>0</v>
      </c>
      <c r="V348" s="143">
        <f t="shared" si="149"/>
        <v>0</v>
      </c>
      <c r="W348" s="144">
        <f t="shared" si="142"/>
        <v>0</v>
      </c>
      <c r="X348" s="144">
        <f t="shared" si="143"/>
        <v>0</v>
      </c>
      <c r="Y348" s="169">
        <f t="shared" si="144"/>
        <v>0</v>
      </c>
      <c r="Z348" s="151">
        <v>0</v>
      </c>
      <c r="AA348" s="151">
        <v>0</v>
      </c>
      <c r="AB348" s="151">
        <v>0</v>
      </c>
      <c r="AC348" s="151">
        <v>0</v>
      </c>
    </row>
    <row r="349" spans="1:29" s="61" customFormat="1" ht="11.25">
      <c r="A349" s="147">
        <f t="shared" si="130"/>
        <v>0</v>
      </c>
      <c r="B349" s="152">
        <f t="shared" si="131"/>
        <v>0</v>
      </c>
      <c r="C349" s="141">
        <f t="shared" si="132"/>
        <v>28</v>
      </c>
      <c r="D349" s="142">
        <v>330</v>
      </c>
      <c r="E349" s="143">
        <f t="shared" si="145"/>
        <v>0</v>
      </c>
      <c r="F349" s="144">
        <f t="shared" si="133"/>
        <v>0</v>
      </c>
      <c r="G349" s="144">
        <f t="shared" si="134"/>
        <v>0</v>
      </c>
      <c r="H349" s="169">
        <f t="shared" si="128"/>
        <v>0</v>
      </c>
      <c r="I349" s="143">
        <f t="shared" si="146"/>
        <v>0</v>
      </c>
      <c r="J349" s="144">
        <f t="shared" si="135"/>
        <v>0</v>
      </c>
      <c r="K349" s="144">
        <f t="shared" si="136"/>
        <v>0</v>
      </c>
      <c r="L349" s="169">
        <f t="shared" si="127"/>
        <v>0</v>
      </c>
      <c r="M349" s="143">
        <f t="shared" si="147"/>
        <v>0</v>
      </c>
      <c r="N349" s="144">
        <f t="shared" si="137"/>
        <v>0</v>
      </c>
      <c r="O349" s="144">
        <f t="shared" si="138"/>
        <v>0</v>
      </c>
      <c r="P349" s="169">
        <f t="shared" si="129"/>
        <v>0</v>
      </c>
      <c r="R349" s="143">
        <f t="shared" si="148"/>
        <v>0</v>
      </c>
      <c r="S349" s="144">
        <f t="shared" si="139"/>
        <v>0</v>
      </c>
      <c r="T349" s="144">
        <f t="shared" si="140"/>
        <v>0</v>
      </c>
      <c r="U349" s="169">
        <f t="shared" si="141"/>
        <v>0</v>
      </c>
      <c r="V349" s="143">
        <f t="shared" si="149"/>
        <v>0</v>
      </c>
      <c r="W349" s="144">
        <f t="shared" si="142"/>
        <v>0</v>
      </c>
      <c r="X349" s="144">
        <f t="shared" si="143"/>
        <v>0</v>
      </c>
      <c r="Y349" s="169">
        <f t="shared" si="144"/>
        <v>0</v>
      </c>
      <c r="Z349" s="151">
        <v>0</v>
      </c>
      <c r="AA349" s="151">
        <v>0</v>
      </c>
      <c r="AB349" s="151">
        <v>0</v>
      </c>
      <c r="AC349" s="151">
        <v>0</v>
      </c>
    </row>
    <row r="350" spans="1:29" s="61" customFormat="1" ht="11.25">
      <c r="A350" s="147">
        <f t="shared" si="130"/>
        <v>0</v>
      </c>
      <c r="B350" s="152">
        <f t="shared" si="131"/>
        <v>0</v>
      </c>
      <c r="C350" s="141">
        <f t="shared" si="132"/>
        <v>28</v>
      </c>
      <c r="D350" s="142">
        <v>331</v>
      </c>
      <c r="E350" s="143">
        <f t="shared" si="145"/>
        <v>0</v>
      </c>
      <c r="F350" s="144">
        <f t="shared" si="133"/>
        <v>0</v>
      </c>
      <c r="G350" s="144">
        <f t="shared" si="134"/>
        <v>0</v>
      </c>
      <c r="H350" s="169">
        <f t="shared" si="128"/>
        <v>0</v>
      </c>
      <c r="I350" s="143">
        <f t="shared" si="146"/>
        <v>0</v>
      </c>
      <c r="J350" s="144">
        <f t="shared" si="135"/>
        <v>0</v>
      </c>
      <c r="K350" s="144">
        <f t="shared" si="136"/>
        <v>0</v>
      </c>
      <c r="L350" s="169">
        <f t="shared" si="127"/>
        <v>0</v>
      </c>
      <c r="M350" s="143">
        <f t="shared" si="147"/>
        <v>0</v>
      </c>
      <c r="N350" s="144">
        <f t="shared" si="137"/>
        <v>0</v>
      </c>
      <c r="O350" s="144">
        <f t="shared" si="138"/>
        <v>0</v>
      </c>
      <c r="P350" s="169">
        <f t="shared" si="129"/>
        <v>0</v>
      </c>
      <c r="R350" s="143">
        <f t="shared" si="148"/>
        <v>0</v>
      </c>
      <c r="S350" s="144">
        <f t="shared" si="139"/>
        <v>0</v>
      </c>
      <c r="T350" s="144">
        <f t="shared" si="140"/>
        <v>0</v>
      </c>
      <c r="U350" s="169">
        <f t="shared" si="141"/>
        <v>0</v>
      </c>
      <c r="V350" s="143">
        <f t="shared" si="149"/>
        <v>0</v>
      </c>
      <c r="W350" s="144">
        <f t="shared" si="142"/>
        <v>0</v>
      </c>
      <c r="X350" s="144">
        <f t="shared" si="143"/>
        <v>0</v>
      </c>
      <c r="Y350" s="169">
        <f t="shared" si="144"/>
        <v>0</v>
      </c>
      <c r="Z350" s="151">
        <v>0</v>
      </c>
      <c r="AA350" s="151">
        <v>0</v>
      </c>
      <c r="AB350" s="151">
        <v>0</v>
      </c>
      <c r="AC350" s="151">
        <v>0</v>
      </c>
    </row>
    <row r="351" spans="1:29" s="61" customFormat="1" ht="11.25">
      <c r="A351" s="147">
        <f t="shared" si="130"/>
        <v>0</v>
      </c>
      <c r="B351" s="152">
        <f t="shared" si="131"/>
        <v>0</v>
      </c>
      <c r="C351" s="141">
        <f t="shared" si="132"/>
        <v>28</v>
      </c>
      <c r="D351" s="142">
        <v>332</v>
      </c>
      <c r="E351" s="143">
        <f t="shared" si="145"/>
        <v>0</v>
      </c>
      <c r="F351" s="144">
        <f t="shared" si="133"/>
        <v>0</v>
      </c>
      <c r="G351" s="144">
        <f t="shared" si="134"/>
        <v>0</v>
      </c>
      <c r="H351" s="169">
        <f t="shared" si="128"/>
        <v>0</v>
      </c>
      <c r="I351" s="143">
        <f t="shared" si="146"/>
        <v>0</v>
      </c>
      <c r="J351" s="144">
        <f t="shared" si="135"/>
        <v>0</v>
      </c>
      <c r="K351" s="144">
        <f t="shared" si="136"/>
        <v>0</v>
      </c>
      <c r="L351" s="169">
        <f t="shared" si="127"/>
        <v>0</v>
      </c>
      <c r="M351" s="143">
        <f t="shared" si="147"/>
        <v>0</v>
      </c>
      <c r="N351" s="144">
        <f t="shared" si="137"/>
        <v>0</v>
      </c>
      <c r="O351" s="144">
        <f t="shared" si="138"/>
        <v>0</v>
      </c>
      <c r="P351" s="169">
        <f t="shared" si="129"/>
        <v>0</v>
      </c>
      <c r="R351" s="143">
        <f t="shared" si="148"/>
        <v>0</v>
      </c>
      <c r="S351" s="144">
        <f t="shared" si="139"/>
        <v>0</v>
      </c>
      <c r="T351" s="144">
        <f t="shared" si="140"/>
        <v>0</v>
      </c>
      <c r="U351" s="169">
        <f t="shared" si="141"/>
        <v>0</v>
      </c>
      <c r="V351" s="143">
        <f t="shared" si="149"/>
        <v>0</v>
      </c>
      <c r="W351" s="144">
        <f t="shared" si="142"/>
        <v>0</v>
      </c>
      <c r="X351" s="144">
        <f t="shared" si="143"/>
        <v>0</v>
      </c>
      <c r="Y351" s="169">
        <f t="shared" si="144"/>
        <v>0</v>
      </c>
      <c r="Z351" s="151">
        <v>0</v>
      </c>
      <c r="AA351" s="151">
        <v>0</v>
      </c>
      <c r="AB351" s="151">
        <v>0</v>
      </c>
      <c r="AC351" s="151">
        <v>0</v>
      </c>
    </row>
    <row r="352" spans="1:29" s="61" customFormat="1" ht="11.25">
      <c r="A352" s="147">
        <f t="shared" si="130"/>
        <v>0</v>
      </c>
      <c r="B352" s="152">
        <f t="shared" si="131"/>
        <v>0</v>
      </c>
      <c r="C352" s="141">
        <f t="shared" si="132"/>
        <v>28</v>
      </c>
      <c r="D352" s="142">
        <v>333</v>
      </c>
      <c r="E352" s="143">
        <f t="shared" si="145"/>
        <v>0</v>
      </c>
      <c r="F352" s="144">
        <f t="shared" si="133"/>
        <v>0</v>
      </c>
      <c r="G352" s="144">
        <f t="shared" si="134"/>
        <v>0</v>
      </c>
      <c r="H352" s="169">
        <f t="shared" si="128"/>
        <v>0</v>
      </c>
      <c r="I352" s="143">
        <f t="shared" si="146"/>
        <v>0</v>
      </c>
      <c r="J352" s="144">
        <f t="shared" si="135"/>
        <v>0</v>
      </c>
      <c r="K352" s="144">
        <f t="shared" si="136"/>
        <v>0</v>
      </c>
      <c r="L352" s="169">
        <f t="shared" si="127"/>
        <v>0</v>
      </c>
      <c r="M352" s="143">
        <f t="shared" si="147"/>
        <v>0</v>
      </c>
      <c r="N352" s="144">
        <f t="shared" si="137"/>
        <v>0</v>
      </c>
      <c r="O352" s="144">
        <f t="shared" si="138"/>
        <v>0</v>
      </c>
      <c r="P352" s="169">
        <f t="shared" si="129"/>
        <v>0</v>
      </c>
      <c r="R352" s="143">
        <f t="shared" si="148"/>
        <v>0</v>
      </c>
      <c r="S352" s="144">
        <f t="shared" si="139"/>
        <v>0</v>
      </c>
      <c r="T352" s="144">
        <f t="shared" si="140"/>
        <v>0</v>
      </c>
      <c r="U352" s="169">
        <f t="shared" si="141"/>
        <v>0</v>
      </c>
      <c r="V352" s="143">
        <f t="shared" si="149"/>
        <v>0</v>
      </c>
      <c r="W352" s="144">
        <f t="shared" si="142"/>
        <v>0</v>
      </c>
      <c r="X352" s="144">
        <f t="shared" si="143"/>
        <v>0</v>
      </c>
      <c r="Y352" s="169">
        <f t="shared" si="144"/>
        <v>0</v>
      </c>
      <c r="Z352" s="151">
        <v>0</v>
      </c>
      <c r="AA352" s="151">
        <v>0</v>
      </c>
      <c r="AB352" s="151">
        <v>0</v>
      </c>
      <c r="AC352" s="151">
        <v>0</v>
      </c>
    </row>
    <row r="353" spans="1:29" s="61" customFormat="1" ht="11.25">
      <c r="A353" s="147">
        <f t="shared" si="130"/>
        <v>0</v>
      </c>
      <c r="B353" s="152">
        <f t="shared" si="131"/>
        <v>0</v>
      </c>
      <c r="C353" s="141">
        <f t="shared" si="132"/>
        <v>28</v>
      </c>
      <c r="D353" s="142">
        <v>334</v>
      </c>
      <c r="E353" s="143">
        <f t="shared" si="145"/>
        <v>0</v>
      </c>
      <c r="F353" s="144">
        <f t="shared" si="133"/>
        <v>0</v>
      </c>
      <c r="G353" s="144">
        <f t="shared" si="134"/>
        <v>0</v>
      </c>
      <c r="H353" s="169">
        <f t="shared" si="128"/>
        <v>0</v>
      </c>
      <c r="I353" s="143">
        <f t="shared" si="146"/>
        <v>0</v>
      </c>
      <c r="J353" s="144">
        <f t="shared" si="135"/>
        <v>0</v>
      </c>
      <c r="K353" s="144">
        <f t="shared" si="136"/>
        <v>0</v>
      </c>
      <c r="L353" s="169">
        <f t="shared" si="127"/>
        <v>0</v>
      </c>
      <c r="M353" s="143">
        <f t="shared" si="147"/>
        <v>0</v>
      </c>
      <c r="N353" s="144">
        <f t="shared" si="137"/>
        <v>0</v>
      </c>
      <c r="O353" s="144">
        <f t="shared" si="138"/>
        <v>0</v>
      </c>
      <c r="P353" s="169">
        <f t="shared" si="129"/>
        <v>0</v>
      </c>
      <c r="R353" s="143">
        <f t="shared" si="148"/>
        <v>0</v>
      </c>
      <c r="S353" s="144">
        <f t="shared" si="139"/>
        <v>0</v>
      </c>
      <c r="T353" s="144">
        <f t="shared" si="140"/>
        <v>0</v>
      </c>
      <c r="U353" s="169">
        <f t="shared" si="141"/>
        <v>0</v>
      </c>
      <c r="V353" s="143">
        <f t="shared" si="149"/>
        <v>0</v>
      </c>
      <c r="W353" s="144">
        <f t="shared" si="142"/>
        <v>0</v>
      </c>
      <c r="X353" s="144">
        <f t="shared" si="143"/>
        <v>0</v>
      </c>
      <c r="Y353" s="169">
        <f t="shared" si="144"/>
        <v>0</v>
      </c>
      <c r="Z353" s="151">
        <v>0</v>
      </c>
      <c r="AA353" s="151">
        <v>0</v>
      </c>
      <c r="AB353" s="151">
        <v>0</v>
      </c>
      <c r="AC353" s="151">
        <v>0</v>
      </c>
    </row>
    <row r="354" spans="1:29" s="61" customFormat="1" ht="11.25">
      <c r="A354" s="147">
        <f t="shared" si="130"/>
        <v>0</v>
      </c>
      <c r="B354" s="152">
        <f t="shared" si="131"/>
        <v>0</v>
      </c>
      <c r="C354" s="141">
        <f t="shared" si="132"/>
        <v>28</v>
      </c>
      <c r="D354" s="142">
        <v>335</v>
      </c>
      <c r="E354" s="143">
        <f t="shared" si="145"/>
        <v>0</v>
      </c>
      <c r="F354" s="144">
        <f t="shared" si="133"/>
        <v>0</v>
      </c>
      <c r="G354" s="144">
        <f t="shared" si="134"/>
        <v>0</v>
      </c>
      <c r="H354" s="169">
        <f t="shared" si="128"/>
        <v>0</v>
      </c>
      <c r="I354" s="143">
        <f t="shared" si="146"/>
        <v>0</v>
      </c>
      <c r="J354" s="144">
        <f t="shared" si="135"/>
        <v>0</v>
      </c>
      <c r="K354" s="144">
        <f t="shared" si="136"/>
        <v>0</v>
      </c>
      <c r="L354" s="169">
        <f t="shared" si="127"/>
        <v>0</v>
      </c>
      <c r="M354" s="143">
        <f t="shared" si="147"/>
        <v>0</v>
      </c>
      <c r="N354" s="144">
        <f t="shared" si="137"/>
        <v>0</v>
      </c>
      <c r="O354" s="144">
        <f t="shared" si="138"/>
        <v>0</v>
      </c>
      <c r="P354" s="169">
        <f t="shared" si="129"/>
        <v>0</v>
      </c>
      <c r="R354" s="143">
        <f t="shared" si="148"/>
        <v>0</v>
      </c>
      <c r="S354" s="144">
        <f t="shared" si="139"/>
        <v>0</v>
      </c>
      <c r="T354" s="144">
        <f t="shared" si="140"/>
        <v>0</v>
      </c>
      <c r="U354" s="169">
        <f t="shared" si="141"/>
        <v>0</v>
      </c>
      <c r="V354" s="143">
        <f t="shared" si="149"/>
        <v>0</v>
      </c>
      <c r="W354" s="144">
        <f t="shared" si="142"/>
        <v>0</v>
      </c>
      <c r="X354" s="144">
        <f t="shared" si="143"/>
        <v>0</v>
      </c>
      <c r="Y354" s="169">
        <f t="shared" si="144"/>
        <v>0</v>
      </c>
      <c r="Z354" s="151">
        <v>0</v>
      </c>
      <c r="AA354" s="151">
        <v>0</v>
      </c>
      <c r="AB354" s="151">
        <v>0</v>
      </c>
      <c r="AC354" s="151">
        <v>0</v>
      </c>
    </row>
    <row r="355" spans="1:29" s="61" customFormat="1" ht="12" thickBot="1">
      <c r="A355" s="153">
        <f t="shared" si="130"/>
        <v>0</v>
      </c>
      <c r="B355" s="154">
        <f t="shared" si="131"/>
        <v>0</v>
      </c>
      <c r="C355" s="155">
        <f t="shared" si="132"/>
        <v>28</v>
      </c>
      <c r="D355" s="156">
        <v>336</v>
      </c>
      <c r="E355" s="157">
        <f t="shared" si="145"/>
        <v>0</v>
      </c>
      <c r="F355" s="158">
        <f t="shared" si="133"/>
        <v>0</v>
      </c>
      <c r="G355" s="158">
        <f t="shared" si="134"/>
        <v>0</v>
      </c>
      <c r="H355" s="172">
        <f t="shared" si="128"/>
        <v>0</v>
      </c>
      <c r="I355" s="157">
        <f t="shared" si="146"/>
        <v>0</v>
      </c>
      <c r="J355" s="158">
        <f t="shared" si="135"/>
        <v>0</v>
      </c>
      <c r="K355" s="158">
        <f t="shared" si="136"/>
        <v>0</v>
      </c>
      <c r="L355" s="172">
        <f t="shared" si="127"/>
        <v>0</v>
      </c>
      <c r="M355" s="157">
        <f t="shared" si="147"/>
        <v>0</v>
      </c>
      <c r="N355" s="158">
        <f t="shared" si="137"/>
        <v>0</v>
      </c>
      <c r="O355" s="158">
        <f t="shared" si="138"/>
        <v>0</v>
      </c>
      <c r="P355" s="172">
        <f t="shared" si="129"/>
        <v>0</v>
      </c>
      <c r="R355" s="157">
        <f t="shared" si="148"/>
        <v>0</v>
      </c>
      <c r="S355" s="158">
        <f t="shared" si="139"/>
        <v>0</v>
      </c>
      <c r="T355" s="158">
        <f t="shared" si="140"/>
        <v>0</v>
      </c>
      <c r="U355" s="172">
        <f t="shared" si="141"/>
        <v>0</v>
      </c>
      <c r="V355" s="157">
        <f t="shared" si="149"/>
        <v>0</v>
      </c>
      <c r="W355" s="158">
        <f t="shared" si="142"/>
        <v>0</v>
      </c>
      <c r="X355" s="158">
        <f t="shared" si="143"/>
        <v>0</v>
      </c>
      <c r="Y355" s="172">
        <f t="shared" si="144"/>
        <v>0</v>
      </c>
      <c r="Z355" s="151">
        <v>0</v>
      </c>
      <c r="AA355" s="151">
        <v>0</v>
      </c>
      <c r="AB355" s="151">
        <v>0</v>
      </c>
      <c r="AC355" s="151">
        <v>0</v>
      </c>
    </row>
    <row r="356" spans="1:29" s="61" customFormat="1" ht="11.25">
      <c r="A356" s="147">
        <f t="shared" si="130"/>
        <v>0</v>
      </c>
      <c r="B356" s="152">
        <f t="shared" si="131"/>
        <v>0</v>
      </c>
      <c r="C356" s="141">
        <f t="shared" si="132"/>
        <v>29</v>
      </c>
      <c r="D356" s="142">
        <v>337</v>
      </c>
      <c r="E356" s="143">
        <f t="shared" si="145"/>
        <v>0</v>
      </c>
      <c r="F356" s="144">
        <f t="shared" si="133"/>
        <v>0</v>
      </c>
      <c r="G356" s="144">
        <f t="shared" si="134"/>
        <v>0</v>
      </c>
      <c r="H356" s="169">
        <f t="shared" si="128"/>
        <v>0</v>
      </c>
      <c r="I356" s="143">
        <f t="shared" si="146"/>
        <v>0</v>
      </c>
      <c r="J356" s="144">
        <f t="shared" si="135"/>
        <v>0</v>
      </c>
      <c r="K356" s="144">
        <f t="shared" si="136"/>
        <v>0</v>
      </c>
      <c r="L356" s="169">
        <f t="shared" si="127"/>
        <v>0</v>
      </c>
      <c r="M356" s="143">
        <f t="shared" si="147"/>
        <v>0</v>
      </c>
      <c r="N356" s="144">
        <f t="shared" si="137"/>
        <v>0</v>
      </c>
      <c r="O356" s="144">
        <f t="shared" si="138"/>
        <v>0</v>
      </c>
      <c r="P356" s="169">
        <f t="shared" si="129"/>
        <v>0</v>
      </c>
      <c r="R356" s="143">
        <f t="shared" si="148"/>
        <v>0</v>
      </c>
      <c r="S356" s="144">
        <f t="shared" si="139"/>
        <v>0</v>
      </c>
      <c r="T356" s="144">
        <f t="shared" si="140"/>
        <v>0</v>
      </c>
      <c r="U356" s="169">
        <f t="shared" si="141"/>
        <v>0</v>
      </c>
      <c r="V356" s="143">
        <f t="shared" si="149"/>
        <v>0</v>
      </c>
      <c r="W356" s="144">
        <f t="shared" si="142"/>
        <v>0</v>
      </c>
      <c r="X356" s="144">
        <f t="shared" si="143"/>
        <v>0</v>
      </c>
      <c r="Y356" s="169">
        <f t="shared" si="144"/>
        <v>0</v>
      </c>
      <c r="Z356" s="151">
        <v>0</v>
      </c>
      <c r="AA356" s="151">
        <v>0</v>
      </c>
      <c r="AB356" s="151">
        <v>0</v>
      </c>
      <c r="AC356" s="151">
        <v>0</v>
      </c>
    </row>
    <row r="357" spans="1:29" s="61" customFormat="1" ht="11.25">
      <c r="A357" s="147">
        <f t="shared" si="130"/>
        <v>0</v>
      </c>
      <c r="B357" s="152">
        <f t="shared" si="131"/>
        <v>0</v>
      </c>
      <c r="C357" s="141">
        <f t="shared" si="132"/>
        <v>29</v>
      </c>
      <c r="D357" s="142">
        <v>338</v>
      </c>
      <c r="E357" s="143">
        <f t="shared" si="145"/>
        <v>0</v>
      </c>
      <c r="F357" s="144">
        <f t="shared" si="133"/>
        <v>0</v>
      </c>
      <c r="G357" s="144">
        <f t="shared" si="134"/>
        <v>0</v>
      </c>
      <c r="H357" s="169">
        <f t="shared" si="128"/>
        <v>0</v>
      </c>
      <c r="I357" s="143">
        <f t="shared" si="146"/>
        <v>0</v>
      </c>
      <c r="J357" s="144">
        <f t="shared" si="135"/>
        <v>0</v>
      </c>
      <c r="K357" s="144">
        <f t="shared" si="136"/>
        <v>0</v>
      </c>
      <c r="L357" s="169">
        <f t="shared" si="127"/>
        <v>0</v>
      </c>
      <c r="M357" s="143">
        <f t="shared" si="147"/>
        <v>0</v>
      </c>
      <c r="N357" s="144">
        <f t="shared" si="137"/>
        <v>0</v>
      </c>
      <c r="O357" s="144">
        <f t="shared" si="138"/>
        <v>0</v>
      </c>
      <c r="P357" s="169">
        <f t="shared" si="129"/>
        <v>0</v>
      </c>
      <c r="R357" s="143">
        <f t="shared" si="148"/>
        <v>0</v>
      </c>
      <c r="S357" s="144">
        <f t="shared" si="139"/>
        <v>0</v>
      </c>
      <c r="T357" s="144">
        <f t="shared" si="140"/>
        <v>0</v>
      </c>
      <c r="U357" s="169">
        <f t="shared" si="141"/>
        <v>0</v>
      </c>
      <c r="V357" s="143">
        <f t="shared" si="149"/>
        <v>0</v>
      </c>
      <c r="W357" s="144">
        <f t="shared" si="142"/>
        <v>0</v>
      </c>
      <c r="X357" s="144">
        <f t="shared" si="143"/>
        <v>0</v>
      </c>
      <c r="Y357" s="169">
        <f t="shared" si="144"/>
        <v>0</v>
      </c>
      <c r="Z357" s="151">
        <v>0</v>
      </c>
      <c r="AA357" s="151">
        <v>0</v>
      </c>
      <c r="AB357" s="151">
        <v>0</v>
      </c>
      <c r="AC357" s="151">
        <v>0</v>
      </c>
    </row>
    <row r="358" spans="1:29" s="61" customFormat="1" ht="11.25">
      <c r="A358" s="147">
        <f t="shared" si="130"/>
        <v>0</v>
      </c>
      <c r="B358" s="152">
        <f t="shared" si="131"/>
        <v>0</v>
      </c>
      <c r="C358" s="141">
        <f t="shared" si="132"/>
        <v>29</v>
      </c>
      <c r="D358" s="142">
        <v>339</v>
      </c>
      <c r="E358" s="143">
        <f t="shared" si="145"/>
        <v>0</v>
      </c>
      <c r="F358" s="144">
        <f t="shared" si="133"/>
        <v>0</v>
      </c>
      <c r="G358" s="144">
        <f t="shared" si="134"/>
        <v>0</v>
      </c>
      <c r="H358" s="169">
        <f t="shared" si="128"/>
        <v>0</v>
      </c>
      <c r="I358" s="143">
        <f t="shared" si="146"/>
        <v>0</v>
      </c>
      <c r="J358" s="144">
        <f t="shared" si="135"/>
        <v>0</v>
      </c>
      <c r="K358" s="144">
        <f t="shared" si="136"/>
        <v>0</v>
      </c>
      <c r="L358" s="169">
        <f t="shared" si="127"/>
        <v>0</v>
      </c>
      <c r="M358" s="143">
        <f t="shared" si="147"/>
        <v>0</v>
      </c>
      <c r="N358" s="144">
        <f t="shared" si="137"/>
        <v>0</v>
      </c>
      <c r="O358" s="144">
        <f t="shared" si="138"/>
        <v>0</v>
      </c>
      <c r="P358" s="169">
        <f t="shared" si="129"/>
        <v>0</v>
      </c>
      <c r="R358" s="143">
        <f t="shared" si="148"/>
        <v>0</v>
      </c>
      <c r="S358" s="144">
        <f t="shared" si="139"/>
        <v>0</v>
      </c>
      <c r="T358" s="144">
        <f t="shared" si="140"/>
        <v>0</v>
      </c>
      <c r="U358" s="169">
        <f t="shared" si="141"/>
        <v>0</v>
      </c>
      <c r="V358" s="143">
        <f t="shared" si="149"/>
        <v>0</v>
      </c>
      <c r="W358" s="144">
        <f t="shared" si="142"/>
        <v>0</v>
      </c>
      <c r="X358" s="144">
        <f t="shared" si="143"/>
        <v>0</v>
      </c>
      <c r="Y358" s="169">
        <f t="shared" si="144"/>
        <v>0</v>
      </c>
      <c r="Z358" s="151">
        <v>0</v>
      </c>
      <c r="AA358" s="151">
        <v>0</v>
      </c>
      <c r="AB358" s="151">
        <v>0</v>
      </c>
      <c r="AC358" s="151">
        <v>0</v>
      </c>
    </row>
    <row r="359" spans="1:29" s="61" customFormat="1" ht="11.25">
      <c r="A359" s="147">
        <f t="shared" si="130"/>
        <v>0</v>
      </c>
      <c r="B359" s="152">
        <f t="shared" si="131"/>
        <v>0</v>
      </c>
      <c r="C359" s="141">
        <f t="shared" si="132"/>
        <v>29</v>
      </c>
      <c r="D359" s="142">
        <v>340</v>
      </c>
      <c r="E359" s="143">
        <f t="shared" si="145"/>
        <v>0</v>
      </c>
      <c r="F359" s="144">
        <f t="shared" si="133"/>
        <v>0</v>
      </c>
      <c r="G359" s="144">
        <f t="shared" si="134"/>
        <v>0</v>
      </c>
      <c r="H359" s="169">
        <f t="shared" si="128"/>
        <v>0</v>
      </c>
      <c r="I359" s="143">
        <f t="shared" si="146"/>
        <v>0</v>
      </c>
      <c r="J359" s="144">
        <f t="shared" si="135"/>
        <v>0</v>
      </c>
      <c r="K359" s="144">
        <f t="shared" si="136"/>
        <v>0</v>
      </c>
      <c r="L359" s="169">
        <f t="shared" si="127"/>
        <v>0</v>
      </c>
      <c r="M359" s="143">
        <f t="shared" si="147"/>
        <v>0</v>
      </c>
      <c r="N359" s="144">
        <f t="shared" si="137"/>
        <v>0</v>
      </c>
      <c r="O359" s="144">
        <f t="shared" si="138"/>
        <v>0</v>
      </c>
      <c r="P359" s="169">
        <f t="shared" si="129"/>
        <v>0</v>
      </c>
      <c r="R359" s="143">
        <f t="shared" si="148"/>
        <v>0</v>
      </c>
      <c r="S359" s="144">
        <f t="shared" si="139"/>
        <v>0</v>
      </c>
      <c r="T359" s="144">
        <f t="shared" si="140"/>
        <v>0</v>
      </c>
      <c r="U359" s="169">
        <f t="shared" si="141"/>
        <v>0</v>
      </c>
      <c r="V359" s="143">
        <f t="shared" si="149"/>
        <v>0</v>
      </c>
      <c r="W359" s="144">
        <f t="shared" si="142"/>
        <v>0</v>
      </c>
      <c r="X359" s="144">
        <f t="shared" si="143"/>
        <v>0</v>
      </c>
      <c r="Y359" s="169">
        <f t="shared" si="144"/>
        <v>0</v>
      </c>
      <c r="Z359" s="151">
        <v>0</v>
      </c>
      <c r="AA359" s="151">
        <v>0</v>
      </c>
      <c r="AB359" s="151">
        <v>0</v>
      </c>
      <c r="AC359" s="151">
        <v>0</v>
      </c>
    </row>
    <row r="360" spans="1:29" s="61" customFormat="1" ht="11.25">
      <c r="A360" s="147">
        <f t="shared" si="130"/>
        <v>0</v>
      </c>
      <c r="B360" s="152">
        <f t="shared" si="131"/>
        <v>0</v>
      </c>
      <c r="C360" s="141">
        <f t="shared" si="132"/>
        <v>29</v>
      </c>
      <c r="D360" s="142">
        <v>341</v>
      </c>
      <c r="E360" s="143">
        <f t="shared" si="145"/>
        <v>0</v>
      </c>
      <c r="F360" s="144">
        <f t="shared" si="133"/>
        <v>0</v>
      </c>
      <c r="G360" s="144">
        <f t="shared" si="134"/>
        <v>0</v>
      </c>
      <c r="H360" s="169">
        <f t="shared" si="128"/>
        <v>0</v>
      </c>
      <c r="I360" s="143">
        <f t="shared" si="146"/>
        <v>0</v>
      </c>
      <c r="J360" s="144">
        <f t="shared" si="135"/>
        <v>0</v>
      </c>
      <c r="K360" s="144">
        <f t="shared" si="136"/>
        <v>0</v>
      </c>
      <c r="L360" s="169">
        <f t="shared" si="127"/>
        <v>0</v>
      </c>
      <c r="M360" s="143">
        <f t="shared" si="147"/>
        <v>0</v>
      </c>
      <c r="N360" s="144">
        <f t="shared" si="137"/>
        <v>0</v>
      </c>
      <c r="O360" s="144">
        <f t="shared" si="138"/>
        <v>0</v>
      </c>
      <c r="P360" s="169">
        <f t="shared" si="129"/>
        <v>0</v>
      </c>
      <c r="R360" s="143">
        <f t="shared" si="148"/>
        <v>0</v>
      </c>
      <c r="S360" s="144">
        <f t="shared" si="139"/>
        <v>0</v>
      </c>
      <c r="T360" s="144">
        <f t="shared" si="140"/>
        <v>0</v>
      </c>
      <c r="U360" s="169">
        <f t="shared" si="141"/>
        <v>0</v>
      </c>
      <c r="V360" s="143">
        <f t="shared" si="149"/>
        <v>0</v>
      </c>
      <c r="W360" s="144">
        <f t="shared" si="142"/>
        <v>0</v>
      </c>
      <c r="X360" s="144">
        <f t="shared" si="143"/>
        <v>0</v>
      </c>
      <c r="Y360" s="169">
        <f t="shared" si="144"/>
        <v>0</v>
      </c>
      <c r="Z360" s="151">
        <v>0</v>
      </c>
      <c r="AA360" s="151">
        <v>0</v>
      </c>
      <c r="AB360" s="151">
        <v>0</v>
      </c>
      <c r="AC360" s="151">
        <v>0</v>
      </c>
    </row>
    <row r="361" spans="1:29" s="61" customFormat="1" ht="11.25">
      <c r="A361" s="147">
        <f t="shared" si="130"/>
        <v>0</v>
      </c>
      <c r="B361" s="152">
        <f t="shared" si="131"/>
        <v>0</v>
      </c>
      <c r="C361" s="141">
        <f t="shared" si="132"/>
        <v>29</v>
      </c>
      <c r="D361" s="142">
        <v>342</v>
      </c>
      <c r="E361" s="143">
        <f t="shared" si="145"/>
        <v>0</v>
      </c>
      <c r="F361" s="144">
        <f t="shared" si="133"/>
        <v>0</v>
      </c>
      <c r="G361" s="144">
        <f t="shared" si="134"/>
        <v>0</v>
      </c>
      <c r="H361" s="169">
        <f t="shared" si="128"/>
        <v>0</v>
      </c>
      <c r="I361" s="143">
        <f t="shared" si="146"/>
        <v>0</v>
      </c>
      <c r="J361" s="144">
        <f t="shared" si="135"/>
        <v>0</v>
      </c>
      <c r="K361" s="144">
        <f t="shared" si="136"/>
        <v>0</v>
      </c>
      <c r="L361" s="169">
        <f t="shared" si="127"/>
        <v>0</v>
      </c>
      <c r="M361" s="143">
        <f t="shared" si="147"/>
        <v>0</v>
      </c>
      <c r="N361" s="144">
        <f t="shared" si="137"/>
        <v>0</v>
      </c>
      <c r="O361" s="144">
        <f t="shared" si="138"/>
        <v>0</v>
      </c>
      <c r="P361" s="169">
        <f t="shared" si="129"/>
        <v>0</v>
      </c>
      <c r="R361" s="143">
        <f t="shared" si="148"/>
        <v>0</v>
      </c>
      <c r="S361" s="144">
        <f t="shared" si="139"/>
        <v>0</v>
      </c>
      <c r="T361" s="144">
        <f t="shared" si="140"/>
        <v>0</v>
      </c>
      <c r="U361" s="169">
        <f t="shared" si="141"/>
        <v>0</v>
      </c>
      <c r="V361" s="143">
        <f t="shared" si="149"/>
        <v>0</v>
      </c>
      <c r="W361" s="144">
        <f t="shared" si="142"/>
        <v>0</v>
      </c>
      <c r="X361" s="144">
        <f t="shared" si="143"/>
        <v>0</v>
      </c>
      <c r="Y361" s="169">
        <f t="shared" si="144"/>
        <v>0</v>
      </c>
      <c r="Z361" s="151">
        <v>0</v>
      </c>
      <c r="AA361" s="151">
        <v>0</v>
      </c>
      <c r="AB361" s="151">
        <v>0</v>
      </c>
      <c r="AC361" s="151">
        <v>0</v>
      </c>
    </row>
    <row r="362" spans="1:29" s="61" customFormat="1" ht="11.25">
      <c r="A362" s="147">
        <f t="shared" si="130"/>
        <v>0</v>
      </c>
      <c r="B362" s="152">
        <f t="shared" si="131"/>
        <v>0</v>
      </c>
      <c r="C362" s="141">
        <f t="shared" si="132"/>
        <v>29</v>
      </c>
      <c r="D362" s="142">
        <v>343</v>
      </c>
      <c r="E362" s="143">
        <f t="shared" si="145"/>
        <v>0</v>
      </c>
      <c r="F362" s="144">
        <f t="shared" si="133"/>
        <v>0</v>
      </c>
      <c r="G362" s="144">
        <f t="shared" si="134"/>
        <v>0</v>
      </c>
      <c r="H362" s="169">
        <f t="shared" si="128"/>
        <v>0</v>
      </c>
      <c r="I362" s="143">
        <f t="shared" si="146"/>
        <v>0</v>
      </c>
      <c r="J362" s="144">
        <f t="shared" si="135"/>
        <v>0</v>
      </c>
      <c r="K362" s="144">
        <f t="shared" si="136"/>
        <v>0</v>
      </c>
      <c r="L362" s="169">
        <f t="shared" si="127"/>
        <v>0</v>
      </c>
      <c r="M362" s="143">
        <f t="shared" si="147"/>
        <v>0</v>
      </c>
      <c r="N362" s="144">
        <f t="shared" si="137"/>
        <v>0</v>
      </c>
      <c r="O362" s="144">
        <f t="shared" si="138"/>
        <v>0</v>
      </c>
      <c r="P362" s="169">
        <f t="shared" si="129"/>
        <v>0</v>
      </c>
      <c r="R362" s="143">
        <f t="shared" si="148"/>
        <v>0</v>
      </c>
      <c r="S362" s="144">
        <f t="shared" si="139"/>
        <v>0</v>
      </c>
      <c r="T362" s="144">
        <f t="shared" si="140"/>
        <v>0</v>
      </c>
      <c r="U362" s="169">
        <f t="shared" si="141"/>
        <v>0</v>
      </c>
      <c r="V362" s="143">
        <f t="shared" si="149"/>
        <v>0</v>
      </c>
      <c r="W362" s="144">
        <f t="shared" si="142"/>
        <v>0</v>
      </c>
      <c r="X362" s="144">
        <f t="shared" si="143"/>
        <v>0</v>
      </c>
      <c r="Y362" s="169">
        <f t="shared" si="144"/>
        <v>0</v>
      </c>
      <c r="Z362" s="151">
        <v>0</v>
      </c>
      <c r="AA362" s="151">
        <v>0</v>
      </c>
      <c r="AB362" s="151">
        <v>0</v>
      </c>
      <c r="AC362" s="151">
        <v>0</v>
      </c>
    </row>
    <row r="363" spans="1:29" s="61" customFormat="1" ht="11.25">
      <c r="A363" s="147">
        <f t="shared" si="130"/>
        <v>0</v>
      </c>
      <c r="B363" s="152">
        <f t="shared" si="131"/>
        <v>0</v>
      </c>
      <c r="C363" s="141">
        <f t="shared" si="132"/>
        <v>29</v>
      </c>
      <c r="D363" s="142">
        <v>344</v>
      </c>
      <c r="E363" s="143">
        <f t="shared" si="145"/>
        <v>0</v>
      </c>
      <c r="F363" s="144">
        <f t="shared" si="133"/>
        <v>0</v>
      </c>
      <c r="G363" s="144">
        <f t="shared" si="134"/>
        <v>0</v>
      </c>
      <c r="H363" s="169">
        <f t="shared" si="128"/>
        <v>0</v>
      </c>
      <c r="I363" s="143">
        <f t="shared" si="146"/>
        <v>0</v>
      </c>
      <c r="J363" s="144">
        <f t="shared" si="135"/>
        <v>0</v>
      </c>
      <c r="K363" s="144">
        <f t="shared" si="136"/>
        <v>0</v>
      </c>
      <c r="L363" s="169">
        <f t="shared" si="127"/>
        <v>0</v>
      </c>
      <c r="M363" s="143">
        <f t="shared" si="147"/>
        <v>0</v>
      </c>
      <c r="N363" s="144">
        <f t="shared" si="137"/>
        <v>0</v>
      </c>
      <c r="O363" s="144">
        <f t="shared" si="138"/>
        <v>0</v>
      </c>
      <c r="P363" s="169">
        <f t="shared" si="129"/>
        <v>0</v>
      </c>
      <c r="R363" s="143">
        <f t="shared" si="148"/>
        <v>0</v>
      </c>
      <c r="S363" s="144">
        <f t="shared" si="139"/>
        <v>0</v>
      </c>
      <c r="T363" s="144">
        <f t="shared" si="140"/>
        <v>0</v>
      </c>
      <c r="U363" s="169">
        <f t="shared" si="141"/>
        <v>0</v>
      </c>
      <c r="V363" s="143">
        <f t="shared" si="149"/>
        <v>0</v>
      </c>
      <c r="W363" s="144">
        <f t="shared" si="142"/>
        <v>0</v>
      </c>
      <c r="X363" s="144">
        <f t="shared" si="143"/>
        <v>0</v>
      </c>
      <c r="Y363" s="169">
        <f t="shared" si="144"/>
        <v>0</v>
      </c>
      <c r="Z363" s="151">
        <v>0</v>
      </c>
      <c r="AA363" s="151">
        <v>0</v>
      </c>
      <c r="AB363" s="151">
        <v>0</v>
      </c>
      <c r="AC363" s="151">
        <v>0</v>
      </c>
    </row>
    <row r="364" spans="1:29" s="61" customFormat="1" ht="11.25">
      <c r="A364" s="147">
        <f t="shared" si="130"/>
        <v>0</v>
      </c>
      <c r="B364" s="152">
        <f t="shared" si="131"/>
        <v>0</v>
      </c>
      <c r="C364" s="141">
        <f t="shared" si="132"/>
        <v>29</v>
      </c>
      <c r="D364" s="142">
        <v>345</v>
      </c>
      <c r="E364" s="143">
        <f t="shared" si="145"/>
        <v>0</v>
      </c>
      <c r="F364" s="144">
        <f t="shared" si="133"/>
        <v>0</v>
      </c>
      <c r="G364" s="144">
        <f t="shared" si="134"/>
        <v>0</v>
      </c>
      <c r="H364" s="169">
        <f t="shared" si="128"/>
        <v>0</v>
      </c>
      <c r="I364" s="143">
        <f t="shared" si="146"/>
        <v>0</v>
      </c>
      <c r="J364" s="144">
        <f t="shared" si="135"/>
        <v>0</v>
      </c>
      <c r="K364" s="144">
        <f t="shared" si="136"/>
        <v>0</v>
      </c>
      <c r="L364" s="169">
        <f t="shared" si="127"/>
        <v>0</v>
      </c>
      <c r="M364" s="143">
        <f t="shared" si="147"/>
        <v>0</v>
      </c>
      <c r="N364" s="144">
        <f t="shared" si="137"/>
        <v>0</v>
      </c>
      <c r="O364" s="144">
        <f t="shared" si="138"/>
        <v>0</v>
      </c>
      <c r="P364" s="169">
        <f t="shared" si="129"/>
        <v>0</v>
      </c>
      <c r="R364" s="143">
        <f t="shared" si="148"/>
        <v>0</v>
      </c>
      <c r="S364" s="144">
        <f t="shared" si="139"/>
        <v>0</v>
      </c>
      <c r="T364" s="144">
        <f t="shared" si="140"/>
        <v>0</v>
      </c>
      <c r="U364" s="169">
        <f t="shared" si="141"/>
        <v>0</v>
      </c>
      <c r="V364" s="143">
        <f t="shared" si="149"/>
        <v>0</v>
      </c>
      <c r="W364" s="144">
        <f t="shared" si="142"/>
        <v>0</v>
      </c>
      <c r="X364" s="144">
        <f t="shared" si="143"/>
        <v>0</v>
      </c>
      <c r="Y364" s="169">
        <f t="shared" si="144"/>
        <v>0</v>
      </c>
      <c r="Z364" s="151">
        <v>0</v>
      </c>
      <c r="AA364" s="151">
        <v>0</v>
      </c>
      <c r="AB364" s="151">
        <v>0</v>
      </c>
      <c r="AC364" s="151">
        <v>0</v>
      </c>
    </row>
    <row r="365" spans="1:29" s="61" customFormat="1" ht="11.25">
      <c r="A365" s="147">
        <f t="shared" si="130"/>
        <v>0</v>
      </c>
      <c r="B365" s="152">
        <f t="shared" si="131"/>
        <v>0</v>
      </c>
      <c r="C365" s="141">
        <f t="shared" si="132"/>
        <v>29</v>
      </c>
      <c r="D365" s="142">
        <v>346</v>
      </c>
      <c r="E365" s="143">
        <f t="shared" si="145"/>
        <v>0</v>
      </c>
      <c r="F365" s="144">
        <f t="shared" si="133"/>
        <v>0</v>
      </c>
      <c r="G365" s="144">
        <f t="shared" si="134"/>
        <v>0</v>
      </c>
      <c r="H365" s="169">
        <f t="shared" si="128"/>
        <v>0</v>
      </c>
      <c r="I365" s="143">
        <f t="shared" si="146"/>
        <v>0</v>
      </c>
      <c r="J365" s="144">
        <f t="shared" si="135"/>
        <v>0</v>
      </c>
      <c r="K365" s="144">
        <f t="shared" si="136"/>
        <v>0</v>
      </c>
      <c r="L365" s="169">
        <f t="shared" si="127"/>
        <v>0</v>
      </c>
      <c r="M365" s="143">
        <f t="shared" si="147"/>
        <v>0</v>
      </c>
      <c r="N365" s="144">
        <f t="shared" si="137"/>
        <v>0</v>
      </c>
      <c r="O365" s="144">
        <f t="shared" si="138"/>
        <v>0</v>
      </c>
      <c r="P365" s="169">
        <f t="shared" si="129"/>
        <v>0</v>
      </c>
      <c r="R365" s="143">
        <f t="shared" si="148"/>
        <v>0</v>
      </c>
      <c r="S365" s="144">
        <f t="shared" si="139"/>
        <v>0</v>
      </c>
      <c r="T365" s="144">
        <f t="shared" si="140"/>
        <v>0</v>
      </c>
      <c r="U365" s="169">
        <f t="shared" si="141"/>
        <v>0</v>
      </c>
      <c r="V365" s="143">
        <f t="shared" si="149"/>
        <v>0</v>
      </c>
      <c r="W365" s="144">
        <f t="shared" si="142"/>
        <v>0</v>
      </c>
      <c r="X365" s="144">
        <f t="shared" si="143"/>
        <v>0</v>
      </c>
      <c r="Y365" s="169">
        <f t="shared" si="144"/>
        <v>0</v>
      </c>
      <c r="Z365" s="151">
        <v>0</v>
      </c>
      <c r="AA365" s="151">
        <v>0</v>
      </c>
      <c r="AB365" s="151">
        <v>0</v>
      </c>
      <c r="AC365" s="151">
        <v>0</v>
      </c>
    </row>
    <row r="366" spans="1:29" s="61" customFormat="1" ht="11.25">
      <c r="A366" s="147">
        <f t="shared" si="130"/>
        <v>0</v>
      </c>
      <c r="B366" s="152">
        <f t="shared" si="131"/>
        <v>0</v>
      </c>
      <c r="C366" s="141">
        <f t="shared" si="132"/>
        <v>29</v>
      </c>
      <c r="D366" s="142">
        <v>347</v>
      </c>
      <c r="E366" s="143">
        <f t="shared" si="145"/>
        <v>0</v>
      </c>
      <c r="F366" s="144">
        <f t="shared" si="133"/>
        <v>0</v>
      </c>
      <c r="G366" s="144">
        <f t="shared" si="134"/>
        <v>0</v>
      </c>
      <c r="H366" s="169">
        <f t="shared" si="128"/>
        <v>0</v>
      </c>
      <c r="I366" s="143">
        <f t="shared" si="146"/>
        <v>0</v>
      </c>
      <c r="J366" s="144">
        <f t="shared" si="135"/>
        <v>0</v>
      </c>
      <c r="K366" s="144">
        <f t="shared" si="136"/>
        <v>0</v>
      </c>
      <c r="L366" s="169">
        <f t="shared" si="127"/>
        <v>0</v>
      </c>
      <c r="M366" s="143">
        <f t="shared" si="147"/>
        <v>0</v>
      </c>
      <c r="N366" s="144">
        <f t="shared" si="137"/>
        <v>0</v>
      </c>
      <c r="O366" s="144">
        <f t="shared" si="138"/>
        <v>0</v>
      </c>
      <c r="P366" s="169">
        <f t="shared" si="129"/>
        <v>0</v>
      </c>
      <c r="R366" s="143">
        <f t="shared" si="148"/>
        <v>0</v>
      </c>
      <c r="S366" s="144">
        <f t="shared" si="139"/>
        <v>0</v>
      </c>
      <c r="T366" s="144">
        <f t="shared" si="140"/>
        <v>0</v>
      </c>
      <c r="U366" s="169">
        <f t="shared" si="141"/>
        <v>0</v>
      </c>
      <c r="V366" s="143">
        <f t="shared" si="149"/>
        <v>0</v>
      </c>
      <c r="W366" s="144">
        <f t="shared" si="142"/>
        <v>0</v>
      </c>
      <c r="X366" s="144">
        <f t="shared" si="143"/>
        <v>0</v>
      </c>
      <c r="Y366" s="169">
        <f t="shared" si="144"/>
        <v>0</v>
      </c>
      <c r="Z366" s="151">
        <v>0</v>
      </c>
      <c r="AA366" s="151">
        <v>0</v>
      </c>
      <c r="AB366" s="151">
        <v>0</v>
      </c>
      <c r="AC366" s="151">
        <v>0</v>
      </c>
    </row>
    <row r="367" spans="1:29" s="61" customFormat="1" ht="12" thickBot="1">
      <c r="A367" s="153">
        <f t="shared" si="130"/>
        <v>0</v>
      </c>
      <c r="B367" s="154">
        <f t="shared" si="131"/>
        <v>0</v>
      </c>
      <c r="C367" s="155">
        <f t="shared" si="132"/>
        <v>29</v>
      </c>
      <c r="D367" s="156">
        <v>348</v>
      </c>
      <c r="E367" s="157">
        <f t="shared" si="145"/>
        <v>0</v>
      </c>
      <c r="F367" s="158">
        <f t="shared" si="133"/>
        <v>0</v>
      </c>
      <c r="G367" s="158">
        <f t="shared" si="134"/>
        <v>0</v>
      </c>
      <c r="H367" s="172">
        <f t="shared" si="128"/>
        <v>0</v>
      </c>
      <c r="I367" s="157">
        <f t="shared" si="146"/>
        <v>0</v>
      </c>
      <c r="J367" s="158">
        <f t="shared" si="135"/>
        <v>0</v>
      </c>
      <c r="K367" s="158">
        <f t="shared" si="136"/>
        <v>0</v>
      </c>
      <c r="L367" s="172">
        <f t="shared" si="127"/>
        <v>0</v>
      </c>
      <c r="M367" s="157">
        <f t="shared" si="147"/>
        <v>0</v>
      </c>
      <c r="N367" s="158">
        <f t="shared" si="137"/>
        <v>0</v>
      </c>
      <c r="O367" s="158">
        <f t="shared" si="138"/>
        <v>0</v>
      </c>
      <c r="P367" s="172">
        <f t="shared" si="129"/>
        <v>0</v>
      </c>
      <c r="R367" s="157">
        <f t="shared" si="148"/>
        <v>0</v>
      </c>
      <c r="S367" s="158">
        <f t="shared" si="139"/>
        <v>0</v>
      </c>
      <c r="T367" s="158">
        <f t="shared" si="140"/>
        <v>0</v>
      </c>
      <c r="U367" s="172">
        <f t="shared" si="141"/>
        <v>0</v>
      </c>
      <c r="V367" s="157">
        <f t="shared" si="149"/>
        <v>0</v>
      </c>
      <c r="W367" s="158">
        <f t="shared" si="142"/>
        <v>0</v>
      </c>
      <c r="X367" s="158">
        <f t="shared" si="143"/>
        <v>0</v>
      </c>
      <c r="Y367" s="172">
        <f t="shared" si="144"/>
        <v>0</v>
      </c>
      <c r="Z367" s="151">
        <v>0</v>
      </c>
      <c r="AA367" s="151">
        <v>0</v>
      </c>
      <c r="AB367" s="151">
        <v>0</v>
      </c>
      <c r="AC367" s="151">
        <v>0</v>
      </c>
    </row>
    <row r="368" spans="1:29" s="61" customFormat="1" ht="11.25">
      <c r="A368" s="147">
        <f t="shared" si="130"/>
        <v>0</v>
      </c>
      <c r="B368" s="152">
        <f t="shared" si="131"/>
        <v>0</v>
      </c>
      <c r="C368" s="141">
        <f t="shared" si="132"/>
        <v>30</v>
      </c>
      <c r="D368" s="142">
        <v>349</v>
      </c>
      <c r="E368" s="143">
        <f t="shared" si="145"/>
        <v>0</v>
      </c>
      <c r="F368" s="144">
        <f t="shared" si="133"/>
        <v>0</v>
      </c>
      <c r="G368" s="144">
        <f t="shared" si="134"/>
        <v>0</v>
      </c>
      <c r="H368" s="169">
        <f t="shared" si="128"/>
        <v>0</v>
      </c>
      <c r="I368" s="143">
        <f t="shared" si="146"/>
        <v>0</v>
      </c>
      <c r="J368" s="144">
        <f t="shared" si="135"/>
        <v>0</v>
      </c>
      <c r="K368" s="144">
        <f t="shared" si="136"/>
        <v>0</v>
      </c>
      <c r="L368" s="169">
        <f t="shared" si="127"/>
        <v>0</v>
      </c>
      <c r="M368" s="143">
        <f t="shared" si="147"/>
        <v>0</v>
      </c>
      <c r="N368" s="144">
        <f t="shared" si="137"/>
        <v>0</v>
      </c>
      <c r="O368" s="144">
        <f t="shared" si="138"/>
        <v>0</v>
      </c>
      <c r="P368" s="169">
        <f t="shared" si="129"/>
        <v>0</v>
      </c>
      <c r="R368" s="143">
        <f t="shared" si="148"/>
        <v>0</v>
      </c>
      <c r="S368" s="144">
        <f t="shared" si="139"/>
        <v>0</v>
      </c>
      <c r="T368" s="144">
        <f t="shared" si="140"/>
        <v>0</v>
      </c>
      <c r="U368" s="169">
        <f t="shared" si="141"/>
        <v>0</v>
      </c>
      <c r="V368" s="143">
        <f t="shared" si="149"/>
        <v>0</v>
      </c>
      <c r="W368" s="144">
        <f t="shared" si="142"/>
        <v>0</v>
      </c>
      <c r="X368" s="144">
        <f t="shared" si="143"/>
        <v>0</v>
      </c>
      <c r="Y368" s="169">
        <f t="shared" si="144"/>
        <v>0</v>
      </c>
      <c r="Z368" s="151">
        <v>0</v>
      </c>
      <c r="AA368" s="151">
        <v>0</v>
      </c>
      <c r="AB368" s="151">
        <v>0</v>
      </c>
      <c r="AC368" s="151">
        <v>0</v>
      </c>
    </row>
    <row r="369" spans="1:29" s="61" customFormat="1" ht="11.25">
      <c r="A369" s="147">
        <f t="shared" si="130"/>
        <v>0</v>
      </c>
      <c r="B369" s="152">
        <f t="shared" si="131"/>
        <v>0</v>
      </c>
      <c r="C369" s="141">
        <f t="shared" si="132"/>
        <v>30</v>
      </c>
      <c r="D369" s="142">
        <v>350</v>
      </c>
      <c r="E369" s="143">
        <f t="shared" si="145"/>
        <v>0</v>
      </c>
      <c r="F369" s="144">
        <f t="shared" si="133"/>
        <v>0</v>
      </c>
      <c r="G369" s="144">
        <f t="shared" si="134"/>
        <v>0</v>
      </c>
      <c r="H369" s="169">
        <f t="shared" si="128"/>
        <v>0</v>
      </c>
      <c r="I369" s="143">
        <f t="shared" si="146"/>
        <v>0</v>
      </c>
      <c r="J369" s="144">
        <f t="shared" si="135"/>
        <v>0</v>
      </c>
      <c r="K369" s="144">
        <f t="shared" si="136"/>
        <v>0</v>
      </c>
      <c r="L369" s="169">
        <f t="shared" si="127"/>
        <v>0</v>
      </c>
      <c r="M369" s="143">
        <f t="shared" si="147"/>
        <v>0</v>
      </c>
      <c r="N369" s="144">
        <f t="shared" si="137"/>
        <v>0</v>
      </c>
      <c r="O369" s="144">
        <f t="shared" si="138"/>
        <v>0</v>
      </c>
      <c r="P369" s="169">
        <f t="shared" si="129"/>
        <v>0</v>
      </c>
      <c r="R369" s="143">
        <f t="shared" si="148"/>
        <v>0</v>
      </c>
      <c r="S369" s="144">
        <f t="shared" si="139"/>
        <v>0</v>
      </c>
      <c r="T369" s="144">
        <f t="shared" si="140"/>
        <v>0</v>
      </c>
      <c r="U369" s="169">
        <f t="shared" si="141"/>
        <v>0</v>
      </c>
      <c r="V369" s="143">
        <f t="shared" si="149"/>
        <v>0</v>
      </c>
      <c r="W369" s="144">
        <f t="shared" si="142"/>
        <v>0</v>
      </c>
      <c r="X369" s="144">
        <f t="shared" si="143"/>
        <v>0</v>
      </c>
      <c r="Y369" s="169">
        <f t="shared" si="144"/>
        <v>0</v>
      </c>
      <c r="Z369" s="151">
        <v>0</v>
      </c>
      <c r="AA369" s="151">
        <v>0</v>
      </c>
      <c r="AB369" s="151">
        <v>0</v>
      </c>
      <c r="AC369" s="151">
        <v>0</v>
      </c>
    </row>
    <row r="370" spans="1:29" s="61" customFormat="1" ht="11.25">
      <c r="A370" s="147">
        <f t="shared" si="130"/>
        <v>0</v>
      </c>
      <c r="B370" s="152">
        <f t="shared" si="131"/>
        <v>0</v>
      </c>
      <c r="C370" s="141">
        <f t="shared" si="132"/>
        <v>30</v>
      </c>
      <c r="D370" s="142">
        <v>351</v>
      </c>
      <c r="E370" s="143">
        <f t="shared" si="145"/>
        <v>0</v>
      </c>
      <c r="F370" s="144">
        <f t="shared" si="133"/>
        <v>0</v>
      </c>
      <c r="G370" s="144">
        <f t="shared" si="134"/>
        <v>0</v>
      </c>
      <c r="H370" s="169">
        <f t="shared" si="128"/>
        <v>0</v>
      </c>
      <c r="I370" s="143">
        <f t="shared" si="146"/>
        <v>0</v>
      </c>
      <c r="J370" s="144">
        <f t="shared" si="135"/>
        <v>0</v>
      </c>
      <c r="K370" s="144">
        <f t="shared" si="136"/>
        <v>0</v>
      </c>
      <c r="L370" s="169">
        <f t="shared" si="127"/>
        <v>0</v>
      </c>
      <c r="M370" s="143">
        <f t="shared" si="147"/>
        <v>0</v>
      </c>
      <c r="N370" s="144">
        <f t="shared" si="137"/>
        <v>0</v>
      </c>
      <c r="O370" s="144">
        <f t="shared" si="138"/>
        <v>0</v>
      </c>
      <c r="P370" s="169">
        <f t="shared" si="129"/>
        <v>0</v>
      </c>
      <c r="R370" s="143">
        <f t="shared" si="148"/>
        <v>0</v>
      </c>
      <c r="S370" s="144">
        <f t="shared" si="139"/>
        <v>0</v>
      </c>
      <c r="T370" s="144">
        <f t="shared" si="140"/>
        <v>0</v>
      </c>
      <c r="U370" s="169">
        <f t="shared" si="141"/>
        <v>0</v>
      </c>
      <c r="V370" s="143">
        <f t="shared" si="149"/>
        <v>0</v>
      </c>
      <c r="W370" s="144">
        <f t="shared" si="142"/>
        <v>0</v>
      </c>
      <c r="X370" s="144">
        <f t="shared" si="143"/>
        <v>0</v>
      </c>
      <c r="Y370" s="169">
        <f t="shared" si="144"/>
        <v>0</v>
      </c>
      <c r="Z370" s="151">
        <v>0</v>
      </c>
      <c r="AA370" s="151">
        <v>0</v>
      </c>
      <c r="AB370" s="151">
        <v>0</v>
      </c>
      <c r="AC370" s="151">
        <v>0</v>
      </c>
    </row>
    <row r="371" spans="1:29" s="61" customFormat="1" ht="11.25">
      <c r="A371" s="147">
        <f t="shared" si="130"/>
        <v>0</v>
      </c>
      <c r="B371" s="152">
        <f t="shared" si="131"/>
        <v>0</v>
      </c>
      <c r="C371" s="141">
        <f t="shared" si="132"/>
        <v>30</v>
      </c>
      <c r="D371" s="142">
        <v>352</v>
      </c>
      <c r="E371" s="143">
        <f t="shared" si="145"/>
        <v>0</v>
      </c>
      <c r="F371" s="144">
        <f t="shared" si="133"/>
        <v>0</v>
      </c>
      <c r="G371" s="144">
        <f t="shared" si="134"/>
        <v>0</v>
      </c>
      <c r="H371" s="169">
        <f t="shared" si="128"/>
        <v>0</v>
      </c>
      <c r="I371" s="143">
        <f t="shared" si="146"/>
        <v>0</v>
      </c>
      <c r="J371" s="144">
        <f t="shared" si="135"/>
        <v>0</v>
      </c>
      <c r="K371" s="144">
        <f t="shared" si="136"/>
        <v>0</v>
      </c>
      <c r="L371" s="169">
        <f t="shared" si="127"/>
        <v>0</v>
      </c>
      <c r="M371" s="143">
        <f t="shared" si="147"/>
        <v>0</v>
      </c>
      <c r="N371" s="144">
        <f t="shared" si="137"/>
        <v>0</v>
      </c>
      <c r="O371" s="144">
        <f t="shared" si="138"/>
        <v>0</v>
      </c>
      <c r="P371" s="169">
        <f t="shared" si="129"/>
        <v>0</v>
      </c>
      <c r="R371" s="143">
        <f t="shared" si="148"/>
        <v>0</v>
      </c>
      <c r="S371" s="144">
        <f t="shared" si="139"/>
        <v>0</v>
      </c>
      <c r="T371" s="144">
        <f t="shared" si="140"/>
        <v>0</v>
      </c>
      <c r="U371" s="169">
        <f t="shared" si="141"/>
        <v>0</v>
      </c>
      <c r="V371" s="143">
        <f t="shared" si="149"/>
        <v>0</v>
      </c>
      <c r="W371" s="144">
        <f t="shared" si="142"/>
        <v>0</v>
      </c>
      <c r="X371" s="144">
        <f t="shared" si="143"/>
        <v>0</v>
      </c>
      <c r="Y371" s="169">
        <f t="shared" si="144"/>
        <v>0</v>
      </c>
      <c r="Z371" s="151">
        <v>0</v>
      </c>
      <c r="AA371" s="151">
        <v>0</v>
      </c>
      <c r="AB371" s="151">
        <v>0</v>
      </c>
      <c r="AC371" s="151">
        <v>0</v>
      </c>
    </row>
    <row r="372" spans="1:29" s="61" customFormat="1" ht="11.25">
      <c r="A372" s="147">
        <f t="shared" si="130"/>
        <v>0</v>
      </c>
      <c r="B372" s="152">
        <f t="shared" si="131"/>
        <v>0</v>
      </c>
      <c r="C372" s="141">
        <f t="shared" si="132"/>
        <v>30</v>
      </c>
      <c r="D372" s="142">
        <v>353</v>
      </c>
      <c r="E372" s="143">
        <f t="shared" si="145"/>
        <v>0</v>
      </c>
      <c r="F372" s="144">
        <f t="shared" si="133"/>
        <v>0</v>
      </c>
      <c r="G372" s="144">
        <f t="shared" si="134"/>
        <v>0</v>
      </c>
      <c r="H372" s="169">
        <f t="shared" si="128"/>
        <v>0</v>
      </c>
      <c r="I372" s="143">
        <f t="shared" si="146"/>
        <v>0</v>
      </c>
      <c r="J372" s="144">
        <f t="shared" si="135"/>
        <v>0</v>
      </c>
      <c r="K372" s="144">
        <f t="shared" si="136"/>
        <v>0</v>
      </c>
      <c r="L372" s="169">
        <f t="shared" si="127"/>
        <v>0</v>
      </c>
      <c r="M372" s="143">
        <f t="shared" si="147"/>
        <v>0</v>
      </c>
      <c r="N372" s="144">
        <f t="shared" si="137"/>
        <v>0</v>
      </c>
      <c r="O372" s="144">
        <f t="shared" si="138"/>
        <v>0</v>
      </c>
      <c r="P372" s="169">
        <f t="shared" si="129"/>
        <v>0</v>
      </c>
      <c r="R372" s="143">
        <f t="shared" si="148"/>
        <v>0</v>
      </c>
      <c r="S372" s="144">
        <f t="shared" si="139"/>
        <v>0</v>
      </c>
      <c r="T372" s="144">
        <f t="shared" si="140"/>
        <v>0</v>
      </c>
      <c r="U372" s="169">
        <f t="shared" si="141"/>
        <v>0</v>
      </c>
      <c r="V372" s="143">
        <f t="shared" si="149"/>
        <v>0</v>
      </c>
      <c r="W372" s="144">
        <f t="shared" si="142"/>
        <v>0</v>
      </c>
      <c r="X372" s="144">
        <f t="shared" si="143"/>
        <v>0</v>
      </c>
      <c r="Y372" s="169">
        <f t="shared" si="144"/>
        <v>0</v>
      </c>
      <c r="Z372" s="151">
        <v>0</v>
      </c>
      <c r="AA372" s="151">
        <v>0</v>
      </c>
      <c r="AB372" s="151">
        <v>0</v>
      </c>
      <c r="AC372" s="151">
        <v>0</v>
      </c>
    </row>
    <row r="373" spans="1:29" s="61" customFormat="1" ht="11.25">
      <c r="A373" s="147">
        <f t="shared" si="130"/>
        <v>0</v>
      </c>
      <c r="B373" s="152">
        <f t="shared" si="131"/>
        <v>0</v>
      </c>
      <c r="C373" s="141">
        <f t="shared" si="132"/>
        <v>30</v>
      </c>
      <c r="D373" s="142">
        <v>354</v>
      </c>
      <c r="E373" s="143">
        <f t="shared" si="145"/>
        <v>0</v>
      </c>
      <c r="F373" s="144">
        <f t="shared" si="133"/>
        <v>0</v>
      </c>
      <c r="G373" s="144">
        <f t="shared" si="134"/>
        <v>0</v>
      </c>
      <c r="H373" s="169">
        <f t="shared" si="128"/>
        <v>0</v>
      </c>
      <c r="I373" s="143">
        <f t="shared" si="146"/>
        <v>0</v>
      </c>
      <c r="J373" s="144">
        <f t="shared" si="135"/>
        <v>0</v>
      </c>
      <c r="K373" s="144">
        <f t="shared" si="136"/>
        <v>0</v>
      </c>
      <c r="L373" s="169">
        <f t="shared" si="127"/>
        <v>0</v>
      </c>
      <c r="M373" s="143">
        <f t="shared" si="147"/>
        <v>0</v>
      </c>
      <c r="N373" s="144">
        <f t="shared" si="137"/>
        <v>0</v>
      </c>
      <c r="O373" s="144">
        <f t="shared" si="138"/>
        <v>0</v>
      </c>
      <c r="P373" s="169">
        <f t="shared" si="129"/>
        <v>0</v>
      </c>
      <c r="R373" s="143">
        <f t="shared" si="148"/>
        <v>0</v>
      </c>
      <c r="S373" s="144">
        <f t="shared" si="139"/>
        <v>0</v>
      </c>
      <c r="T373" s="144">
        <f t="shared" si="140"/>
        <v>0</v>
      </c>
      <c r="U373" s="169">
        <f t="shared" si="141"/>
        <v>0</v>
      </c>
      <c r="V373" s="143">
        <f t="shared" si="149"/>
        <v>0</v>
      </c>
      <c r="W373" s="144">
        <f t="shared" si="142"/>
        <v>0</v>
      </c>
      <c r="X373" s="144">
        <f t="shared" si="143"/>
        <v>0</v>
      </c>
      <c r="Y373" s="169">
        <f t="shared" si="144"/>
        <v>0</v>
      </c>
      <c r="Z373" s="151">
        <v>0</v>
      </c>
      <c r="AA373" s="151">
        <v>0</v>
      </c>
      <c r="AB373" s="151">
        <v>0</v>
      </c>
      <c r="AC373" s="151">
        <v>0</v>
      </c>
    </row>
    <row r="374" spans="1:29" s="61" customFormat="1" ht="11.25">
      <c r="A374" s="147">
        <f t="shared" si="130"/>
        <v>0</v>
      </c>
      <c r="B374" s="152">
        <f t="shared" si="131"/>
        <v>0</v>
      </c>
      <c r="C374" s="141">
        <f t="shared" si="132"/>
        <v>30</v>
      </c>
      <c r="D374" s="142">
        <v>355</v>
      </c>
      <c r="E374" s="143">
        <f t="shared" si="145"/>
        <v>0</v>
      </c>
      <c r="F374" s="144">
        <f t="shared" si="133"/>
        <v>0</v>
      </c>
      <c r="G374" s="144">
        <f t="shared" si="134"/>
        <v>0</v>
      </c>
      <c r="H374" s="169">
        <f t="shared" si="128"/>
        <v>0</v>
      </c>
      <c r="I374" s="143">
        <f t="shared" si="146"/>
        <v>0</v>
      </c>
      <c r="J374" s="144">
        <f t="shared" si="135"/>
        <v>0</v>
      </c>
      <c r="K374" s="144">
        <f t="shared" si="136"/>
        <v>0</v>
      </c>
      <c r="L374" s="169">
        <f t="shared" si="127"/>
        <v>0</v>
      </c>
      <c r="M374" s="143">
        <f t="shared" si="147"/>
        <v>0</v>
      </c>
      <c r="N374" s="144">
        <f t="shared" si="137"/>
        <v>0</v>
      </c>
      <c r="O374" s="144">
        <f t="shared" si="138"/>
        <v>0</v>
      </c>
      <c r="P374" s="169">
        <f t="shared" si="129"/>
        <v>0</v>
      </c>
      <c r="R374" s="143">
        <f t="shared" si="148"/>
        <v>0</v>
      </c>
      <c r="S374" s="144">
        <f t="shared" si="139"/>
        <v>0</v>
      </c>
      <c r="T374" s="144">
        <f t="shared" si="140"/>
        <v>0</v>
      </c>
      <c r="U374" s="169">
        <f t="shared" si="141"/>
        <v>0</v>
      </c>
      <c r="V374" s="143">
        <f t="shared" si="149"/>
        <v>0</v>
      </c>
      <c r="W374" s="144">
        <f t="shared" si="142"/>
        <v>0</v>
      </c>
      <c r="X374" s="144">
        <f t="shared" si="143"/>
        <v>0</v>
      </c>
      <c r="Y374" s="169">
        <f t="shared" si="144"/>
        <v>0</v>
      </c>
      <c r="Z374" s="151">
        <v>0</v>
      </c>
      <c r="AA374" s="151">
        <v>0</v>
      </c>
      <c r="AB374" s="151">
        <v>0</v>
      </c>
      <c r="AC374" s="151">
        <v>0</v>
      </c>
    </row>
    <row r="375" spans="1:29" s="61" customFormat="1" ht="11.25">
      <c r="A375" s="147">
        <f t="shared" si="130"/>
        <v>0</v>
      </c>
      <c r="B375" s="152">
        <f t="shared" si="131"/>
        <v>0</v>
      </c>
      <c r="C375" s="141">
        <f t="shared" si="132"/>
        <v>30</v>
      </c>
      <c r="D375" s="142">
        <v>356</v>
      </c>
      <c r="E375" s="143">
        <f t="shared" si="145"/>
        <v>0</v>
      </c>
      <c r="F375" s="144">
        <f t="shared" si="133"/>
        <v>0</v>
      </c>
      <c r="G375" s="144">
        <f t="shared" si="134"/>
        <v>0</v>
      </c>
      <c r="H375" s="169">
        <f t="shared" si="128"/>
        <v>0</v>
      </c>
      <c r="I375" s="143">
        <f t="shared" si="146"/>
        <v>0</v>
      </c>
      <c r="J375" s="144">
        <f t="shared" si="135"/>
        <v>0</v>
      </c>
      <c r="K375" s="144">
        <f t="shared" si="136"/>
        <v>0</v>
      </c>
      <c r="L375" s="169">
        <f t="shared" si="127"/>
        <v>0</v>
      </c>
      <c r="M375" s="143">
        <f t="shared" si="147"/>
        <v>0</v>
      </c>
      <c r="N375" s="144">
        <f t="shared" si="137"/>
        <v>0</v>
      </c>
      <c r="O375" s="144">
        <f t="shared" si="138"/>
        <v>0</v>
      </c>
      <c r="P375" s="169">
        <f t="shared" si="129"/>
        <v>0</v>
      </c>
      <c r="R375" s="143">
        <f t="shared" si="148"/>
        <v>0</v>
      </c>
      <c r="S375" s="144">
        <f t="shared" si="139"/>
        <v>0</v>
      </c>
      <c r="T375" s="144">
        <f t="shared" si="140"/>
        <v>0</v>
      </c>
      <c r="U375" s="169">
        <f t="shared" si="141"/>
        <v>0</v>
      </c>
      <c r="V375" s="143">
        <f t="shared" si="149"/>
        <v>0</v>
      </c>
      <c r="W375" s="144">
        <f t="shared" si="142"/>
        <v>0</v>
      </c>
      <c r="X375" s="144">
        <f t="shared" si="143"/>
        <v>0</v>
      </c>
      <c r="Y375" s="169">
        <f t="shared" si="144"/>
        <v>0</v>
      </c>
      <c r="Z375" s="151">
        <v>0</v>
      </c>
      <c r="AA375" s="151">
        <v>0</v>
      </c>
      <c r="AB375" s="151">
        <v>0</v>
      </c>
      <c r="AC375" s="151">
        <v>0</v>
      </c>
    </row>
    <row r="376" spans="1:29" s="61" customFormat="1" ht="11.25">
      <c r="A376" s="147">
        <f t="shared" si="130"/>
        <v>0</v>
      </c>
      <c r="B376" s="152">
        <f t="shared" si="131"/>
        <v>0</v>
      </c>
      <c r="C376" s="141">
        <f t="shared" si="132"/>
        <v>30</v>
      </c>
      <c r="D376" s="142">
        <v>357</v>
      </c>
      <c r="E376" s="143">
        <f t="shared" si="145"/>
        <v>0</v>
      </c>
      <c r="F376" s="144">
        <f t="shared" si="133"/>
        <v>0</v>
      </c>
      <c r="G376" s="144">
        <f t="shared" si="134"/>
        <v>0</v>
      </c>
      <c r="H376" s="169">
        <f t="shared" si="128"/>
        <v>0</v>
      </c>
      <c r="I376" s="143">
        <f t="shared" si="146"/>
        <v>0</v>
      </c>
      <c r="J376" s="144">
        <f t="shared" si="135"/>
        <v>0</v>
      </c>
      <c r="K376" s="144">
        <f t="shared" si="136"/>
        <v>0</v>
      </c>
      <c r="L376" s="169">
        <f t="shared" si="127"/>
        <v>0</v>
      </c>
      <c r="M376" s="143">
        <f t="shared" si="147"/>
        <v>0</v>
      </c>
      <c r="N376" s="144">
        <f t="shared" si="137"/>
        <v>0</v>
      </c>
      <c r="O376" s="144">
        <f t="shared" si="138"/>
        <v>0</v>
      </c>
      <c r="P376" s="169">
        <f t="shared" si="129"/>
        <v>0</v>
      </c>
      <c r="R376" s="143">
        <f t="shared" si="148"/>
        <v>0</v>
      </c>
      <c r="S376" s="144">
        <f t="shared" si="139"/>
        <v>0</v>
      </c>
      <c r="T376" s="144">
        <f t="shared" si="140"/>
        <v>0</v>
      </c>
      <c r="U376" s="169">
        <f t="shared" si="141"/>
        <v>0</v>
      </c>
      <c r="V376" s="143">
        <f t="shared" si="149"/>
        <v>0</v>
      </c>
      <c r="W376" s="144">
        <f t="shared" si="142"/>
        <v>0</v>
      </c>
      <c r="X376" s="144">
        <f t="shared" si="143"/>
        <v>0</v>
      </c>
      <c r="Y376" s="169">
        <f t="shared" si="144"/>
        <v>0</v>
      </c>
      <c r="Z376" s="151">
        <v>0</v>
      </c>
      <c r="AA376" s="151">
        <v>0</v>
      </c>
      <c r="AB376" s="151">
        <v>0</v>
      </c>
      <c r="AC376" s="151">
        <v>0</v>
      </c>
    </row>
    <row r="377" spans="1:29" s="61" customFormat="1" ht="11.25">
      <c r="A377" s="147">
        <f t="shared" si="130"/>
        <v>0</v>
      </c>
      <c r="B377" s="152">
        <f t="shared" si="131"/>
        <v>0</v>
      </c>
      <c r="C377" s="141">
        <f t="shared" si="132"/>
        <v>30</v>
      </c>
      <c r="D377" s="142">
        <v>358</v>
      </c>
      <c r="E377" s="143">
        <f t="shared" si="145"/>
        <v>0</v>
      </c>
      <c r="F377" s="144">
        <f t="shared" si="133"/>
        <v>0</v>
      </c>
      <c r="G377" s="144">
        <f t="shared" si="134"/>
        <v>0</v>
      </c>
      <c r="H377" s="169">
        <f t="shared" si="128"/>
        <v>0</v>
      </c>
      <c r="I377" s="143">
        <f t="shared" si="146"/>
        <v>0</v>
      </c>
      <c r="J377" s="144">
        <f t="shared" si="135"/>
        <v>0</v>
      </c>
      <c r="K377" s="144">
        <f t="shared" si="136"/>
        <v>0</v>
      </c>
      <c r="L377" s="169">
        <f t="shared" ref="L377:L415" si="150">IF(I377&lt;=0,0,L$13)</f>
        <v>0</v>
      </c>
      <c r="M377" s="143">
        <f t="shared" si="147"/>
        <v>0</v>
      </c>
      <c r="N377" s="144">
        <f t="shared" si="137"/>
        <v>0</v>
      </c>
      <c r="O377" s="144">
        <f t="shared" si="138"/>
        <v>0</v>
      </c>
      <c r="P377" s="169">
        <f t="shared" si="129"/>
        <v>0</v>
      </c>
      <c r="R377" s="143">
        <f t="shared" si="148"/>
        <v>0</v>
      </c>
      <c r="S377" s="144">
        <f t="shared" si="139"/>
        <v>0</v>
      </c>
      <c r="T377" s="144">
        <f t="shared" si="140"/>
        <v>0</v>
      </c>
      <c r="U377" s="169">
        <f t="shared" si="141"/>
        <v>0</v>
      </c>
      <c r="V377" s="143">
        <f t="shared" si="149"/>
        <v>0</v>
      </c>
      <c r="W377" s="144">
        <f t="shared" si="142"/>
        <v>0</v>
      </c>
      <c r="X377" s="144">
        <f t="shared" si="143"/>
        <v>0</v>
      </c>
      <c r="Y377" s="169">
        <f t="shared" si="144"/>
        <v>0</v>
      </c>
      <c r="Z377" s="151">
        <v>0</v>
      </c>
      <c r="AA377" s="151">
        <v>0</v>
      </c>
      <c r="AB377" s="151">
        <v>0</v>
      </c>
      <c r="AC377" s="151">
        <v>0</v>
      </c>
    </row>
    <row r="378" spans="1:29" s="61" customFormat="1" ht="11.25">
      <c r="A378" s="147">
        <f t="shared" si="130"/>
        <v>0</v>
      </c>
      <c r="B378" s="152">
        <f t="shared" si="131"/>
        <v>0</v>
      </c>
      <c r="C378" s="141">
        <f t="shared" si="132"/>
        <v>30</v>
      </c>
      <c r="D378" s="142">
        <v>359</v>
      </c>
      <c r="E378" s="143">
        <f t="shared" si="145"/>
        <v>0</v>
      </c>
      <c r="F378" s="144">
        <f t="shared" si="133"/>
        <v>0</v>
      </c>
      <c r="G378" s="144">
        <f t="shared" si="134"/>
        <v>0</v>
      </c>
      <c r="H378" s="169">
        <f t="shared" si="128"/>
        <v>0</v>
      </c>
      <c r="I378" s="143">
        <f t="shared" si="146"/>
        <v>0</v>
      </c>
      <c r="J378" s="144">
        <f t="shared" si="135"/>
        <v>0</v>
      </c>
      <c r="K378" s="144">
        <f t="shared" si="136"/>
        <v>0</v>
      </c>
      <c r="L378" s="169">
        <f t="shared" si="150"/>
        <v>0</v>
      </c>
      <c r="M378" s="143">
        <f t="shared" si="147"/>
        <v>0</v>
      </c>
      <c r="N378" s="144">
        <f t="shared" si="137"/>
        <v>0</v>
      </c>
      <c r="O378" s="144">
        <f t="shared" si="138"/>
        <v>0</v>
      </c>
      <c r="P378" s="169">
        <f t="shared" si="129"/>
        <v>0</v>
      </c>
      <c r="R378" s="143">
        <f t="shared" si="148"/>
        <v>0</v>
      </c>
      <c r="S378" s="144">
        <f t="shared" si="139"/>
        <v>0</v>
      </c>
      <c r="T378" s="144">
        <f t="shared" si="140"/>
        <v>0</v>
      </c>
      <c r="U378" s="169">
        <f t="shared" si="141"/>
        <v>0</v>
      </c>
      <c r="V378" s="143">
        <f t="shared" si="149"/>
        <v>0</v>
      </c>
      <c r="W378" s="144">
        <f t="shared" si="142"/>
        <v>0</v>
      </c>
      <c r="X378" s="144">
        <f t="shared" si="143"/>
        <v>0</v>
      </c>
      <c r="Y378" s="169">
        <f t="shared" si="144"/>
        <v>0</v>
      </c>
      <c r="Z378" s="151">
        <v>0</v>
      </c>
      <c r="AA378" s="151">
        <v>0</v>
      </c>
      <c r="AB378" s="151">
        <v>0</v>
      </c>
      <c r="AC378" s="151">
        <v>0</v>
      </c>
    </row>
    <row r="379" spans="1:29" s="61" customFormat="1" ht="12" thickBot="1">
      <c r="A379" s="153">
        <f t="shared" si="130"/>
        <v>0</v>
      </c>
      <c r="B379" s="154">
        <f t="shared" si="131"/>
        <v>0</v>
      </c>
      <c r="C379" s="155">
        <f t="shared" si="132"/>
        <v>30</v>
      </c>
      <c r="D379" s="156">
        <v>360</v>
      </c>
      <c r="E379" s="157">
        <f t="shared" si="145"/>
        <v>0</v>
      </c>
      <c r="F379" s="158">
        <f t="shared" si="133"/>
        <v>0</v>
      </c>
      <c r="G379" s="158">
        <f t="shared" si="134"/>
        <v>0</v>
      </c>
      <c r="H379" s="172">
        <f t="shared" si="128"/>
        <v>0</v>
      </c>
      <c r="I379" s="157">
        <f t="shared" si="146"/>
        <v>0</v>
      </c>
      <c r="J379" s="158">
        <f t="shared" si="135"/>
        <v>0</v>
      </c>
      <c r="K379" s="158">
        <f t="shared" si="136"/>
        <v>0</v>
      </c>
      <c r="L379" s="172">
        <f t="shared" si="150"/>
        <v>0</v>
      </c>
      <c r="M379" s="157">
        <f t="shared" si="147"/>
        <v>0</v>
      </c>
      <c r="N379" s="158">
        <f t="shared" si="137"/>
        <v>0</v>
      </c>
      <c r="O379" s="158">
        <f t="shared" si="138"/>
        <v>0</v>
      </c>
      <c r="P379" s="172">
        <f t="shared" si="129"/>
        <v>0</v>
      </c>
      <c r="R379" s="157">
        <f t="shared" si="148"/>
        <v>0</v>
      </c>
      <c r="S379" s="158">
        <f t="shared" si="139"/>
        <v>0</v>
      </c>
      <c r="T379" s="158">
        <f t="shared" si="140"/>
        <v>0</v>
      </c>
      <c r="U379" s="172">
        <f t="shared" si="141"/>
        <v>0</v>
      </c>
      <c r="V379" s="157">
        <f t="shared" si="149"/>
        <v>0</v>
      </c>
      <c r="W379" s="158">
        <f t="shared" si="142"/>
        <v>0</v>
      </c>
      <c r="X379" s="158">
        <f t="shared" si="143"/>
        <v>0</v>
      </c>
      <c r="Y379" s="172">
        <f t="shared" si="144"/>
        <v>0</v>
      </c>
      <c r="Z379" s="151">
        <v>0</v>
      </c>
      <c r="AA379" s="151">
        <v>0</v>
      </c>
      <c r="AB379" s="151">
        <v>0</v>
      </c>
      <c r="AC379" s="151">
        <v>0</v>
      </c>
    </row>
    <row r="380" spans="1:29" s="61" customFormat="1" ht="11.25">
      <c r="A380" s="147">
        <f t="shared" si="130"/>
        <v>0</v>
      </c>
      <c r="B380" s="152">
        <f t="shared" si="131"/>
        <v>0</v>
      </c>
      <c r="C380" s="141">
        <f t="shared" si="132"/>
        <v>31</v>
      </c>
      <c r="D380" s="142">
        <v>361</v>
      </c>
      <c r="E380" s="143">
        <f t="shared" si="145"/>
        <v>0</v>
      </c>
      <c r="F380" s="144">
        <f t="shared" si="133"/>
        <v>0</v>
      </c>
      <c r="G380" s="144">
        <f t="shared" si="134"/>
        <v>0</v>
      </c>
      <c r="H380" s="169">
        <f t="shared" si="128"/>
        <v>0</v>
      </c>
      <c r="I380" s="143">
        <f t="shared" si="146"/>
        <v>0</v>
      </c>
      <c r="J380" s="144">
        <f t="shared" si="135"/>
        <v>0</v>
      </c>
      <c r="K380" s="144">
        <f t="shared" si="136"/>
        <v>0</v>
      </c>
      <c r="L380" s="169">
        <f t="shared" si="150"/>
        <v>0</v>
      </c>
      <c r="M380" s="143">
        <f t="shared" si="147"/>
        <v>0</v>
      </c>
      <c r="N380" s="144">
        <f t="shared" si="137"/>
        <v>0</v>
      </c>
      <c r="O380" s="144">
        <f t="shared" si="138"/>
        <v>0</v>
      </c>
      <c r="P380" s="169">
        <f t="shared" si="129"/>
        <v>0</v>
      </c>
      <c r="R380" s="143">
        <f t="shared" si="148"/>
        <v>0</v>
      </c>
      <c r="S380" s="144">
        <f t="shared" si="139"/>
        <v>0</v>
      </c>
      <c r="T380" s="144">
        <f t="shared" si="140"/>
        <v>0</v>
      </c>
      <c r="U380" s="169">
        <f t="shared" si="141"/>
        <v>0</v>
      </c>
      <c r="V380" s="143">
        <f t="shared" si="149"/>
        <v>0</v>
      </c>
      <c r="W380" s="144">
        <f t="shared" si="142"/>
        <v>0</v>
      </c>
      <c r="X380" s="144">
        <f t="shared" si="143"/>
        <v>0</v>
      </c>
      <c r="Y380" s="169">
        <f t="shared" si="144"/>
        <v>0</v>
      </c>
      <c r="Z380" s="151">
        <v>0</v>
      </c>
      <c r="AA380" s="151">
        <v>0</v>
      </c>
      <c r="AB380" s="151">
        <v>0</v>
      </c>
      <c r="AC380" s="151">
        <v>0</v>
      </c>
    </row>
    <row r="381" spans="1:29" s="61" customFormat="1" ht="11.25">
      <c r="A381" s="147">
        <f t="shared" si="130"/>
        <v>0</v>
      </c>
      <c r="B381" s="152">
        <f t="shared" si="131"/>
        <v>0</v>
      </c>
      <c r="C381" s="141">
        <f t="shared" si="132"/>
        <v>31</v>
      </c>
      <c r="D381" s="142">
        <v>362</v>
      </c>
      <c r="E381" s="143">
        <f t="shared" si="145"/>
        <v>0</v>
      </c>
      <c r="F381" s="144">
        <f t="shared" si="133"/>
        <v>0</v>
      </c>
      <c r="G381" s="144">
        <f t="shared" si="134"/>
        <v>0</v>
      </c>
      <c r="H381" s="169">
        <f t="shared" si="128"/>
        <v>0</v>
      </c>
      <c r="I381" s="143">
        <f t="shared" si="146"/>
        <v>0</v>
      </c>
      <c r="J381" s="144">
        <f t="shared" si="135"/>
        <v>0</v>
      </c>
      <c r="K381" s="144">
        <f t="shared" si="136"/>
        <v>0</v>
      </c>
      <c r="L381" s="169">
        <f t="shared" si="150"/>
        <v>0</v>
      </c>
      <c r="M381" s="143">
        <f t="shared" si="147"/>
        <v>0</v>
      </c>
      <c r="N381" s="144">
        <f t="shared" si="137"/>
        <v>0</v>
      </c>
      <c r="O381" s="144">
        <f t="shared" si="138"/>
        <v>0</v>
      </c>
      <c r="P381" s="169">
        <f t="shared" si="129"/>
        <v>0</v>
      </c>
      <c r="R381" s="143">
        <f t="shared" si="148"/>
        <v>0</v>
      </c>
      <c r="S381" s="144">
        <f t="shared" si="139"/>
        <v>0</v>
      </c>
      <c r="T381" s="144">
        <f t="shared" si="140"/>
        <v>0</v>
      </c>
      <c r="U381" s="169">
        <f t="shared" si="141"/>
        <v>0</v>
      </c>
      <c r="V381" s="143">
        <f t="shared" si="149"/>
        <v>0</v>
      </c>
      <c r="W381" s="144">
        <f t="shared" si="142"/>
        <v>0</v>
      </c>
      <c r="X381" s="144">
        <f t="shared" si="143"/>
        <v>0</v>
      </c>
      <c r="Y381" s="169">
        <f t="shared" si="144"/>
        <v>0</v>
      </c>
      <c r="Z381" s="151">
        <v>0</v>
      </c>
      <c r="AA381" s="151">
        <v>0</v>
      </c>
      <c r="AB381" s="151">
        <v>0</v>
      </c>
      <c r="AC381" s="151">
        <v>0</v>
      </c>
    </row>
    <row r="382" spans="1:29" s="61" customFormat="1" ht="11.25">
      <c r="A382" s="147">
        <f t="shared" si="130"/>
        <v>0</v>
      </c>
      <c r="B382" s="152">
        <f t="shared" si="131"/>
        <v>0</v>
      </c>
      <c r="C382" s="141">
        <f t="shared" si="132"/>
        <v>31</v>
      </c>
      <c r="D382" s="142">
        <v>363</v>
      </c>
      <c r="E382" s="143">
        <f t="shared" si="145"/>
        <v>0</v>
      </c>
      <c r="F382" s="144">
        <f t="shared" si="133"/>
        <v>0</v>
      </c>
      <c r="G382" s="144">
        <f t="shared" si="134"/>
        <v>0</v>
      </c>
      <c r="H382" s="169">
        <f t="shared" si="128"/>
        <v>0</v>
      </c>
      <c r="I382" s="143">
        <f t="shared" si="146"/>
        <v>0</v>
      </c>
      <c r="J382" s="144">
        <f t="shared" si="135"/>
        <v>0</v>
      </c>
      <c r="K382" s="144">
        <f t="shared" si="136"/>
        <v>0</v>
      </c>
      <c r="L382" s="169">
        <f t="shared" si="150"/>
        <v>0</v>
      </c>
      <c r="M382" s="143">
        <f t="shared" si="147"/>
        <v>0</v>
      </c>
      <c r="N382" s="144">
        <f t="shared" si="137"/>
        <v>0</v>
      </c>
      <c r="O382" s="144">
        <f t="shared" si="138"/>
        <v>0</v>
      </c>
      <c r="P382" s="169">
        <f t="shared" si="129"/>
        <v>0</v>
      </c>
      <c r="R382" s="143">
        <f t="shared" si="148"/>
        <v>0</v>
      </c>
      <c r="S382" s="144">
        <f t="shared" si="139"/>
        <v>0</v>
      </c>
      <c r="T382" s="144">
        <f t="shared" si="140"/>
        <v>0</v>
      </c>
      <c r="U382" s="169">
        <f t="shared" si="141"/>
        <v>0</v>
      </c>
      <c r="V382" s="143">
        <f t="shared" si="149"/>
        <v>0</v>
      </c>
      <c r="W382" s="144">
        <f t="shared" si="142"/>
        <v>0</v>
      </c>
      <c r="X382" s="144">
        <f t="shared" si="143"/>
        <v>0</v>
      </c>
      <c r="Y382" s="169">
        <f t="shared" si="144"/>
        <v>0</v>
      </c>
      <c r="Z382" s="151">
        <v>0</v>
      </c>
      <c r="AA382" s="151">
        <v>0</v>
      </c>
      <c r="AB382" s="151">
        <v>0</v>
      </c>
      <c r="AC382" s="151">
        <v>0</v>
      </c>
    </row>
    <row r="383" spans="1:29" s="61" customFormat="1" ht="11.25">
      <c r="A383" s="147">
        <f t="shared" si="130"/>
        <v>0</v>
      </c>
      <c r="B383" s="152">
        <f t="shared" si="131"/>
        <v>0</v>
      </c>
      <c r="C383" s="141">
        <f t="shared" si="132"/>
        <v>31</v>
      </c>
      <c r="D383" s="142">
        <v>364</v>
      </c>
      <c r="E383" s="143">
        <f t="shared" si="145"/>
        <v>0</v>
      </c>
      <c r="F383" s="144">
        <f t="shared" si="133"/>
        <v>0</v>
      </c>
      <c r="G383" s="144">
        <f t="shared" si="134"/>
        <v>0</v>
      </c>
      <c r="H383" s="169">
        <f t="shared" si="128"/>
        <v>0</v>
      </c>
      <c r="I383" s="143">
        <f t="shared" si="146"/>
        <v>0</v>
      </c>
      <c r="J383" s="144">
        <f t="shared" si="135"/>
        <v>0</v>
      </c>
      <c r="K383" s="144">
        <f t="shared" si="136"/>
        <v>0</v>
      </c>
      <c r="L383" s="169">
        <f t="shared" si="150"/>
        <v>0</v>
      </c>
      <c r="M383" s="143">
        <f t="shared" si="147"/>
        <v>0</v>
      </c>
      <c r="N383" s="144">
        <f t="shared" si="137"/>
        <v>0</v>
      </c>
      <c r="O383" s="144">
        <f t="shared" si="138"/>
        <v>0</v>
      </c>
      <c r="P383" s="169">
        <f t="shared" si="129"/>
        <v>0</v>
      </c>
      <c r="R383" s="143">
        <f t="shared" si="148"/>
        <v>0</v>
      </c>
      <c r="S383" s="144">
        <f t="shared" si="139"/>
        <v>0</v>
      </c>
      <c r="T383" s="144">
        <f t="shared" si="140"/>
        <v>0</v>
      </c>
      <c r="U383" s="169">
        <f t="shared" si="141"/>
        <v>0</v>
      </c>
      <c r="V383" s="143">
        <f t="shared" si="149"/>
        <v>0</v>
      </c>
      <c r="W383" s="144">
        <f t="shared" si="142"/>
        <v>0</v>
      </c>
      <c r="X383" s="144">
        <f t="shared" si="143"/>
        <v>0</v>
      </c>
      <c r="Y383" s="169">
        <f t="shared" si="144"/>
        <v>0</v>
      </c>
      <c r="Z383" s="151">
        <v>0</v>
      </c>
      <c r="AA383" s="151">
        <v>0</v>
      </c>
      <c r="AB383" s="151">
        <v>0</v>
      </c>
      <c r="AC383" s="151">
        <v>0</v>
      </c>
    </row>
    <row r="384" spans="1:29" s="61" customFormat="1" ht="11.25">
      <c r="A384" s="147">
        <f t="shared" si="130"/>
        <v>0</v>
      </c>
      <c r="B384" s="152">
        <f t="shared" si="131"/>
        <v>0</v>
      </c>
      <c r="C384" s="141">
        <f t="shared" si="132"/>
        <v>31</v>
      </c>
      <c r="D384" s="142">
        <v>365</v>
      </c>
      <c r="E384" s="143">
        <f t="shared" si="145"/>
        <v>0</v>
      </c>
      <c r="F384" s="144">
        <f t="shared" si="133"/>
        <v>0</v>
      </c>
      <c r="G384" s="144">
        <f t="shared" si="134"/>
        <v>0</v>
      </c>
      <c r="H384" s="169">
        <f t="shared" si="128"/>
        <v>0</v>
      </c>
      <c r="I384" s="143">
        <f t="shared" si="146"/>
        <v>0</v>
      </c>
      <c r="J384" s="144">
        <f t="shared" si="135"/>
        <v>0</v>
      </c>
      <c r="K384" s="144">
        <f t="shared" si="136"/>
        <v>0</v>
      </c>
      <c r="L384" s="169">
        <f t="shared" si="150"/>
        <v>0</v>
      </c>
      <c r="M384" s="143">
        <f t="shared" si="147"/>
        <v>0</v>
      </c>
      <c r="N384" s="144">
        <f t="shared" si="137"/>
        <v>0</v>
      </c>
      <c r="O384" s="144">
        <f t="shared" si="138"/>
        <v>0</v>
      </c>
      <c r="P384" s="169">
        <f t="shared" si="129"/>
        <v>0</v>
      </c>
      <c r="R384" s="143">
        <f t="shared" si="148"/>
        <v>0</v>
      </c>
      <c r="S384" s="144">
        <f t="shared" si="139"/>
        <v>0</v>
      </c>
      <c r="T384" s="144">
        <f t="shared" si="140"/>
        <v>0</v>
      </c>
      <c r="U384" s="169">
        <f t="shared" si="141"/>
        <v>0</v>
      </c>
      <c r="V384" s="143">
        <f t="shared" si="149"/>
        <v>0</v>
      </c>
      <c r="W384" s="144">
        <f t="shared" si="142"/>
        <v>0</v>
      </c>
      <c r="X384" s="144">
        <f t="shared" si="143"/>
        <v>0</v>
      </c>
      <c r="Y384" s="169">
        <f t="shared" si="144"/>
        <v>0</v>
      </c>
      <c r="Z384" s="151">
        <v>0</v>
      </c>
      <c r="AA384" s="151">
        <v>0</v>
      </c>
      <c r="AB384" s="151">
        <v>0</v>
      </c>
      <c r="AC384" s="151">
        <v>0</v>
      </c>
    </row>
    <row r="385" spans="1:29" s="61" customFormat="1" ht="11.25">
      <c r="A385" s="147">
        <f t="shared" si="130"/>
        <v>0</v>
      </c>
      <c r="B385" s="152">
        <f t="shared" si="131"/>
        <v>0</v>
      </c>
      <c r="C385" s="141">
        <f t="shared" si="132"/>
        <v>31</v>
      </c>
      <c r="D385" s="142">
        <v>366</v>
      </c>
      <c r="E385" s="143">
        <f t="shared" si="145"/>
        <v>0</v>
      </c>
      <c r="F385" s="144">
        <f t="shared" si="133"/>
        <v>0</v>
      </c>
      <c r="G385" s="144">
        <f t="shared" si="134"/>
        <v>0</v>
      </c>
      <c r="H385" s="169">
        <f t="shared" si="128"/>
        <v>0</v>
      </c>
      <c r="I385" s="143">
        <f t="shared" si="146"/>
        <v>0</v>
      </c>
      <c r="J385" s="144">
        <f t="shared" si="135"/>
        <v>0</v>
      </c>
      <c r="K385" s="144">
        <f t="shared" si="136"/>
        <v>0</v>
      </c>
      <c r="L385" s="169">
        <f t="shared" si="150"/>
        <v>0</v>
      </c>
      <c r="M385" s="143">
        <f t="shared" si="147"/>
        <v>0</v>
      </c>
      <c r="N385" s="144">
        <f t="shared" si="137"/>
        <v>0</v>
      </c>
      <c r="O385" s="144">
        <f t="shared" si="138"/>
        <v>0</v>
      </c>
      <c r="P385" s="169">
        <f t="shared" si="129"/>
        <v>0</v>
      </c>
      <c r="R385" s="143">
        <f t="shared" si="148"/>
        <v>0</v>
      </c>
      <c r="S385" s="144">
        <f t="shared" si="139"/>
        <v>0</v>
      </c>
      <c r="T385" s="144">
        <f t="shared" si="140"/>
        <v>0</v>
      </c>
      <c r="U385" s="169">
        <f t="shared" si="141"/>
        <v>0</v>
      </c>
      <c r="V385" s="143">
        <f t="shared" si="149"/>
        <v>0</v>
      </c>
      <c r="W385" s="144">
        <f t="shared" si="142"/>
        <v>0</v>
      </c>
      <c r="X385" s="144">
        <f t="shared" si="143"/>
        <v>0</v>
      </c>
      <c r="Y385" s="169">
        <f t="shared" si="144"/>
        <v>0</v>
      </c>
      <c r="Z385" s="151">
        <v>0</v>
      </c>
      <c r="AA385" s="151">
        <v>0</v>
      </c>
      <c r="AB385" s="151">
        <v>0</v>
      </c>
      <c r="AC385" s="151">
        <v>0</v>
      </c>
    </row>
    <row r="386" spans="1:29" s="61" customFormat="1" ht="11.25">
      <c r="A386" s="147">
        <f t="shared" si="130"/>
        <v>0</v>
      </c>
      <c r="B386" s="152">
        <f t="shared" si="131"/>
        <v>0</v>
      </c>
      <c r="C386" s="141">
        <f t="shared" si="132"/>
        <v>31</v>
      </c>
      <c r="D386" s="142">
        <v>367</v>
      </c>
      <c r="E386" s="143">
        <f t="shared" si="145"/>
        <v>0</v>
      </c>
      <c r="F386" s="144">
        <f t="shared" si="133"/>
        <v>0</v>
      </c>
      <c r="G386" s="144">
        <f t="shared" si="134"/>
        <v>0</v>
      </c>
      <c r="H386" s="169">
        <f t="shared" si="128"/>
        <v>0</v>
      </c>
      <c r="I386" s="143">
        <f t="shared" si="146"/>
        <v>0</v>
      </c>
      <c r="J386" s="144">
        <f t="shared" si="135"/>
        <v>0</v>
      </c>
      <c r="K386" s="144">
        <f t="shared" si="136"/>
        <v>0</v>
      </c>
      <c r="L386" s="169">
        <f t="shared" si="150"/>
        <v>0</v>
      </c>
      <c r="M386" s="143">
        <f t="shared" si="147"/>
        <v>0</v>
      </c>
      <c r="N386" s="144">
        <f t="shared" si="137"/>
        <v>0</v>
      </c>
      <c r="O386" s="144">
        <f t="shared" si="138"/>
        <v>0</v>
      </c>
      <c r="P386" s="169">
        <f t="shared" si="129"/>
        <v>0</v>
      </c>
      <c r="R386" s="143">
        <f t="shared" si="148"/>
        <v>0</v>
      </c>
      <c r="S386" s="144">
        <f t="shared" si="139"/>
        <v>0</v>
      </c>
      <c r="T386" s="144">
        <f t="shared" si="140"/>
        <v>0</v>
      </c>
      <c r="U386" s="169">
        <f t="shared" si="141"/>
        <v>0</v>
      </c>
      <c r="V386" s="143">
        <f t="shared" si="149"/>
        <v>0</v>
      </c>
      <c r="W386" s="144">
        <f t="shared" si="142"/>
        <v>0</v>
      </c>
      <c r="X386" s="144">
        <f t="shared" si="143"/>
        <v>0</v>
      </c>
      <c r="Y386" s="169">
        <f t="shared" si="144"/>
        <v>0</v>
      </c>
      <c r="Z386" s="151">
        <v>0</v>
      </c>
      <c r="AA386" s="151">
        <v>0</v>
      </c>
      <c r="AB386" s="151">
        <v>0</v>
      </c>
      <c r="AC386" s="151">
        <v>0</v>
      </c>
    </row>
    <row r="387" spans="1:29" s="61" customFormat="1" ht="11.25">
      <c r="A387" s="147">
        <f t="shared" si="130"/>
        <v>0</v>
      </c>
      <c r="B387" s="152">
        <f t="shared" si="131"/>
        <v>0</v>
      </c>
      <c r="C387" s="141">
        <f t="shared" si="132"/>
        <v>31</v>
      </c>
      <c r="D387" s="142">
        <v>368</v>
      </c>
      <c r="E387" s="143">
        <f t="shared" si="145"/>
        <v>0</v>
      </c>
      <c r="F387" s="144">
        <f t="shared" si="133"/>
        <v>0</v>
      </c>
      <c r="G387" s="144">
        <f t="shared" si="134"/>
        <v>0</v>
      </c>
      <c r="H387" s="169">
        <f t="shared" si="128"/>
        <v>0</v>
      </c>
      <c r="I387" s="143">
        <f t="shared" si="146"/>
        <v>0</v>
      </c>
      <c r="J387" s="144">
        <f t="shared" si="135"/>
        <v>0</v>
      </c>
      <c r="K387" s="144">
        <f t="shared" si="136"/>
        <v>0</v>
      </c>
      <c r="L387" s="169">
        <f t="shared" si="150"/>
        <v>0</v>
      </c>
      <c r="M387" s="143">
        <f t="shared" si="147"/>
        <v>0</v>
      </c>
      <c r="N387" s="144">
        <f t="shared" si="137"/>
        <v>0</v>
      </c>
      <c r="O387" s="144">
        <f t="shared" si="138"/>
        <v>0</v>
      </c>
      <c r="P387" s="169">
        <f t="shared" si="129"/>
        <v>0</v>
      </c>
      <c r="R387" s="143">
        <f t="shared" si="148"/>
        <v>0</v>
      </c>
      <c r="S387" s="144">
        <f t="shared" si="139"/>
        <v>0</v>
      </c>
      <c r="T387" s="144">
        <f t="shared" si="140"/>
        <v>0</v>
      </c>
      <c r="U387" s="169">
        <f t="shared" si="141"/>
        <v>0</v>
      </c>
      <c r="V387" s="143">
        <f t="shared" si="149"/>
        <v>0</v>
      </c>
      <c r="W387" s="144">
        <f t="shared" si="142"/>
        <v>0</v>
      </c>
      <c r="X387" s="144">
        <f t="shared" si="143"/>
        <v>0</v>
      </c>
      <c r="Y387" s="169">
        <f t="shared" si="144"/>
        <v>0</v>
      </c>
      <c r="Z387" s="151">
        <v>0</v>
      </c>
      <c r="AA387" s="151">
        <v>0</v>
      </c>
      <c r="AB387" s="151">
        <v>0</v>
      </c>
      <c r="AC387" s="151">
        <v>0</v>
      </c>
    </row>
    <row r="388" spans="1:29" s="61" customFormat="1" ht="11.25">
      <c r="A388" s="147">
        <f t="shared" si="130"/>
        <v>0</v>
      </c>
      <c r="B388" s="152">
        <f t="shared" si="131"/>
        <v>0</v>
      </c>
      <c r="C388" s="141">
        <f t="shared" si="132"/>
        <v>31</v>
      </c>
      <c r="D388" s="142">
        <v>369</v>
      </c>
      <c r="E388" s="143">
        <f t="shared" si="145"/>
        <v>0</v>
      </c>
      <c r="F388" s="144">
        <f t="shared" si="133"/>
        <v>0</v>
      </c>
      <c r="G388" s="144">
        <f t="shared" si="134"/>
        <v>0</v>
      </c>
      <c r="H388" s="169">
        <f t="shared" si="128"/>
        <v>0</v>
      </c>
      <c r="I388" s="143">
        <f t="shared" si="146"/>
        <v>0</v>
      </c>
      <c r="J388" s="144">
        <f t="shared" si="135"/>
        <v>0</v>
      </c>
      <c r="K388" s="144">
        <f t="shared" si="136"/>
        <v>0</v>
      </c>
      <c r="L388" s="169">
        <f t="shared" si="150"/>
        <v>0</v>
      </c>
      <c r="M388" s="143">
        <f t="shared" si="147"/>
        <v>0</v>
      </c>
      <c r="N388" s="144">
        <f t="shared" si="137"/>
        <v>0</v>
      </c>
      <c r="O388" s="144">
        <f t="shared" si="138"/>
        <v>0</v>
      </c>
      <c r="P388" s="169">
        <f t="shared" si="129"/>
        <v>0</v>
      </c>
      <c r="R388" s="143">
        <f t="shared" si="148"/>
        <v>0</v>
      </c>
      <c r="S388" s="144">
        <f t="shared" si="139"/>
        <v>0</v>
      </c>
      <c r="T388" s="144">
        <f t="shared" si="140"/>
        <v>0</v>
      </c>
      <c r="U388" s="169">
        <f t="shared" si="141"/>
        <v>0</v>
      </c>
      <c r="V388" s="143">
        <f t="shared" si="149"/>
        <v>0</v>
      </c>
      <c r="W388" s="144">
        <f t="shared" si="142"/>
        <v>0</v>
      </c>
      <c r="X388" s="144">
        <f t="shared" si="143"/>
        <v>0</v>
      </c>
      <c r="Y388" s="169">
        <f t="shared" si="144"/>
        <v>0</v>
      </c>
      <c r="Z388" s="151">
        <v>0</v>
      </c>
      <c r="AA388" s="151">
        <v>0</v>
      </c>
      <c r="AB388" s="151">
        <v>0</v>
      </c>
      <c r="AC388" s="151">
        <v>0</v>
      </c>
    </row>
    <row r="389" spans="1:29" s="61" customFormat="1" ht="11.25">
      <c r="A389" s="147">
        <f t="shared" si="130"/>
        <v>0</v>
      </c>
      <c r="B389" s="152">
        <f t="shared" si="131"/>
        <v>0</v>
      </c>
      <c r="C389" s="141">
        <f t="shared" si="132"/>
        <v>31</v>
      </c>
      <c r="D389" s="142">
        <v>370</v>
      </c>
      <c r="E389" s="143">
        <f t="shared" si="145"/>
        <v>0</v>
      </c>
      <c r="F389" s="144">
        <f t="shared" si="133"/>
        <v>0</v>
      </c>
      <c r="G389" s="144">
        <f t="shared" si="134"/>
        <v>0</v>
      </c>
      <c r="H389" s="169">
        <f t="shared" ref="H389:H415" si="151">IF(E389&lt;=0,0,H$14)</f>
        <v>0</v>
      </c>
      <c r="I389" s="143">
        <f t="shared" si="146"/>
        <v>0</v>
      </c>
      <c r="J389" s="144">
        <f t="shared" si="135"/>
        <v>0</v>
      </c>
      <c r="K389" s="144">
        <f t="shared" si="136"/>
        <v>0</v>
      </c>
      <c r="L389" s="169">
        <f t="shared" si="150"/>
        <v>0</v>
      </c>
      <c r="M389" s="143">
        <f t="shared" si="147"/>
        <v>0</v>
      </c>
      <c r="N389" s="144">
        <f t="shared" si="137"/>
        <v>0</v>
      </c>
      <c r="O389" s="144">
        <f t="shared" si="138"/>
        <v>0</v>
      </c>
      <c r="P389" s="169">
        <f t="shared" ref="P389:P415" si="152">IF(M389&lt;=0,0,P$14)</f>
        <v>0</v>
      </c>
      <c r="R389" s="143">
        <f t="shared" si="148"/>
        <v>0</v>
      </c>
      <c r="S389" s="144">
        <f t="shared" si="139"/>
        <v>0</v>
      </c>
      <c r="T389" s="144">
        <f t="shared" si="140"/>
        <v>0</v>
      </c>
      <c r="U389" s="169">
        <f t="shared" si="141"/>
        <v>0</v>
      </c>
      <c r="V389" s="143">
        <f t="shared" si="149"/>
        <v>0</v>
      </c>
      <c r="W389" s="144">
        <f t="shared" si="142"/>
        <v>0</v>
      </c>
      <c r="X389" s="144">
        <f t="shared" si="143"/>
        <v>0</v>
      </c>
      <c r="Y389" s="169">
        <f t="shared" si="144"/>
        <v>0</v>
      </c>
      <c r="Z389" s="151">
        <v>0</v>
      </c>
      <c r="AA389" s="151">
        <v>0</v>
      </c>
      <c r="AB389" s="151">
        <v>0</v>
      </c>
      <c r="AC389" s="151">
        <v>0</v>
      </c>
    </row>
    <row r="390" spans="1:29" s="61" customFormat="1" ht="11.25">
      <c r="A390" s="147">
        <f t="shared" si="130"/>
        <v>0</v>
      </c>
      <c r="B390" s="152">
        <f t="shared" si="131"/>
        <v>0</v>
      </c>
      <c r="C390" s="141">
        <f t="shared" si="132"/>
        <v>31</v>
      </c>
      <c r="D390" s="142">
        <v>371</v>
      </c>
      <c r="E390" s="143">
        <f t="shared" si="145"/>
        <v>0</v>
      </c>
      <c r="F390" s="144">
        <f t="shared" si="133"/>
        <v>0</v>
      </c>
      <c r="G390" s="144">
        <f t="shared" si="134"/>
        <v>0</v>
      </c>
      <c r="H390" s="169">
        <f t="shared" si="151"/>
        <v>0</v>
      </c>
      <c r="I390" s="143">
        <f t="shared" si="146"/>
        <v>0</v>
      </c>
      <c r="J390" s="144">
        <f t="shared" si="135"/>
        <v>0</v>
      </c>
      <c r="K390" s="144">
        <f t="shared" si="136"/>
        <v>0</v>
      </c>
      <c r="L390" s="169">
        <f t="shared" si="150"/>
        <v>0</v>
      </c>
      <c r="M390" s="143">
        <f t="shared" si="147"/>
        <v>0</v>
      </c>
      <c r="N390" s="144">
        <f t="shared" si="137"/>
        <v>0</v>
      </c>
      <c r="O390" s="144">
        <f t="shared" si="138"/>
        <v>0</v>
      </c>
      <c r="P390" s="169">
        <f t="shared" si="152"/>
        <v>0</v>
      </c>
      <c r="R390" s="143">
        <f t="shared" si="148"/>
        <v>0</v>
      </c>
      <c r="S390" s="144">
        <f t="shared" si="139"/>
        <v>0</v>
      </c>
      <c r="T390" s="144">
        <f t="shared" si="140"/>
        <v>0</v>
      </c>
      <c r="U390" s="169">
        <f t="shared" si="141"/>
        <v>0</v>
      </c>
      <c r="V390" s="143">
        <f t="shared" si="149"/>
        <v>0</v>
      </c>
      <c r="W390" s="144">
        <f t="shared" si="142"/>
        <v>0</v>
      </c>
      <c r="X390" s="144">
        <f t="shared" si="143"/>
        <v>0</v>
      </c>
      <c r="Y390" s="169">
        <f t="shared" si="144"/>
        <v>0</v>
      </c>
      <c r="Z390" s="151">
        <v>0</v>
      </c>
      <c r="AA390" s="151">
        <v>0</v>
      </c>
      <c r="AB390" s="151">
        <v>0</v>
      </c>
      <c r="AC390" s="151">
        <v>0</v>
      </c>
    </row>
    <row r="391" spans="1:29" s="61" customFormat="1" ht="12" thickBot="1">
      <c r="A391" s="153">
        <f t="shared" si="130"/>
        <v>0</v>
      </c>
      <c r="B391" s="154">
        <f t="shared" si="131"/>
        <v>0</v>
      </c>
      <c r="C391" s="155">
        <f t="shared" si="132"/>
        <v>31</v>
      </c>
      <c r="D391" s="156">
        <v>372</v>
      </c>
      <c r="E391" s="157">
        <f t="shared" si="145"/>
        <v>0</v>
      </c>
      <c r="F391" s="158">
        <f t="shared" si="133"/>
        <v>0</v>
      </c>
      <c r="G391" s="158">
        <f t="shared" si="134"/>
        <v>0</v>
      </c>
      <c r="H391" s="172">
        <f t="shared" si="151"/>
        <v>0</v>
      </c>
      <c r="I391" s="157">
        <f t="shared" si="146"/>
        <v>0</v>
      </c>
      <c r="J391" s="158">
        <f t="shared" si="135"/>
        <v>0</v>
      </c>
      <c r="K391" s="158">
        <f t="shared" si="136"/>
        <v>0</v>
      </c>
      <c r="L391" s="172">
        <f t="shared" si="150"/>
        <v>0</v>
      </c>
      <c r="M391" s="157">
        <f t="shared" si="147"/>
        <v>0</v>
      </c>
      <c r="N391" s="158">
        <f t="shared" si="137"/>
        <v>0</v>
      </c>
      <c r="O391" s="158">
        <f t="shared" si="138"/>
        <v>0</v>
      </c>
      <c r="P391" s="172">
        <f t="shared" si="152"/>
        <v>0</v>
      </c>
      <c r="R391" s="157">
        <f t="shared" si="148"/>
        <v>0</v>
      </c>
      <c r="S391" s="158">
        <f t="shared" si="139"/>
        <v>0</v>
      </c>
      <c r="T391" s="158">
        <f t="shared" si="140"/>
        <v>0</v>
      </c>
      <c r="U391" s="172">
        <f t="shared" si="141"/>
        <v>0</v>
      </c>
      <c r="V391" s="157">
        <f t="shared" si="149"/>
        <v>0</v>
      </c>
      <c r="W391" s="158">
        <f t="shared" si="142"/>
        <v>0</v>
      </c>
      <c r="X391" s="158">
        <f t="shared" si="143"/>
        <v>0</v>
      </c>
      <c r="Y391" s="172">
        <f t="shared" si="144"/>
        <v>0</v>
      </c>
      <c r="Z391" s="151">
        <v>0</v>
      </c>
      <c r="AA391" s="151">
        <v>0</v>
      </c>
      <c r="AB391" s="151">
        <v>0</v>
      </c>
      <c r="AC391" s="151">
        <v>0</v>
      </c>
    </row>
    <row r="392" spans="1:29" s="61" customFormat="1" ht="11.25">
      <c r="A392" s="147">
        <f t="shared" si="130"/>
        <v>0</v>
      </c>
      <c r="B392" s="152">
        <f t="shared" si="131"/>
        <v>0</v>
      </c>
      <c r="C392" s="141">
        <f t="shared" si="132"/>
        <v>32</v>
      </c>
      <c r="D392" s="142">
        <v>373</v>
      </c>
      <c r="E392" s="143">
        <f t="shared" si="145"/>
        <v>0</v>
      </c>
      <c r="F392" s="144">
        <f t="shared" si="133"/>
        <v>0</v>
      </c>
      <c r="G392" s="144">
        <f t="shared" si="134"/>
        <v>0</v>
      </c>
      <c r="H392" s="169">
        <f t="shared" si="151"/>
        <v>0</v>
      </c>
      <c r="I392" s="143">
        <f t="shared" si="146"/>
        <v>0</v>
      </c>
      <c r="J392" s="144">
        <f t="shared" si="135"/>
        <v>0</v>
      </c>
      <c r="K392" s="144">
        <f t="shared" si="136"/>
        <v>0</v>
      </c>
      <c r="L392" s="169">
        <f t="shared" si="150"/>
        <v>0</v>
      </c>
      <c r="M392" s="143">
        <f t="shared" si="147"/>
        <v>0</v>
      </c>
      <c r="N392" s="144">
        <f t="shared" si="137"/>
        <v>0</v>
      </c>
      <c r="O392" s="144">
        <f t="shared" si="138"/>
        <v>0</v>
      </c>
      <c r="P392" s="169">
        <f t="shared" si="152"/>
        <v>0</v>
      </c>
      <c r="R392" s="143">
        <f t="shared" si="148"/>
        <v>0</v>
      </c>
      <c r="S392" s="144">
        <f t="shared" si="139"/>
        <v>0</v>
      </c>
      <c r="T392" s="144">
        <f t="shared" si="140"/>
        <v>0</v>
      </c>
      <c r="U392" s="169">
        <f t="shared" si="141"/>
        <v>0</v>
      </c>
      <c r="V392" s="143">
        <f t="shared" si="149"/>
        <v>0</v>
      </c>
      <c r="W392" s="144">
        <f t="shared" si="142"/>
        <v>0</v>
      </c>
      <c r="X392" s="144">
        <f t="shared" si="143"/>
        <v>0</v>
      </c>
      <c r="Y392" s="169">
        <f t="shared" si="144"/>
        <v>0</v>
      </c>
      <c r="Z392" s="151">
        <v>0</v>
      </c>
      <c r="AA392" s="151">
        <v>0</v>
      </c>
      <c r="AB392" s="151">
        <v>0</v>
      </c>
      <c r="AC392" s="151">
        <v>0</v>
      </c>
    </row>
    <row r="393" spans="1:29" s="61" customFormat="1" ht="11.25">
      <c r="A393" s="147">
        <f t="shared" si="130"/>
        <v>0</v>
      </c>
      <c r="B393" s="152">
        <f t="shared" si="131"/>
        <v>0</v>
      </c>
      <c r="C393" s="141">
        <f t="shared" si="132"/>
        <v>32</v>
      </c>
      <c r="D393" s="142">
        <v>374</v>
      </c>
      <c r="E393" s="143">
        <f t="shared" si="145"/>
        <v>0</v>
      </c>
      <c r="F393" s="144">
        <f t="shared" si="133"/>
        <v>0</v>
      </c>
      <c r="G393" s="144">
        <f t="shared" si="134"/>
        <v>0</v>
      </c>
      <c r="H393" s="169">
        <f t="shared" si="151"/>
        <v>0</v>
      </c>
      <c r="I393" s="143">
        <f t="shared" si="146"/>
        <v>0</v>
      </c>
      <c r="J393" s="144">
        <f t="shared" si="135"/>
        <v>0</v>
      </c>
      <c r="K393" s="144">
        <f t="shared" si="136"/>
        <v>0</v>
      </c>
      <c r="L393" s="169">
        <f t="shared" si="150"/>
        <v>0</v>
      </c>
      <c r="M393" s="143">
        <f t="shared" si="147"/>
        <v>0</v>
      </c>
      <c r="N393" s="144">
        <f t="shared" si="137"/>
        <v>0</v>
      </c>
      <c r="O393" s="144">
        <f t="shared" si="138"/>
        <v>0</v>
      </c>
      <c r="P393" s="169">
        <f t="shared" si="152"/>
        <v>0</v>
      </c>
      <c r="R393" s="143">
        <f t="shared" si="148"/>
        <v>0</v>
      </c>
      <c r="S393" s="144">
        <f t="shared" si="139"/>
        <v>0</v>
      </c>
      <c r="T393" s="144">
        <f t="shared" si="140"/>
        <v>0</v>
      </c>
      <c r="U393" s="169">
        <f t="shared" si="141"/>
        <v>0</v>
      </c>
      <c r="V393" s="143">
        <f t="shared" si="149"/>
        <v>0</v>
      </c>
      <c r="W393" s="144">
        <f t="shared" si="142"/>
        <v>0</v>
      </c>
      <c r="X393" s="144">
        <f t="shared" si="143"/>
        <v>0</v>
      </c>
      <c r="Y393" s="169">
        <f t="shared" si="144"/>
        <v>0</v>
      </c>
      <c r="Z393" s="151">
        <v>0</v>
      </c>
      <c r="AA393" s="151">
        <v>0</v>
      </c>
      <c r="AB393" s="151">
        <v>0</v>
      </c>
      <c r="AC393" s="151">
        <v>0</v>
      </c>
    </row>
    <row r="394" spans="1:29" s="61" customFormat="1" ht="11.25">
      <c r="A394" s="147">
        <f t="shared" si="130"/>
        <v>0</v>
      </c>
      <c r="B394" s="152">
        <f t="shared" si="131"/>
        <v>0</v>
      </c>
      <c r="C394" s="141">
        <f t="shared" si="132"/>
        <v>32</v>
      </c>
      <c r="D394" s="142">
        <v>375</v>
      </c>
      <c r="E394" s="143">
        <f t="shared" si="145"/>
        <v>0</v>
      </c>
      <c r="F394" s="144">
        <f t="shared" si="133"/>
        <v>0</v>
      </c>
      <c r="G394" s="144">
        <f t="shared" si="134"/>
        <v>0</v>
      </c>
      <c r="H394" s="169">
        <f t="shared" si="151"/>
        <v>0</v>
      </c>
      <c r="I394" s="143">
        <f t="shared" si="146"/>
        <v>0</v>
      </c>
      <c r="J394" s="144">
        <f t="shared" si="135"/>
        <v>0</v>
      </c>
      <c r="K394" s="144">
        <f t="shared" si="136"/>
        <v>0</v>
      </c>
      <c r="L394" s="169">
        <f t="shared" si="150"/>
        <v>0</v>
      </c>
      <c r="M394" s="143">
        <f t="shared" si="147"/>
        <v>0</v>
      </c>
      <c r="N394" s="144">
        <f t="shared" si="137"/>
        <v>0</v>
      </c>
      <c r="O394" s="144">
        <f t="shared" si="138"/>
        <v>0</v>
      </c>
      <c r="P394" s="169">
        <f t="shared" si="152"/>
        <v>0</v>
      </c>
      <c r="R394" s="143">
        <f t="shared" si="148"/>
        <v>0</v>
      </c>
      <c r="S394" s="144">
        <f t="shared" si="139"/>
        <v>0</v>
      </c>
      <c r="T394" s="144">
        <f t="shared" si="140"/>
        <v>0</v>
      </c>
      <c r="U394" s="169">
        <f t="shared" si="141"/>
        <v>0</v>
      </c>
      <c r="V394" s="143">
        <f t="shared" si="149"/>
        <v>0</v>
      </c>
      <c r="W394" s="144">
        <f t="shared" si="142"/>
        <v>0</v>
      </c>
      <c r="X394" s="144">
        <f t="shared" si="143"/>
        <v>0</v>
      </c>
      <c r="Y394" s="169">
        <f t="shared" si="144"/>
        <v>0</v>
      </c>
      <c r="Z394" s="151">
        <v>0</v>
      </c>
      <c r="AA394" s="151">
        <v>0</v>
      </c>
      <c r="AB394" s="151">
        <v>0</v>
      </c>
      <c r="AC394" s="151">
        <v>0</v>
      </c>
    </row>
    <row r="395" spans="1:29" s="61" customFormat="1" ht="11.25">
      <c r="A395" s="147">
        <f t="shared" si="130"/>
        <v>0</v>
      </c>
      <c r="B395" s="152">
        <f t="shared" si="131"/>
        <v>0</v>
      </c>
      <c r="C395" s="141">
        <f t="shared" si="132"/>
        <v>32</v>
      </c>
      <c r="D395" s="142">
        <v>376</v>
      </c>
      <c r="E395" s="143">
        <f t="shared" si="145"/>
        <v>0</v>
      </c>
      <c r="F395" s="144">
        <f t="shared" si="133"/>
        <v>0</v>
      </c>
      <c r="G395" s="144">
        <f t="shared" si="134"/>
        <v>0</v>
      </c>
      <c r="H395" s="169">
        <f t="shared" si="151"/>
        <v>0</v>
      </c>
      <c r="I395" s="143">
        <f t="shared" si="146"/>
        <v>0</v>
      </c>
      <c r="J395" s="144">
        <f t="shared" si="135"/>
        <v>0</v>
      </c>
      <c r="K395" s="144">
        <f t="shared" si="136"/>
        <v>0</v>
      </c>
      <c r="L395" s="169">
        <f t="shared" si="150"/>
        <v>0</v>
      </c>
      <c r="M395" s="143">
        <f t="shared" si="147"/>
        <v>0</v>
      </c>
      <c r="N395" s="144">
        <f t="shared" si="137"/>
        <v>0</v>
      </c>
      <c r="O395" s="144">
        <f t="shared" si="138"/>
        <v>0</v>
      </c>
      <c r="P395" s="169">
        <f t="shared" si="152"/>
        <v>0</v>
      </c>
      <c r="R395" s="143">
        <f t="shared" si="148"/>
        <v>0</v>
      </c>
      <c r="S395" s="144">
        <f t="shared" si="139"/>
        <v>0</v>
      </c>
      <c r="T395" s="144">
        <f t="shared" si="140"/>
        <v>0</v>
      </c>
      <c r="U395" s="169">
        <f t="shared" si="141"/>
        <v>0</v>
      </c>
      <c r="V395" s="143">
        <f t="shared" si="149"/>
        <v>0</v>
      </c>
      <c r="W395" s="144">
        <f t="shared" si="142"/>
        <v>0</v>
      </c>
      <c r="X395" s="144">
        <f t="shared" si="143"/>
        <v>0</v>
      </c>
      <c r="Y395" s="169">
        <f t="shared" si="144"/>
        <v>0</v>
      </c>
      <c r="Z395" s="151">
        <v>0</v>
      </c>
      <c r="AA395" s="151">
        <v>0</v>
      </c>
      <c r="AB395" s="151">
        <v>0</v>
      </c>
      <c r="AC395" s="151">
        <v>0</v>
      </c>
    </row>
    <row r="396" spans="1:29" s="61" customFormat="1" ht="11.25">
      <c r="A396" s="147">
        <f t="shared" si="130"/>
        <v>0</v>
      </c>
      <c r="B396" s="152">
        <f t="shared" si="131"/>
        <v>0</v>
      </c>
      <c r="C396" s="141">
        <f t="shared" si="132"/>
        <v>32</v>
      </c>
      <c r="D396" s="142">
        <v>377</v>
      </c>
      <c r="E396" s="143">
        <f t="shared" si="145"/>
        <v>0</v>
      </c>
      <c r="F396" s="144">
        <f t="shared" si="133"/>
        <v>0</v>
      </c>
      <c r="G396" s="144">
        <f t="shared" si="134"/>
        <v>0</v>
      </c>
      <c r="H396" s="169">
        <f t="shared" si="151"/>
        <v>0</v>
      </c>
      <c r="I396" s="143">
        <f t="shared" si="146"/>
        <v>0</v>
      </c>
      <c r="J396" s="144">
        <f t="shared" si="135"/>
        <v>0</v>
      </c>
      <c r="K396" s="144">
        <f t="shared" si="136"/>
        <v>0</v>
      </c>
      <c r="L396" s="169">
        <f t="shared" si="150"/>
        <v>0</v>
      </c>
      <c r="M396" s="143">
        <f t="shared" si="147"/>
        <v>0</v>
      </c>
      <c r="N396" s="144">
        <f t="shared" si="137"/>
        <v>0</v>
      </c>
      <c r="O396" s="144">
        <f t="shared" si="138"/>
        <v>0</v>
      </c>
      <c r="P396" s="169">
        <f t="shared" si="152"/>
        <v>0</v>
      </c>
      <c r="R396" s="143">
        <f t="shared" si="148"/>
        <v>0</v>
      </c>
      <c r="S396" s="144">
        <f t="shared" si="139"/>
        <v>0</v>
      </c>
      <c r="T396" s="144">
        <f t="shared" si="140"/>
        <v>0</v>
      </c>
      <c r="U396" s="169">
        <f t="shared" si="141"/>
        <v>0</v>
      </c>
      <c r="V396" s="143">
        <f t="shared" si="149"/>
        <v>0</v>
      </c>
      <c r="W396" s="144">
        <f t="shared" si="142"/>
        <v>0</v>
      </c>
      <c r="X396" s="144">
        <f t="shared" si="143"/>
        <v>0</v>
      </c>
      <c r="Y396" s="169">
        <f t="shared" si="144"/>
        <v>0</v>
      </c>
      <c r="Z396" s="151">
        <v>0</v>
      </c>
      <c r="AA396" s="151">
        <v>0</v>
      </c>
      <c r="AB396" s="151">
        <v>0</v>
      </c>
      <c r="AC396" s="151">
        <v>0</v>
      </c>
    </row>
    <row r="397" spans="1:29" s="61" customFormat="1" ht="11.25">
      <c r="A397" s="147">
        <f t="shared" si="130"/>
        <v>0</v>
      </c>
      <c r="B397" s="152">
        <f t="shared" si="131"/>
        <v>0</v>
      </c>
      <c r="C397" s="141">
        <f t="shared" si="132"/>
        <v>32</v>
      </c>
      <c r="D397" s="142">
        <v>378</v>
      </c>
      <c r="E397" s="143">
        <f t="shared" si="145"/>
        <v>0</v>
      </c>
      <c r="F397" s="144">
        <f t="shared" si="133"/>
        <v>0</v>
      </c>
      <c r="G397" s="144">
        <f t="shared" si="134"/>
        <v>0</v>
      </c>
      <c r="H397" s="169">
        <f t="shared" si="151"/>
        <v>0</v>
      </c>
      <c r="I397" s="143">
        <f t="shared" si="146"/>
        <v>0</v>
      </c>
      <c r="J397" s="144">
        <f t="shared" si="135"/>
        <v>0</v>
      </c>
      <c r="K397" s="144">
        <f t="shared" si="136"/>
        <v>0</v>
      </c>
      <c r="L397" s="169">
        <f t="shared" si="150"/>
        <v>0</v>
      </c>
      <c r="M397" s="143">
        <f t="shared" si="147"/>
        <v>0</v>
      </c>
      <c r="N397" s="144">
        <f t="shared" si="137"/>
        <v>0</v>
      </c>
      <c r="O397" s="144">
        <f t="shared" si="138"/>
        <v>0</v>
      </c>
      <c r="P397" s="169">
        <f t="shared" si="152"/>
        <v>0</v>
      </c>
      <c r="R397" s="143">
        <f t="shared" si="148"/>
        <v>0</v>
      </c>
      <c r="S397" s="144">
        <f t="shared" si="139"/>
        <v>0</v>
      </c>
      <c r="T397" s="144">
        <f t="shared" si="140"/>
        <v>0</v>
      </c>
      <c r="U397" s="169">
        <f t="shared" si="141"/>
        <v>0</v>
      </c>
      <c r="V397" s="143">
        <f t="shared" si="149"/>
        <v>0</v>
      </c>
      <c r="W397" s="144">
        <f t="shared" si="142"/>
        <v>0</v>
      </c>
      <c r="X397" s="144">
        <f t="shared" si="143"/>
        <v>0</v>
      </c>
      <c r="Y397" s="169">
        <f t="shared" si="144"/>
        <v>0</v>
      </c>
      <c r="Z397" s="151">
        <v>0</v>
      </c>
      <c r="AA397" s="151">
        <v>0</v>
      </c>
      <c r="AB397" s="151">
        <v>0</v>
      </c>
      <c r="AC397" s="151">
        <v>0</v>
      </c>
    </row>
    <row r="398" spans="1:29" s="61" customFormat="1" ht="11.25">
      <c r="A398" s="147">
        <f t="shared" si="130"/>
        <v>0</v>
      </c>
      <c r="B398" s="152">
        <f t="shared" si="131"/>
        <v>0</v>
      </c>
      <c r="C398" s="141">
        <f t="shared" si="132"/>
        <v>32</v>
      </c>
      <c r="D398" s="142">
        <v>379</v>
      </c>
      <c r="E398" s="143">
        <f t="shared" si="145"/>
        <v>0</v>
      </c>
      <c r="F398" s="144">
        <f t="shared" si="133"/>
        <v>0</v>
      </c>
      <c r="G398" s="144">
        <f t="shared" si="134"/>
        <v>0</v>
      </c>
      <c r="H398" s="169">
        <f t="shared" si="151"/>
        <v>0</v>
      </c>
      <c r="I398" s="143">
        <f t="shared" si="146"/>
        <v>0</v>
      </c>
      <c r="J398" s="144">
        <f t="shared" si="135"/>
        <v>0</v>
      </c>
      <c r="K398" s="144">
        <f t="shared" si="136"/>
        <v>0</v>
      </c>
      <c r="L398" s="169">
        <f t="shared" si="150"/>
        <v>0</v>
      </c>
      <c r="M398" s="143">
        <f t="shared" si="147"/>
        <v>0</v>
      </c>
      <c r="N398" s="144">
        <f t="shared" si="137"/>
        <v>0</v>
      </c>
      <c r="O398" s="144">
        <f t="shared" si="138"/>
        <v>0</v>
      </c>
      <c r="P398" s="169">
        <f t="shared" si="152"/>
        <v>0</v>
      </c>
      <c r="R398" s="143">
        <f t="shared" si="148"/>
        <v>0</v>
      </c>
      <c r="S398" s="144">
        <f t="shared" si="139"/>
        <v>0</v>
      </c>
      <c r="T398" s="144">
        <f t="shared" si="140"/>
        <v>0</v>
      </c>
      <c r="U398" s="169">
        <f t="shared" si="141"/>
        <v>0</v>
      </c>
      <c r="V398" s="143">
        <f t="shared" si="149"/>
        <v>0</v>
      </c>
      <c r="W398" s="144">
        <f t="shared" si="142"/>
        <v>0</v>
      </c>
      <c r="X398" s="144">
        <f t="shared" si="143"/>
        <v>0</v>
      </c>
      <c r="Y398" s="169">
        <f t="shared" si="144"/>
        <v>0</v>
      </c>
      <c r="Z398" s="151">
        <v>0</v>
      </c>
      <c r="AA398" s="151">
        <v>0</v>
      </c>
      <c r="AB398" s="151">
        <v>0</v>
      </c>
      <c r="AC398" s="151">
        <v>0</v>
      </c>
    </row>
    <row r="399" spans="1:29" s="61" customFormat="1" ht="11.25">
      <c r="A399" s="147">
        <f t="shared" si="130"/>
        <v>0</v>
      </c>
      <c r="B399" s="152">
        <f t="shared" si="131"/>
        <v>0</v>
      </c>
      <c r="C399" s="141">
        <f t="shared" si="132"/>
        <v>32</v>
      </c>
      <c r="D399" s="142">
        <v>380</v>
      </c>
      <c r="E399" s="143">
        <f t="shared" si="145"/>
        <v>0</v>
      </c>
      <c r="F399" s="144">
        <f t="shared" si="133"/>
        <v>0</v>
      </c>
      <c r="G399" s="144">
        <f t="shared" si="134"/>
        <v>0</v>
      </c>
      <c r="H399" s="169">
        <f t="shared" si="151"/>
        <v>0</v>
      </c>
      <c r="I399" s="143">
        <f t="shared" si="146"/>
        <v>0</v>
      </c>
      <c r="J399" s="144">
        <f t="shared" si="135"/>
        <v>0</v>
      </c>
      <c r="K399" s="144">
        <f t="shared" si="136"/>
        <v>0</v>
      </c>
      <c r="L399" s="169">
        <f t="shared" si="150"/>
        <v>0</v>
      </c>
      <c r="M399" s="143">
        <f t="shared" si="147"/>
        <v>0</v>
      </c>
      <c r="N399" s="144">
        <f t="shared" si="137"/>
        <v>0</v>
      </c>
      <c r="O399" s="144">
        <f t="shared" si="138"/>
        <v>0</v>
      </c>
      <c r="P399" s="169">
        <f t="shared" si="152"/>
        <v>0</v>
      </c>
      <c r="R399" s="143">
        <f t="shared" si="148"/>
        <v>0</v>
      </c>
      <c r="S399" s="144">
        <f t="shared" si="139"/>
        <v>0</v>
      </c>
      <c r="T399" s="144">
        <f t="shared" si="140"/>
        <v>0</v>
      </c>
      <c r="U399" s="169">
        <f t="shared" si="141"/>
        <v>0</v>
      </c>
      <c r="V399" s="143">
        <f t="shared" si="149"/>
        <v>0</v>
      </c>
      <c r="W399" s="144">
        <f t="shared" si="142"/>
        <v>0</v>
      </c>
      <c r="X399" s="144">
        <f t="shared" si="143"/>
        <v>0</v>
      </c>
      <c r="Y399" s="169">
        <f t="shared" si="144"/>
        <v>0</v>
      </c>
      <c r="Z399" s="151">
        <v>0</v>
      </c>
      <c r="AA399" s="151">
        <v>0</v>
      </c>
      <c r="AB399" s="151">
        <v>0</v>
      </c>
      <c r="AC399" s="151">
        <v>0</v>
      </c>
    </row>
    <row r="400" spans="1:29" s="61" customFormat="1" ht="11.25">
      <c r="A400" s="147">
        <f t="shared" si="130"/>
        <v>0</v>
      </c>
      <c r="B400" s="152">
        <f t="shared" si="131"/>
        <v>0</v>
      </c>
      <c r="C400" s="141">
        <f t="shared" si="132"/>
        <v>32</v>
      </c>
      <c r="D400" s="142">
        <v>381</v>
      </c>
      <c r="E400" s="143">
        <f t="shared" si="145"/>
        <v>0</v>
      </c>
      <c r="F400" s="144">
        <f t="shared" si="133"/>
        <v>0</v>
      </c>
      <c r="G400" s="144">
        <f t="shared" si="134"/>
        <v>0</v>
      </c>
      <c r="H400" s="169">
        <f t="shared" si="151"/>
        <v>0</v>
      </c>
      <c r="I400" s="143">
        <f t="shared" si="146"/>
        <v>0</v>
      </c>
      <c r="J400" s="144">
        <f t="shared" si="135"/>
        <v>0</v>
      </c>
      <c r="K400" s="144">
        <f t="shared" si="136"/>
        <v>0</v>
      </c>
      <c r="L400" s="169">
        <f t="shared" si="150"/>
        <v>0</v>
      </c>
      <c r="M400" s="143">
        <f t="shared" si="147"/>
        <v>0</v>
      </c>
      <c r="N400" s="144">
        <f t="shared" si="137"/>
        <v>0</v>
      </c>
      <c r="O400" s="144">
        <f t="shared" si="138"/>
        <v>0</v>
      </c>
      <c r="P400" s="169">
        <f t="shared" si="152"/>
        <v>0</v>
      </c>
      <c r="R400" s="143">
        <f t="shared" si="148"/>
        <v>0</v>
      </c>
      <c r="S400" s="144">
        <f t="shared" si="139"/>
        <v>0</v>
      </c>
      <c r="T400" s="144">
        <f t="shared" si="140"/>
        <v>0</v>
      </c>
      <c r="U400" s="169">
        <f t="shared" si="141"/>
        <v>0</v>
      </c>
      <c r="V400" s="143">
        <f t="shared" si="149"/>
        <v>0</v>
      </c>
      <c r="W400" s="144">
        <f t="shared" si="142"/>
        <v>0</v>
      </c>
      <c r="X400" s="144">
        <f t="shared" si="143"/>
        <v>0</v>
      </c>
      <c r="Y400" s="169">
        <f t="shared" si="144"/>
        <v>0</v>
      </c>
      <c r="Z400" s="151">
        <v>0</v>
      </c>
      <c r="AA400" s="151">
        <v>0</v>
      </c>
      <c r="AB400" s="151">
        <v>0</v>
      </c>
      <c r="AC400" s="151">
        <v>0</v>
      </c>
    </row>
    <row r="401" spans="1:29" s="61" customFormat="1" ht="11.25">
      <c r="A401" s="147">
        <f t="shared" si="130"/>
        <v>0</v>
      </c>
      <c r="B401" s="152">
        <f t="shared" si="131"/>
        <v>0</v>
      </c>
      <c r="C401" s="141">
        <f t="shared" si="132"/>
        <v>32</v>
      </c>
      <c r="D401" s="142">
        <v>382</v>
      </c>
      <c r="E401" s="143">
        <f t="shared" si="145"/>
        <v>0</v>
      </c>
      <c r="F401" s="144">
        <f t="shared" si="133"/>
        <v>0</v>
      </c>
      <c r="G401" s="144">
        <f t="shared" si="134"/>
        <v>0</v>
      </c>
      <c r="H401" s="169">
        <f t="shared" si="151"/>
        <v>0</v>
      </c>
      <c r="I401" s="143">
        <f t="shared" si="146"/>
        <v>0</v>
      </c>
      <c r="J401" s="144">
        <f t="shared" si="135"/>
        <v>0</v>
      </c>
      <c r="K401" s="144">
        <f t="shared" si="136"/>
        <v>0</v>
      </c>
      <c r="L401" s="169">
        <f t="shared" si="150"/>
        <v>0</v>
      </c>
      <c r="M401" s="143">
        <f t="shared" si="147"/>
        <v>0</v>
      </c>
      <c r="N401" s="144">
        <f t="shared" si="137"/>
        <v>0</v>
      </c>
      <c r="O401" s="144">
        <f t="shared" si="138"/>
        <v>0</v>
      </c>
      <c r="P401" s="169">
        <f t="shared" si="152"/>
        <v>0</v>
      </c>
      <c r="R401" s="143">
        <f t="shared" si="148"/>
        <v>0</v>
      </c>
      <c r="S401" s="144">
        <f t="shared" si="139"/>
        <v>0</v>
      </c>
      <c r="T401" s="144">
        <f t="shared" si="140"/>
        <v>0</v>
      </c>
      <c r="U401" s="169">
        <f t="shared" si="141"/>
        <v>0</v>
      </c>
      <c r="V401" s="143">
        <f t="shared" si="149"/>
        <v>0</v>
      </c>
      <c r="W401" s="144">
        <f t="shared" si="142"/>
        <v>0</v>
      </c>
      <c r="X401" s="144">
        <f t="shared" si="143"/>
        <v>0</v>
      </c>
      <c r="Y401" s="169">
        <f t="shared" si="144"/>
        <v>0</v>
      </c>
      <c r="Z401" s="151">
        <v>0</v>
      </c>
      <c r="AA401" s="151">
        <v>0</v>
      </c>
      <c r="AB401" s="151">
        <v>0</v>
      </c>
      <c r="AC401" s="151">
        <v>0</v>
      </c>
    </row>
    <row r="402" spans="1:29" s="61" customFormat="1" ht="11.25">
      <c r="A402" s="147">
        <f t="shared" si="130"/>
        <v>0</v>
      </c>
      <c r="B402" s="152">
        <f t="shared" si="131"/>
        <v>0</v>
      </c>
      <c r="C402" s="141">
        <f t="shared" si="132"/>
        <v>32</v>
      </c>
      <c r="D402" s="142">
        <v>383</v>
      </c>
      <c r="E402" s="143">
        <f t="shared" si="145"/>
        <v>0</v>
      </c>
      <c r="F402" s="144">
        <f t="shared" si="133"/>
        <v>0</v>
      </c>
      <c r="G402" s="144">
        <f t="shared" si="134"/>
        <v>0</v>
      </c>
      <c r="H402" s="169">
        <f t="shared" si="151"/>
        <v>0</v>
      </c>
      <c r="I402" s="143">
        <f t="shared" si="146"/>
        <v>0</v>
      </c>
      <c r="J402" s="144">
        <f t="shared" si="135"/>
        <v>0</v>
      </c>
      <c r="K402" s="144">
        <f t="shared" si="136"/>
        <v>0</v>
      </c>
      <c r="L402" s="169">
        <f t="shared" si="150"/>
        <v>0</v>
      </c>
      <c r="M402" s="143">
        <f t="shared" si="147"/>
        <v>0</v>
      </c>
      <c r="N402" s="144">
        <f t="shared" si="137"/>
        <v>0</v>
      </c>
      <c r="O402" s="144">
        <f t="shared" si="138"/>
        <v>0</v>
      </c>
      <c r="P402" s="169">
        <f t="shared" si="152"/>
        <v>0</v>
      </c>
      <c r="R402" s="143">
        <f t="shared" si="148"/>
        <v>0</v>
      </c>
      <c r="S402" s="144">
        <f t="shared" si="139"/>
        <v>0</v>
      </c>
      <c r="T402" s="144">
        <f t="shared" si="140"/>
        <v>0</v>
      </c>
      <c r="U402" s="169">
        <f t="shared" si="141"/>
        <v>0</v>
      </c>
      <c r="V402" s="143">
        <f t="shared" si="149"/>
        <v>0</v>
      </c>
      <c r="W402" s="144">
        <f t="shared" si="142"/>
        <v>0</v>
      </c>
      <c r="X402" s="144">
        <f t="shared" si="143"/>
        <v>0</v>
      </c>
      <c r="Y402" s="169">
        <f t="shared" si="144"/>
        <v>0</v>
      </c>
      <c r="Z402" s="151">
        <v>0</v>
      </c>
      <c r="AA402" s="151">
        <v>0</v>
      </c>
      <c r="AB402" s="151">
        <v>0</v>
      </c>
      <c r="AC402" s="151">
        <v>0</v>
      </c>
    </row>
    <row r="403" spans="1:29" s="61" customFormat="1" ht="12" thickBot="1">
      <c r="A403" s="153">
        <f t="shared" si="130"/>
        <v>0</v>
      </c>
      <c r="B403" s="154">
        <f t="shared" si="131"/>
        <v>0</v>
      </c>
      <c r="C403" s="155">
        <f t="shared" si="132"/>
        <v>32</v>
      </c>
      <c r="D403" s="156">
        <v>384</v>
      </c>
      <c r="E403" s="157">
        <f t="shared" si="145"/>
        <v>0</v>
      </c>
      <c r="F403" s="158">
        <f t="shared" si="133"/>
        <v>0</v>
      </c>
      <c r="G403" s="158">
        <f t="shared" si="134"/>
        <v>0</v>
      </c>
      <c r="H403" s="172">
        <f t="shared" si="151"/>
        <v>0</v>
      </c>
      <c r="I403" s="157">
        <f t="shared" si="146"/>
        <v>0</v>
      </c>
      <c r="J403" s="158">
        <f t="shared" si="135"/>
        <v>0</v>
      </c>
      <c r="K403" s="158">
        <f t="shared" si="136"/>
        <v>0</v>
      </c>
      <c r="L403" s="172">
        <f t="shared" si="150"/>
        <v>0</v>
      </c>
      <c r="M403" s="157">
        <f t="shared" si="147"/>
        <v>0</v>
      </c>
      <c r="N403" s="158">
        <f t="shared" si="137"/>
        <v>0</v>
      </c>
      <c r="O403" s="158">
        <f t="shared" si="138"/>
        <v>0</v>
      </c>
      <c r="P403" s="172">
        <f t="shared" si="152"/>
        <v>0</v>
      </c>
      <c r="R403" s="157">
        <f t="shared" si="148"/>
        <v>0</v>
      </c>
      <c r="S403" s="158">
        <f t="shared" si="139"/>
        <v>0</v>
      </c>
      <c r="T403" s="158">
        <f t="shared" si="140"/>
        <v>0</v>
      </c>
      <c r="U403" s="172">
        <f t="shared" si="141"/>
        <v>0</v>
      </c>
      <c r="V403" s="157">
        <f t="shared" si="149"/>
        <v>0</v>
      </c>
      <c r="W403" s="158">
        <f t="shared" si="142"/>
        <v>0</v>
      </c>
      <c r="X403" s="158">
        <f t="shared" si="143"/>
        <v>0</v>
      </c>
      <c r="Y403" s="172">
        <f t="shared" si="144"/>
        <v>0</v>
      </c>
      <c r="Z403" s="151">
        <v>0</v>
      </c>
      <c r="AA403" s="151">
        <v>0</v>
      </c>
      <c r="AB403" s="151">
        <v>0</v>
      </c>
      <c r="AC403" s="151">
        <v>0</v>
      </c>
    </row>
    <row r="404" spans="1:29" s="61" customFormat="1" ht="11.25">
      <c r="A404" s="147">
        <f t="shared" ref="A404:A415" si="153">VLOOKUP(D404,$A$10:$C$14,3)</f>
        <v>0</v>
      </c>
      <c r="B404" s="152">
        <f t="shared" ref="B404:B415" si="154">A404/12</f>
        <v>0</v>
      </c>
      <c r="C404" s="141">
        <f t="shared" ref="C404:C415" si="155">INT((D404+11)/12)</f>
        <v>33</v>
      </c>
      <c r="D404" s="142">
        <v>385</v>
      </c>
      <c r="E404" s="143">
        <f t="shared" si="145"/>
        <v>0</v>
      </c>
      <c r="F404" s="144">
        <f t="shared" ref="F404:F415" si="156">ROUND(E404*$B404,2)</f>
        <v>0</v>
      </c>
      <c r="G404" s="144">
        <f t="shared" ref="G404:G415" si="157">IF(E404&lt;H404,E404,H404-F404)</f>
        <v>0</v>
      </c>
      <c r="H404" s="169">
        <f t="shared" si="151"/>
        <v>0</v>
      </c>
      <c r="I404" s="143">
        <f t="shared" si="146"/>
        <v>0</v>
      </c>
      <c r="J404" s="144">
        <f t="shared" ref="J404:J415" si="158">ROUND(I404*$B404,2)</f>
        <v>0</v>
      </c>
      <c r="K404" s="144">
        <f t="shared" ref="K404:K415" si="159">IF(I404&lt;L404,I404,L404-J404)</f>
        <v>0</v>
      </c>
      <c r="L404" s="169">
        <f t="shared" si="150"/>
        <v>0</v>
      </c>
      <c r="M404" s="143">
        <f t="shared" si="147"/>
        <v>0</v>
      </c>
      <c r="N404" s="144">
        <f t="shared" ref="N404:N415" si="160">ROUND(M404*$B404,2)</f>
        <v>0</v>
      </c>
      <c r="O404" s="144">
        <f t="shared" ref="O404:O415" si="161">IF(M404&lt;P404,M404,P404-N404)</f>
        <v>0</v>
      </c>
      <c r="P404" s="169">
        <f t="shared" si="152"/>
        <v>0</v>
      </c>
      <c r="R404" s="143">
        <f t="shared" si="148"/>
        <v>0</v>
      </c>
      <c r="S404" s="144">
        <f t="shared" ref="S404:S415" si="162">ROUND(R404*$B404,2)</f>
        <v>0</v>
      </c>
      <c r="T404" s="144">
        <f t="shared" ref="T404:T415" si="163">IF(R404&lt;U404,R404,U404-S404)</f>
        <v>0</v>
      </c>
      <c r="U404" s="169">
        <f t="shared" ref="U404:U415" si="164">IF(R404&lt;=0,0,$Y$15)</f>
        <v>0</v>
      </c>
      <c r="V404" s="143">
        <f t="shared" si="149"/>
        <v>0</v>
      </c>
      <c r="W404" s="144">
        <f t="shared" ref="W404:W415" si="165">ROUND(V404*$B404,2)</f>
        <v>0</v>
      </c>
      <c r="X404" s="144">
        <f t="shared" ref="X404:X415" si="166">IF(V404&lt;Y404,V404,Y404-W404)</f>
        <v>0</v>
      </c>
      <c r="Y404" s="169">
        <f t="shared" ref="Y404:Y415" si="167">IF(V404&lt;=0,0,PMT(B404,($B$2-D404+1),V404*-1))</f>
        <v>0</v>
      </c>
      <c r="Z404" s="151">
        <v>0</v>
      </c>
      <c r="AA404" s="151">
        <v>0</v>
      </c>
      <c r="AB404" s="151">
        <v>0</v>
      </c>
      <c r="AC404" s="151">
        <v>0</v>
      </c>
    </row>
    <row r="405" spans="1:29" s="61" customFormat="1" ht="11.25">
      <c r="A405" s="147">
        <f t="shared" si="153"/>
        <v>0</v>
      </c>
      <c r="B405" s="152">
        <f t="shared" si="154"/>
        <v>0</v>
      </c>
      <c r="C405" s="141">
        <f t="shared" si="155"/>
        <v>33</v>
      </c>
      <c r="D405" s="142">
        <v>386</v>
      </c>
      <c r="E405" s="143">
        <f t="shared" ref="E405:E415" si="168">IF(E404&lt;H404,0,E404-G404)</f>
        <v>0</v>
      </c>
      <c r="F405" s="144">
        <f t="shared" si="156"/>
        <v>0</v>
      </c>
      <c r="G405" s="144">
        <f t="shared" si="157"/>
        <v>0</v>
      </c>
      <c r="H405" s="169">
        <f t="shared" si="151"/>
        <v>0</v>
      </c>
      <c r="I405" s="143">
        <f t="shared" ref="I405:I415" si="169">IF(I404&lt;L404,0,I404-K404)</f>
        <v>0</v>
      </c>
      <c r="J405" s="144">
        <f t="shared" si="158"/>
        <v>0</v>
      </c>
      <c r="K405" s="144">
        <f t="shared" si="159"/>
        <v>0</v>
      </c>
      <c r="L405" s="169">
        <f t="shared" si="150"/>
        <v>0</v>
      </c>
      <c r="M405" s="143">
        <f t="shared" ref="M405:M415" si="170">IF(M404&lt;P404,0,M404-O404)</f>
        <v>0</v>
      </c>
      <c r="N405" s="144">
        <f t="shared" si="160"/>
        <v>0</v>
      </c>
      <c r="O405" s="144">
        <f t="shared" si="161"/>
        <v>0</v>
      </c>
      <c r="P405" s="169">
        <f t="shared" si="152"/>
        <v>0</v>
      </c>
      <c r="R405" s="143">
        <f t="shared" ref="R405:R415" si="171">IF(R404&lt;U404,0,R404-T404)</f>
        <v>0</v>
      </c>
      <c r="S405" s="144">
        <f t="shared" si="162"/>
        <v>0</v>
      </c>
      <c r="T405" s="144">
        <f t="shared" si="163"/>
        <v>0</v>
      </c>
      <c r="U405" s="169">
        <f t="shared" si="164"/>
        <v>0</v>
      </c>
      <c r="V405" s="143">
        <f t="shared" ref="V405:V415" si="172">IF(V404&lt;Y404,0,V404-X404)</f>
        <v>0</v>
      </c>
      <c r="W405" s="144">
        <f t="shared" si="165"/>
        <v>0</v>
      </c>
      <c r="X405" s="144">
        <f t="shared" si="166"/>
        <v>0</v>
      </c>
      <c r="Y405" s="169">
        <f t="shared" si="167"/>
        <v>0</v>
      </c>
      <c r="Z405" s="151">
        <v>0</v>
      </c>
      <c r="AA405" s="151">
        <v>0</v>
      </c>
      <c r="AB405" s="151">
        <v>0</v>
      </c>
      <c r="AC405" s="151">
        <v>0</v>
      </c>
    </row>
    <row r="406" spans="1:29" s="61" customFormat="1" ht="11.25">
      <c r="A406" s="147">
        <f t="shared" si="153"/>
        <v>0</v>
      </c>
      <c r="B406" s="152">
        <f t="shared" si="154"/>
        <v>0</v>
      </c>
      <c r="C406" s="141">
        <f t="shared" si="155"/>
        <v>33</v>
      </c>
      <c r="D406" s="142">
        <v>387</v>
      </c>
      <c r="E406" s="143">
        <f t="shared" si="168"/>
        <v>0</v>
      </c>
      <c r="F406" s="144">
        <f t="shared" si="156"/>
        <v>0</v>
      </c>
      <c r="G406" s="144">
        <f t="shared" si="157"/>
        <v>0</v>
      </c>
      <c r="H406" s="169">
        <f t="shared" si="151"/>
        <v>0</v>
      </c>
      <c r="I406" s="143">
        <f t="shared" si="169"/>
        <v>0</v>
      </c>
      <c r="J406" s="144">
        <f t="shared" si="158"/>
        <v>0</v>
      </c>
      <c r="K406" s="144">
        <f t="shared" si="159"/>
        <v>0</v>
      </c>
      <c r="L406" s="169">
        <f t="shared" si="150"/>
        <v>0</v>
      </c>
      <c r="M406" s="143">
        <f t="shared" si="170"/>
        <v>0</v>
      </c>
      <c r="N406" s="144">
        <f t="shared" si="160"/>
        <v>0</v>
      </c>
      <c r="O406" s="144">
        <f t="shared" si="161"/>
        <v>0</v>
      </c>
      <c r="P406" s="169">
        <f t="shared" si="152"/>
        <v>0</v>
      </c>
      <c r="R406" s="143">
        <f t="shared" si="171"/>
        <v>0</v>
      </c>
      <c r="S406" s="144">
        <f t="shared" si="162"/>
        <v>0</v>
      </c>
      <c r="T406" s="144">
        <f t="shared" si="163"/>
        <v>0</v>
      </c>
      <c r="U406" s="169">
        <f t="shared" si="164"/>
        <v>0</v>
      </c>
      <c r="V406" s="143">
        <f t="shared" si="172"/>
        <v>0</v>
      </c>
      <c r="W406" s="144">
        <f t="shared" si="165"/>
        <v>0</v>
      </c>
      <c r="X406" s="144">
        <f t="shared" si="166"/>
        <v>0</v>
      </c>
      <c r="Y406" s="169">
        <f t="shared" si="167"/>
        <v>0</v>
      </c>
      <c r="Z406" s="151">
        <v>0</v>
      </c>
      <c r="AA406" s="151">
        <v>0</v>
      </c>
      <c r="AB406" s="151">
        <v>0</v>
      </c>
      <c r="AC406" s="151">
        <v>0</v>
      </c>
    </row>
    <row r="407" spans="1:29" s="61" customFormat="1" ht="11.25">
      <c r="A407" s="147">
        <f t="shared" si="153"/>
        <v>0</v>
      </c>
      <c r="B407" s="152">
        <f t="shared" si="154"/>
        <v>0</v>
      </c>
      <c r="C407" s="141">
        <f t="shared" si="155"/>
        <v>33</v>
      </c>
      <c r="D407" s="142">
        <v>388</v>
      </c>
      <c r="E407" s="143">
        <f t="shared" si="168"/>
        <v>0</v>
      </c>
      <c r="F407" s="144">
        <f t="shared" si="156"/>
        <v>0</v>
      </c>
      <c r="G407" s="144">
        <f t="shared" si="157"/>
        <v>0</v>
      </c>
      <c r="H407" s="169">
        <f t="shared" si="151"/>
        <v>0</v>
      </c>
      <c r="I407" s="143">
        <f t="shared" si="169"/>
        <v>0</v>
      </c>
      <c r="J407" s="144">
        <f t="shared" si="158"/>
        <v>0</v>
      </c>
      <c r="K407" s="144">
        <f t="shared" si="159"/>
        <v>0</v>
      </c>
      <c r="L407" s="169">
        <f t="shared" si="150"/>
        <v>0</v>
      </c>
      <c r="M407" s="143">
        <f t="shared" si="170"/>
        <v>0</v>
      </c>
      <c r="N407" s="144">
        <f t="shared" si="160"/>
        <v>0</v>
      </c>
      <c r="O407" s="144">
        <f t="shared" si="161"/>
        <v>0</v>
      </c>
      <c r="P407" s="169">
        <f t="shared" si="152"/>
        <v>0</v>
      </c>
      <c r="R407" s="143">
        <f t="shared" si="171"/>
        <v>0</v>
      </c>
      <c r="S407" s="144">
        <f t="shared" si="162"/>
        <v>0</v>
      </c>
      <c r="T407" s="144">
        <f t="shared" si="163"/>
        <v>0</v>
      </c>
      <c r="U407" s="169">
        <f t="shared" si="164"/>
        <v>0</v>
      </c>
      <c r="V407" s="143">
        <f t="shared" si="172"/>
        <v>0</v>
      </c>
      <c r="W407" s="144">
        <f t="shared" si="165"/>
        <v>0</v>
      </c>
      <c r="X407" s="144">
        <f t="shared" si="166"/>
        <v>0</v>
      </c>
      <c r="Y407" s="169">
        <f t="shared" si="167"/>
        <v>0</v>
      </c>
      <c r="Z407" s="151">
        <v>0</v>
      </c>
      <c r="AA407" s="151">
        <v>0</v>
      </c>
      <c r="AB407" s="151">
        <v>0</v>
      </c>
      <c r="AC407" s="151">
        <v>0</v>
      </c>
    </row>
    <row r="408" spans="1:29" s="61" customFormat="1" ht="11.25">
      <c r="A408" s="147">
        <f t="shared" si="153"/>
        <v>0</v>
      </c>
      <c r="B408" s="152">
        <f t="shared" si="154"/>
        <v>0</v>
      </c>
      <c r="C408" s="141">
        <f t="shared" si="155"/>
        <v>33</v>
      </c>
      <c r="D408" s="142">
        <v>389</v>
      </c>
      <c r="E408" s="143">
        <f t="shared" si="168"/>
        <v>0</v>
      </c>
      <c r="F408" s="144">
        <f t="shared" si="156"/>
        <v>0</v>
      </c>
      <c r="G408" s="144">
        <f t="shared" si="157"/>
        <v>0</v>
      </c>
      <c r="H408" s="169">
        <f t="shared" si="151"/>
        <v>0</v>
      </c>
      <c r="I408" s="143">
        <f t="shared" si="169"/>
        <v>0</v>
      </c>
      <c r="J408" s="144">
        <f t="shared" si="158"/>
        <v>0</v>
      </c>
      <c r="K408" s="144">
        <f t="shared" si="159"/>
        <v>0</v>
      </c>
      <c r="L408" s="169">
        <f t="shared" si="150"/>
        <v>0</v>
      </c>
      <c r="M408" s="143">
        <f t="shared" si="170"/>
        <v>0</v>
      </c>
      <c r="N408" s="144">
        <f t="shared" si="160"/>
        <v>0</v>
      </c>
      <c r="O408" s="144">
        <f t="shared" si="161"/>
        <v>0</v>
      </c>
      <c r="P408" s="169">
        <f t="shared" si="152"/>
        <v>0</v>
      </c>
      <c r="R408" s="143">
        <f t="shared" si="171"/>
        <v>0</v>
      </c>
      <c r="S408" s="144">
        <f t="shared" si="162"/>
        <v>0</v>
      </c>
      <c r="T408" s="144">
        <f t="shared" si="163"/>
        <v>0</v>
      </c>
      <c r="U408" s="169">
        <f t="shared" si="164"/>
        <v>0</v>
      </c>
      <c r="V408" s="143">
        <f t="shared" si="172"/>
        <v>0</v>
      </c>
      <c r="W408" s="144">
        <f t="shared" si="165"/>
        <v>0</v>
      </c>
      <c r="X408" s="144">
        <f t="shared" si="166"/>
        <v>0</v>
      </c>
      <c r="Y408" s="169">
        <f t="shared" si="167"/>
        <v>0</v>
      </c>
      <c r="Z408" s="151">
        <v>0</v>
      </c>
      <c r="AA408" s="151">
        <v>0</v>
      </c>
      <c r="AB408" s="151">
        <v>0</v>
      </c>
      <c r="AC408" s="151">
        <v>0</v>
      </c>
    </row>
    <row r="409" spans="1:29" s="61" customFormat="1" ht="11.25">
      <c r="A409" s="147">
        <f t="shared" si="153"/>
        <v>0</v>
      </c>
      <c r="B409" s="152">
        <f t="shared" si="154"/>
        <v>0</v>
      </c>
      <c r="C409" s="141">
        <f t="shared" si="155"/>
        <v>33</v>
      </c>
      <c r="D409" s="142">
        <v>390</v>
      </c>
      <c r="E409" s="143">
        <f t="shared" si="168"/>
        <v>0</v>
      </c>
      <c r="F409" s="144">
        <f t="shared" si="156"/>
        <v>0</v>
      </c>
      <c r="G409" s="144">
        <f t="shared" si="157"/>
        <v>0</v>
      </c>
      <c r="H409" s="169">
        <f t="shared" si="151"/>
        <v>0</v>
      </c>
      <c r="I409" s="143">
        <f t="shared" si="169"/>
        <v>0</v>
      </c>
      <c r="J409" s="144">
        <f t="shared" si="158"/>
        <v>0</v>
      </c>
      <c r="K409" s="144">
        <f t="shared" si="159"/>
        <v>0</v>
      </c>
      <c r="L409" s="169">
        <f t="shared" si="150"/>
        <v>0</v>
      </c>
      <c r="M409" s="143">
        <f t="shared" si="170"/>
        <v>0</v>
      </c>
      <c r="N409" s="144">
        <f t="shared" si="160"/>
        <v>0</v>
      </c>
      <c r="O409" s="144">
        <f t="shared" si="161"/>
        <v>0</v>
      </c>
      <c r="P409" s="169">
        <f t="shared" si="152"/>
        <v>0</v>
      </c>
      <c r="R409" s="143">
        <f t="shared" si="171"/>
        <v>0</v>
      </c>
      <c r="S409" s="144">
        <f t="shared" si="162"/>
        <v>0</v>
      </c>
      <c r="T409" s="144">
        <f t="shared" si="163"/>
        <v>0</v>
      </c>
      <c r="U409" s="169">
        <f t="shared" si="164"/>
        <v>0</v>
      </c>
      <c r="V409" s="143">
        <f t="shared" si="172"/>
        <v>0</v>
      </c>
      <c r="W409" s="144">
        <f t="shared" si="165"/>
        <v>0</v>
      </c>
      <c r="X409" s="144">
        <f t="shared" si="166"/>
        <v>0</v>
      </c>
      <c r="Y409" s="169">
        <f t="shared" si="167"/>
        <v>0</v>
      </c>
      <c r="Z409" s="151">
        <v>0</v>
      </c>
      <c r="AA409" s="151">
        <v>0</v>
      </c>
      <c r="AB409" s="151">
        <v>0</v>
      </c>
      <c r="AC409" s="151">
        <v>0</v>
      </c>
    </row>
    <row r="410" spans="1:29" s="61" customFormat="1" ht="11.25">
      <c r="A410" s="147">
        <f t="shared" si="153"/>
        <v>0</v>
      </c>
      <c r="B410" s="152">
        <f t="shared" si="154"/>
        <v>0</v>
      </c>
      <c r="C410" s="141">
        <f t="shared" si="155"/>
        <v>33</v>
      </c>
      <c r="D410" s="142">
        <v>391</v>
      </c>
      <c r="E410" s="143">
        <f t="shared" si="168"/>
        <v>0</v>
      </c>
      <c r="F410" s="144">
        <f t="shared" si="156"/>
        <v>0</v>
      </c>
      <c r="G410" s="144">
        <f t="shared" si="157"/>
        <v>0</v>
      </c>
      <c r="H410" s="169">
        <f t="shared" si="151"/>
        <v>0</v>
      </c>
      <c r="I410" s="143">
        <f t="shared" si="169"/>
        <v>0</v>
      </c>
      <c r="J410" s="144">
        <f t="shared" si="158"/>
        <v>0</v>
      </c>
      <c r="K410" s="144">
        <f t="shared" si="159"/>
        <v>0</v>
      </c>
      <c r="L410" s="169">
        <f t="shared" si="150"/>
        <v>0</v>
      </c>
      <c r="M410" s="143">
        <f t="shared" si="170"/>
        <v>0</v>
      </c>
      <c r="N410" s="144">
        <f t="shared" si="160"/>
        <v>0</v>
      </c>
      <c r="O410" s="144">
        <f t="shared" si="161"/>
        <v>0</v>
      </c>
      <c r="P410" s="169">
        <f t="shared" si="152"/>
        <v>0</v>
      </c>
      <c r="R410" s="143">
        <f t="shared" si="171"/>
        <v>0</v>
      </c>
      <c r="S410" s="144">
        <f t="shared" si="162"/>
        <v>0</v>
      </c>
      <c r="T410" s="144">
        <f t="shared" si="163"/>
        <v>0</v>
      </c>
      <c r="U410" s="169">
        <f t="shared" si="164"/>
        <v>0</v>
      </c>
      <c r="V410" s="143">
        <f t="shared" si="172"/>
        <v>0</v>
      </c>
      <c r="W410" s="144">
        <f t="shared" si="165"/>
        <v>0</v>
      </c>
      <c r="X410" s="144">
        <f t="shared" si="166"/>
        <v>0</v>
      </c>
      <c r="Y410" s="169">
        <f t="shared" si="167"/>
        <v>0</v>
      </c>
      <c r="Z410" s="151">
        <v>0</v>
      </c>
      <c r="AA410" s="151">
        <v>0</v>
      </c>
      <c r="AB410" s="151">
        <v>0</v>
      </c>
      <c r="AC410" s="151">
        <v>0</v>
      </c>
    </row>
    <row r="411" spans="1:29" s="61" customFormat="1" ht="11.25">
      <c r="A411" s="147">
        <f t="shared" si="153"/>
        <v>0</v>
      </c>
      <c r="B411" s="152">
        <f t="shared" si="154"/>
        <v>0</v>
      </c>
      <c r="C411" s="141">
        <f t="shared" si="155"/>
        <v>33</v>
      </c>
      <c r="D411" s="142">
        <v>392</v>
      </c>
      <c r="E411" s="143">
        <f t="shared" si="168"/>
        <v>0</v>
      </c>
      <c r="F411" s="144">
        <f t="shared" si="156"/>
        <v>0</v>
      </c>
      <c r="G411" s="144">
        <f t="shared" si="157"/>
        <v>0</v>
      </c>
      <c r="H411" s="169">
        <f t="shared" si="151"/>
        <v>0</v>
      </c>
      <c r="I411" s="143">
        <f t="shared" si="169"/>
        <v>0</v>
      </c>
      <c r="J411" s="144">
        <f t="shared" si="158"/>
        <v>0</v>
      </c>
      <c r="K411" s="144">
        <f t="shared" si="159"/>
        <v>0</v>
      </c>
      <c r="L411" s="169">
        <f t="shared" si="150"/>
        <v>0</v>
      </c>
      <c r="M411" s="143">
        <f t="shared" si="170"/>
        <v>0</v>
      </c>
      <c r="N411" s="144">
        <f t="shared" si="160"/>
        <v>0</v>
      </c>
      <c r="O411" s="144">
        <f t="shared" si="161"/>
        <v>0</v>
      </c>
      <c r="P411" s="169">
        <f t="shared" si="152"/>
        <v>0</v>
      </c>
      <c r="R411" s="143">
        <f t="shared" si="171"/>
        <v>0</v>
      </c>
      <c r="S411" s="144">
        <f t="shared" si="162"/>
        <v>0</v>
      </c>
      <c r="T411" s="144">
        <f t="shared" si="163"/>
        <v>0</v>
      </c>
      <c r="U411" s="169">
        <f t="shared" si="164"/>
        <v>0</v>
      </c>
      <c r="V411" s="143">
        <f t="shared" si="172"/>
        <v>0</v>
      </c>
      <c r="W411" s="144">
        <f t="shared" si="165"/>
        <v>0</v>
      </c>
      <c r="X411" s="144">
        <f t="shared" si="166"/>
        <v>0</v>
      </c>
      <c r="Y411" s="169">
        <f t="shared" si="167"/>
        <v>0</v>
      </c>
      <c r="Z411" s="151">
        <v>0</v>
      </c>
      <c r="AA411" s="151">
        <v>0</v>
      </c>
      <c r="AB411" s="151">
        <v>0</v>
      </c>
      <c r="AC411" s="151">
        <v>0</v>
      </c>
    </row>
    <row r="412" spans="1:29" s="61" customFormat="1" ht="11.25">
      <c r="A412" s="147">
        <f t="shared" si="153"/>
        <v>0</v>
      </c>
      <c r="B412" s="152">
        <f t="shared" si="154"/>
        <v>0</v>
      </c>
      <c r="C412" s="141">
        <f t="shared" si="155"/>
        <v>33</v>
      </c>
      <c r="D412" s="142">
        <v>393</v>
      </c>
      <c r="E412" s="143">
        <f t="shared" si="168"/>
        <v>0</v>
      </c>
      <c r="F412" s="144">
        <f t="shared" si="156"/>
        <v>0</v>
      </c>
      <c r="G412" s="144">
        <f t="shared" si="157"/>
        <v>0</v>
      </c>
      <c r="H412" s="169">
        <f t="shared" si="151"/>
        <v>0</v>
      </c>
      <c r="I412" s="143">
        <f t="shared" si="169"/>
        <v>0</v>
      </c>
      <c r="J412" s="144">
        <f t="shared" si="158"/>
        <v>0</v>
      </c>
      <c r="K412" s="144">
        <f t="shared" si="159"/>
        <v>0</v>
      </c>
      <c r="L412" s="169">
        <f t="shared" si="150"/>
        <v>0</v>
      </c>
      <c r="M412" s="143">
        <f t="shared" si="170"/>
        <v>0</v>
      </c>
      <c r="N412" s="144">
        <f t="shared" si="160"/>
        <v>0</v>
      </c>
      <c r="O412" s="144">
        <f t="shared" si="161"/>
        <v>0</v>
      </c>
      <c r="P412" s="169">
        <f t="shared" si="152"/>
        <v>0</v>
      </c>
      <c r="R412" s="143">
        <f t="shared" si="171"/>
        <v>0</v>
      </c>
      <c r="S412" s="144">
        <f t="shared" si="162"/>
        <v>0</v>
      </c>
      <c r="T412" s="144">
        <f t="shared" si="163"/>
        <v>0</v>
      </c>
      <c r="U412" s="169">
        <f t="shared" si="164"/>
        <v>0</v>
      </c>
      <c r="V412" s="143">
        <f t="shared" si="172"/>
        <v>0</v>
      </c>
      <c r="W412" s="144">
        <f t="shared" si="165"/>
        <v>0</v>
      </c>
      <c r="X412" s="144">
        <f t="shared" si="166"/>
        <v>0</v>
      </c>
      <c r="Y412" s="169">
        <f t="shared" si="167"/>
        <v>0</v>
      </c>
      <c r="Z412" s="151">
        <v>0</v>
      </c>
      <c r="AA412" s="151">
        <v>0</v>
      </c>
      <c r="AB412" s="151">
        <v>0</v>
      </c>
      <c r="AC412" s="151">
        <v>0</v>
      </c>
    </row>
    <row r="413" spans="1:29" s="61" customFormat="1" ht="11.25">
      <c r="A413" s="147">
        <f t="shared" si="153"/>
        <v>0</v>
      </c>
      <c r="B413" s="152">
        <f t="shared" si="154"/>
        <v>0</v>
      </c>
      <c r="C413" s="141">
        <f t="shared" si="155"/>
        <v>33</v>
      </c>
      <c r="D413" s="142">
        <v>394</v>
      </c>
      <c r="E413" s="143">
        <f t="shared" si="168"/>
        <v>0</v>
      </c>
      <c r="F413" s="144">
        <f t="shared" si="156"/>
        <v>0</v>
      </c>
      <c r="G413" s="144">
        <f t="shared" si="157"/>
        <v>0</v>
      </c>
      <c r="H413" s="169">
        <f t="shared" si="151"/>
        <v>0</v>
      </c>
      <c r="I413" s="143">
        <f t="shared" si="169"/>
        <v>0</v>
      </c>
      <c r="J413" s="144">
        <f t="shared" si="158"/>
        <v>0</v>
      </c>
      <c r="K413" s="144">
        <f t="shared" si="159"/>
        <v>0</v>
      </c>
      <c r="L413" s="169">
        <f t="shared" si="150"/>
        <v>0</v>
      </c>
      <c r="M413" s="143">
        <f t="shared" si="170"/>
        <v>0</v>
      </c>
      <c r="N413" s="144">
        <f t="shared" si="160"/>
        <v>0</v>
      </c>
      <c r="O413" s="144">
        <f t="shared" si="161"/>
        <v>0</v>
      </c>
      <c r="P413" s="169">
        <f t="shared" si="152"/>
        <v>0</v>
      </c>
      <c r="R413" s="143">
        <f t="shared" si="171"/>
        <v>0</v>
      </c>
      <c r="S413" s="144">
        <f t="shared" si="162"/>
        <v>0</v>
      </c>
      <c r="T413" s="144">
        <f t="shared" si="163"/>
        <v>0</v>
      </c>
      <c r="U413" s="169">
        <f t="shared" si="164"/>
        <v>0</v>
      </c>
      <c r="V413" s="143">
        <f t="shared" si="172"/>
        <v>0</v>
      </c>
      <c r="W413" s="144">
        <f t="shared" si="165"/>
        <v>0</v>
      </c>
      <c r="X413" s="144">
        <f t="shared" si="166"/>
        <v>0</v>
      </c>
      <c r="Y413" s="169">
        <f t="shared" si="167"/>
        <v>0</v>
      </c>
      <c r="Z413" s="151">
        <v>0</v>
      </c>
      <c r="AA413" s="151">
        <v>0</v>
      </c>
      <c r="AB413" s="151">
        <v>0</v>
      </c>
      <c r="AC413" s="151">
        <v>0</v>
      </c>
    </row>
    <row r="414" spans="1:29" s="61" customFormat="1" ht="11.25">
      <c r="A414" s="147">
        <f t="shared" si="153"/>
        <v>0</v>
      </c>
      <c r="B414" s="152">
        <f t="shared" si="154"/>
        <v>0</v>
      </c>
      <c r="C414" s="141">
        <f t="shared" si="155"/>
        <v>33</v>
      </c>
      <c r="D414" s="142">
        <v>395</v>
      </c>
      <c r="E414" s="143">
        <f t="shared" si="168"/>
        <v>0</v>
      </c>
      <c r="F414" s="144">
        <f t="shared" si="156"/>
        <v>0</v>
      </c>
      <c r="G414" s="144">
        <f t="shared" si="157"/>
        <v>0</v>
      </c>
      <c r="H414" s="169">
        <f t="shared" si="151"/>
        <v>0</v>
      </c>
      <c r="I414" s="143">
        <f t="shared" si="169"/>
        <v>0</v>
      </c>
      <c r="J414" s="144">
        <f t="shared" si="158"/>
        <v>0</v>
      </c>
      <c r="K414" s="144">
        <f t="shared" si="159"/>
        <v>0</v>
      </c>
      <c r="L414" s="169">
        <f t="shared" si="150"/>
        <v>0</v>
      </c>
      <c r="M414" s="143">
        <f t="shared" si="170"/>
        <v>0</v>
      </c>
      <c r="N414" s="144">
        <f t="shared" si="160"/>
        <v>0</v>
      </c>
      <c r="O414" s="144">
        <f t="shared" si="161"/>
        <v>0</v>
      </c>
      <c r="P414" s="169">
        <f t="shared" si="152"/>
        <v>0</v>
      </c>
      <c r="R414" s="143">
        <f t="shared" si="171"/>
        <v>0</v>
      </c>
      <c r="S414" s="144">
        <f t="shared" si="162"/>
        <v>0</v>
      </c>
      <c r="T414" s="144">
        <f t="shared" si="163"/>
        <v>0</v>
      </c>
      <c r="U414" s="169">
        <f t="shared" si="164"/>
        <v>0</v>
      </c>
      <c r="V414" s="143">
        <f t="shared" si="172"/>
        <v>0</v>
      </c>
      <c r="W414" s="144">
        <f t="shared" si="165"/>
        <v>0</v>
      </c>
      <c r="X414" s="144">
        <f t="shared" si="166"/>
        <v>0</v>
      </c>
      <c r="Y414" s="169">
        <f t="shared" si="167"/>
        <v>0</v>
      </c>
      <c r="Z414" s="151">
        <v>0</v>
      </c>
      <c r="AA414" s="151">
        <v>0</v>
      </c>
      <c r="AB414" s="151">
        <v>0</v>
      </c>
      <c r="AC414" s="151">
        <v>0</v>
      </c>
    </row>
    <row r="415" spans="1:29" s="61" customFormat="1" ht="12" thickBot="1">
      <c r="A415" s="153">
        <f t="shared" si="153"/>
        <v>0</v>
      </c>
      <c r="B415" s="154">
        <f t="shared" si="154"/>
        <v>0</v>
      </c>
      <c r="C415" s="155">
        <f t="shared" si="155"/>
        <v>33</v>
      </c>
      <c r="D415" s="156">
        <v>396</v>
      </c>
      <c r="E415" s="157">
        <f t="shared" si="168"/>
        <v>0</v>
      </c>
      <c r="F415" s="158">
        <f t="shared" si="156"/>
        <v>0</v>
      </c>
      <c r="G415" s="158">
        <f t="shared" si="157"/>
        <v>0</v>
      </c>
      <c r="H415" s="172">
        <f t="shared" si="151"/>
        <v>0</v>
      </c>
      <c r="I415" s="157">
        <f t="shared" si="169"/>
        <v>0</v>
      </c>
      <c r="J415" s="158">
        <f t="shared" si="158"/>
        <v>0</v>
      </c>
      <c r="K415" s="158">
        <f t="shared" si="159"/>
        <v>0</v>
      </c>
      <c r="L415" s="172">
        <f t="shared" si="150"/>
        <v>0</v>
      </c>
      <c r="M415" s="157">
        <f t="shared" si="170"/>
        <v>0</v>
      </c>
      <c r="N415" s="158">
        <f t="shared" si="160"/>
        <v>0</v>
      </c>
      <c r="O415" s="158">
        <f t="shared" si="161"/>
        <v>0</v>
      </c>
      <c r="P415" s="172">
        <f t="shared" si="152"/>
        <v>0</v>
      </c>
      <c r="R415" s="157">
        <f t="shared" si="171"/>
        <v>0</v>
      </c>
      <c r="S415" s="158">
        <f t="shared" si="162"/>
        <v>0</v>
      </c>
      <c r="T415" s="158">
        <f t="shared" si="163"/>
        <v>0</v>
      </c>
      <c r="U415" s="172">
        <f t="shared" si="164"/>
        <v>0</v>
      </c>
      <c r="V415" s="157">
        <f t="shared" si="172"/>
        <v>0</v>
      </c>
      <c r="W415" s="158">
        <f t="shared" si="165"/>
        <v>0</v>
      </c>
      <c r="X415" s="158">
        <f t="shared" si="166"/>
        <v>0</v>
      </c>
      <c r="Y415" s="172">
        <f t="shared" si="167"/>
        <v>0</v>
      </c>
      <c r="Z415" s="151">
        <v>0</v>
      </c>
      <c r="AA415" s="151">
        <v>0</v>
      </c>
      <c r="AB415" s="151">
        <v>0</v>
      </c>
      <c r="AC415" s="151">
        <v>0</v>
      </c>
    </row>
  </sheetData>
  <sheetProtection algorithmName="SHA-512" hashValue="xgTFD8SzO0ds2kvpk5sUG3Y1A6vGrtFqWPO0IiTyeUDO/FKHZrmr9oEPLnpsyVR//bPhIATGXvBX2E0ZdeYbQQ==" saltValue="RLgJi/Zeff7boP5qhNWrxQ==" spinCount="100000" sheet="1" objects="1" scenarios="1" selectLockedCells="1" selectUnlockedCells="1"/>
  <conditionalFormatting sqref="H11:H13">
    <cfRule type="cellIs" dxfId="5" priority="3" stopIfTrue="1" operator="lessThan">
      <formula>H10</formula>
    </cfRule>
  </conditionalFormatting>
  <conditionalFormatting sqref="L11:L13">
    <cfRule type="cellIs" dxfId="4" priority="2" stopIfTrue="1" operator="lessThan">
      <formula>L10</formula>
    </cfRule>
  </conditionalFormatting>
  <conditionalFormatting sqref="P11:P14">
    <cfRule type="cellIs" dxfId="3" priority="1" stopIfTrue="1" operator="lessThan">
      <formula>P10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402-32CD-48C6-AF3B-660F3F20918C}">
  <sheetPr codeName="Sheet6"/>
  <dimension ref="A1:AD415"/>
  <sheetViews>
    <sheetView topLeftCell="AE1" workbookViewId="0">
      <selection sqref="A1:K1048576"/>
    </sheetView>
  </sheetViews>
  <sheetFormatPr defaultRowHeight="12.75"/>
  <cols>
    <col min="1" max="1" width="16.28515625" style="174" hidden="1" customWidth="1"/>
    <col min="2" max="2" width="13" style="174" hidden="1" customWidth="1"/>
    <col min="3" max="3" width="11" style="174" hidden="1" customWidth="1"/>
    <col min="4" max="4" width="10.42578125" style="174" hidden="1" customWidth="1"/>
    <col min="5" max="5" width="11.42578125" style="174" hidden="1" customWidth="1"/>
    <col min="6" max="7" width="9.140625" style="174" hidden="1" customWidth="1"/>
    <col min="8" max="8" width="13.42578125" style="174" hidden="1" customWidth="1"/>
    <col min="9" max="9" width="11.7109375" style="174" hidden="1" customWidth="1"/>
    <col min="10" max="10" width="9.140625" style="174" hidden="1" customWidth="1"/>
    <col min="11" max="11" width="11.7109375" style="174" hidden="1" customWidth="1"/>
    <col min="12" max="12" width="12.5703125" style="174" hidden="1" customWidth="1"/>
    <col min="13" max="13" width="13.140625" style="174" hidden="1" customWidth="1"/>
    <col min="14" max="14" width="9.140625" style="174" hidden="1" customWidth="1"/>
    <col min="15" max="15" width="10.42578125" style="174" hidden="1" customWidth="1"/>
    <col min="16" max="16" width="14.5703125" style="174" hidden="1" customWidth="1"/>
    <col min="17" max="17" width="9.140625" style="174" hidden="1" customWidth="1"/>
    <col min="18" max="18" width="11.42578125" style="174" hidden="1" customWidth="1"/>
    <col min="19" max="20" width="9.140625" style="174" hidden="1" customWidth="1"/>
    <col min="21" max="21" width="12.7109375" style="174" hidden="1" customWidth="1"/>
    <col min="22" max="30" width="9.140625" style="174" hidden="1" customWidth="1"/>
    <col min="31" max="31" width="9.140625" style="174" customWidth="1"/>
    <col min="32" max="16384" width="9.140625" style="174"/>
  </cols>
  <sheetData>
    <row r="1" spans="1:29" s="61" customFormat="1" ht="11.25">
      <c r="A1" s="58" t="s">
        <v>117</v>
      </c>
      <c r="B1" s="59">
        <f>'1.ลดดอกเบี้ย'!E8</f>
        <v>0</v>
      </c>
      <c r="C1" s="60" t="s">
        <v>118</v>
      </c>
    </row>
    <row r="2" spans="1:29" s="61" customFormat="1" ht="12" thickBot="1">
      <c r="A2" s="62" t="s">
        <v>119</v>
      </c>
      <c r="B2" s="63">
        <f>$C$2*12</f>
        <v>0</v>
      </c>
      <c r="C2" s="64">
        <f>'1.ลดดอกเบี้ย'!E9</f>
        <v>0</v>
      </c>
      <c r="I2" s="65"/>
      <c r="J2" s="65"/>
      <c r="K2" s="65"/>
      <c r="L2" s="65"/>
    </row>
    <row r="3" spans="1:29" s="61" customFormat="1" ht="12" thickBot="1">
      <c r="A3" s="66" t="s">
        <v>120</v>
      </c>
      <c r="B3" s="67">
        <v>2.2499999999999999E-2</v>
      </c>
      <c r="C3" s="68"/>
    </row>
    <row r="4" spans="1:29" s="61" customFormat="1" ht="11.25">
      <c r="A4" s="69" t="s">
        <v>121</v>
      </c>
      <c r="B4" s="70" t="s">
        <v>122</v>
      </c>
      <c r="C4" s="68"/>
    </row>
    <row r="5" spans="1:29" s="61" customFormat="1" ht="11.25">
      <c r="A5" s="71" t="s">
        <v>123</v>
      </c>
      <c r="B5" s="72">
        <v>7.4999999999999997E-3</v>
      </c>
      <c r="C5" s="68"/>
    </row>
    <row r="6" spans="1:29" s="61" customFormat="1" ht="12" thickBot="1">
      <c r="A6" s="73" t="s">
        <v>124</v>
      </c>
      <c r="B6" s="74">
        <v>7.4999999999999997E-3</v>
      </c>
      <c r="C6" s="68"/>
    </row>
    <row r="7" spans="1:29" s="61" customFormat="1" ht="12" thickBot="1">
      <c r="A7" s="75" t="s">
        <v>125</v>
      </c>
      <c r="B7" s="76"/>
      <c r="C7" s="68"/>
      <c r="D7" s="76"/>
    </row>
    <row r="8" spans="1:29" s="61" customFormat="1" ht="12" thickBot="1">
      <c r="A8" s="77"/>
      <c r="B8" s="76"/>
      <c r="C8" s="76"/>
      <c r="D8" s="76"/>
      <c r="E8" s="78" t="s">
        <v>126</v>
      </c>
      <c r="F8" s="79"/>
      <c r="G8" s="80"/>
      <c r="H8" s="81"/>
      <c r="I8" s="78" t="s">
        <v>127</v>
      </c>
      <c r="J8" s="79"/>
      <c r="K8" s="80"/>
      <c r="L8" s="81"/>
      <c r="M8" s="78" t="s">
        <v>128</v>
      </c>
      <c r="N8" s="79"/>
      <c r="O8" s="80"/>
      <c r="P8" s="81"/>
    </row>
    <row r="9" spans="1:29" s="61" customFormat="1" ht="11.25">
      <c r="A9" s="82" t="s">
        <v>129</v>
      </c>
      <c r="B9" s="83" t="s">
        <v>130</v>
      </c>
      <c r="C9" s="83" t="s">
        <v>131</v>
      </c>
      <c r="D9" s="84" t="s">
        <v>132</v>
      </c>
      <c r="E9" s="85" t="s">
        <v>133</v>
      </c>
      <c r="F9" s="86" t="s">
        <v>134</v>
      </c>
      <c r="G9" s="86" t="s">
        <v>130</v>
      </c>
      <c r="H9" s="87" t="s">
        <v>107</v>
      </c>
      <c r="I9" s="85" t="s">
        <v>133</v>
      </c>
      <c r="J9" s="86" t="s">
        <v>134</v>
      </c>
      <c r="K9" s="86" t="s">
        <v>130</v>
      </c>
      <c r="L9" s="87" t="s">
        <v>107</v>
      </c>
      <c r="M9" s="85" t="s">
        <v>133</v>
      </c>
      <c r="N9" s="86" t="s">
        <v>134</v>
      </c>
      <c r="O9" s="86" t="s">
        <v>130</v>
      </c>
      <c r="P9" s="87" t="s">
        <v>107</v>
      </c>
    </row>
    <row r="10" spans="1:29" s="61" customFormat="1" ht="11.25">
      <c r="A10" s="88">
        <v>1</v>
      </c>
      <c r="B10" s="89">
        <v>12</v>
      </c>
      <c r="C10" s="90">
        <f>'1.ลดดอกเบี้ย'!F11</f>
        <v>0</v>
      </c>
      <c r="D10" s="91">
        <v>1</v>
      </c>
      <c r="E10" s="92">
        <f>$B$1</f>
        <v>0</v>
      </c>
      <c r="F10" s="93">
        <f>$C10</f>
        <v>0</v>
      </c>
      <c r="G10" s="94">
        <f>$B$2</f>
        <v>0</v>
      </c>
      <c r="H10" s="95" t="e">
        <f>PMT(F10/12,G10,E10*-1)</f>
        <v>#NUM!</v>
      </c>
      <c r="I10" s="92">
        <f>$B$1</f>
        <v>0</v>
      </c>
      <c r="J10" s="96">
        <f>$C10+$B$5+$B$6</f>
        <v>1.4999999999999999E-2</v>
      </c>
      <c r="K10" s="94">
        <f>$B$2</f>
        <v>0</v>
      </c>
      <c r="L10" s="97">
        <f>ROUNDUP($I$10*J10/12,-1)</f>
        <v>0</v>
      </c>
      <c r="M10" s="92">
        <f>$B$1</f>
        <v>0</v>
      </c>
      <c r="N10" s="98">
        <f>$C10</f>
        <v>0</v>
      </c>
      <c r="O10" s="94">
        <f>$B$2</f>
        <v>0</v>
      </c>
      <c r="P10" s="99">
        <f>ROUNDUP($M$10*N10/12,-1)</f>
        <v>0</v>
      </c>
    </row>
    <row r="11" spans="1:29" s="61" customFormat="1" ht="11.25">
      <c r="A11" s="100">
        <f>A10+B10</f>
        <v>13</v>
      </c>
      <c r="B11" s="101">
        <v>12</v>
      </c>
      <c r="C11" s="90">
        <f>'1.ลดดอกเบี้ย'!F12</f>
        <v>0</v>
      </c>
      <c r="D11" s="102">
        <v>2</v>
      </c>
      <c r="E11" s="103">
        <f>E32</f>
        <v>0</v>
      </c>
      <c r="F11" s="104">
        <f>$C11</f>
        <v>0</v>
      </c>
      <c r="G11" s="105">
        <f>G10-12</f>
        <v>-12</v>
      </c>
      <c r="H11" s="106">
        <f>PMT(F11/12,G11,E11*-1)</f>
        <v>0</v>
      </c>
      <c r="I11" s="103">
        <f>I32</f>
        <v>0</v>
      </c>
      <c r="J11" s="107">
        <f>$C11+$B$5+$B$6</f>
        <v>1.4999999999999999E-2</v>
      </c>
      <c r="K11" s="108">
        <f>K10-$B$10</f>
        <v>-12</v>
      </c>
      <c r="L11" s="109">
        <f>ROUNDUP($I$10*J11/12,-1)</f>
        <v>0</v>
      </c>
      <c r="M11" s="103">
        <f>M32</f>
        <v>0</v>
      </c>
      <c r="N11" s="107">
        <f>$C11+$B$5+$B$6</f>
        <v>1.4999999999999999E-2</v>
      </c>
      <c r="O11" s="108">
        <f>O10-$B$10</f>
        <v>-12</v>
      </c>
      <c r="P11" s="109">
        <f>ROUNDUP($M$10*N11/12,-1)</f>
        <v>0</v>
      </c>
    </row>
    <row r="12" spans="1:29" s="61" customFormat="1" ht="11.25">
      <c r="A12" s="100">
        <f>A11+B11</f>
        <v>25</v>
      </c>
      <c r="B12" s="101">
        <v>12</v>
      </c>
      <c r="C12" s="90">
        <f>'1.ลดดอกเบี้ย'!F13</f>
        <v>0</v>
      </c>
      <c r="D12" s="110">
        <v>3</v>
      </c>
      <c r="E12" s="103">
        <f>E44</f>
        <v>0</v>
      </c>
      <c r="F12" s="104">
        <f>$C12</f>
        <v>0</v>
      </c>
      <c r="G12" s="105">
        <f>G11-12</f>
        <v>-24</v>
      </c>
      <c r="H12" s="106">
        <f>PMT(F12/12,G12,E12*-1)</f>
        <v>0</v>
      </c>
      <c r="I12" s="103">
        <f>I44</f>
        <v>0</v>
      </c>
      <c r="J12" s="107">
        <f>$C12+$B$5+$B$6</f>
        <v>1.4999999999999999E-2</v>
      </c>
      <c r="K12" s="108">
        <f>K11-$B$11</f>
        <v>-24</v>
      </c>
      <c r="L12" s="109">
        <f>ROUNDUP($I$10*J12/12,-1)</f>
        <v>0</v>
      </c>
      <c r="M12" s="103">
        <f>M44</f>
        <v>0</v>
      </c>
      <c r="N12" s="107">
        <f>$C12+$B$5+$B$6</f>
        <v>1.4999999999999999E-2</v>
      </c>
      <c r="O12" s="108">
        <f>O11-$B$11</f>
        <v>-24</v>
      </c>
      <c r="P12" s="109">
        <f>ROUNDUP($M$10*N12/12,-1)</f>
        <v>0</v>
      </c>
    </row>
    <row r="13" spans="1:29" s="61" customFormat="1" ht="11.25">
      <c r="A13" s="100">
        <f>A12+B12</f>
        <v>37</v>
      </c>
      <c r="B13" s="101">
        <v>12</v>
      </c>
      <c r="C13" s="90">
        <f>'1.ลดดอกเบี้ย'!F14</f>
        <v>0</v>
      </c>
      <c r="D13" s="102">
        <v>4</v>
      </c>
      <c r="E13" s="103">
        <f>E56</f>
        <v>0</v>
      </c>
      <c r="F13" s="104">
        <f>$C13</f>
        <v>0</v>
      </c>
      <c r="G13" s="105">
        <f>G12-12</f>
        <v>-36</v>
      </c>
      <c r="H13" s="106">
        <f>PMT(F13/12,G13,E13*-1)</f>
        <v>0</v>
      </c>
      <c r="I13" s="103">
        <f>I56</f>
        <v>0</v>
      </c>
      <c r="J13" s="111">
        <f>($C$14)+$B$5</f>
        <v>7.4999999999999997E-3</v>
      </c>
      <c r="K13" s="108">
        <f>K12-$B$12</f>
        <v>-36</v>
      </c>
      <c r="L13" s="106">
        <f>ROUNDUP(PMT(J13/12,B2-36,$I$13*-1),-1)</f>
        <v>0</v>
      </c>
      <c r="M13" s="103">
        <f>M56</f>
        <v>0</v>
      </c>
      <c r="N13" s="107">
        <f>$C13+$B$5+$B$6</f>
        <v>1.4999999999999999E-2</v>
      </c>
      <c r="O13" s="108">
        <f>O12-$B$12</f>
        <v>-36</v>
      </c>
      <c r="P13" s="109">
        <f>ROUNDUP($M$10*N13/12,-1)</f>
        <v>0</v>
      </c>
    </row>
    <row r="14" spans="1:29" s="61" customFormat="1" ht="12" thickBot="1">
      <c r="A14" s="112">
        <f>A13+B13</f>
        <v>49</v>
      </c>
      <c r="B14" s="113">
        <f>$B$2-SUM(B10:B13)</f>
        <v>-48</v>
      </c>
      <c r="C14" s="175">
        <f>'1.ลดดอกเบี้ย'!F14</f>
        <v>0</v>
      </c>
      <c r="D14" s="114" t="s">
        <v>135</v>
      </c>
      <c r="E14" s="115">
        <f>E68</f>
        <v>0</v>
      </c>
      <c r="F14" s="116">
        <f>$C14</f>
        <v>0</v>
      </c>
      <c r="G14" s="117">
        <f>G13-12</f>
        <v>-48</v>
      </c>
      <c r="H14" s="118">
        <f>ROUNDUP(PMT(F14/12,G14,E14*-1),-1)</f>
        <v>0</v>
      </c>
      <c r="I14" s="115"/>
      <c r="J14" s="119"/>
      <c r="K14" s="117"/>
      <c r="L14" s="118"/>
      <c r="M14" s="103">
        <f>M68</f>
        <v>0</v>
      </c>
      <c r="N14" s="120">
        <f>$C14+$B$5</f>
        <v>7.4999999999999997E-3</v>
      </c>
      <c r="O14" s="108">
        <f>O13-$B$13</f>
        <v>-48</v>
      </c>
      <c r="P14" s="118">
        <f>ROUNDUP(PMT(N14/12,B2-48,$M$14*-1),-1)</f>
        <v>0</v>
      </c>
    </row>
    <row r="15" spans="1:29" s="76" customFormat="1" ht="12" thickBot="1">
      <c r="A15" s="121" t="s">
        <v>136</v>
      </c>
      <c r="B15" s="122">
        <f>SUM(B10:B14)</f>
        <v>0</v>
      </c>
      <c r="G15" s="123" t="s">
        <v>137</v>
      </c>
      <c r="H15" s="124">
        <f>396-COUNTIF(H$19:H$415,0)</f>
        <v>-1</v>
      </c>
      <c r="K15" s="123" t="s">
        <v>137</v>
      </c>
      <c r="L15" s="125">
        <f>396-COUNTIF(L$19:L$415,0)</f>
        <v>-1</v>
      </c>
      <c r="O15" s="123" t="s">
        <v>137</v>
      </c>
      <c r="P15" s="125">
        <f>396-COUNTIF(P$19:P$415,0)</f>
        <v>-1</v>
      </c>
      <c r="T15" s="61"/>
      <c r="U15" s="61"/>
      <c r="X15" s="76" t="s">
        <v>138</v>
      </c>
      <c r="Y15" s="126" t="e">
        <f>PMT(Y16/12,B2,B1*-1)</f>
        <v>#NUM!</v>
      </c>
    </row>
    <row r="16" spans="1:29" s="76" customFormat="1" ht="12" thickBot="1">
      <c r="T16" s="127" t="s">
        <v>139</v>
      </c>
      <c r="U16" s="128" t="e">
        <f>IRR(U$19:U$415)*12</f>
        <v>#NUM!</v>
      </c>
      <c r="X16" s="127" t="s">
        <v>139</v>
      </c>
      <c r="Y16" s="128" t="e">
        <f>IRR(Y$19:Y$415)*12</f>
        <v>#NUM!</v>
      </c>
      <c r="Z16" s="128" t="e">
        <f>IRR(Z$19:Z$415)*12</f>
        <v>#NUM!</v>
      </c>
      <c r="AA16" s="128" t="e">
        <f>IRR(AA$19:AA$415)*12</f>
        <v>#NUM!</v>
      </c>
      <c r="AB16" s="128" t="e">
        <f>IRR(AB$19:AB$415)*12</f>
        <v>#NUM!</v>
      </c>
      <c r="AC16" s="128" t="e">
        <f>IRR(AC$19:AC$415)*12</f>
        <v>#NUM!</v>
      </c>
    </row>
    <row r="17" spans="1:29" s="61" customFormat="1" ht="12" thickBot="1">
      <c r="A17" s="76"/>
      <c r="B17" s="76"/>
      <c r="C17" s="76"/>
      <c r="D17" s="76"/>
      <c r="E17" s="129" t="s">
        <v>140</v>
      </c>
      <c r="F17" s="130"/>
      <c r="G17" s="131"/>
      <c r="H17" s="132"/>
      <c r="I17" s="129" t="s">
        <v>141</v>
      </c>
      <c r="J17" s="130"/>
      <c r="K17" s="131"/>
      <c r="L17" s="132"/>
      <c r="M17" s="129" t="s">
        <v>141</v>
      </c>
      <c r="N17" s="130"/>
      <c r="O17" s="131"/>
      <c r="P17" s="132"/>
      <c r="R17" s="78" t="s">
        <v>142</v>
      </c>
      <c r="S17" s="79"/>
      <c r="T17" s="80"/>
      <c r="U17" s="81"/>
      <c r="V17" s="78" t="s">
        <v>143</v>
      </c>
      <c r="W17" s="79"/>
      <c r="X17" s="80"/>
      <c r="Y17" s="81"/>
    </row>
    <row r="18" spans="1:29" s="61" customFormat="1" ht="11.25">
      <c r="A18" s="133" t="s">
        <v>144</v>
      </c>
      <c r="B18" s="134" t="s">
        <v>145</v>
      </c>
      <c r="C18" s="134" t="s">
        <v>132</v>
      </c>
      <c r="D18" s="135" t="s">
        <v>146</v>
      </c>
      <c r="E18" s="136" t="s">
        <v>147</v>
      </c>
      <c r="F18" s="137" t="s">
        <v>148</v>
      </c>
      <c r="G18" s="137" t="s">
        <v>149</v>
      </c>
      <c r="H18" s="138" t="s">
        <v>150</v>
      </c>
      <c r="I18" s="136" t="s">
        <v>147</v>
      </c>
      <c r="J18" s="137" t="s">
        <v>148</v>
      </c>
      <c r="K18" s="137" t="s">
        <v>149</v>
      </c>
      <c r="L18" s="138" t="s">
        <v>150</v>
      </c>
      <c r="M18" s="136" t="s">
        <v>147</v>
      </c>
      <c r="N18" s="137" t="s">
        <v>148</v>
      </c>
      <c r="O18" s="137" t="s">
        <v>149</v>
      </c>
      <c r="P18" s="138" t="s">
        <v>150</v>
      </c>
      <c r="R18" s="136" t="s">
        <v>147</v>
      </c>
      <c r="S18" s="137" t="s">
        <v>148</v>
      </c>
      <c r="T18" s="137" t="s">
        <v>149</v>
      </c>
      <c r="U18" s="138" t="s">
        <v>150</v>
      </c>
      <c r="V18" s="136" t="s">
        <v>147</v>
      </c>
      <c r="W18" s="137" t="s">
        <v>148</v>
      </c>
      <c r="X18" s="137" t="s">
        <v>149</v>
      </c>
      <c r="Y18" s="138" t="s">
        <v>150</v>
      </c>
    </row>
    <row r="19" spans="1:29" s="61" customFormat="1" ht="11.25">
      <c r="A19" s="139"/>
      <c r="B19" s="140"/>
      <c r="C19" s="141">
        <v>0</v>
      </c>
      <c r="D19" s="142">
        <v>0</v>
      </c>
      <c r="E19" s="143"/>
      <c r="F19" s="144"/>
      <c r="G19" s="145"/>
      <c r="H19" s="146">
        <f>-E20</f>
        <v>0</v>
      </c>
      <c r="I19" s="143"/>
      <c r="J19" s="144"/>
      <c r="K19" s="145"/>
      <c r="L19" s="146">
        <f>-I20</f>
        <v>0</v>
      </c>
      <c r="M19" s="143"/>
      <c r="N19" s="144"/>
      <c r="O19" s="145"/>
      <c r="P19" s="146">
        <f>-M20</f>
        <v>0</v>
      </c>
      <c r="R19" s="143"/>
      <c r="S19" s="144"/>
      <c r="T19" s="145"/>
      <c r="U19" s="146">
        <f>-R20</f>
        <v>0</v>
      </c>
      <c r="V19" s="143"/>
      <c r="W19" s="144"/>
      <c r="X19" s="145"/>
      <c r="Y19" s="146">
        <f>-V20</f>
        <v>0</v>
      </c>
      <c r="Z19" s="61">
        <f>Y19</f>
        <v>0</v>
      </c>
      <c r="AA19" s="61">
        <f>Z19</f>
        <v>0</v>
      </c>
      <c r="AB19" s="61">
        <f>AA19</f>
        <v>0</v>
      </c>
      <c r="AC19" s="61">
        <f>AB19</f>
        <v>0</v>
      </c>
    </row>
    <row r="20" spans="1:29" s="61" customFormat="1" ht="11.25">
      <c r="A20" s="147">
        <f t="shared" ref="A20:A83" si="0">VLOOKUP(D20,$A$10:$C$14,3)</f>
        <v>0</v>
      </c>
      <c r="B20" s="140">
        <f t="shared" ref="B20:B83" si="1">A20/12</f>
        <v>0</v>
      </c>
      <c r="C20" s="141">
        <f t="shared" ref="C20:C83" si="2">INT((D20+11)/12)</f>
        <v>1</v>
      </c>
      <c r="D20" s="142">
        <v>1</v>
      </c>
      <c r="E20" s="148">
        <f>$B$1</f>
        <v>0</v>
      </c>
      <c r="F20" s="144">
        <f t="shared" ref="F20:F83" si="3">ROUND(E20*$B20,2)</f>
        <v>0</v>
      </c>
      <c r="G20" s="144">
        <f t="shared" ref="G20:G83" si="4">IF(E20&lt;H20,E20,H20-F20)</f>
        <v>0</v>
      </c>
      <c r="H20" s="149">
        <f>IF(E20&lt;=0,0,H$10)</f>
        <v>0</v>
      </c>
      <c r="I20" s="148">
        <f>$B$1</f>
        <v>0</v>
      </c>
      <c r="J20" s="144">
        <f t="shared" ref="J20:J83" si="5">ROUND(I20*$B20,2)</f>
        <v>0</v>
      </c>
      <c r="K20" s="144">
        <f t="shared" ref="K20:K83" si="6">IF(I20&lt;L20,I20,L20-J20)</f>
        <v>0</v>
      </c>
      <c r="L20" s="149">
        <f>IF(I20&lt;=0,0,L$10)</f>
        <v>0</v>
      </c>
      <c r="M20" s="148">
        <f>$B$1</f>
        <v>0</v>
      </c>
      <c r="N20" s="144">
        <f t="shared" ref="N20:N83" si="7">ROUND(M20*$B20,2)</f>
        <v>0</v>
      </c>
      <c r="O20" s="144">
        <f t="shared" ref="O20:O83" si="8">IF(M20&lt;P20,M20,P20-N20)</f>
        <v>0</v>
      </c>
      <c r="P20" s="149">
        <f>IF(M20&lt;=0,0,P$10)</f>
        <v>0</v>
      </c>
      <c r="R20" s="148">
        <f>$B$1</f>
        <v>0</v>
      </c>
      <c r="S20" s="144">
        <f t="shared" ref="S20:S83" si="9">ROUND(R20*$B20,2)</f>
        <v>0</v>
      </c>
      <c r="T20" s="144">
        <f t="shared" ref="T20:T83" si="10">IF(R20&lt;U20,R20,U20-S20)</f>
        <v>0</v>
      </c>
      <c r="U20" s="150">
        <f t="shared" ref="U20:U83" si="11">IF(R20&lt;=0,0,$Y$15)</f>
        <v>0</v>
      </c>
      <c r="V20" s="148">
        <f>$B$1</f>
        <v>0</v>
      </c>
      <c r="W20" s="144">
        <f t="shared" ref="W20:W83" si="12">ROUND(V20*$B20,2)</f>
        <v>0</v>
      </c>
      <c r="X20" s="144">
        <f t="shared" ref="X20:X83" si="13">IF(V20&lt;Y20,V20,Y20-W20)</f>
        <v>0</v>
      </c>
      <c r="Y20" s="150">
        <f t="shared" ref="Y20:Y83" si="14">IF(V20&lt;=0,0,PMT(B20,($B$2-D20+1),V20*-1))</f>
        <v>0</v>
      </c>
      <c r="Z20" s="151">
        <f>$Y20</f>
        <v>0</v>
      </c>
      <c r="AA20" s="151">
        <f t="shared" ref="AA20:AC35" si="15">$Y20</f>
        <v>0</v>
      </c>
      <c r="AB20" s="151">
        <f t="shared" si="15"/>
        <v>0</v>
      </c>
      <c r="AC20" s="151">
        <f t="shared" si="15"/>
        <v>0</v>
      </c>
    </row>
    <row r="21" spans="1:29" s="61" customFormat="1" ht="11.25">
      <c r="A21" s="147">
        <f t="shared" si="0"/>
        <v>0</v>
      </c>
      <c r="B21" s="140">
        <f t="shared" si="1"/>
        <v>0</v>
      </c>
      <c r="C21" s="141">
        <f t="shared" si="2"/>
        <v>1</v>
      </c>
      <c r="D21" s="142">
        <v>2</v>
      </c>
      <c r="E21" s="143">
        <f t="shared" ref="E21:E84" si="16">IF(E20&lt;H20,0,E20-G20)</f>
        <v>0</v>
      </c>
      <c r="F21" s="144">
        <f t="shared" si="3"/>
        <v>0</v>
      </c>
      <c r="G21" s="144">
        <f t="shared" si="4"/>
        <v>0</v>
      </c>
      <c r="H21" s="149">
        <f t="shared" ref="H21:H31" si="17">IF(E21&lt;=0,0,H$10)</f>
        <v>0</v>
      </c>
      <c r="I21" s="143">
        <f t="shared" ref="I21:I84" si="18">IF(I20&lt;L20,0,I20-K20)</f>
        <v>0</v>
      </c>
      <c r="J21" s="144">
        <f t="shared" si="5"/>
        <v>0</v>
      </c>
      <c r="K21" s="144">
        <f t="shared" si="6"/>
        <v>0</v>
      </c>
      <c r="L21" s="149">
        <f t="shared" ref="L21:L31" si="19">IF(I21&lt;=0,0,L$10)</f>
        <v>0</v>
      </c>
      <c r="M21" s="143">
        <f t="shared" ref="M21:M84" si="20">IF(M20&lt;P20,0,M20-O20)</f>
        <v>0</v>
      </c>
      <c r="N21" s="144">
        <f t="shared" si="7"/>
        <v>0</v>
      </c>
      <c r="O21" s="144">
        <f t="shared" si="8"/>
        <v>0</v>
      </c>
      <c r="P21" s="149">
        <f t="shared" ref="P21:P31" si="21">IF(M21&lt;=0,0,P$10)</f>
        <v>0</v>
      </c>
      <c r="R21" s="143">
        <f t="shared" ref="R21:R84" si="22">IF(R20&lt;U20,0,R20-T20)</f>
        <v>0</v>
      </c>
      <c r="S21" s="144">
        <f t="shared" si="9"/>
        <v>0</v>
      </c>
      <c r="T21" s="144">
        <f t="shared" si="10"/>
        <v>0</v>
      </c>
      <c r="U21" s="150">
        <f t="shared" si="11"/>
        <v>0</v>
      </c>
      <c r="V21" s="143">
        <f t="shared" ref="V21:V84" si="23">IF(V20&lt;Y20,0,V20-X20)</f>
        <v>0</v>
      </c>
      <c r="W21" s="144">
        <f t="shared" si="12"/>
        <v>0</v>
      </c>
      <c r="X21" s="144">
        <f t="shared" si="13"/>
        <v>0</v>
      </c>
      <c r="Y21" s="150">
        <f t="shared" si="14"/>
        <v>0</v>
      </c>
      <c r="Z21" s="151">
        <f t="shared" ref="Z21:Z30" si="24">$Y21</f>
        <v>0</v>
      </c>
      <c r="AA21" s="151">
        <f t="shared" si="15"/>
        <v>0</v>
      </c>
      <c r="AB21" s="151">
        <f t="shared" si="15"/>
        <v>0</v>
      </c>
      <c r="AC21" s="151">
        <f t="shared" si="15"/>
        <v>0</v>
      </c>
    </row>
    <row r="22" spans="1:29" s="61" customFormat="1" ht="11.25">
      <c r="A22" s="147">
        <f t="shared" si="0"/>
        <v>0</v>
      </c>
      <c r="B22" s="140">
        <f t="shared" si="1"/>
        <v>0</v>
      </c>
      <c r="C22" s="141">
        <f t="shared" si="2"/>
        <v>1</v>
      </c>
      <c r="D22" s="142">
        <v>3</v>
      </c>
      <c r="E22" s="143">
        <f t="shared" si="16"/>
        <v>0</v>
      </c>
      <c r="F22" s="144">
        <f t="shared" si="3"/>
        <v>0</v>
      </c>
      <c r="G22" s="144">
        <f t="shared" si="4"/>
        <v>0</v>
      </c>
      <c r="H22" s="149">
        <f t="shared" si="17"/>
        <v>0</v>
      </c>
      <c r="I22" s="143">
        <f t="shared" si="18"/>
        <v>0</v>
      </c>
      <c r="J22" s="144">
        <f t="shared" si="5"/>
        <v>0</v>
      </c>
      <c r="K22" s="144">
        <f t="shared" si="6"/>
        <v>0</v>
      </c>
      <c r="L22" s="149">
        <f t="shared" si="19"/>
        <v>0</v>
      </c>
      <c r="M22" s="143">
        <f t="shared" si="20"/>
        <v>0</v>
      </c>
      <c r="N22" s="144">
        <f t="shared" si="7"/>
        <v>0</v>
      </c>
      <c r="O22" s="144">
        <f t="shared" si="8"/>
        <v>0</v>
      </c>
      <c r="P22" s="149">
        <f t="shared" si="21"/>
        <v>0</v>
      </c>
      <c r="R22" s="143">
        <f t="shared" si="22"/>
        <v>0</v>
      </c>
      <c r="S22" s="144">
        <f t="shared" si="9"/>
        <v>0</v>
      </c>
      <c r="T22" s="144">
        <f t="shared" si="10"/>
        <v>0</v>
      </c>
      <c r="U22" s="150">
        <f t="shared" si="11"/>
        <v>0</v>
      </c>
      <c r="V22" s="143">
        <f t="shared" si="23"/>
        <v>0</v>
      </c>
      <c r="W22" s="144">
        <f t="shared" si="12"/>
        <v>0</v>
      </c>
      <c r="X22" s="144">
        <f t="shared" si="13"/>
        <v>0</v>
      </c>
      <c r="Y22" s="150">
        <f t="shared" si="14"/>
        <v>0</v>
      </c>
      <c r="Z22" s="151">
        <f t="shared" si="24"/>
        <v>0</v>
      </c>
      <c r="AA22" s="151">
        <f t="shared" si="15"/>
        <v>0</v>
      </c>
      <c r="AB22" s="151">
        <f t="shared" si="15"/>
        <v>0</v>
      </c>
      <c r="AC22" s="151">
        <f t="shared" si="15"/>
        <v>0</v>
      </c>
    </row>
    <row r="23" spans="1:29" s="61" customFormat="1" ht="11.25">
      <c r="A23" s="147">
        <f t="shared" si="0"/>
        <v>0</v>
      </c>
      <c r="B23" s="140">
        <f t="shared" si="1"/>
        <v>0</v>
      </c>
      <c r="C23" s="141">
        <f t="shared" si="2"/>
        <v>1</v>
      </c>
      <c r="D23" s="142">
        <v>4</v>
      </c>
      <c r="E23" s="143">
        <f t="shared" si="16"/>
        <v>0</v>
      </c>
      <c r="F23" s="144">
        <f t="shared" si="3"/>
        <v>0</v>
      </c>
      <c r="G23" s="144">
        <f t="shared" si="4"/>
        <v>0</v>
      </c>
      <c r="H23" s="149">
        <f t="shared" si="17"/>
        <v>0</v>
      </c>
      <c r="I23" s="143">
        <f t="shared" si="18"/>
        <v>0</v>
      </c>
      <c r="J23" s="144">
        <f t="shared" si="5"/>
        <v>0</v>
      </c>
      <c r="K23" s="144">
        <f t="shared" si="6"/>
        <v>0</v>
      </c>
      <c r="L23" s="149">
        <f t="shared" si="19"/>
        <v>0</v>
      </c>
      <c r="M23" s="143">
        <f t="shared" si="20"/>
        <v>0</v>
      </c>
      <c r="N23" s="144">
        <f t="shared" si="7"/>
        <v>0</v>
      </c>
      <c r="O23" s="144">
        <f t="shared" si="8"/>
        <v>0</v>
      </c>
      <c r="P23" s="149">
        <f t="shared" si="21"/>
        <v>0</v>
      </c>
      <c r="R23" s="143">
        <f t="shared" si="22"/>
        <v>0</v>
      </c>
      <c r="S23" s="144">
        <f t="shared" si="9"/>
        <v>0</v>
      </c>
      <c r="T23" s="144">
        <f t="shared" si="10"/>
        <v>0</v>
      </c>
      <c r="U23" s="150">
        <f t="shared" si="11"/>
        <v>0</v>
      </c>
      <c r="V23" s="143">
        <f t="shared" si="23"/>
        <v>0</v>
      </c>
      <c r="W23" s="144">
        <f t="shared" si="12"/>
        <v>0</v>
      </c>
      <c r="X23" s="144">
        <f t="shared" si="13"/>
        <v>0</v>
      </c>
      <c r="Y23" s="150">
        <f t="shared" si="14"/>
        <v>0</v>
      </c>
      <c r="Z23" s="151">
        <f t="shared" si="24"/>
        <v>0</v>
      </c>
      <c r="AA23" s="151">
        <f t="shared" si="15"/>
        <v>0</v>
      </c>
      <c r="AB23" s="151">
        <f t="shared" si="15"/>
        <v>0</v>
      </c>
      <c r="AC23" s="151">
        <f t="shared" si="15"/>
        <v>0</v>
      </c>
    </row>
    <row r="24" spans="1:29" s="61" customFormat="1" ht="11.25">
      <c r="A24" s="147">
        <f t="shared" si="0"/>
        <v>0</v>
      </c>
      <c r="B24" s="140">
        <f t="shared" si="1"/>
        <v>0</v>
      </c>
      <c r="C24" s="141">
        <f t="shared" si="2"/>
        <v>1</v>
      </c>
      <c r="D24" s="142">
        <v>5</v>
      </c>
      <c r="E24" s="143">
        <f t="shared" si="16"/>
        <v>0</v>
      </c>
      <c r="F24" s="144">
        <f t="shared" si="3"/>
        <v>0</v>
      </c>
      <c r="G24" s="144">
        <f t="shared" si="4"/>
        <v>0</v>
      </c>
      <c r="H24" s="149">
        <f t="shared" si="17"/>
        <v>0</v>
      </c>
      <c r="I24" s="143">
        <f t="shared" si="18"/>
        <v>0</v>
      </c>
      <c r="J24" s="144">
        <f t="shared" si="5"/>
        <v>0</v>
      </c>
      <c r="K24" s="144">
        <f t="shared" si="6"/>
        <v>0</v>
      </c>
      <c r="L24" s="149">
        <f t="shared" si="19"/>
        <v>0</v>
      </c>
      <c r="M24" s="143">
        <f t="shared" si="20"/>
        <v>0</v>
      </c>
      <c r="N24" s="144">
        <f t="shared" si="7"/>
        <v>0</v>
      </c>
      <c r="O24" s="144">
        <f t="shared" si="8"/>
        <v>0</v>
      </c>
      <c r="P24" s="149">
        <f t="shared" si="21"/>
        <v>0</v>
      </c>
      <c r="R24" s="143">
        <f t="shared" si="22"/>
        <v>0</v>
      </c>
      <c r="S24" s="144">
        <f t="shared" si="9"/>
        <v>0</v>
      </c>
      <c r="T24" s="144">
        <f t="shared" si="10"/>
        <v>0</v>
      </c>
      <c r="U24" s="150">
        <f t="shared" si="11"/>
        <v>0</v>
      </c>
      <c r="V24" s="143">
        <f t="shared" si="23"/>
        <v>0</v>
      </c>
      <c r="W24" s="144">
        <f t="shared" si="12"/>
        <v>0</v>
      </c>
      <c r="X24" s="144">
        <f t="shared" si="13"/>
        <v>0</v>
      </c>
      <c r="Y24" s="150">
        <f t="shared" si="14"/>
        <v>0</v>
      </c>
      <c r="Z24" s="151">
        <f t="shared" si="24"/>
        <v>0</v>
      </c>
      <c r="AA24" s="151">
        <f t="shared" si="15"/>
        <v>0</v>
      </c>
      <c r="AB24" s="151">
        <f t="shared" si="15"/>
        <v>0</v>
      </c>
      <c r="AC24" s="151">
        <f t="shared" si="15"/>
        <v>0</v>
      </c>
    </row>
    <row r="25" spans="1:29" s="61" customFormat="1" ht="11.25">
      <c r="A25" s="147">
        <f t="shared" si="0"/>
        <v>0</v>
      </c>
      <c r="B25" s="140">
        <f t="shared" si="1"/>
        <v>0</v>
      </c>
      <c r="C25" s="141">
        <f t="shared" si="2"/>
        <v>1</v>
      </c>
      <c r="D25" s="142">
        <v>6</v>
      </c>
      <c r="E25" s="143">
        <f t="shared" si="16"/>
        <v>0</v>
      </c>
      <c r="F25" s="144">
        <f t="shared" si="3"/>
        <v>0</v>
      </c>
      <c r="G25" s="144">
        <f t="shared" si="4"/>
        <v>0</v>
      </c>
      <c r="H25" s="149">
        <f t="shared" si="17"/>
        <v>0</v>
      </c>
      <c r="I25" s="143">
        <f t="shared" si="18"/>
        <v>0</v>
      </c>
      <c r="J25" s="144">
        <f t="shared" si="5"/>
        <v>0</v>
      </c>
      <c r="K25" s="144">
        <f t="shared" si="6"/>
        <v>0</v>
      </c>
      <c r="L25" s="149">
        <f t="shared" si="19"/>
        <v>0</v>
      </c>
      <c r="M25" s="143">
        <f t="shared" si="20"/>
        <v>0</v>
      </c>
      <c r="N25" s="144">
        <f t="shared" si="7"/>
        <v>0</v>
      </c>
      <c r="O25" s="144">
        <f t="shared" si="8"/>
        <v>0</v>
      </c>
      <c r="P25" s="149">
        <f t="shared" si="21"/>
        <v>0</v>
      </c>
      <c r="R25" s="143">
        <f t="shared" si="22"/>
        <v>0</v>
      </c>
      <c r="S25" s="144">
        <f t="shared" si="9"/>
        <v>0</v>
      </c>
      <c r="T25" s="144">
        <f t="shared" si="10"/>
        <v>0</v>
      </c>
      <c r="U25" s="150">
        <f t="shared" si="11"/>
        <v>0</v>
      </c>
      <c r="V25" s="143">
        <f t="shared" si="23"/>
        <v>0</v>
      </c>
      <c r="W25" s="144">
        <f t="shared" si="12"/>
        <v>0</v>
      </c>
      <c r="X25" s="144">
        <f t="shared" si="13"/>
        <v>0</v>
      </c>
      <c r="Y25" s="150">
        <f t="shared" si="14"/>
        <v>0</v>
      </c>
      <c r="Z25" s="151">
        <f t="shared" si="24"/>
        <v>0</v>
      </c>
      <c r="AA25" s="151">
        <f t="shared" si="15"/>
        <v>0</v>
      </c>
      <c r="AB25" s="151">
        <f t="shared" si="15"/>
        <v>0</v>
      </c>
      <c r="AC25" s="151">
        <f t="shared" si="15"/>
        <v>0</v>
      </c>
    </row>
    <row r="26" spans="1:29" s="61" customFormat="1" ht="11.25">
      <c r="A26" s="147">
        <f t="shared" si="0"/>
        <v>0</v>
      </c>
      <c r="B26" s="152">
        <f t="shared" si="1"/>
        <v>0</v>
      </c>
      <c r="C26" s="141">
        <f t="shared" si="2"/>
        <v>1</v>
      </c>
      <c r="D26" s="142">
        <v>7</v>
      </c>
      <c r="E26" s="143">
        <f t="shared" si="16"/>
        <v>0</v>
      </c>
      <c r="F26" s="144">
        <f t="shared" si="3"/>
        <v>0</v>
      </c>
      <c r="G26" s="144">
        <f t="shared" si="4"/>
        <v>0</v>
      </c>
      <c r="H26" s="149">
        <f t="shared" si="17"/>
        <v>0</v>
      </c>
      <c r="I26" s="143">
        <f t="shared" si="18"/>
        <v>0</v>
      </c>
      <c r="J26" s="144">
        <f t="shared" si="5"/>
        <v>0</v>
      </c>
      <c r="K26" s="144">
        <f t="shared" si="6"/>
        <v>0</v>
      </c>
      <c r="L26" s="149">
        <f t="shared" si="19"/>
        <v>0</v>
      </c>
      <c r="M26" s="143">
        <f t="shared" si="20"/>
        <v>0</v>
      </c>
      <c r="N26" s="144">
        <f t="shared" si="7"/>
        <v>0</v>
      </c>
      <c r="O26" s="144">
        <f t="shared" si="8"/>
        <v>0</v>
      </c>
      <c r="P26" s="149">
        <f t="shared" si="21"/>
        <v>0</v>
      </c>
      <c r="R26" s="143">
        <f t="shared" si="22"/>
        <v>0</v>
      </c>
      <c r="S26" s="144">
        <f t="shared" si="9"/>
        <v>0</v>
      </c>
      <c r="T26" s="144">
        <f t="shared" si="10"/>
        <v>0</v>
      </c>
      <c r="U26" s="150">
        <f t="shared" si="11"/>
        <v>0</v>
      </c>
      <c r="V26" s="143">
        <f t="shared" si="23"/>
        <v>0</v>
      </c>
      <c r="W26" s="144">
        <f t="shared" si="12"/>
        <v>0</v>
      </c>
      <c r="X26" s="144">
        <f t="shared" si="13"/>
        <v>0</v>
      </c>
      <c r="Y26" s="150">
        <f t="shared" si="14"/>
        <v>0</v>
      </c>
      <c r="Z26" s="151">
        <f t="shared" si="24"/>
        <v>0</v>
      </c>
      <c r="AA26" s="151">
        <f t="shared" si="15"/>
        <v>0</v>
      </c>
      <c r="AB26" s="151">
        <f t="shared" si="15"/>
        <v>0</v>
      </c>
      <c r="AC26" s="151">
        <f t="shared" si="15"/>
        <v>0</v>
      </c>
    </row>
    <row r="27" spans="1:29" s="61" customFormat="1" ht="11.25">
      <c r="A27" s="147">
        <f t="shared" si="0"/>
        <v>0</v>
      </c>
      <c r="B27" s="152">
        <f t="shared" si="1"/>
        <v>0</v>
      </c>
      <c r="C27" s="141">
        <f t="shared" si="2"/>
        <v>1</v>
      </c>
      <c r="D27" s="142">
        <v>8</v>
      </c>
      <c r="E27" s="143">
        <f t="shared" si="16"/>
        <v>0</v>
      </c>
      <c r="F27" s="144">
        <f t="shared" si="3"/>
        <v>0</v>
      </c>
      <c r="G27" s="144">
        <f t="shared" si="4"/>
        <v>0</v>
      </c>
      <c r="H27" s="149">
        <f t="shared" si="17"/>
        <v>0</v>
      </c>
      <c r="I27" s="143">
        <f t="shared" si="18"/>
        <v>0</v>
      </c>
      <c r="J27" s="144">
        <f t="shared" si="5"/>
        <v>0</v>
      </c>
      <c r="K27" s="144">
        <f t="shared" si="6"/>
        <v>0</v>
      </c>
      <c r="L27" s="149">
        <f t="shared" si="19"/>
        <v>0</v>
      </c>
      <c r="M27" s="143">
        <f t="shared" si="20"/>
        <v>0</v>
      </c>
      <c r="N27" s="144">
        <f t="shared" si="7"/>
        <v>0</v>
      </c>
      <c r="O27" s="144">
        <f t="shared" si="8"/>
        <v>0</v>
      </c>
      <c r="P27" s="149">
        <f t="shared" si="21"/>
        <v>0</v>
      </c>
      <c r="R27" s="143">
        <f t="shared" si="22"/>
        <v>0</v>
      </c>
      <c r="S27" s="144">
        <f t="shared" si="9"/>
        <v>0</v>
      </c>
      <c r="T27" s="144">
        <f t="shared" si="10"/>
        <v>0</v>
      </c>
      <c r="U27" s="150">
        <f t="shared" si="11"/>
        <v>0</v>
      </c>
      <c r="V27" s="143">
        <f t="shared" si="23"/>
        <v>0</v>
      </c>
      <c r="W27" s="144">
        <f t="shared" si="12"/>
        <v>0</v>
      </c>
      <c r="X27" s="144">
        <f t="shared" si="13"/>
        <v>0</v>
      </c>
      <c r="Y27" s="150">
        <f t="shared" si="14"/>
        <v>0</v>
      </c>
      <c r="Z27" s="151">
        <f t="shared" si="24"/>
        <v>0</v>
      </c>
      <c r="AA27" s="151">
        <f t="shared" si="15"/>
        <v>0</v>
      </c>
      <c r="AB27" s="151">
        <f t="shared" si="15"/>
        <v>0</v>
      </c>
      <c r="AC27" s="151">
        <f t="shared" si="15"/>
        <v>0</v>
      </c>
    </row>
    <row r="28" spans="1:29" s="61" customFormat="1" ht="11.25">
      <c r="A28" s="147">
        <f t="shared" si="0"/>
        <v>0</v>
      </c>
      <c r="B28" s="152">
        <f t="shared" si="1"/>
        <v>0</v>
      </c>
      <c r="C28" s="141">
        <f t="shared" si="2"/>
        <v>1</v>
      </c>
      <c r="D28" s="142">
        <v>9</v>
      </c>
      <c r="E28" s="143">
        <f t="shared" si="16"/>
        <v>0</v>
      </c>
      <c r="F28" s="144">
        <f t="shared" si="3"/>
        <v>0</v>
      </c>
      <c r="G28" s="144">
        <f t="shared" si="4"/>
        <v>0</v>
      </c>
      <c r="H28" s="149">
        <f t="shared" si="17"/>
        <v>0</v>
      </c>
      <c r="I28" s="143">
        <f t="shared" si="18"/>
        <v>0</v>
      </c>
      <c r="J28" s="144">
        <f t="shared" si="5"/>
        <v>0</v>
      </c>
      <c r="K28" s="144">
        <f t="shared" si="6"/>
        <v>0</v>
      </c>
      <c r="L28" s="149">
        <f t="shared" si="19"/>
        <v>0</v>
      </c>
      <c r="M28" s="143">
        <f t="shared" si="20"/>
        <v>0</v>
      </c>
      <c r="N28" s="144">
        <f t="shared" si="7"/>
        <v>0</v>
      </c>
      <c r="O28" s="144">
        <f t="shared" si="8"/>
        <v>0</v>
      </c>
      <c r="P28" s="149">
        <f t="shared" si="21"/>
        <v>0</v>
      </c>
      <c r="R28" s="143">
        <f t="shared" si="22"/>
        <v>0</v>
      </c>
      <c r="S28" s="144">
        <f t="shared" si="9"/>
        <v>0</v>
      </c>
      <c r="T28" s="144">
        <f t="shared" si="10"/>
        <v>0</v>
      </c>
      <c r="U28" s="150">
        <f t="shared" si="11"/>
        <v>0</v>
      </c>
      <c r="V28" s="143">
        <f t="shared" si="23"/>
        <v>0</v>
      </c>
      <c r="W28" s="144">
        <f t="shared" si="12"/>
        <v>0</v>
      </c>
      <c r="X28" s="144">
        <f t="shared" si="13"/>
        <v>0</v>
      </c>
      <c r="Y28" s="150">
        <f t="shared" si="14"/>
        <v>0</v>
      </c>
      <c r="Z28" s="151">
        <f t="shared" si="24"/>
        <v>0</v>
      </c>
      <c r="AA28" s="151">
        <f t="shared" si="15"/>
        <v>0</v>
      </c>
      <c r="AB28" s="151">
        <f t="shared" si="15"/>
        <v>0</v>
      </c>
      <c r="AC28" s="151">
        <f t="shared" si="15"/>
        <v>0</v>
      </c>
    </row>
    <row r="29" spans="1:29" s="61" customFormat="1" ht="11.25">
      <c r="A29" s="147">
        <f t="shared" si="0"/>
        <v>0</v>
      </c>
      <c r="B29" s="152">
        <f t="shared" si="1"/>
        <v>0</v>
      </c>
      <c r="C29" s="141">
        <f t="shared" si="2"/>
        <v>1</v>
      </c>
      <c r="D29" s="142">
        <v>10</v>
      </c>
      <c r="E29" s="143">
        <f t="shared" si="16"/>
        <v>0</v>
      </c>
      <c r="F29" s="144">
        <f t="shared" si="3"/>
        <v>0</v>
      </c>
      <c r="G29" s="144">
        <f t="shared" si="4"/>
        <v>0</v>
      </c>
      <c r="H29" s="149">
        <f t="shared" si="17"/>
        <v>0</v>
      </c>
      <c r="I29" s="143">
        <f t="shared" si="18"/>
        <v>0</v>
      </c>
      <c r="J29" s="144">
        <f t="shared" si="5"/>
        <v>0</v>
      </c>
      <c r="K29" s="144">
        <f t="shared" si="6"/>
        <v>0</v>
      </c>
      <c r="L29" s="149">
        <f t="shared" si="19"/>
        <v>0</v>
      </c>
      <c r="M29" s="143">
        <f t="shared" si="20"/>
        <v>0</v>
      </c>
      <c r="N29" s="144">
        <f t="shared" si="7"/>
        <v>0</v>
      </c>
      <c r="O29" s="144">
        <f t="shared" si="8"/>
        <v>0</v>
      </c>
      <c r="P29" s="149">
        <f t="shared" si="21"/>
        <v>0</v>
      </c>
      <c r="R29" s="143">
        <f t="shared" si="22"/>
        <v>0</v>
      </c>
      <c r="S29" s="144">
        <f t="shared" si="9"/>
        <v>0</v>
      </c>
      <c r="T29" s="144">
        <f t="shared" si="10"/>
        <v>0</v>
      </c>
      <c r="U29" s="150">
        <f t="shared" si="11"/>
        <v>0</v>
      </c>
      <c r="V29" s="143">
        <f t="shared" si="23"/>
        <v>0</v>
      </c>
      <c r="W29" s="144">
        <f t="shared" si="12"/>
        <v>0</v>
      </c>
      <c r="X29" s="144">
        <f t="shared" si="13"/>
        <v>0</v>
      </c>
      <c r="Y29" s="150">
        <f t="shared" si="14"/>
        <v>0</v>
      </c>
      <c r="Z29" s="151">
        <f t="shared" si="24"/>
        <v>0</v>
      </c>
      <c r="AA29" s="151">
        <f t="shared" si="15"/>
        <v>0</v>
      </c>
      <c r="AB29" s="151">
        <f t="shared" si="15"/>
        <v>0</v>
      </c>
      <c r="AC29" s="151">
        <f t="shared" si="15"/>
        <v>0</v>
      </c>
    </row>
    <row r="30" spans="1:29" s="61" customFormat="1" ht="11.25">
      <c r="A30" s="147">
        <f t="shared" si="0"/>
        <v>0</v>
      </c>
      <c r="B30" s="152">
        <f t="shared" si="1"/>
        <v>0</v>
      </c>
      <c r="C30" s="141">
        <f t="shared" si="2"/>
        <v>1</v>
      </c>
      <c r="D30" s="142">
        <v>11</v>
      </c>
      <c r="E30" s="143">
        <f t="shared" si="16"/>
        <v>0</v>
      </c>
      <c r="F30" s="144">
        <f t="shared" si="3"/>
        <v>0</v>
      </c>
      <c r="G30" s="144">
        <f t="shared" si="4"/>
        <v>0</v>
      </c>
      <c r="H30" s="149">
        <f t="shared" si="17"/>
        <v>0</v>
      </c>
      <c r="I30" s="143">
        <f t="shared" si="18"/>
        <v>0</v>
      </c>
      <c r="J30" s="144">
        <f t="shared" si="5"/>
        <v>0</v>
      </c>
      <c r="K30" s="144">
        <f t="shared" si="6"/>
        <v>0</v>
      </c>
      <c r="L30" s="149">
        <f t="shared" si="19"/>
        <v>0</v>
      </c>
      <c r="M30" s="143">
        <f t="shared" si="20"/>
        <v>0</v>
      </c>
      <c r="N30" s="144">
        <f t="shared" si="7"/>
        <v>0</v>
      </c>
      <c r="O30" s="144">
        <f t="shared" si="8"/>
        <v>0</v>
      </c>
      <c r="P30" s="149">
        <f t="shared" si="21"/>
        <v>0</v>
      </c>
      <c r="R30" s="143">
        <f t="shared" si="22"/>
        <v>0</v>
      </c>
      <c r="S30" s="144">
        <f t="shared" si="9"/>
        <v>0</v>
      </c>
      <c r="T30" s="144">
        <f t="shared" si="10"/>
        <v>0</v>
      </c>
      <c r="U30" s="150">
        <f t="shared" si="11"/>
        <v>0</v>
      </c>
      <c r="V30" s="143">
        <f t="shared" si="23"/>
        <v>0</v>
      </c>
      <c r="W30" s="144">
        <f t="shared" si="12"/>
        <v>0</v>
      </c>
      <c r="X30" s="144">
        <f t="shared" si="13"/>
        <v>0</v>
      </c>
      <c r="Y30" s="150">
        <f t="shared" si="14"/>
        <v>0</v>
      </c>
      <c r="Z30" s="151">
        <f t="shared" si="24"/>
        <v>0</v>
      </c>
      <c r="AA30" s="151">
        <f t="shared" si="15"/>
        <v>0</v>
      </c>
      <c r="AB30" s="151">
        <f t="shared" si="15"/>
        <v>0</v>
      </c>
      <c r="AC30" s="151">
        <f t="shared" si="15"/>
        <v>0</v>
      </c>
    </row>
    <row r="31" spans="1:29" s="61" customFormat="1" ht="12" thickBot="1">
      <c r="A31" s="153">
        <f t="shared" si="0"/>
        <v>0</v>
      </c>
      <c r="B31" s="154">
        <f t="shared" si="1"/>
        <v>0</v>
      </c>
      <c r="C31" s="155">
        <f t="shared" si="2"/>
        <v>1</v>
      </c>
      <c r="D31" s="156">
        <v>12</v>
      </c>
      <c r="E31" s="157">
        <f t="shared" si="16"/>
        <v>0</v>
      </c>
      <c r="F31" s="158">
        <f t="shared" si="3"/>
        <v>0</v>
      </c>
      <c r="G31" s="158">
        <f t="shared" si="4"/>
        <v>0</v>
      </c>
      <c r="H31" s="159">
        <f t="shared" si="17"/>
        <v>0</v>
      </c>
      <c r="I31" s="157">
        <f t="shared" si="18"/>
        <v>0</v>
      </c>
      <c r="J31" s="158">
        <f t="shared" si="5"/>
        <v>0</v>
      </c>
      <c r="K31" s="158">
        <f t="shared" si="6"/>
        <v>0</v>
      </c>
      <c r="L31" s="159">
        <f t="shared" si="19"/>
        <v>0</v>
      </c>
      <c r="M31" s="157">
        <f t="shared" si="20"/>
        <v>0</v>
      </c>
      <c r="N31" s="158">
        <f t="shared" si="7"/>
        <v>0</v>
      </c>
      <c r="O31" s="158">
        <f t="shared" si="8"/>
        <v>0</v>
      </c>
      <c r="P31" s="159">
        <f t="shared" si="21"/>
        <v>0</v>
      </c>
      <c r="R31" s="157">
        <f t="shared" si="22"/>
        <v>0</v>
      </c>
      <c r="S31" s="158">
        <f t="shared" si="9"/>
        <v>0</v>
      </c>
      <c r="T31" s="158">
        <f t="shared" si="10"/>
        <v>0</v>
      </c>
      <c r="U31" s="160">
        <f t="shared" si="11"/>
        <v>0</v>
      </c>
      <c r="V31" s="157">
        <f t="shared" si="23"/>
        <v>0</v>
      </c>
      <c r="W31" s="158">
        <f t="shared" si="12"/>
        <v>0</v>
      </c>
      <c r="X31" s="158">
        <f t="shared" si="13"/>
        <v>0</v>
      </c>
      <c r="Y31" s="160">
        <f t="shared" si="14"/>
        <v>0</v>
      </c>
      <c r="Z31" s="151">
        <f>$V31+$W31</f>
        <v>0</v>
      </c>
      <c r="AA31" s="151">
        <f t="shared" si="15"/>
        <v>0</v>
      </c>
      <c r="AB31" s="151">
        <f t="shared" si="15"/>
        <v>0</v>
      </c>
      <c r="AC31" s="151">
        <f t="shared" si="15"/>
        <v>0</v>
      </c>
    </row>
    <row r="32" spans="1:29" s="61" customFormat="1" ht="11.25">
      <c r="A32" s="147">
        <f t="shared" si="0"/>
        <v>0</v>
      </c>
      <c r="B32" s="152">
        <f t="shared" si="1"/>
        <v>0</v>
      </c>
      <c r="C32" s="141">
        <f t="shared" si="2"/>
        <v>2</v>
      </c>
      <c r="D32" s="142">
        <v>13</v>
      </c>
      <c r="E32" s="143">
        <f t="shared" si="16"/>
        <v>0</v>
      </c>
      <c r="F32" s="144">
        <f t="shared" si="3"/>
        <v>0</v>
      </c>
      <c r="G32" s="144">
        <f t="shared" si="4"/>
        <v>0</v>
      </c>
      <c r="H32" s="161">
        <f>IF(E32&lt;=0,0,H$11)</f>
        <v>0</v>
      </c>
      <c r="I32" s="162">
        <f t="shared" si="18"/>
        <v>0</v>
      </c>
      <c r="J32" s="144">
        <f t="shared" si="5"/>
        <v>0</v>
      </c>
      <c r="K32" s="144">
        <f t="shared" si="6"/>
        <v>0</v>
      </c>
      <c r="L32" s="161">
        <f>IF(I32&lt;=0,0,L$11)</f>
        <v>0</v>
      </c>
      <c r="M32" s="143">
        <f t="shared" si="20"/>
        <v>0</v>
      </c>
      <c r="N32" s="144">
        <f t="shared" si="7"/>
        <v>0</v>
      </c>
      <c r="O32" s="144">
        <f t="shared" si="8"/>
        <v>0</v>
      </c>
      <c r="P32" s="161">
        <f>IF(M32&lt;=0,0,P$11)</f>
        <v>0</v>
      </c>
      <c r="R32" s="143">
        <f t="shared" si="22"/>
        <v>0</v>
      </c>
      <c r="S32" s="144">
        <f t="shared" si="9"/>
        <v>0</v>
      </c>
      <c r="T32" s="144">
        <f t="shared" si="10"/>
        <v>0</v>
      </c>
      <c r="U32" s="163">
        <f t="shared" si="11"/>
        <v>0</v>
      </c>
      <c r="V32" s="143">
        <f t="shared" si="23"/>
        <v>0</v>
      </c>
      <c r="W32" s="144">
        <f t="shared" si="12"/>
        <v>0</v>
      </c>
      <c r="X32" s="144">
        <f t="shared" si="13"/>
        <v>0</v>
      </c>
      <c r="Y32" s="163">
        <f t="shared" si="14"/>
        <v>0</v>
      </c>
      <c r="Z32" s="151">
        <v>0</v>
      </c>
      <c r="AA32" s="151">
        <f t="shared" si="15"/>
        <v>0</v>
      </c>
      <c r="AB32" s="151">
        <f t="shared" si="15"/>
        <v>0</v>
      </c>
      <c r="AC32" s="151">
        <f t="shared" si="15"/>
        <v>0</v>
      </c>
    </row>
    <row r="33" spans="1:29" s="61" customFormat="1" ht="11.25">
      <c r="A33" s="147">
        <f t="shared" si="0"/>
        <v>0</v>
      </c>
      <c r="B33" s="152">
        <f t="shared" si="1"/>
        <v>0</v>
      </c>
      <c r="C33" s="141">
        <f t="shared" si="2"/>
        <v>2</v>
      </c>
      <c r="D33" s="142">
        <v>14</v>
      </c>
      <c r="E33" s="143">
        <f t="shared" si="16"/>
        <v>0</v>
      </c>
      <c r="F33" s="144">
        <f t="shared" si="3"/>
        <v>0</v>
      </c>
      <c r="G33" s="144">
        <f t="shared" si="4"/>
        <v>0</v>
      </c>
      <c r="H33" s="161">
        <f t="shared" ref="H33:H43" si="25">IF(E33&lt;=0,0,H$11)</f>
        <v>0</v>
      </c>
      <c r="I33" s="143">
        <f t="shared" si="18"/>
        <v>0</v>
      </c>
      <c r="J33" s="144">
        <f t="shared" si="5"/>
        <v>0</v>
      </c>
      <c r="K33" s="144">
        <f t="shared" si="6"/>
        <v>0</v>
      </c>
      <c r="L33" s="161">
        <f t="shared" ref="L33:L43" si="26">IF(I33&lt;=0,0,L$11)</f>
        <v>0</v>
      </c>
      <c r="M33" s="143">
        <f t="shared" si="20"/>
        <v>0</v>
      </c>
      <c r="N33" s="144">
        <f t="shared" si="7"/>
        <v>0</v>
      </c>
      <c r="O33" s="144">
        <f t="shared" si="8"/>
        <v>0</v>
      </c>
      <c r="P33" s="161">
        <f t="shared" ref="P33:P43" si="27">IF(M33&lt;=0,0,P$11)</f>
        <v>0</v>
      </c>
      <c r="R33" s="143">
        <f t="shared" si="22"/>
        <v>0</v>
      </c>
      <c r="S33" s="144">
        <f t="shared" si="9"/>
        <v>0</v>
      </c>
      <c r="T33" s="144">
        <f t="shared" si="10"/>
        <v>0</v>
      </c>
      <c r="U33" s="163">
        <f t="shared" si="11"/>
        <v>0</v>
      </c>
      <c r="V33" s="143">
        <f t="shared" si="23"/>
        <v>0</v>
      </c>
      <c r="W33" s="144">
        <f t="shared" si="12"/>
        <v>0</v>
      </c>
      <c r="X33" s="144">
        <f t="shared" si="13"/>
        <v>0</v>
      </c>
      <c r="Y33" s="163">
        <f t="shared" si="14"/>
        <v>0</v>
      </c>
      <c r="Z33" s="151">
        <v>0</v>
      </c>
      <c r="AA33" s="151">
        <f t="shared" si="15"/>
        <v>0</v>
      </c>
      <c r="AB33" s="151">
        <f t="shared" si="15"/>
        <v>0</v>
      </c>
      <c r="AC33" s="151">
        <f t="shared" si="15"/>
        <v>0</v>
      </c>
    </row>
    <row r="34" spans="1:29" s="61" customFormat="1" ht="11.25">
      <c r="A34" s="147">
        <f t="shared" si="0"/>
        <v>0</v>
      </c>
      <c r="B34" s="152">
        <f t="shared" si="1"/>
        <v>0</v>
      </c>
      <c r="C34" s="141">
        <f t="shared" si="2"/>
        <v>2</v>
      </c>
      <c r="D34" s="142">
        <v>15</v>
      </c>
      <c r="E34" s="143">
        <f t="shared" si="16"/>
        <v>0</v>
      </c>
      <c r="F34" s="144">
        <f t="shared" si="3"/>
        <v>0</v>
      </c>
      <c r="G34" s="144">
        <f t="shared" si="4"/>
        <v>0</v>
      </c>
      <c r="H34" s="161">
        <f t="shared" si="25"/>
        <v>0</v>
      </c>
      <c r="I34" s="143">
        <f t="shared" si="18"/>
        <v>0</v>
      </c>
      <c r="J34" s="144">
        <f t="shared" si="5"/>
        <v>0</v>
      </c>
      <c r="K34" s="144">
        <f t="shared" si="6"/>
        <v>0</v>
      </c>
      <c r="L34" s="161">
        <f t="shared" si="26"/>
        <v>0</v>
      </c>
      <c r="M34" s="143">
        <f t="shared" si="20"/>
        <v>0</v>
      </c>
      <c r="N34" s="144">
        <f t="shared" si="7"/>
        <v>0</v>
      </c>
      <c r="O34" s="144">
        <f t="shared" si="8"/>
        <v>0</v>
      </c>
      <c r="P34" s="161">
        <f t="shared" si="27"/>
        <v>0</v>
      </c>
      <c r="R34" s="143">
        <f t="shared" si="22"/>
        <v>0</v>
      </c>
      <c r="S34" s="144">
        <f t="shared" si="9"/>
        <v>0</v>
      </c>
      <c r="T34" s="144">
        <f t="shared" si="10"/>
        <v>0</v>
      </c>
      <c r="U34" s="163">
        <f t="shared" si="11"/>
        <v>0</v>
      </c>
      <c r="V34" s="143">
        <f t="shared" si="23"/>
        <v>0</v>
      </c>
      <c r="W34" s="144">
        <f t="shared" si="12"/>
        <v>0</v>
      </c>
      <c r="X34" s="144">
        <f t="shared" si="13"/>
        <v>0</v>
      </c>
      <c r="Y34" s="163">
        <f t="shared" si="14"/>
        <v>0</v>
      </c>
      <c r="Z34" s="151">
        <v>0</v>
      </c>
      <c r="AA34" s="151">
        <f t="shared" si="15"/>
        <v>0</v>
      </c>
      <c r="AB34" s="151">
        <f t="shared" si="15"/>
        <v>0</v>
      </c>
      <c r="AC34" s="151">
        <f t="shared" si="15"/>
        <v>0</v>
      </c>
    </row>
    <row r="35" spans="1:29" s="61" customFormat="1" ht="11.25">
      <c r="A35" s="147">
        <f t="shared" si="0"/>
        <v>0</v>
      </c>
      <c r="B35" s="152">
        <f t="shared" si="1"/>
        <v>0</v>
      </c>
      <c r="C35" s="141">
        <f t="shared" si="2"/>
        <v>2</v>
      </c>
      <c r="D35" s="142">
        <v>16</v>
      </c>
      <c r="E35" s="143">
        <f t="shared" si="16"/>
        <v>0</v>
      </c>
      <c r="F35" s="144">
        <f t="shared" si="3"/>
        <v>0</v>
      </c>
      <c r="G35" s="144">
        <f t="shared" si="4"/>
        <v>0</v>
      </c>
      <c r="H35" s="161">
        <f t="shared" si="25"/>
        <v>0</v>
      </c>
      <c r="I35" s="143">
        <f t="shared" si="18"/>
        <v>0</v>
      </c>
      <c r="J35" s="144">
        <f t="shared" si="5"/>
        <v>0</v>
      </c>
      <c r="K35" s="144">
        <f t="shared" si="6"/>
        <v>0</v>
      </c>
      <c r="L35" s="161">
        <f t="shared" si="26"/>
        <v>0</v>
      </c>
      <c r="M35" s="143">
        <f t="shared" si="20"/>
        <v>0</v>
      </c>
      <c r="N35" s="144">
        <f t="shared" si="7"/>
        <v>0</v>
      </c>
      <c r="O35" s="144">
        <f t="shared" si="8"/>
        <v>0</v>
      </c>
      <c r="P35" s="161">
        <f t="shared" si="27"/>
        <v>0</v>
      </c>
      <c r="R35" s="143">
        <f t="shared" si="22"/>
        <v>0</v>
      </c>
      <c r="S35" s="144">
        <f t="shared" si="9"/>
        <v>0</v>
      </c>
      <c r="T35" s="144">
        <f t="shared" si="10"/>
        <v>0</v>
      </c>
      <c r="U35" s="163">
        <f t="shared" si="11"/>
        <v>0</v>
      </c>
      <c r="V35" s="143">
        <f t="shared" si="23"/>
        <v>0</v>
      </c>
      <c r="W35" s="144">
        <f t="shared" si="12"/>
        <v>0</v>
      </c>
      <c r="X35" s="144">
        <f t="shared" si="13"/>
        <v>0</v>
      </c>
      <c r="Y35" s="163">
        <f t="shared" si="14"/>
        <v>0</v>
      </c>
      <c r="Z35" s="151">
        <v>0</v>
      </c>
      <c r="AA35" s="151">
        <f t="shared" si="15"/>
        <v>0</v>
      </c>
      <c r="AB35" s="151">
        <f t="shared" si="15"/>
        <v>0</v>
      </c>
      <c r="AC35" s="151">
        <f t="shared" si="15"/>
        <v>0</v>
      </c>
    </row>
    <row r="36" spans="1:29" s="61" customFormat="1" ht="11.25">
      <c r="A36" s="147">
        <f t="shared" si="0"/>
        <v>0</v>
      </c>
      <c r="B36" s="152">
        <f t="shared" si="1"/>
        <v>0</v>
      </c>
      <c r="C36" s="141">
        <f t="shared" si="2"/>
        <v>2</v>
      </c>
      <c r="D36" s="142">
        <v>17</v>
      </c>
      <c r="E36" s="143">
        <f t="shared" si="16"/>
        <v>0</v>
      </c>
      <c r="F36" s="144">
        <f t="shared" si="3"/>
        <v>0</v>
      </c>
      <c r="G36" s="144">
        <f t="shared" si="4"/>
        <v>0</v>
      </c>
      <c r="H36" s="161">
        <f t="shared" si="25"/>
        <v>0</v>
      </c>
      <c r="I36" s="143">
        <f t="shared" si="18"/>
        <v>0</v>
      </c>
      <c r="J36" s="144">
        <f t="shared" si="5"/>
        <v>0</v>
      </c>
      <c r="K36" s="144">
        <f t="shared" si="6"/>
        <v>0</v>
      </c>
      <c r="L36" s="161">
        <f t="shared" si="26"/>
        <v>0</v>
      </c>
      <c r="M36" s="143">
        <f t="shared" si="20"/>
        <v>0</v>
      </c>
      <c r="N36" s="144">
        <f t="shared" si="7"/>
        <v>0</v>
      </c>
      <c r="O36" s="144">
        <f t="shared" si="8"/>
        <v>0</v>
      </c>
      <c r="P36" s="161">
        <f t="shared" si="27"/>
        <v>0</v>
      </c>
      <c r="R36" s="143">
        <f t="shared" si="22"/>
        <v>0</v>
      </c>
      <c r="S36" s="144">
        <f t="shared" si="9"/>
        <v>0</v>
      </c>
      <c r="T36" s="144">
        <f t="shared" si="10"/>
        <v>0</v>
      </c>
      <c r="U36" s="163">
        <f t="shared" si="11"/>
        <v>0</v>
      </c>
      <c r="V36" s="143">
        <f t="shared" si="23"/>
        <v>0</v>
      </c>
      <c r="W36" s="144">
        <f t="shared" si="12"/>
        <v>0</v>
      </c>
      <c r="X36" s="144">
        <f t="shared" si="13"/>
        <v>0</v>
      </c>
      <c r="Y36" s="163">
        <f t="shared" si="14"/>
        <v>0</v>
      </c>
      <c r="Z36" s="151">
        <v>0</v>
      </c>
      <c r="AA36" s="151">
        <f t="shared" ref="AA36:AC51" si="28">$Y36</f>
        <v>0</v>
      </c>
      <c r="AB36" s="151">
        <f t="shared" si="28"/>
        <v>0</v>
      </c>
      <c r="AC36" s="151">
        <f t="shared" si="28"/>
        <v>0</v>
      </c>
    </row>
    <row r="37" spans="1:29" s="61" customFormat="1" ht="11.25">
      <c r="A37" s="147">
        <f t="shared" si="0"/>
        <v>0</v>
      </c>
      <c r="B37" s="152">
        <f t="shared" si="1"/>
        <v>0</v>
      </c>
      <c r="C37" s="141">
        <f t="shared" si="2"/>
        <v>2</v>
      </c>
      <c r="D37" s="142">
        <v>18</v>
      </c>
      <c r="E37" s="143">
        <f t="shared" si="16"/>
        <v>0</v>
      </c>
      <c r="F37" s="144">
        <f t="shared" si="3"/>
        <v>0</v>
      </c>
      <c r="G37" s="144">
        <f t="shared" si="4"/>
        <v>0</v>
      </c>
      <c r="H37" s="161">
        <f t="shared" si="25"/>
        <v>0</v>
      </c>
      <c r="I37" s="143">
        <f t="shared" si="18"/>
        <v>0</v>
      </c>
      <c r="J37" s="144">
        <f t="shared" si="5"/>
        <v>0</v>
      </c>
      <c r="K37" s="144">
        <f t="shared" si="6"/>
        <v>0</v>
      </c>
      <c r="L37" s="161">
        <f t="shared" si="26"/>
        <v>0</v>
      </c>
      <c r="M37" s="143">
        <f t="shared" si="20"/>
        <v>0</v>
      </c>
      <c r="N37" s="144">
        <f t="shared" si="7"/>
        <v>0</v>
      </c>
      <c r="O37" s="144">
        <f t="shared" si="8"/>
        <v>0</v>
      </c>
      <c r="P37" s="161">
        <f t="shared" si="27"/>
        <v>0</v>
      </c>
      <c r="R37" s="143">
        <f t="shared" si="22"/>
        <v>0</v>
      </c>
      <c r="S37" s="144">
        <f t="shared" si="9"/>
        <v>0</v>
      </c>
      <c r="T37" s="144">
        <f t="shared" si="10"/>
        <v>0</v>
      </c>
      <c r="U37" s="163">
        <f t="shared" si="11"/>
        <v>0</v>
      </c>
      <c r="V37" s="143">
        <f t="shared" si="23"/>
        <v>0</v>
      </c>
      <c r="W37" s="144">
        <f t="shared" si="12"/>
        <v>0</v>
      </c>
      <c r="X37" s="144">
        <f t="shared" si="13"/>
        <v>0</v>
      </c>
      <c r="Y37" s="163">
        <f t="shared" si="14"/>
        <v>0</v>
      </c>
      <c r="Z37" s="151">
        <v>0</v>
      </c>
      <c r="AA37" s="151">
        <f t="shared" si="28"/>
        <v>0</v>
      </c>
      <c r="AB37" s="151">
        <f t="shared" si="28"/>
        <v>0</v>
      </c>
      <c r="AC37" s="151">
        <f t="shared" si="28"/>
        <v>0</v>
      </c>
    </row>
    <row r="38" spans="1:29" s="61" customFormat="1" ht="11.25">
      <c r="A38" s="147">
        <f t="shared" si="0"/>
        <v>0</v>
      </c>
      <c r="B38" s="152">
        <f t="shared" si="1"/>
        <v>0</v>
      </c>
      <c r="C38" s="141">
        <f t="shared" si="2"/>
        <v>2</v>
      </c>
      <c r="D38" s="142">
        <v>19</v>
      </c>
      <c r="E38" s="143">
        <f t="shared" si="16"/>
        <v>0</v>
      </c>
      <c r="F38" s="144">
        <f t="shared" si="3"/>
        <v>0</v>
      </c>
      <c r="G38" s="144">
        <f t="shared" si="4"/>
        <v>0</v>
      </c>
      <c r="H38" s="161">
        <f t="shared" si="25"/>
        <v>0</v>
      </c>
      <c r="I38" s="143">
        <f t="shared" si="18"/>
        <v>0</v>
      </c>
      <c r="J38" s="144">
        <f t="shared" si="5"/>
        <v>0</v>
      </c>
      <c r="K38" s="144">
        <f t="shared" si="6"/>
        <v>0</v>
      </c>
      <c r="L38" s="161">
        <f t="shared" si="26"/>
        <v>0</v>
      </c>
      <c r="M38" s="143">
        <f t="shared" si="20"/>
        <v>0</v>
      </c>
      <c r="N38" s="144">
        <f t="shared" si="7"/>
        <v>0</v>
      </c>
      <c r="O38" s="144">
        <f t="shared" si="8"/>
        <v>0</v>
      </c>
      <c r="P38" s="161">
        <f t="shared" si="27"/>
        <v>0</v>
      </c>
      <c r="R38" s="143">
        <f t="shared" si="22"/>
        <v>0</v>
      </c>
      <c r="S38" s="144">
        <f t="shared" si="9"/>
        <v>0</v>
      </c>
      <c r="T38" s="144">
        <f t="shared" si="10"/>
        <v>0</v>
      </c>
      <c r="U38" s="163">
        <f t="shared" si="11"/>
        <v>0</v>
      </c>
      <c r="V38" s="143">
        <f t="shared" si="23"/>
        <v>0</v>
      </c>
      <c r="W38" s="144">
        <f t="shared" si="12"/>
        <v>0</v>
      </c>
      <c r="X38" s="144">
        <f t="shared" si="13"/>
        <v>0</v>
      </c>
      <c r="Y38" s="163">
        <f t="shared" si="14"/>
        <v>0</v>
      </c>
      <c r="Z38" s="151">
        <v>0</v>
      </c>
      <c r="AA38" s="151">
        <f t="shared" si="28"/>
        <v>0</v>
      </c>
      <c r="AB38" s="151">
        <f t="shared" si="28"/>
        <v>0</v>
      </c>
      <c r="AC38" s="151">
        <f t="shared" si="28"/>
        <v>0</v>
      </c>
    </row>
    <row r="39" spans="1:29" s="61" customFormat="1" ht="11.25">
      <c r="A39" s="147">
        <f t="shared" si="0"/>
        <v>0</v>
      </c>
      <c r="B39" s="152">
        <f t="shared" si="1"/>
        <v>0</v>
      </c>
      <c r="C39" s="141">
        <f t="shared" si="2"/>
        <v>2</v>
      </c>
      <c r="D39" s="142">
        <v>20</v>
      </c>
      <c r="E39" s="143">
        <f t="shared" si="16"/>
        <v>0</v>
      </c>
      <c r="F39" s="144">
        <f t="shared" si="3"/>
        <v>0</v>
      </c>
      <c r="G39" s="144">
        <f t="shared" si="4"/>
        <v>0</v>
      </c>
      <c r="H39" s="161">
        <f t="shared" si="25"/>
        <v>0</v>
      </c>
      <c r="I39" s="143">
        <f t="shared" si="18"/>
        <v>0</v>
      </c>
      <c r="J39" s="144">
        <f t="shared" si="5"/>
        <v>0</v>
      </c>
      <c r="K39" s="144">
        <f t="shared" si="6"/>
        <v>0</v>
      </c>
      <c r="L39" s="161">
        <f t="shared" si="26"/>
        <v>0</v>
      </c>
      <c r="M39" s="143">
        <f t="shared" si="20"/>
        <v>0</v>
      </c>
      <c r="N39" s="144">
        <f t="shared" si="7"/>
        <v>0</v>
      </c>
      <c r="O39" s="144">
        <f t="shared" si="8"/>
        <v>0</v>
      </c>
      <c r="P39" s="161">
        <f t="shared" si="27"/>
        <v>0</v>
      </c>
      <c r="R39" s="143">
        <f t="shared" si="22"/>
        <v>0</v>
      </c>
      <c r="S39" s="144">
        <f t="shared" si="9"/>
        <v>0</v>
      </c>
      <c r="T39" s="144">
        <f t="shared" si="10"/>
        <v>0</v>
      </c>
      <c r="U39" s="163">
        <f t="shared" si="11"/>
        <v>0</v>
      </c>
      <c r="V39" s="143">
        <f t="shared" si="23"/>
        <v>0</v>
      </c>
      <c r="W39" s="144">
        <f t="shared" si="12"/>
        <v>0</v>
      </c>
      <c r="X39" s="144">
        <f t="shared" si="13"/>
        <v>0</v>
      </c>
      <c r="Y39" s="163">
        <f t="shared" si="14"/>
        <v>0</v>
      </c>
      <c r="Z39" s="151">
        <v>0</v>
      </c>
      <c r="AA39" s="151">
        <f t="shared" si="28"/>
        <v>0</v>
      </c>
      <c r="AB39" s="151">
        <f t="shared" si="28"/>
        <v>0</v>
      </c>
      <c r="AC39" s="151">
        <f t="shared" si="28"/>
        <v>0</v>
      </c>
    </row>
    <row r="40" spans="1:29" s="61" customFormat="1" ht="11.25">
      <c r="A40" s="147">
        <f t="shared" si="0"/>
        <v>0</v>
      </c>
      <c r="B40" s="152">
        <f t="shared" si="1"/>
        <v>0</v>
      </c>
      <c r="C40" s="141">
        <f t="shared" si="2"/>
        <v>2</v>
      </c>
      <c r="D40" s="142">
        <v>21</v>
      </c>
      <c r="E40" s="143">
        <f t="shared" si="16"/>
        <v>0</v>
      </c>
      <c r="F40" s="144">
        <f t="shared" si="3"/>
        <v>0</v>
      </c>
      <c r="G40" s="144">
        <f t="shared" si="4"/>
        <v>0</v>
      </c>
      <c r="H40" s="161">
        <f t="shared" si="25"/>
        <v>0</v>
      </c>
      <c r="I40" s="143">
        <f t="shared" si="18"/>
        <v>0</v>
      </c>
      <c r="J40" s="144">
        <f t="shared" si="5"/>
        <v>0</v>
      </c>
      <c r="K40" s="144">
        <f t="shared" si="6"/>
        <v>0</v>
      </c>
      <c r="L40" s="161">
        <f t="shared" si="26"/>
        <v>0</v>
      </c>
      <c r="M40" s="143">
        <f t="shared" si="20"/>
        <v>0</v>
      </c>
      <c r="N40" s="144">
        <f t="shared" si="7"/>
        <v>0</v>
      </c>
      <c r="O40" s="144">
        <f t="shared" si="8"/>
        <v>0</v>
      </c>
      <c r="P40" s="161">
        <f t="shared" si="27"/>
        <v>0</v>
      </c>
      <c r="R40" s="143">
        <f t="shared" si="22"/>
        <v>0</v>
      </c>
      <c r="S40" s="144">
        <f t="shared" si="9"/>
        <v>0</v>
      </c>
      <c r="T40" s="144">
        <f t="shared" si="10"/>
        <v>0</v>
      </c>
      <c r="U40" s="163">
        <f t="shared" si="11"/>
        <v>0</v>
      </c>
      <c r="V40" s="143">
        <f t="shared" si="23"/>
        <v>0</v>
      </c>
      <c r="W40" s="144">
        <f t="shared" si="12"/>
        <v>0</v>
      </c>
      <c r="X40" s="144">
        <f t="shared" si="13"/>
        <v>0</v>
      </c>
      <c r="Y40" s="163">
        <f t="shared" si="14"/>
        <v>0</v>
      </c>
      <c r="Z40" s="151">
        <v>0</v>
      </c>
      <c r="AA40" s="151">
        <f t="shared" si="28"/>
        <v>0</v>
      </c>
      <c r="AB40" s="151">
        <f t="shared" si="28"/>
        <v>0</v>
      </c>
      <c r="AC40" s="151">
        <f t="shared" si="28"/>
        <v>0</v>
      </c>
    </row>
    <row r="41" spans="1:29" s="61" customFormat="1" ht="11.25">
      <c r="A41" s="147">
        <f t="shared" si="0"/>
        <v>0</v>
      </c>
      <c r="B41" s="152">
        <f t="shared" si="1"/>
        <v>0</v>
      </c>
      <c r="C41" s="141">
        <f t="shared" si="2"/>
        <v>2</v>
      </c>
      <c r="D41" s="142">
        <v>22</v>
      </c>
      <c r="E41" s="143">
        <f t="shared" si="16"/>
        <v>0</v>
      </c>
      <c r="F41" s="144">
        <f t="shared" si="3"/>
        <v>0</v>
      </c>
      <c r="G41" s="144">
        <f t="shared" si="4"/>
        <v>0</v>
      </c>
      <c r="H41" s="161">
        <f t="shared" si="25"/>
        <v>0</v>
      </c>
      <c r="I41" s="143">
        <f t="shared" si="18"/>
        <v>0</v>
      </c>
      <c r="J41" s="144">
        <f t="shared" si="5"/>
        <v>0</v>
      </c>
      <c r="K41" s="144">
        <f t="shared" si="6"/>
        <v>0</v>
      </c>
      <c r="L41" s="161">
        <f t="shared" si="26"/>
        <v>0</v>
      </c>
      <c r="M41" s="143">
        <f t="shared" si="20"/>
        <v>0</v>
      </c>
      <c r="N41" s="144">
        <f t="shared" si="7"/>
        <v>0</v>
      </c>
      <c r="O41" s="144">
        <f t="shared" si="8"/>
        <v>0</v>
      </c>
      <c r="P41" s="161">
        <f t="shared" si="27"/>
        <v>0</v>
      </c>
      <c r="R41" s="143">
        <f t="shared" si="22"/>
        <v>0</v>
      </c>
      <c r="S41" s="144">
        <f t="shared" si="9"/>
        <v>0</v>
      </c>
      <c r="T41" s="144">
        <f t="shared" si="10"/>
        <v>0</v>
      </c>
      <c r="U41" s="163">
        <f t="shared" si="11"/>
        <v>0</v>
      </c>
      <c r="V41" s="143">
        <f t="shared" si="23"/>
        <v>0</v>
      </c>
      <c r="W41" s="144">
        <f t="shared" si="12"/>
        <v>0</v>
      </c>
      <c r="X41" s="144">
        <f t="shared" si="13"/>
        <v>0</v>
      </c>
      <c r="Y41" s="163">
        <f t="shared" si="14"/>
        <v>0</v>
      </c>
      <c r="Z41" s="151">
        <v>0</v>
      </c>
      <c r="AA41" s="151">
        <f t="shared" si="28"/>
        <v>0</v>
      </c>
      <c r="AB41" s="151">
        <f t="shared" si="28"/>
        <v>0</v>
      </c>
      <c r="AC41" s="151">
        <f t="shared" si="28"/>
        <v>0</v>
      </c>
    </row>
    <row r="42" spans="1:29" s="61" customFormat="1" ht="11.25">
      <c r="A42" s="147">
        <f t="shared" si="0"/>
        <v>0</v>
      </c>
      <c r="B42" s="152">
        <f t="shared" si="1"/>
        <v>0</v>
      </c>
      <c r="C42" s="141">
        <f t="shared" si="2"/>
        <v>2</v>
      </c>
      <c r="D42" s="142">
        <v>23</v>
      </c>
      <c r="E42" s="143">
        <f t="shared" si="16"/>
        <v>0</v>
      </c>
      <c r="F42" s="144">
        <f t="shared" si="3"/>
        <v>0</v>
      </c>
      <c r="G42" s="144">
        <f t="shared" si="4"/>
        <v>0</v>
      </c>
      <c r="H42" s="161">
        <f t="shared" si="25"/>
        <v>0</v>
      </c>
      <c r="I42" s="143">
        <f t="shared" si="18"/>
        <v>0</v>
      </c>
      <c r="J42" s="144">
        <f t="shared" si="5"/>
        <v>0</v>
      </c>
      <c r="K42" s="144">
        <f t="shared" si="6"/>
        <v>0</v>
      </c>
      <c r="L42" s="161">
        <f t="shared" si="26"/>
        <v>0</v>
      </c>
      <c r="M42" s="143">
        <f t="shared" si="20"/>
        <v>0</v>
      </c>
      <c r="N42" s="144">
        <f t="shared" si="7"/>
        <v>0</v>
      </c>
      <c r="O42" s="144">
        <f t="shared" si="8"/>
        <v>0</v>
      </c>
      <c r="P42" s="161">
        <f t="shared" si="27"/>
        <v>0</v>
      </c>
      <c r="R42" s="143">
        <f t="shared" si="22"/>
        <v>0</v>
      </c>
      <c r="S42" s="144">
        <f t="shared" si="9"/>
        <v>0</v>
      </c>
      <c r="T42" s="144">
        <f t="shared" si="10"/>
        <v>0</v>
      </c>
      <c r="U42" s="163">
        <f t="shared" si="11"/>
        <v>0</v>
      </c>
      <c r="V42" s="143">
        <f t="shared" si="23"/>
        <v>0</v>
      </c>
      <c r="W42" s="144">
        <f t="shared" si="12"/>
        <v>0</v>
      </c>
      <c r="X42" s="144">
        <f t="shared" si="13"/>
        <v>0</v>
      </c>
      <c r="Y42" s="163">
        <f t="shared" si="14"/>
        <v>0</v>
      </c>
      <c r="Z42" s="151">
        <v>0</v>
      </c>
      <c r="AA42" s="151">
        <f t="shared" si="28"/>
        <v>0</v>
      </c>
      <c r="AB42" s="151">
        <f t="shared" si="28"/>
        <v>0</v>
      </c>
      <c r="AC42" s="151">
        <f t="shared" si="28"/>
        <v>0</v>
      </c>
    </row>
    <row r="43" spans="1:29" s="61" customFormat="1" ht="12" thickBot="1">
      <c r="A43" s="153">
        <f t="shared" si="0"/>
        <v>0</v>
      </c>
      <c r="B43" s="154">
        <f t="shared" si="1"/>
        <v>0</v>
      </c>
      <c r="C43" s="155">
        <f t="shared" si="2"/>
        <v>2</v>
      </c>
      <c r="D43" s="156">
        <v>24</v>
      </c>
      <c r="E43" s="157">
        <f t="shared" si="16"/>
        <v>0</v>
      </c>
      <c r="F43" s="158">
        <f t="shared" si="3"/>
        <v>0</v>
      </c>
      <c r="G43" s="158">
        <f t="shared" si="4"/>
        <v>0</v>
      </c>
      <c r="H43" s="164">
        <f t="shared" si="25"/>
        <v>0</v>
      </c>
      <c r="I43" s="157">
        <f t="shared" si="18"/>
        <v>0</v>
      </c>
      <c r="J43" s="158">
        <f t="shared" si="5"/>
        <v>0</v>
      </c>
      <c r="K43" s="158">
        <f t="shared" si="6"/>
        <v>0</v>
      </c>
      <c r="L43" s="164">
        <f t="shared" si="26"/>
        <v>0</v>
      </c>
      <c r="M43" s="157">
        <f t="shared" si="20"/>
        <v>0</v>
      </c>
      <c r="N43" s="158">
        <f t="shared" si="7"/>
        <v>0</v>
      </c>
      <c r="O43" s="158">
        <f t="shared" si="8"/>
        <v>0</v>
      </c>
      <c r="P43" s="164">
        <f t="shared" si="27"/>
        <v>0</v>
      </c>
      <c r="R43" s="157">
        <f t="shared" si="22"/>
        <v>0</v>
      </c>
      <c r="S43" s="158">
        <f t="shared" si="9"/>
        <v>0</v>
      </c>
      <c r="T43" s="158">
        <f t="shared" si="10"/>
        <v>0</v>
      </c>
      <c r="U43" s="165">
        <f t="shared" si="11"/>
        <v>0</v>
      </c>
      <c r="V43" s="157">
        <f t="shared" si="23"/>
        <v>0</v>
      </c>
      <c r="W43" s="158">
        <f t="shared" si="12"/>
        <v>0</v>
      </c>
      <c r="X43" s="158">
        <f t="shared" si="13"/>
        <v>0</v>
      </c>
      <c r="Y43" s="165">
        <f t="shared" si="14"/>
        <v>0</v>
      </c>
      <c r="Z43" s="151">
        <v>0</v>
      </c>
      <c r="AA43" s="151">
        <f>$V43+$W43</f>
        <v>0</v>
      </c>
      <c r="AB43" s="151">
        <f t="shared" si="28"/>
        <v>0</v>
      </c>
      <c r="AC43" s="151">
        <f t="shared" si="28"/>
        <v>0</v>
      </c>
    </row>
    <row r="44" spans="1:29" s="61" customFormat="1" ht="11.25">
      <c r="A44" s="147">
        <f t="shared" si="0"/>
        <v>0</v>
      </c>
      <c r="B44" s="152">
        <f t="shared" si="1"/>
        <v>0</v>
      </c>
      <c r="C44" s="141">
        <f t="shared" si="2"/>
        <v>3</v>
      </c>
      <c r="D44" s="142">
        <v>25</v>
      </c>
      <c r="E44" s="143">
        <f t="shared" si="16"/>
        <v>0</v>
      </c>
      <c r="F44" s="144">
        <f t="shared" si="3"/>
        <v>0</v>
      </c>
      <c r="G44" s="144">
        <f t="shared" si="4"/>
        <v>0</v>
      </c>
      <c r="H44" s="166">
        <f>IF(E44&lt;=0,0,H$12)</f>
        <v>0</v>
      </c>
      <c r="I44" s="162">
        <f t="shared" si="18"/>
        <v>0</v>
      </c>
      <c r="J44" s="144">
        <f t="shared" si="5"/>
        <v>0</v>
      </c>
      <c r="K44" s="144">
        <f t="shared" si="6"/>
        <v>0</v>
      </c>
      <c r="L44" s="166">
        <f>IF(I44&lt;=0,0,L$12)</f>
        <v>0</v>
      </c>
      <c r="M44" s="143">
        <f t="shared" si="20"/>
        <v>0</v>
      </c>
      <c r="N44" s="144">
        <f t="shared" si="7"/>
        <v>0</v>
      </c>
      <c r="O44" s="144">
        <f t="shared" si="8"/>
        <v>0</v>
      </c>
      <c r="P44" s="166">
        <f>IF(M44&lt;=0,0,P$12)</f>
        <v>0</v>
      </c>
      <c r="R44" s="143">
        <f t="shared" si="22"/>
        <v>0</v>
      </c>
      <c r="S44" s="144">
        <f t="shared" si="9"/>
        <v>0</v>
      </c>
      <c r="T44" s="144">
        <f t="shared" si="10"/>
        <v>0</v>
      </c>
      <c r="U44" s="163">
        <f t="shared" si="11"/>
        <v>0</v>
      </c>
      <c r="V44" s="143">
        <f t="shared" si="23"/>
        <v>0</v>
      </c>
      <c r="W44" s="144">
        <f t="shared" si="12"/>
        <v>0</v>
      </c>
      <c r="X44" s="144">
        <f t="shared" si="13"/>
        <v>0</v>
      </c>
      <c r="Y44" s="163">
        <f t="shared" si="14"/>
        <v>0</v>
      </c>
      <c r="Z44" s="151">
        <v>0</v>
      </c>
      <c r="AA44" s="151">
        <v>0</v>
      </c>
      <c r="AB44" s="151">
        <f t="shared" si="28"/>
        <v>0</v>
      </c>
      <c r="AC44" s="151">
        <f t="shared" si="28"/>
        <v>0</v>
      </c>
    </row>
    <row r="45" spans="1:29" s="61" customFormat="1" ht="11.25">
      <c r="A45" s="147">
        <f t="shared" si="0"/>
        <v>0</v>
      </c>
      <c r="B45" s="152">
        <f t="shared" si="1"/>
        <v>0</v>
      </c>
      <c r="C45" s="141">
        <f t="shared" si="2"/>
        <v>3</v>
      </c>
      <c r="D45" s="142">
        <v>26</v>
      </c>
      <c r="E45" s="143">
        <f t="shared" si="16"/>
        <v>0</v>
      </c>
      <c r="F45" s="144">
        <f t="shared" si="3"/>
        <v>0</v>
      </c>
      <c r="G45" s="144">
        <f t="shared" si="4"/>
        <v>0</v>
      </c>
      <c r="H45" s="166">
        <f t="shared" ref="H45:H55" si="29">IF(E45&lt;=0,0,H$12)</f>
        <v>0</v>
      </c>
      <c r="I45" s="143">
        <f t="shared" si="18"/>
        <v>0</v>
      </c>
      <c r="J45" s="144">
        <f t="shared" si="5"/>
        <v>0</v>
      </c>
      <c r="K45" s="144">
        <f t="shared" si="6"/>
        <v>0</v>
      </c>
      <c r="L45" s="166">
        <f t="shared" ref="L45:L55" si="30">IF(I45&lt;=0,0,L$12)</f>
        <v>0</v>
      </c>
      <c r="M45" s="143">
        <f t="shared" si="20"/>
        <v>0</v>
      </c>
      <c r="N45" s="144">
        <f t="shared" si="7"/>
        <v>0</v>
      </c>
      <c r="O45" s="144">
        <f t="shared" si="8"/>
        <v>0</v>
      </c>
      <c r="P45" s="166">
        <f t="shared" ref="P45:P55" si="31">IF(M45&lt;=0,0,P$12)</f>
        <v>0</v>
      </c>
      <c r="R45" s="143">
        <f t="shared" si="22"/>
        <v>0</v>
      </c>
      <c r="S45" s="144">
        <f t="shared" si="9"/>
        <v>0</v>
      </c>
      <c r="T45" s="144">
        <f t="shared" si="10"/>
        <v>0</v>
      </c>
      <c r="U45" s="163">
        <f t="shared" si="11"/>
        <v>0</v>
      </c>
      <c r="V45" s="143">
        <f t="shared" si="23"/>
        <v>0</v>
      </c>
      <c r="W45" s="144">
        <f t="shared" si="12"/>
        <v>0</v>
      </c>
      <c r="X45" s="144">
        <f t="shared" si="13"/>
        <v>0</v>
      </c>
      <c r="Y45" s="163">
        <f t="shared" si="14"/>
        <v>0</v>
      </c>
      <c r="Z45" s="151">
        <v>0</v>
      </c>
      <c r="AA45" s="151">
        <v>0</v>
      </c>
      <c r="AB45" s="151">
        <f t="shared" si="28"/>
        <v>0</v>
      </c>
      <c r="AC45" s="151">
        <f t="shared" si="28"/>
        <v>0</v>
      </c>
    </row>
    <row r="46" spans="1:29" s="61" customFormat="1" ht="11.25">
      <c r="A46" s="147">
        <f t="shared" si="0"/>
        <v>0</v>
      </c>
      <c r="B46" s="152">
        <f t="shared" si="1"/>
        <v>0</v>
      </c>
      <c r="C46" s="141">
        <f t="shared" si="2"/>
        <v>3</v>
      </c>
      <c r="D46" s="142">
        <v>27</v>
      </c>
      <c r="E46" s="143">
        <f t="shared" si="16"/>
        <v>0</v>
      </c>
      <c r="F46" s="144">
        <f t="shared" si="3"/>
        <v>0</v>
      </c>
      <c r="G46" s="144">
        <f t="shared" si="4"/>
        <v>0</v>
      </c>
      <c r="H46" s="166">
        <f t="shared" si="29"/>
        <v>0</v>
      </c>
      <c r="I46" s="143">
        <f t="shared" si="18"/>
        <v>0</v>
      </c>
      <c r="J46" s="144">
        <f t="shared" si="5"/>
        <v>0</v>
      </c>
      <c r="K46" s="144">
        <f t="shared" si="6"/>
        <v>0</v>
      </c>
      <c r="L46" s="166">
        <f t="shared" si="30"/>
        <v>0</v>
      </c>
      <c r="M46" s="143">
        <f t="shared" si="20"/>
        <v>0</v>
      </c>
      <c r="N46" s="144">
        <f t="shared" si="7"/>
        <v>0</v>
      </c>
      <c r="O46" s="144">
        <f t="shared" si="8"/>
        <v>0</v>
      </c>
      <c r="P46" s="166">
        <f t="shared" si="31"/>
        <v>0</v>
      </c>
      <c r="R46" s="143">
        <f t="shared" si="22"/>
        <v>0</v>
      </c>
      <c r="S46" s="144">
        <f t="shared" si="9"/>
        <v>0</v>
      </c>
      <c r="T46" s="144">
        <f t="shared" si="10"/>
        <v>0</v>
      </c>
      <c r="U46" s="163">
        <f t="shared" si="11"/>
        <v>0</v>
      </c>
      <c r="V46" s="143">
        <f t="shared" si="23"/>
        <v>0</v>
      </c>
      <c r="W46" s="144">
        <f t="shared" si="12"/>
        <v>0</v>
      </c>
      <c r="X46" s="144">
        <f t="shared" si="13"/>
        <v>0</v>
      </c>
      <c r="Y46" s="163">
        <f t="shared" si="14"/>
        <v>0</v>
      </c>
      <c r="Z46" s="151">
        <v>0</v>
      </c>
      <c r="AA46" s="151">
        <v>0</v>
      </c>
      <c r="AB46" s="151">
        <f t="shared" si="28"/>
        <v>0</v>
      </c>
      <c r="AC46" s="151">
        <f t="shared" si="28"/>
        <v>0</v>
      </c>
    </row>
    <row r="47" spans="1:29" s="61" customFormat="1" ht="11.25">
      <c r="A47" s="147">
        <f t="shared" si="0"/>
        <v>0</v>
      </c>
      <c r="B47" s="152">
        <f t="shared" si="1"/>
        <v>0</v>
      </c>
      <c r="C47" s="141">
        <f t="shared" si="2"/>
        <v>3</v>
      </c>
      <c r="D47" s="142">
        <v>28</v>
      </c>
      <c r="E47" s="143">
        <f t="shared" si="16"/>
        <v>0</v>
      </c>
      <c r="F47" s="144">
        <f t="shared" si="3"/>
        <v>0</v>
      </c>
      <c r="G47" s="144">
        <f t="shared" si="4"/>
        <v>0</v>
      </c>
      <c r="H47" s="166">
        <f t="shared" si="29"/>
        <v>0</v>
      </c>
      <c r="I47" s="143">
        <f t="shared" si="18"/>
        <v>0</v>
      </c>
      <c r="J47" s="144">
        <f t="shared" si="5"/>
        <v>0</v>
      </c>
      <c r="K47" s="144">
        <f t="shared" si="6"/>
        <v>0</v>
      </c>
      <c r="L47" s="166">
        <f t="shared" si="30"/>
        <v>0</v>
      </c>
      <c r="M47" s="143">
        <f t="shared" si="20"/>
        <v>0</v>
      </c>
      <c r="N47" s="144">
        <f t="shared" si="7"/>
        <v>0</v>
      </c>
      <c r="O47" s="144">
        <f t="shared" si="8"/>
        <v>0</v>
      </c>
      <c r="P47" s="166">
        <f t="shared" si="31"/>
        <v>0</v>
      </c>
      <c r="R47" s="143">
        <f t="shared" si="22"/>
        <v>0</v>
      </c>
      <c r="S47" s="144">
        <f t="shared" si="9"/>
        <v>0</v>
      </c>
      <c r="T47" s="144">
        <f t="shared" si="10"/>
        <v>0</v>
      </c>
      <c r="U47" s="163">
        <f t="shared" si="11"/>
        <v>0</v>
      </c>
      <c r="V47" s="143">
        <f t="shared" si="23"/>
        <v>0</v>
      </c>
      <c r="W47" s="144">
        <f t="shared" si="12"/>
        <v>0</v>
      </c>
      <c r="X47" s="144">
        <f t="shared" si="13"/>
        <v>0</v>
      </c>
      <c r="Y47" s="163">
        <f t="shared" si="14"/>
        <v>0</v>
      </c>
      <c r="Z47" s="151">
        <v>0</v>
      </c>
      <c r="AA47" s="151">
        <v>0</v>
      </c>
      <c r="AB47" s="151">
        <f t="shared" si="28"/>
        <v>0</v>
      </c>
      <c r="AC47" s="151">
        <f t="shared" si="28"/>
        <v>0</v>
      </c>
    </row>
    <row r="48" spans="1:29" s="61" customFormat="1" ht="11.25">
      <c r="A48" s="147">
        <f t="shared" si="0"/>
        <v>0</v>
      </c>
      <c r="B48" s="152">
        <f t="shared" si="1"/>
        <v>0</v>
      </c>
      <c r="C48" s="141">
        <f t="shared" si="2"/>
        <v>3</v>
      </c>
      <c r="D48" s="142">
        <v>29</v>
      </c>
      <c r="E48" s="143">
        <f t="shared" si="16"/>
        <v>0</v>
      </c>
      <c r="F48" s="144">
        <f t="shared" si="3"/>
        <v>0</v>
      </c>
      <c r="G48" s="144">
        <f t="shared" si="4"/>
        <v>0</v>
      </c>
      <c r="H48" s="166">
        <f t="shared" si="29"/>
        <v>0</v>
      </c>
      <c r="I48" s="143">
        <f t="shared" si="18"/>
        <v>0</v>
      </c>
      <c r="J48" s="144">
        <f t="shared" si="5"/>
        <v>0</v>
      </c>
      <c r="K48" s="144">
        <f t="shared" si="6"/>
        <v>0</v>
      </c>
      <c r="L48" s="166">
        <f t="shared" si="30"/>
        <v>0</v>
      </c>
      <c r="M48" s="143">
        <f t="shared" si="20"/>
        <v>0</v>
      </c>
      <c r="N48" s="144">
        <f t="shared" si="7"/>
        <v>0</v>
      </c>
      <c r="O48" s="144">
        <f t="shared" si="8"/>
        <v>0</v>
      </c>
      <c r="P48" s="166">
        <f t="shared" si="31"/>
        <v>0</v>
      </c>
      <c r="R48" s="143">
        <f t="shared" si="22"/>
        <v>0</v>
      </c>
      <c r="S48" s="144">
        <f t="shared" si="9"/>
        <v>0</v>
      </c>
      <c r="T48" s="144">
        <f t="shared" si="10"/>
        <v>0</v>
      </c>
      <c r="U48" s="163">
        <f t="shared" si="11"/>
        <v>0</v>
      </c>
      <c r="V48" s="143">
        <f t="shared" si="23"/>
        <v>0</v>
      </c>
      <c r="W48" s="144">
        <f t="shared" si="12"/>
        <v>0</v>
      </c>
      <c r="X48" s="144">
        <f t="shared" si="13"/>
        <v>0</v>
      </c>
      <c r="Y48" s="163">
        <f t="shared" si="14"/>
        <v>0</v>
      </c>
      <c r="Z48" s="151">
        <v>0</v>
      </c>
      <c r="AA48" s="151">
        <v>0</v>
      </c>
      <c r="AB48" s="151">
        <f t="shared" si="28"/>
        <v>0</v>
      </c>
      <c r="AC48" s="151">
        <f t="shared" si="28"/>
        <v>0</v>
      </c>
    </row>
    <row r="49" spans="1:29" s="61" customFormat="1" ht="11.25">
      <c r="A49" s="147">
        <f t="shared" si="0"/>
        <v>0</v>
      </c>
      <c r="B49" s="152">
        <f t="shared" si="1"/>
        <v>0</v>
      </c>
      <c r="C49" s="141">
        <f t="shared" si="2"/>
        <v>3</v>
      </c>
      <c r="D49" s="142">
        <v>30</v>
      </c>
      <c r="E49" s="143">
        <f t="shared" si="16"/>
        <v>0</v>
      </c>
      <c r="F49" s="144">
        <f t="shared" si="3"/>
        <v>0</v>
      </c>
      <c r="G49" s="144">
        <f t="shared" si="4"/>
        <v>0</v>
      </c>
      <c r="H49" s="166">
        <f t="shared" si="29"/>
        <v>0</v>
      </c>
      <c r="I49" s="143">
        <f t="shared" si="18"/>
        <v>0</v>
      </c>
      <c r="J49" s="144">
        <f t="shared" si="5"/>
        <v>0</v>
      </c>
      <c r="K49" s="144">
        <f t="shared" si="6"/>
        <v>0</v>
      </c>
      <c r="L49" s="166">
        <f t="shared" si="30"/>
        <v>0</v>
      </c>
      <c r="M49" s="143">
        <f t="shared" si="20"/>
        <v>0</v>
      </c>
      <c r="N49" s="144">
        <f t="shared" si="7"/>
        <v>0</v>
      </c>
      <c r="O49" s="144">
        <f t="shared" si="8"/>
        <v>0</v>
      </c>
      <c r="P49" s="166">
        <f t="shared" si="31"/>
        <v>0</v>
      </c>
      <c r="R49" s="143">
        <f t="shared" si="22"/>
        <v>0</v>
      </c>
      <c r="S49" s="144">
        <f t="shared" si="9"/>
        <v>0</v>
      </c>
      <c r="T49" s="144">
        <f t="shared" si="10"/>
        <v>0</v>
      </c>
      <c r="U49" s="163">
        <f t="shared" si="11"/>
        <v>0</v>
      </c>
      <c r="V49" s="143">
        <f t="shared" si="23"/>
        <v>0</v>
      </c>
      <c r="W49" s="144">
        <f t="shared" si="12"/>
        <v>0</v>
      </c>
      <c r="X49" s="144">
        <f t="shared" si="13"/>
        <v>0</v>
      </c>
      <c r="Y49" s="163">
        <f t="shared" si="14"/>
        <v>0</v>
      </c>
      <c r="Z49" s="151">
        <v>0</v>
      </c>
      <c r="AA49" s="151">
        <v>0</v>
      </c>
      <c r="AB49" s="151">
        <f t="shared" si="28"/>
        <v>0</v>
      </c>
      <c r="AC49" s="151">
        <f t="shared" si="28"/>
        <v>0</v>
      </c>
    </row>
    <row r="50" spans="1:29" s="61" customFormat="1" ht="11.25">
      <c r="A50" s="147">
        <f t="shared" si="0"/>
        <v>0</v>
      </c>
      <c r="B50" s="152">
        <f t="shared" si="1"/>
        <v>0</v>
      </c>
      <c r="C50" s="141">
        <f t="shared" si="2"/>
        <v>3</v>
      </c>
      <c r="D50" s="142">
        <v>31</v>
      </c>
      <c r="E50" s="143">
        <f t="shared" si="16"/>
        <v>0</v>
      </c>
      <c r="F50" s="144">
        <f t="shared" si="3"/>
        <v>0</v>
      </c>
      <c r="G50" s="144">
        <f t="shared" si="4"/>
        <v>0</v>
      </c>
      <c r="H50" s="166">
        <f t="shared" si="29"/>
        <v>0</v>
      </c>
      <c r="I50" s="143">
        <f t="shared" si="18"/>
        <v>0</v>
      </c>
      <c r="J50" s="144">
        <f t="shared" si="5"/>
        <v>0</v>
      </c>
      <c r="K50" s="144">
        <f t="shared" si="6"/>
        <v>0</v>
      </c>
      <c r="L50" s="166">
        <f t="shared" si="30"/>
        <v>0</v>
      </c>
      <c r="M50" s="143">
        <f t="shared" si="20"/>
        <v>0</v>
      </c>
      <c r="N50" s="144">
        <f t="shared" si="7"/>
        <v>0</v>
      </c>
      <c r="O50" s="144">
        <f t="shared" si="8"/>
        <v>0</v>
      </c>
      <c r="P50" s="166">
        <f t="shared" si="31"/>
        <v>0</v>
      </c>
      <c r="R50" s="143">
        <f t="shared" si="22"/>
        <v>0</v>
      </c>
      <c r="S50" s="144">
        <f t="shared" si="9"/>
        <v>0</v>
      </c>
      <c r="T50" s="144">
        <f t="shared" si="10"/>
        <v>0</v>
      </c>
      <c r="U50" s="163">
        <f t="shared" si="11"/>
        <v>0</v>
      </c>
      <c r="V50" s="143">
        <f t="shared" si="23"/>
        <v>0</v>
      </c>
      <c r="W50" s="144">
        <f t="shared" si="12"/>
        <v>0</v>
      </c>
      <c r="X50" s="144">
        <f t="shared" si="13"/>
        <v>0</v>
      </c>
      <c r="Y50" s="163">
        <f t="shared" si="14"/>
        <v>0</v>
      </c>
      <c r="Z50" s="151">
        <v>0</v>
      </c>
      <c r="AA50" s="151">
        <v>0</v>
      </c>
      <c r="AB50" s="151">
        <f t="shared" si="28"/>
        <v>0</v>
      </c>
      <c r="AC50" s="151">
        <f t="shared" si="28"/>
        <v>0</v>
      </c>
    </row>
    <row r="51" spans="1:29" s="61" customFormat="1" ht="11.25">
      <c r="A51" s="147">
        <f t="shared" si="0"/>
        <v>0</v>
      </c>
      <c r="B51" s="152">
        <f t="shared" si="1"/>
        <v>0</v>
      </c>
      <c r="C51" s="141">
        <f t="shared" si="2"/>
        <v>3</v>
      </c>
      <c r="D51" s="142">
        <v>32</v>
      </c>
      <c r="E51" s="143">
        <f t="shared" si="16"/>
        <v>0</v>
      </c>
      <c r="F51" s="144">
        <f t="shared" si="3"/>
        <v>0</v>
      </c>
      <c r="G51" s="144">
        <f t="shared" si="4"/>
        <v>0</v>
      </c>
      <c r="H51" s="166">
        <f t="shared" si="29"/>
        <v>0</v>
      </c>
      <c r="I51" s="143">
        <f t="shared" si="18"/>
        <v>0</v>
      </c>
      <c r="J51" s="144">
        <f t="shared" si="5"/>
        <v>0</v>
      </c>
      <c r="K51" s="144">
        <f t="shared" si="6"/>
        <v>0</v>
      </c>
      <c r="L51" s="166">
        <f t="shared" si="30"/>
        <v>0</v>
      </c>
      <c r="M51" s="143">
        <f t="shared" si="20"/>
        <v>0</v>
      </c>
      <c r="N51" s="144">
        <f t="shared" si="7"/>
        <v>0</v>
      </c>
      <c r="O51" s="144">
        <f t="shared" si="8"/>
        <v>0</v>
      </c>
      <c r="P51" s="166">
        <f t="shared" si="31"/>
        <v>0</v>
      </c>
      <c r="R51" s="143">
        <f t="shared" si="22"/>
        <v>0</v>
      </c>
      <c r="S51" s="144">
        <f t="shared" si="9"/>
        <v>0</v>
      </c>
      <c r="T51" s="144">
        <f t="shared" si="10"/>
        <v>0</v>
      </c>
      <c r="U51" s="163">
        <f t="shared" si="11"/>
        <v>0</v>
      </c>
      <c r="V51" s="143">
        <f t="shared" si="23"/>
        <v>0</v>
      </c>
      <c r="W51" s="144">
        <f t="shared" si="12"/>
        <v>0</v>
      </c>
      <c r="X51" s="144">
        <f t="shared" si="13"/>
        <v>0</v>
      </c>
      <c r="Y51" s="163">
        <f t="shared" si="14"/>
        <v>0</v>
      </c>
      <c r="Z51" s="151">
        <v>0</v>
      </c>
      <c r="AA51" s="151">
        <v>0</v>
      </c>
      <c r="AB51" s="151">
        <f t="shared" si="28"/>
        <v>0</v>
      </c>
      <c r="AC51" s="151">
        <f t="shared" si="28"/>
        <v>0</v>
      </c>
    </row>
    <row r="52" spans="1:29" s="61" customFormat="1" ht="11.25">
      <c r="A52" s="147">
        <f t="shared" si="0"/>
        <v>0</v>
      </c>
      <c r="B52" s="152">
        <f t="shared" si="1"/>
        <v>0</v>
      </c>
      <c r="C52" s="141">
        <f t="shared" si="2"/>
        <v>3</v>
      </c>
      <c r="D52" s="142">
        <v>33</v>
      </c>
      <c r="E52" s="143">
        <f t="shared" si="16"/>
        <v>0</v>
      </c>
      <c r="F52" s="144">
        <f t="shared" si="3"/>
        <v>0</v>
      </c>
      <c r="G52" s="144">
        <f t="shared" si="4"/>
        <v>0</v>
      </c>
      <c r="H52" s="166">
        <f t="shared" si="29"/>
        <v>0</v>
      </c>
      <c r="I52" s="143">
        <f t="shared" si="18"/>
        <v>0</v>
      </c>
      <c r="J52" s="144">
        <f t="shared" si="5"/>
        <v>0</v>
      </c>
      <c r="K52" s="144">
        <f t="shared" si="6"/>
        <v>0</v>
      </c>
      <c r="L52" s="166">
        <f t="shared" si="30"/>
        <v>0</v>
      </c>
      <c r="M52" s="143">
        <f t="shared" si="20"/>
        <v>0</v>
      </c>
      <c r="N52" s="144">
        <f t="shared" si="7"/>
        <v>0</v>
      </c>
      <c r="O52" s="144">
        <f t="shared" si="8"/>
        <v>0</v>
      </c>
      <c r="P52" s="166">
        <f t="shared" si="31"/>
        <v>0</v>
      </c>
      <c r="R52" s="143">
        <f t="shared" si="22"/>
        <v>0</v>
      </c>
      <c r="S52" s="144">
        <f t="shared" si="9"/>
        <v>0</v>
      </c>
      <c r="T52" s="144">
        <f t="shared" si="10"/>
        <v>0</v>
      </c>
      <c r="U52" s="163">
        <f t="shared" si="11"/>
        <v>0</v>
      </c>
      <c r="V52" s="143">
        <f t="shared" si="23"/>
        <v>0</v>
      </c>
      <c r="W52" s="144">
        <f t="shared" si="12"/>
        <v>0</v>
      </c>
      <c r="X52" s="144">
        <f t="shared" si="13"/>
        <v>0</v>
      </c>
      <c r="Y52" s="163">
        <f t="shared" si="14"/>
        <v>0</v>
      </c>
      <c r="Z52" s="151">
        <v>0</v>
      </c>
      <c r="AA52" s="151">
        <v>0</v>
      </c>
      <c r="AB52" s="151">
        <f t="shared" ref="AB52:AC66" si="32">$Y52</f>
        <v>0</v>
      </c>
      <c r="AC52" s="151">
        <f t="shared" si="32"/>
        <v>0</v>
      </c>
    </row>
    <row r="53" spans="1:29" s="61" customFormat="1" ht="11.25">
      <c r="A53" s="147">
        <f t="shared" si="0"/>
        <v>0</v>
      </c>
      <c r="B53" s="152">
        <f t="shared" si="1"/>
        <v>0</v>
      </c>
      <c r="C53" s="141">
        <f t="shared" si="2"/>
        <v>3</v>
      </c>
      <c r="D53" s="142">
        <v>34</v>
      </c>
      <c r="E53" s="143">
        <f t="shared" si="16"/>
        <v>0</v>
      </c>
      <c r="F53" s="144">
        <f t="shared" si="3"/>
        <v>0</v>
      </c>
      <c r="G53" s="144">
        <f t="shared" si="4"/>
        <v>0</v>
      </c>
      <c r="H53" s="166">
        <f t="shared" si="29"/>
        <v>0</v>
      </c>
      <c r="I53" s="143">
        <f t="shared" si="18"/>
        <v>0</v>
      </c>
      <c r="J53" s="144">
        <f t="shared" si="5"/>
        <v>0</v>
      </c>
      <c r="K53" s="144">
        <f t="shared" si="6"/>
        <v>0</v>
      </c>
      <c r="L53" s="166">
        <f t="shared" si="30"/>
        <v>0</v>
      </c>
      <c r="M53" s="143">
        <f t="shared" si="20"/>
        <v>0</v>
      </c>
      <c r="N53" s="144">
        <f t="shared" si="7"/>
        <v>0</v>
      </c>
      <c r="O53" s="144">
        <f t="shared" si="8"/>
        <v>0</v>
      </c>
      <c r="P53" s="166">
        <f t="shared" si="31"/>
        <v>0</v>
      </c>
      <c r="R53" s="143">
        <f t="shared" si="22"/>
        <v>0</v>
      </c>
      <c r="S53" s="144">
        <f t="shared" si="9"/>
        <v>0</v>
      </c>
      <c r="T53" s="144">
        <f t="shared" si="10"/>
        <v>0</v>
      </c>
      <c r="U53" s="163">
        <f t="shared" si="11"/>
        <v>0</v>
      </c>
      <c r="V53" s="143">
        <f t="shared" si="23"/>
        <v>0</v>
      </c>
      <c r="W53" s="144">
        <f t="shared" si="12"/>
        <v>0</v>
      </c>
      <c r="X53" s="144">
        <f t="shared" si="13"/>
        <v>0</v>
      </c>
      <c r="Y53" s="163">
        <f t="shared" si="14"/>
        <v>0</v>
      </c>
      <c r="Z53" s="151">
        <v>0</v>
      </c>
      <c r="AA53" s="151">
        <v>0</v>
      </c>
      <c r="AB53" s="151">
        <f t="shared" si="32"/>
        <v>0</v>
      </c>
      <c r="AC53" s="151">
        <f t="shared" si="32"/>
        <v>0</v>
      </c>
    </row>
    <row r="54" spans="1:29" s="61" customFormat="1" ht="11.25">
      <c r="A54" s="147">
        <f t="shared" si="0"/>
        <v>0</v>
      </c>
      <c r="B54" s="152">
        <f t="shared" si="1"/>
        <v>0</v>
      </c>
      <c r="C54" s="141">
        <f t="shared" si="2"/>
        <v>3</v>
      </c>
      <c r="D54" s="142">
        <v>35</v>
      </c>
      <c r="E54" s="143">
        <f t="shared" si="16"/>
        <v>0</v>
      </c>
      <c r="F54" s="144">
        <f t="shared" si="3"/>
        <v>0</v>
      </c>
      <c r="G54" s="144">
        <f t="shared" si="4"/>
        <v>0</v>
      </c>
      <c r="H54" s="166">
        <f t="shared" si="29"/>
        <v>0</v>
      </c>
      <c r="I54" s="143">
        <f t="shared" si="18"/>
        <v>0</v>
      </c>
      <c r="J54" s="144">
        <f t="shared" si="5"/>
        <v>0</v>
      </c>
      <c r="K54" s="144">
        <f t="shared" si="6"/>
        <v>0</v>
      </c>
      <c r="L54" s="166">
        <f t="shared" si="30"/>
        <v>0</v>
      </c>
      <c r="M54" s="143">
        <f t="shared" si="20"/>
        <v>0</v>
      </c>
      <c r="N54" s="144">
        <f t="shared" si="7"/>
        <v>0</v>
      </c>
      <c r="O54" s="144">
        <f t="shared" si="8"/>
        <v>0</v>
      </c>
      <c r="P54" s="166">
        <f t="shared" si="31"/>
        <v>0</v>
      </c>
      <c r="R54" s="143">
        <f t="shared" si="22"/>
        <v>0</v>
      </c>
      <c r="S54" s="144">
        <f t="shared" si="9"/>
        <v>0</v>
      </c>
      <c r="T54" s="144">
        <f t="shared" si="10"/>
        <v>0</v>
      </c>
      <c r="U54" s="163">
        <f t="shared" si="11"/>
        <v>0</v>
      </c>
      <c r="V54" s="143">
        <f t="shared" si="23"/>
        <v>0</v>
      </c>
      <c r="W54" s="144">
        <f t="shared" si="12"/>
        <v>0</v>
      </c>
      <c r="X54" s="144">
        <f t="shared" si="13"/>
        <v>0</v>
      </c>
      <c r="Y54" s="163">
        <f t="shared" si="14"/>
        <v>0</v>
      </c>
      <c r="Z54" s="151">
        <v>0</v>
      </c>
      <c r="AA54" s="151">
        <v>0</v>
      </c>
      <c r="AB54" s="151">
        <f t="shared" si="32"/>
        <v>0</v>
      </c>
      <c r="AC54" s="151">
        <f t="shared" si="32"/>
        <v>0</v>
      </c>
    </row>
    <row r="55" spans="1:29" s="61" customFormat="1" ht="12" thickBot="1">
      <c r="A55" s="153">
        <f t="shared" si="0"/>
        <v>0</v>
      </c>
      <c r="B55" s="154">
        <f t="shared" si="1"/>
        <v>0</v>
      </c>
      <c r="C55" s="155">
        <f t="shared" si="2"/>
        <v>3</v>
      </c>
      <c r="D55" s="156">
        <v>36</v>
      </c>
      <c r="E55" s="157">
        <f t="shared" si="16"/>
        <v>0</v>
      </c>
      <c r="F55" s="158">
        <f t="shared" si="3"/>
        <v>0</v>
      </c>
      <c r="G55" s="158">
        <f t="shared" si="4"/>
        <v>0</v>
      </c>
      <c r="H55" s="167">
        <f t="shared" si="29"/>
        <v>0</v>
      </c>
      <c r="I55" s="157">
        <f t="shared" si="18"/>
        <v>0</v>
      </c>
      <c r="J55" s="158">
        <f t="shared" si="5"/>
        <v>0</v>
      </c>
      <c r="K55" s="158">
        <f t="shared" si="6"/>
        <v>0</v>
      </c>
      <c r="L55" s="167">
        <f t="shared" si="30"/>
        <v>0</v>
      </c>
      <c r="M55" s="157">
        <f t="shared" si="20"/>
        <v>0</v>
      </c>
      <c r="N55" s="158">
        <f t="shared" si="7"/>
        <v>0</v>
      </c>
      <c r="O55" s="158">
        <f t="shared" si="8"/>
        <v>0</v>
      </c>
      <c r="P55" s="167">
        <f t="shared" si="31"/>
        <v>0</v>
      </c>
      <c r="R55" s="157">
        <f t="shared" si="22"/>
        <v>0</v>
      </c>
      <c r="S55" s="158">
        <f t="shared" si="9"/>
        <v>0</v>
      </c>
      <c r="T55" s="158">
        <f t="shared" si="10"/>
        <v>0</v>
      </c>
      <c r="U55" s="165">
        <f t="shared" si="11"/>
        <v>0</v>
      </c>
      <c r="V55" s="157">
        <f t="shared" si="23"/>
        <v>0</v>
      </c>
      <c r="W55" s="158">
        <f t="shared" si="12"/>
        <v>0</v>
      </c>
      <c r="X55" s="158">
        <f t="shared" si="13"/>
        <v>0</v>
      </c>
      <c r="Y55" s="165">
        <f t="shared" si="14"/>
        <v>0</v>
      </c>
      <c r="Z55" s="151">
        <v>0</v>
      </c>
      <c r="AA55" s="151">
        <v>0</v>
      </c>
      <c r="AB55" s="151">
        <f>$V55+$W55</f>
        <v>0</v>
      </c>
      <c r="AC55" s="151">
        <f t="shared" si="32"/>
        <v>0</v>
      </c>
    </row>
    <row r="56" spans="1:29" s="61" customFormat="1" ht="11.25">
      <c r="A56" s="147">
        <f t="shared" si="0"/>
        <v>0</v>
      </c>
      <c r="B56" s="152">
        <f t="shared" si="1"/>
        <v>0</v>
      </c>
      <c r="C56" s="141">
        <f t="shared" si="2"/>
        <v>4</v>
      </c>
      <c r="D56" s="142">
        <v>37</v>
      </c>
      <c r="E56" s="143">
        <f t="shared" si="16"/>
        <v>0</v>
      </c>
      <c r="F56" s="144">
        <f t="shared" si="3"/>
        <v>0</v>
      </c>
      <c r="G56" s="144">
        <f t="shared" si="4"/>
        <v>0</v>
      </c>
      <c r="H56" s="168">
        <f>IF(E56&lt;=0,0,H$13)</f>
        <v>0</v>
      </c>
      <c r="I56" s="162">
        <f t="shared" si="18"/>
        <v>0</v>
      </c>
      <c r="J56" s="144">
        <f t="shared" si="5"/>
        <v>0</v>
      </c>
      <c r="K56" s="144">
        <f t="shared" si="6"/>
        <v>0</v>
      </c>
      <c r="L56" s="169">
        <f>IF(I56&lt;=0,0,L$13)</f>
        <v>0</v>
      </c>
      <c r="M56" s="143">
        <f t="shared" si="20"/>
        <v>0</v>
      </c>
      <c r="N56" s="144">
        <f t="shared" si="7"/>
        <v>0</v>
      </c>
      <c r="O56" s="144">
        <f t="shared" si="8"/>
        <v>0</v>
      </c>
      <c r="P56" s="168">
        <f>IF(M56&lt;=0,0,P$13)</f>
        <v>0</v>
      </c>
      <c r="R56" s="143">
        <f t="shared" si="22"/>
        <v>0</v>
      </c>
      <c r="S56" s="144">
        <f t="shared" si="9"/>
        <v>0</v>
      </c>
      <c r="T56" s="144">
        <f t="shared" si="10"/>
        <v>0</v>
      </c>
      <c r="U56" s="170">
        <f t="shared" si="11"/>
        <v>0</v>
      </c>
      <c r="V56" s="143">
        <f t="shared" si="23"/>
        <v>0</v>
      </c>
      <c r="W56" s="144">
        <f t="shared" si="12"/>
        <v>0</v>
      </c>
      <c r="X56" s="144">
        <f t="shared" si="13"/>
        <v>0</v>
      </c>
      <c r="Y56" s="170">
        <f t="shared" si="14"/>
        <v>0</v>
      </c>
      <c r="Z56" s="151">
        <v>0</v>
      </c>
      <c r="AA56" s="151">
        <v>0</v>
      </c>
      <c r="AB56" s="151">
        <v>0</v>
      </c>
      <c r="AC56" s="151">
        <f t="shared" si="32"/>
        <v>0</v>
      </c>
    </row>
    <row r="57" spans="1:29" s="61" customFormat="1" ht="11.25">
      <c r="A57" s="147">
        <f t="shared" si="0"/>
        <v>0</v>
      </c>
      <c r="B57" s="152">
        <f t="shared" si="1"/>
        <v>0</v>
      </c>
      <c r="C57" s="141">
        <f t="shared" si="2"/>
        <v>4</v>
      </c>
      <c r="D57" s="142">
        <v>38</v>
      </c>
      <c r="E57" s="143">
        <f t="shared" si="16"/>
        <v>0</v>
      </c>
      <c r="F57" s="144">
        <f t="shared" si="3"/>
        <v>0</v>
      </c>
      <c r="G57" s="144">
        <f t="shared" si="4"/>
        <v>0</v>
      </c>
      <c r="H57" s="168">
        <f t="shared" ref="H57:H67" si="33">IF(E57&lt;=0,0,H$13)</f>
        <v>0</v>
      </c>
      <c r="I57" s="143">
        <f t="shared" si="18"/>
        <v>0</v>
      </c>
      <c r="J57" s="144">
        <f t="shared" si="5"/>
        <v>0</v>
      </c>
      <c r="K57" s="144">
        <f t="shared" si="6"/>
        <v>0</v>
      </c>
      <c r="L57" s="169">
        <f t="shared" ref="L57:L120" si="34">IF(I57&lt;=0,0,L$13)</f>
        <v>0</v>
      </c>
      <c r="M57" s="143">
        <f t="shared" si="20"/>
        <v>0</v>
      </c>
      <c r="N57" s="144">
        <f t="shared" si="7"/>
        <v>0</v>
      </c>
      <c r="O57" s="144">
        <f t="shared" si="8"/>
        <v>0</v>
      </c>
      <c r="P57" s="168">
        <f t="shared" ref="P57:P67" si="35">IF(M57&lt;=0,0,P$13)</f>
        <v>0</v>
      </c>
      <c r="R57" s="143">
        <f t="shared" si="22"/>
        <v>0</v>
      </c>
      <c r="S57" s="144">
        <f t="shared" si="9"/>
        <v>0</v>
      </c>
      <c r="T57" s="144">
        <f t="shared" si="10"/>
        <v>0</v>
      </c>
      <c r="U57" s="170">
        <f t="shared" si="11"/>
        <v>0</v>
      </c>
      <c r="V57" s="143">
        <f t="shared" si="23"/>
        <v>0</v>
      </c>
      <c r="W57" s="144">
        <f t="shared" si="12"/>
        <v>0</v>
      </c>
      <c r="X57" s="144">
        <f t="shared" si="13"/>
        <v>0</v>
      </c>
      <c r="Y57" s="170">
        <f t="shared" si="14"/>
        <v>0</v>
      </c>
      <c r="Z57" s="151">
        <v>0</v>
      </c>
      <c r="AA57" s="151">
        <v>0</v>
      </c>
      <c r="AB57" s="151">
        <v>0</v>
      </c>
      <c r="AC57" s="151">
        <f t="shared" si="32"/>
        <v>0</v>
      </c>
    </row>
    <row r="58" spans="1:29" s="61" customFormat="1" ht="11.25">
      <c r="A58" s="147">
        <f t="shared" si="0"/>
        <v>0</v>
      </c>
      <c r="B58" s="152">
        <f t="shared" si="1"/>
        <v>0</v>
      </c>
      <c r="C58" s="141">
        <f t="shared" si="2"/>
        <v>4</v>
      </c>
      <c r="D58" s="142">
        <v>39</v>
      </c>
      <c r="E58" s="143">
        <f t="shared" si="16"/>
        <v>0</v>
      </c>
      <c r="F58" s="144">
        <f t="shared" si="3"/>
        <v>0</v>
      </c>
      <c r="G58" s="144">
        <f t="shared" si="4"/>
        <v>0</v>
      </c>
      <c r="H58" s="168">
        <f t="shared" si="33"/>
        <v>0</v>
      </c>
      <c r="I58" s="143">
        <f t="shared" si="18"/>
        <v>0</v>
      </c>
      <c r="J58" s="144">
        <f t="shared" si="5"/>
        <v>0</v>
      </c>
      <c r="K58" s="144">
        <f t="shared" si="6"/>
        <v>0</v>
      </c>
      <c r="L58" s="169">
        <f t="shared" si="34"/>
        <v>0</v>
      </c>
      <c r="M58" s="143">
        <f t="shared" si="20"/>
        <v>0</v>
      </c>
      <c r="N58" s="144">
        <f t="shared" si="7"/>
        <v>0</v>
      </c>
      <c r="O58" s="144">
        <f t="shared" si="8"/>
        <v>0</v>
      </c>
      <c r="P58" s="168">
        <f t="shared" si="35"/>
        <v>0</v>
      </c>
      <c r="R58" s="143">
        <f t="shared" si="22"/>
        <v>0</v>
      </c>
      <c r="S58" s="144">
        <f t="shared" si="9"/>
        <v>0</v>
      </c>
      <c r="T58" s="144">
        <f t="shared" si="10"/>
        <v>0</v>
      </c>
      <c r="U58" s="170">
        <f t="shared" si="11"/>
        <v>0</v>
      </c>
      <c r="V58" s="143">
        <f t="shared" si="23"/>
        <v>0</v>
      </c>
      <c r="W58" s="144">
        <f t="shared" si="12"/>
        <v>0</v>
      </c>
      <c r="X58" s="144">
        <f t="shared" si="13"/>
        <v>0</v>
      </c>
      <c r="Y58" s="170">
        <f t="shared" si="14"/>
        <v>0</v>
      </c>
      <c r="Z58" s="151">
        <v>0</v>
      </c>
      <c r="AA58" s="151">
        <v>0</v>
      </c>
      <c r="AB58" s="151">
        <v>0</v>
      </c>
      <c r="AC58" s="151">
        <f t="shared" si="32"/>
        <v>0</v>
      </c>
    </row>
    <row r="59" spans="1:29" s="61" customFormat="1" ht="11.25">
      <c r="A59" s="147">
        <f t="shared" si="0"/>
        <v>0</v>
      </c>
      <c r="B59" s="152">
        <f t="shared" si="1"/>
        <v>0</v>
      </c>
      <c r="C59" s="141">
        <f t="shared" si="2"/>
        <v>4</v>
      </c>
      <c r="D59" s="142">
        <v>40</v>
      </c>
      <c r="E59" s="143">
        <f t="shared" si="16"/>
        <v>0</v>
      </c>
      <c r="F59" s="144">
        <f t="shared" si="3"/>
        <v>0</v>
      </c>
      <c r="G59" s="144">
        <f t="shared" si="4"/>
        <v>0</v>
      </c>
      <c r="H59" s="168">
        <f t="shared" si="33"/>
        <v>0</v>
      </c>
      <c r="I59" s="143">
        <f t="shared" si="18"/>
        <v>0</v>
      </c>
      <c r="J59" s="144">
        <f t="shared" si="5"/>
        <v>0</v>
      </c>
      <c r="K59" s="144">
        <f t="shared" si="6"/>
        <v>0</v>
      </c>
      <c r="L59" s="169">
        <f t="shared" si="34"/>
        <v>0</v>
      </c>
      <c r="M59" s="143">
        <f t="shared" si="20"/>
        <v>0</v>
      </c>
      <c r="N59" s="144">
        <f t="shared" si="7"/>
        <v>0</v>
      </c>
      <c r="O59" s="144">
        <f t="shared" si="8"/>
        <v>0</v>
      </c>
      <c r="P59" s="168">
        <f t="shared" si="35"/>
        <v>0</v>
      </c>
      <c r="R59" s="143">
        <f t="shared" si="22"/>
        <v>0</v>
      </c>
      <c r="S59" s="144">
        <f t="shared" si="9"/>
        <v>0</v>
      </c>
      <c r="T59" s="144">
        <f t="shared" si="10"/>
        <v>0</v>
      </c>
      <c r="U59" s="170">
        <f t="shared" si="11"/>
        <v>0</v>
      </c>
      <c r="V59" s="143">
        <f t="shared" si="23"/>
        <v>0</v>
      </c>
      <c r="W59" s="144">
        <f t="shared" si="12"/>
        <v>0</v>
      </c>
      <c r="X59" s="144">
        <f t="shared" si="13"/>
        <v>0</v>
      </c>
      <c r="Y59" s="170">
        <f t="shared" si="14"/>
        <v>0</v>
      </c>
      <c r="Z59" s="151">
        <v>0</v>
      </c>
      <c r="AA59" s="151">
        <v>0</v>
      </c>
      <c r="AB59" s="151">
        <v>0</v>
      </c>
      <c r="AC59" s="151">
        <f t="shared" si="32"/>
        <v>0</v>
      </c>
    </row>
    <row r="60" spans="1:29" s="61" customFormat="1" ht="11.25">
      <c r="A60" s="147">
        <f t="shared" si="0"/>
        <v>0</v>
      </c>
      <c r="B60" s="152">
        <f t="shared" si="1"/>
        <v>0</v>
      </c>
      <c r="C60" s="141">
        <f t="shared" si="2"/>
        <v>4</v>
      </c>
      <c r="D60" s="142">
        <v>41</v>
      </c>
      <c r="E60" s="143">
        <f t="shared" si="16"/>
        <v>0</v>
      </c>
      <c r="F60" s="144">
        <f t="shared" si="3"/>
        <v>0</v>
      </c>
      <c r="G60" s="144">
        <f t="shared" si="4"/>
        <v>0</v>
      </c>
      <c r="H60" s="168">
        <f t="shared" si="33"/>
        <v>0</v>
      </c>
      <c r="I60" s="143">
        <f t="shared" si="18"/>
        <v>0</v>
      </c>
      <c r="J60" s="144">
        <f t="shared" si="5"/>
        <v>0</v>
      </c>
      <c r="K60" s="144">
        <f t="shared" si="6"/>
        <v>0</v>
      </c>
      <c r="L60" s="169">
        <f t="shared" si="34"/>
        <v>0</v>
      </c>
      <c r="M60" s="143">
        <f t="shared" si="20"/>
        <v>0</v>
      </c>
      <c r="N60" s="144">
        <f t="shared" si="7"/>
        <v>0</v>
      </c>
      <c r="O60" s="144">
        <f t="shared" si="8"/>
        <v>0</v>
      </c>
      <c r="P60" s="168">
        <f t="shared" si="35"/>
        <v>0</v>
      </c>
      <c r="R60" s="143">
        <f t="shared" si="22"/>
        <v>0</v>
      </c>
      <c r="S60" s="144">
        <f t="shared" si="9"/>
        <v>0</v>
      </c>
      <c r="T60" s="144">
        <f t="shared" si="10"/>
        <v>0</v>
      </c>
      <c r="U60" s="170">
        <f t="shared" si="11"/>
        <v>0</v>
      </c>
      <c r="V60" s="143">
        <f t="shared" si="23"/>
        <v>0</v>
      </c>
      <c r="W60" s="144">
        <f t="shared" si="12"/>
        <v>0</v>
      </c>
      <c r="X60" s="144">
        <f t="shared" si="13"/>
        <v>0</v>
      </c>
      <c r="Y60" s="170">
        <f t="shared" si="14"/>
        <v>0</v>
      </c>
      <c r="Z60" s="151">
        <v>0</v>
      </c>
      <c r="AA60" s="151">
        <v>0</v>
      </c>
      <c r="AB60" s="151">
        <v>0</v>
      </c>
      <c r="AC60" s="151">
        <f t="shared" si="32"/>
        <v>0</v>
      </c>
    </row>
    <row r="61" spans="1:29" s="61" customFormat="1" ht="11.25">
      <c r="A61" s="147">
        <f t="shared" si="0"/>
        <v>0</v>
      </c>
      <c r="B61" s="152">
        <f t="shared" si="1"/>
        <v>0</v>
      </c>
      <c r="C61" s="141">
        <f t="shared" si="2"/>
        <v>4</v>
      </c>
      <c r="D61" s="142">
        <v>42</v>
      </c>
      <c r="E61" s="143">
        <f t="shared" si="16"/>
        <v>0</v>
      </c>
      <c r="F61" s="144">
        <f t="shared" si="3"/>
        <v>0</v>
      </c>
      <c r="G61" s="144">
        <f t="shared" si="4"/>
        <v>0</v>
      </c>
      <c r="H61" s="168">
        <f t="shared" si="33"/>
        <v>0</v>
      </c>
      <c r="I61" s="143">
        <f t="shared" si="18"/>
        <v>0</v>
      </c>
      <c r="J61" s="144">
        <f t="shared" si="5"/>
        <v>0</v>
      </c>
      <c r="K61" s="144">
        <f t="shared" si="6"/>
        <v>0</v>
      </c>
      <c r="L61" s="169">
        <f t="shared" si="34"/>
        <v>0</v>
      </c>
      <c r="M61" s="143">
        <f t="shared" si="20"/>
        <v>0</v>
      </c>
      <c r="N61" s="144">
        <f t="shared" si="7"/>
        <v>0</v>
      </c>
      <c r="O61" s="144">
        <f t="shared" si="8"/>
        <v>0</v>
      </c>
      <c r="P61" s="168">
        <f t="shared" si="35"/>
        <v>0</v>
      </c>
      <c r="R61" s="143">
        <f t="shared" si="22"/>
        <v>0</v>
      </c>
      <c r="S61" s="144">
        <f t="shared" si="9"/>
        <v>0</v>
      </c>
      <c r="T61" s="144">
        <f t="shared" si="10"/>
        <v>0</v>
      </c>
      <c r="U61" s="170">
        <f t="shared" si="11"/>
        <v>0</v>
      </c>
      <c r="V61" s="143">
        <f t="shared" si="23"/>
        <v>0</v>
      </c>
      <c r="W61" s="144">
        <f t="shared" si="12"/>
        <v>0</v>
      </c>
      <c r="X61" s="144">
        <f t="shared" si="13"/>
        <v>0</v>
      </c>
      <c r="Y61" s="170">
        <f t="shared" si="14"/>
        <v>0</v>
      </c>
      <c r="Z61" s="151">
        <v>0</v>
      </c>
      <c r="AA61" s="151">
        <v>0</v>
      </c>
      <c r="AB61" s="151">
        <v>0</v>
      </c>
      <c r="AC61" s="151">
        <f t="shared" si="32"/>
        <v>0</v>
      </c>
    </row>
    <row r="62" spans="1:29" s="61" customFormat="1" ht="11.25">
      <c r="A62" s="147">
        <f t="shared" si="0"/>
        <v>0</v>
      </c>
      <c r="B62" s="152">
        <f t="shared" si="1"/>
        <v>0</v>
      </c>
      <c r="C62" s="141">
        <f t="shared" si="2"/>
        <v>4</v>
      </c>
      <c r="D62" s="142">
        <v>43</v>
      </c>
      <c r="E62" s="143">
        <f t="shared" si="16"/>
        <v>0</v>
      </c>
      <c r="F62" s="144">
        <f t="shared" si="3"/>
        <v>0</v>
      </c>
      <c r="G62" s="144">
        <f t="shared" si="4"/>
        <v>0</v>
      </c>
      <c r="H62" s="168">
        <f t="shared" si="33"/>
        <v>0</v>
      </c>
      <c r="I62" s="143">
        <f t="shared" si="18"/>
        <v>0</v>
      </c>
      <c r="J62" s="144">
        <f t="shared" si="5"/>
        <v>0</v>
      </c>
      <c r="K62" s="144">
        <f t="shared" si="6"/>
        <v>0</v>
      </c>
      <c r="L62" s="169">
        <f t="shared" si="34"/>
        <v>0</v>
      </c>
      <c r="M62" s="143">
        <f t="shared" si="20"/>
        <v>0</v>
      </c>
      <c r="N62" s="144">
        <f t="shared" si="7"/>
        <v>0</v>
      </c>
      <c r="O62" s="144">
        <f t="shared" si="8"/>
        <v>0</v>
      </c>
      <c r="P62" s="168">
        <f t="shared" si="35"/>
        <v>0</v>
      </c>
      <c r="R62" s="143">
        <f t="shared" si="22"/>
        <v>0</v>
      </c>
      <c r="S62" s="144">
        <f t="shared" si="9"/>
        <v>0</v>
      </c>
      <c r="T62" s="144">
        <f t="shared" si="10"/>
        <v>0</v>
      </c>
      <c r="U62" s="170">
        <f t="shared" si="11"/>
        <v>0</v>
      </c>
      <c r="V62" s="143">
        <f t="shared" si="23"/>
        <v>0</v>
      </c>
      <c r="W62" s="144">
        <f t="shared" si="12"/>
        <v>0</v>
      </c>
      <c r="X62" s="144">
        <f t="shared" si="13"/>
        <v>0</v>
      </c>
      <c r="Y62" s="170">
        <f t="shared" si="14"/>
        <v>0</v>
      </c>
      <c r="Z62" s="151">
        <v>0</v>
      </c>
      <c r="AA62" s="151">
        <v>0</v>
      </c>
      <c r="AB62" s="151">
        <v>0</v>
      </c>
      <c r="AC62" s="151">
        <f t="shared" si="32"/>
        <v>0</v>
      </c>
    </row>
    <row r="63" spans="1:29" s="61" customFormat="1" ht="11.25">
      <c r="A63" s="147">
        <f t="shared" si="0"/>
        <v>0</v>
      </c>
      <c r="B63" s="152">
        <f t="shared" si="1"/>
        <v>0</v>
      </c>
      <c r="C63" s="141">
        <f t="shared" si="2"/>
        <v>4</v>
      </c>
      <c r="D63" s="142">
        <v>44</v>
      </c>
      <c r="E63" s="143">
        <f t="shared" si="16"/>
        <v>0</v>
      </c>
      <c r="F63" s="144">
        <f t="shared" si="3"/>
        <v>0</v>
      </c>
      <c r="G63" s="144">
        <f t="shared" si="4"/>
        <v>0</v>
      </c>
      <c r="H63" s="168">
        <f t="shared" si="33"/>
        <v>0</v>
      </c>
      <c r="I63" s="143">
        <f t="shared" si="18"/>
        <v>0</v>
      </c>
      <c r="J63" s="144">
        <f t="shared" si="5"/>
        <v>0</v>
      </c>
      <c r="K63" s="144">
        <f t="shared" si="6"/>
        <v>0</v>
      </c>
      <c r="L63" s="169">
        <f t="shared" si="34"/>
        <v>0</v>
      </c>
      <c r="M63" s="143">
        <f t="shared" si="20"/>
        <v>0</v>
      </c>
      <c r="N63" s="144">
        <f t="shared" si="7"/>
        <v>0</v>
      </c>
      <c r="O63" s="144">
        <f t="shared" si="8"/>
        <v>0</v>
      </c>
      <c r="P63" s="168">
        <f t="shared" si="35"/>
        <v>0</v>
      </c>
      <c r="R63" s="143">
        <f t="shared" si="22"/>
        <v>0</v>
      </c>
      <c r="S63" s="144">
        <f t="shared" si="9"/>
        <v>0</v>
      </c>
      <c r="T63" s="144">
        <f t="shared" si="10"/>
        <v>0</v>
      </c>
      <c r="U63" s="170">
        <f t="shared" si="11"/>
        <v>0</v>
      </c>
      <c r="V63" s="143">
        <f t="shared" si="23"/>
        <v>0</v>
      </c>
      <c r="W63" s="144">
        <f t="shared" si="12"/>
        <v>0</v>
      </c>
      <c r="X63" s="144">
        <f t="shared" si="13"/>
        <v>0</v>
      </c>
      <c r="Y63" s="170">
        <f t="shared" si="14"/>
        <v>0</v>
      </c>
      <c r="Z63" s="151">
        <v>0</v>
      </c>
      <c r="AA63" s="151">
        <v>0</v>
      </c>
      <c r="AB63" s="151">
        <v>0</v>
      </c>
      <c r="AC63" s="151">
        <f t="shared" si="32"/>
        <v>0</v>
      </c>
    </row>
    <row r="64" spans="1:29" s="61" customFormat="1" ht="11.25">
      <c r="A64" s="147">
        <f t="shared" si="0"/>
        <v>0</v>
      </c>
      <c r="B64" s="152">
        <f t="shared" si="1"/>
        <v>0</v>
      </c>
      <c r="C64" s="141">
        <f t="shared" si="2"/>
        <v>4</v>
      </c>
      <c r="D64" s="142">
        <v>45</v>
      </c>
      <c r="E64" s="143">
        <f t="shared" si="16"/>
        <v>0</v>
      </c>
      <c r="F64" s="144">
        <f t="shared" si="3"/>
        <v>0</v>
      </c>
      <c r="G64" s="144">
        <f t="shared" si="4"/>
        <v>0</v>
      </c>
      <c r="H64" s="168">
        <f t="shared" si="33"/>
        <v>0</v>
      </c>
      <c r="I64" s="143">
        <f t="shared" si="18"/>
        <v>0</v>
      </c>
      <c r="J64" s="144">
        <f t="shared" si="5"/>
        <v>0</v>
      </c>
      <c r="K64" s="144">
        <f t="shared" si="6"/>
        <v>0</v>
      </c>
      <c r="L64" s="169">
        <f t="shared" si="34"/>
        <v>0</v>
      </c>
      <c r="M64" s="143">
        <f t="shared" si="20"/>
        <v>0</v>
      </c>
      <c r="N64" s="144">
        <f t="shared" si="7"/>
        <v>0</v>
      </c>
      <c r="O64" s="144">
        <f t="shared" si="8"/>
        <v>0</v>
      </c>
      <c r="P64" s="168">
        <f t="shared" si="35"/>
        <v>0</v>
      </c>
      <c r="R64" s="143">
        <f t="shared" si="22"/>
        <v>0</v>
      </c>
      <c r="S64" s="144">
        <f t="shared" si="9"/>
        <v>0</v>
      </c>
      <c r="T64" s="144">
        <f t="shared" si="10"/>
        <v>0</v>
      </c>
      <c r="U64" s="170">
        <f t="shared" si="11"/>
        <v>0</v>
      </c>
      <c r="V64" s="143">
        <f t="shared" si="23"/>
        <v>0</v>
      </c>
      <c r="W64" s="144">
        <f t="shared" si="12"/>
        <v>0</v>
      </c>
      <c r="X64" s="144">
        <f t="shared" si="13"/>
        <v>0</v>
      </c>
      <c r="Y64" s="170">
        <f t="shared" si="14"/>
        <v>0</v>
      </c>
      <c r="Z64" s="151">
        <v>0</v>
      </c>
      <c r="AA64" s="151">
        <v>0</v>
      </c>
      <c r="AB64" s="151">
        <v>0</v>
      </c>
      <c r="AC64" s="151">
        <f t="shared" si="32"/>
        <v>0</v>
      </c>
    </row>
    <row r="65" spans="1:29" s="61" customFormat="1" ht="11.25">
      <c r="A65" s="147">
        <f t="shared" si="0"/>
        <v>0</v>
      </c>
      <c r="B65" s="152">
        <f t="shared" si="1"/>
        <v>0</v>
      </c>
      <c r="C65" s="141">
        <f t="shared" si="2"/>
        <v>4</v>
      </c>
      <c r="D65" s="142">
        <v>46</v>
      </c>
      <c r="E65" s="143">
        <f t="shared" si="16"/>
        <v>0</v>
      </c>
      <c r="F65" s="144">
        <f t="shared" si="3"/>
        <v>0</v>
      </c>
      <c r="G65" s="144">
        <f t="shared" si="4"/>
        <v>0</v>
      </c>
      <c r="H65" s="168">
        <f t="shared" si="33"/>
        <v>0</v>
      </c>
      <c r="I65" s="143">
        <f t="shared" si="18"/>
        <v>0</v>
      </c>
      <c r="J65" s="144">
        <f t="shared" si="5"/>
        <v>0</v>
      </c>
      <c r="K65" s="144">
        <f t="shared" si="6"/>
        <v>0</v>
      </c>
      <c r="L65" s="169">
        <f t="shared" si="34"/>
        <v>0</v>
      </c>
      <c r="M65" s="143">
        <f t="shared" si="20"/>
        <v>0</v>
      </c>
      <c r="N65" s="144">
        <f t="shared" si="7"/>
        <v>0</v>
      </c>
      <c r="O65" s="144">
        <f t="shared" si="8"/>
        <v>0</v>
      </c>
      <c r="P65" s="168">
        <f t="shared" si="35"/>
        <v>0</v>
      </c>
      <c r="R65" s="143">
        <f t="shared" si="22"/>
        <v>0</v>
      </c>
      <c r="S65" s="144">
        <f t="shared" si="9"/>
        <v>0</v>
      </c>
      <c r="T65" s="144">
        <f t="shared" si="10"/>
        <v>0</v>
      </c>
      <c r="U65" s="170">
        <f t="shared" si="11"/>
        <v>0</v>
      </c>
      <c r="V65" s="143">
        <f t="shared" si="23"/>
        <v>0</v>
      </c>
      <c r="W65" s="144">
        <f t="shared" si="12"/>
        <v>0</v>
      </c>
      <c r="X65" s="144">
        <f t="shared" si="13"/>
        <v>0</v>
      </c>
      <c r="Y65" s="170">
        <f t="shared" si="14"/>
        <v>0</v>
      </c>
      <c r="Z65" s="151">
        <v>0</v>
      </c>
      <c r="AA65" s="151">
        <v>0</v>
      </c>
      <c r="AB65" s="151">
        <v>0</v>
      </c>
      <c r="AC65" s="151">
        <f t="shared" si="32"/>
        <v>0</v>
      </c>
    </row>
    <row r="66" spans="1:29" s="61" customFormat="1" ht="11.25">
      <c r="A66" s="147">
        <f t="shared" si="0"/>
        <v>0</v>
      </c>
      <c r="B66" s="152">
        <f t="shared" si="1"/>
        <v>0</v>
      </c>
      <c r="C66" s="141">
        <f t="shared" si="2"/>
        <v>4</v>
      </c>
      <c r="D66" s="142">
        <v>47</v>
      </c>
      <c r="E66" s="143">
        <f t="shared" si="16"/>
        <v>0</v>
      </c>
      <c r="F66" s="144">
        <f t="shared" si="3"/>
        <v>0</v>
      </c>
      <c r="G66" s="144">
        <f t="shared" si="4"/>
        <v>0</v>
      </c>
      <c r="H66" s="168">
        <f t="shared" si="33"/>
        <v>0</v>
      </c>
      <c r="I66" s="143">
        <f t="shared" si="18"/>
        <v>0</v>
      </c>
      <c r="J66" s="144">
        <f t="shared" si="5"/>
        <v>0</v>
      </c>
      <c r="K66" s="144">
        <f t="shared" si="6"/>
        <v>0</v>
      </c>
      <c r="L66" s="169">
        <f t="shared" si="34"/>
        <v>0</v>
      </c>
      <c r="M66" s="143">
        <f t="shared" si="20"/>
        <v>0</v>
      </c>
      <c r="N66" s="144">
        <f t="shared" si="7"/>
        <v>0</v>
      </c>
      <c r="O66" s="144">
        <f t="shared" si="8"/>
        <v>0</v>
      </c>
      <c r="P66" s="168">
        <f t="shared" si="35"/>
        <v>0</v>
      </c>
      <c r="R66" s="143">
        <f t="shared" si="22"/>
        <v>0</v>
      </c>
      <c r="S66" s="144">
        <f t="shared" si="9"/>
        <v>0</v>
      </c>
      <c r="T66" s="144">
        <f t="shared" si="10"/>
        <v>0</v>
      </c>
      <c r="U66" s="170">
        <f t="shared" si="11"/>
        <v>0</v>
      </c>
      <c r="V66" s="143">
        <f t="shared" si="23"/>
        <v>0</v>
      </c>
      <c r="W66" s="144">
        <f t="shared" si="12"/>
        <v>0</v>
      </c>
      <c r="X66" s="144">
        <f t="shared" si="13"/>
        <v>0</v>
      </c>
      <c r="Y66" s="170">
        <f t="shared" si="14"/>
        <v>0</v>
      </c>
      <c r="Z66" s="151">
        <v>0</v>
      </c>
      <c r="AA66" s="151">
        <v>0</v>
      </c>
      <c r="AB66" s="151">
        <v>0</v>
      </c>
      <c r="AC66" s="151">
        <f t="shared" si="32"/>
        <v>0</v>
      </c>
    </row>
    <row r="67" spans="1:29" s="61" customFormat="1" ht="12" thickBot="1">
      <c r="A67" s="153">
        <f t="shared" si="0"/>
        <v>0</v>
      </c>
      <c r="B67" s="154">
        <f t="shared" si="1"/>
        <v>0</v>
      </c>
      <c r="C67" s="155">
        <f t="shared" si="2"/>
        <v>4</v>
      </c>
      <c r="D67" s="156">
        <v>48</v>
      </c>
      <c r="E67" s="157">
        <f t="shared" si="16"/>
        <v>0</v>
      </c>
      <c r="F67" s="158">
        <f t="shared" si="3"/>
        <v>0</v>
      </c>
      <c r="G67" s="158">
        <f t="shared" si="4"/>
        <v>0</v>
      </c>
      <c r="H67" s="171">
        <f t="shared" si="33"/>
        <v>0</v>
      </c>
      <c r="I67" s="157">
        <f t="shared" si="18"/>
        <v>0</v>
      </c>
      <c r="J67" s="158">
        <f t="shared" si="5"/>
        <v>0</v>
      </c>
      <c r="K67" s="158">
        <f t="shared" si="6"/>
        <v>0</v>
      </c>
      <c r="L67" s="172">
        <f t="shared" si="34"/>
        <v>0</v>
      </c>
      <c r="M67" s="157">
        <f t="shared" si="20"/>
        <v>0</v>
      </c>
      <c r="N67" s="158">
        <f t="shared" si="7"/>
        <v>0</v>
      </c>
      <c r="O67" s="158">
        <f t="shared" si="8"/>
        <v>0</v>
      </c>
      <c r="P67" s="171">
        <f t="shared" si="35"/>
        <v>0</v>
      </c>
      <c r="R67" s="157">
        <f t="shared" si="22"/>
        <v>0</v>
      </c>
      <c r="S67" s="158">
        <f t="shared" si="9"/>
        <v>0</v>
      </c>
      <c r="T67" s="158">
        <f t="shared" si="10"/>
        <v>0</v>
      </c>
      <c r="U67" s="173">
        <f t="shared" si="11"/>
        <v>0</v>
      </c>
      <c r="V67" s="157">
        <f t="shared" si="23"/>
        <v>0</v>
      </c>
      <c r="W67" s="158">
        <f t="shared" si="12"/>
        <v>0</v>
      </c>
      <c r="X67" s="158">
        <f t="shared" si="13"/>
        <v>0</v>
      </c>
      <c r="Y67" s="173">
        <f t="shared" si="14"/>
        <v>0</v>
      </c>
      <c r="Z67" s="151">
        <v>0</v>
      </c>
      <c r="AA67" s="151">
        <v>0</v>
      </c>
      <c r="AB67" s="151">
        <v>0</v>
      </c>
      <c r="AC67" s="151">
        <f>$V67+$W67</f>
        <v>0</v>
      </c>
    </row>
    <row r="68" spans="1:29" s="61" customFormat="1" ht="11.25">
      <c r="A68" s="147">
        <f t="shared" si="0"/>
        <v>0</v>
      </c>
      <c r="B68" s="152">
        <f t="shared" si="1"/>
        <v>0</v>
      </c>
      <c r="C68" s="141">
        <f t="shared" si="2"/>
        <v>5</v>
      </c>
      <c r="D68" s="142">
        <v>49</v>
      </c>
      <c r="E68" s="143">
        <f t="shared" si="16"/>
        <v>0</v>
      </c>
      <c r="F68" s="144">
        <f t="shared" si="3"/>
        <v>0</v>
      </c>
      <c r="G68" s="144">
        <f t="shared" si="4"/>
        <v>0</v>
      </c>
      <c r="H68" s="169">
        <f>IF(E68&lt;=0,0,H$14)</f>
        <v>0</v>
      </c>
      <c r="I68" s="143">
        <f t="shared" si="18"/>
        <v>0</v>
      </c>
      <c r="J68" s="144">
        <f t="shared" si="5"/>
        <v>0</v>
      </c>
      <c r="K68" s="144">
        <f t="shared" si="6"/>
        <v>0</v>
      </c>
      <c r="L68" s="169">
        <f t="shared" si="34"/>
        <v>0</v>
      </c>
      <c r="M68" s="143">
        <f t="shared" si="20"/>
        <v>0</v>
      </c>
      <c r="N68" s="144">
        <f t="shared" si="7"/>
        <v>0</v>
      </c>
      <c r="O68" s="144">
        <f t="shared" si="8"/>
        <v>0</v>
      </c>
      <c r="P68" s="169">
        <f>IF(M68&lt;=0,0,P$14)</f>
        <v>0</v>
      </c>
      <c r="R68" s="143">
        <f t="shared" si="22"/>
        <v>0</v>
      </c>
      <c r="S68" s="144">
        <f t="shared" si="9"/>
        <v>0</v>
      </c>
      <c r="T68" s="144">
        <f t="shared" si="10"/>
        <v>0</v>
      </c>
      <c r="U68" s="170">
        <f t="shared" si="11"/>
        <v>0</v>
      </c>
      <c r="V68" s="143">
        <f t="shared" si="23"/>
        <v>0</v>
      </c>
      <c r="W68" s="144">
        <f t="shared" si="12"/>
        <v>0</v>
      </c>
      <c r="X68" s="144">
        <f t="shared" si="13"/>
        <v>0</v>
      </c>
      <c r="Y68" s="170">
        <f t="shared" si="14"/>
        <v>0</v>
      </c>
      <c r="Z68" s="151">
        <v>0</v>
      </c>
      <c r="AA68" s="151">
        <v>0</v>
      </c>
      <c r="AB68" s="151">
        <v>0</v>
      </c>
      <c r="AC68" s="151">
        <v>0</v>
      </c>
    </row>
    <row r="69" spans="1:29" s="61" customFormat="1" ht="11.25">
      <c r="A69" s="147">
        <f t="shared" si="0"/>
        <v>0</v>
      </c>
      <c r="B69" s="152">
        <f t="shared" si="1"/>
        <v>0</v>
      </c>
      <c r="C69" s="141">
        <f t="shared" si="2"/>
        <v>5</v>
      </c>
      <c r="D69" s="142">
        <v>50</v>
      </c>
      <c r="E69" s="143">
        <f t="shared" si="16"/>
        <v>0</v>
      </c>
      <c r="F69" s="144">
        <f t="shared" si="3"/>
        <v>0</v>
      </c>
      <c r="G69" s="144">
        <f t="shared" si="4"/>
        <v>0</v>
      </c>
      <c r="H69" s="169">
        <f t="shared" ref="H69:H132" si="36">IF(E69&lt;=0,0,H$14)</f>
        <v>0</v>
      </c>
      <c r="I69" s="143">
        <f t="shared" si="18"/>
        <v>0</v>
      </c>
      <c r="J69" s="144">
        <f t="shared" si="5"/>
        <v>0</v>
      </c>
      <c r="K69" s="144">
        <f t="shared" si="6"/>
        <v>0</v>
      </c>
      <c r="L69" s="169">
        <f t="shared" si="34"/>
        <v>0</v>
      </c>
      <c r="M69" s="143">
        <f t="shared" si="20"/>
        <v>0</v>
      </c>
      <c r="N69" s="144">
        <f t="shared" si="7"/>
        <v>0</v>
      </c>
      <c r="O69" s="144">
        <f t="shared" si="8"/>
        <v>0</v>
      </c>
      <c r="P69" s="169">
        <f t="shared" ref="P69:P132" si="37">IF(M69&lt;=0,0,P$14)</f>
        <v>0</v>
      </c>
      <c r="R69" s="143">
        <f t="shared" si="22"/>
        <v>0</v>
      </c>
      <c r="S69" s="144">
        <f t="shared" si="9"/>
        <v>0</v>
      </c>
      <c r="T69" s="144">
        <f t="shared" si="10"/>
        <v>0</v>
      </c>
      <c r="U69" s="170">
        <f t="shared" si="11"/>
        <v>0</v>
      </c>
      <c r="V69" s="143">
        <f t="shared" si="23"/>
        <v>0</v>
      </c>
      <c r="W69" s="144">
        <f t="shared" si="12"/>
        <v>0</v>
      </c>
      <c r="X69" s="144">
        <f t="shared" si="13"/>
        <v>0</v>
      </c>
      <c r="Y69" s="170">
        <f t="shared" si="14"/>
        <v>0</v>
      </c>
      <c r="Z69" s="151">
        <v>0</v>
      </c>
      <c r="AA69" s="151">
        <v>0</v>
      </c>
      <c r="AB69" s="151">
        <v>0</v>
      </c>
      <c r="AC69" s="151">
        <v>0</v>
      </c>
    </row>
    <row r="70" spans="1:29" s="61" customFormat="1" ht="11.25">
      <c r="A70" s="147">
        <f t="shared" si="0"/>
        <v>0</v>
      </c>
      <c r="B70" s="152">
        <f t="shared" si="1"/>
        <v>0</v>
      </c>
      <c r="C70" s="141">
        <f t="shared" si="2"/>
        <v>5</v>
      </c>
      <c r="D70" s="142">
        <v>51</v>
      </c>
      <c r="E70" s="143">
        <f t="shared" si="16"/>
        <v>0</v>
      </c>
      <c r="F70" s="144">
        <f t="shared" si="3"/>
        <v>0</v>
      </c>
      <c r="G70" s="144">
        <f t="shared" si="4"/>
        <v>0</v>
      </c>
      <c r="H70" s="169">
        <f t="shared" si="36"/>
        <v>0</v>
      </c>
      <c r="I70" s="143">
        <f t="shared" si="18"/>
        <v>0</v>
      </c>
      <c r="J70" s="144">
        <f t="shared" si="5"/>
        <v>0</v>
      </c>
      <c r="K70" s="144">
        <f t="shared" si="6"/>
        <v>0</v>
      </c>
      <c r="L70" s="169">
        <f t="shared" si="34"/>
        <v>0</v>
      </c>
      <c r="M70" s="143">
        <f t="shared" si="20"/>
        <v>0</v>
      </c>
      <c r="N70" s="144">
        <f t="shared" si="7"/>
        <v>0</v>
      </c>
      <c r="O70" s="144">
        <f t="shared" si="8"/>
        <v>0</v>
      </c>
      <c r="P70" s="169">
        <f t="shared" si="37"/>
        <v>0</v>
      </c>
      <c r="R70" s="143">
        <f t="shared" si="22"/>
        <v>0</v>
      </c>
      <c r="S70" s="144">
        <f t="shared" si="9"/>
        <v>0</v>
      </c>
      <c r="T70" s="144">
        <f t="shared" si="10"/>
        <v>0</v>
      </c>
      <c r="U70" s="170">
        <f t="shared" si="11"/>
        <v>0</v>
      </c>
      <c r="V70" s="143">
        <f t="shared" si="23"/>
        <v>0</v>
      </c>
      <c r="W70" s="144">
        <f t="shared" si="12"/>
        <v>0</v>
      </c>
      <c r="X70" s="144">
        <f t="shared" si="13"/>
        <v>0</v>
      </c>
      <c r="Y70" s="170">
        <f t="shared" si="14"/>
        <v>0</v>
      </c>
      <c r="Z70" s="151">
        <v>0</v>
      </c>
      <c r="AA70" s="151">
        <v>0</v>
      </c>
      <c r="AB70" s="151">
        <v>0</v>
      </c>
      <c r="AC70" s="151">
        <v>0</v>
      </c>
    </row>
    <row r="71" spans="1:29" s="61" customFormat="1" ht="11.25">
      <c r="A71" s="147">
        <f t="shared" si="0"/>
        <v>0</v>
      </c>
      <c r="B71" s="152">
        <f t="shared" si="1"/>
        <v>0</v>
      </c>
      <c r="C71" s="141">
        <f t="shared" si="2"/>
        <v>5</v>
      </c>
      <c r="D71" s="142">
        <v>52</v>
      </c>
      <c r="E71" s="143">
        <f t="shared" si="16"/>
        <v>0</v>
      </c>
      <c r="F71" s="144">
        <f t="shared" si="3"/>
        <v>0</v>
      </c>
      <c r="G71" s="144">
        <f t="shared" si="4"/>
        <v>0</v>
      </c>
      <c r="H71" s="169">
        <f t="shared" si="36"/>
        <v>0</v>
      </c>
      <c r="I71" s="143">
        <f t="shared" si="18"/>
        <v>0</v>
      </c>
      <c r="J71" s="144">
        <f t="shared" si="5"/>
        <v>0</v>
      </c>
      <c r="K71" s="144">
        <f t="shared" si="6"/>
        <v>0</v>
      </c>
      <c r="L71" s="169">
        <f t="shared" si="34"/>
        <v>0</v>
      </c>
      <c r="M71" s="143">
        <f t="shared" si="20"/>
        <v>0</v>
      </c>
      <c r="N71" s="144">
        <f t="shared" si="7"/>
        <v>0</v>
      </c>
      <c r="O71" s="144">
        <f t="shared" si="8"/>
        <v>0</v>
      </c>
      <c r="P71" s="169">
        <f t="shared" si="37"/>
        <v>0</v>
      </c>
      <c r="R71" s="143">
        <f t="shared" si="22"/>
        <v>0</v>
      </c>
      <c r="S71" s="144">
        <f t="shared" si="9"/>
        <v>0</v>
      </c>
      <c r="T71" s="144">
        <f t="shared" si="10"/>
        <v>0</v>
      </c>
      <c r="U71" s="170">
        <f t="shared" si="11"/>
        <v>0</v>
      </c>
      <c r="V71" s="143">
        <f t="shared" si="23"/>
        <v>0</v>
      </c>
      <c r="W71" s="144">
        <f t="shared" si="12"/>
        <v>0</v>
      </c>
      <c r="X71" s="144">
        <f t="shared" si="13"/>
        <v>0</v>
      </c>
      <c r="Y71" s="170">
        <f t="shared" si="14"/>
        <v>0</v>
      </c>
      <c r="Z71" s="151">
        <v>0</v>
      </c>
      <c r="AA71" s="151">
        <v>0</v>
      </c>
      <c r="AB71" s="151">
        <v>0</v>
      </c>
      <c r="AC71" s="151">
        <v>0</v>
      </c>
    </row>
    <row r="72" spans="1:29" s="61" customFormat="1" ht="11.25">
      <c r="A72" s="147">
        <f t="shared" si="0"/>
        <v>0</v>
      </c>
      <c r="B72" s="152">
        <f t="shared" si="1"/>
        <v>0</v>
      </c>
      <c r="C72" s="141">
        <f t="shared" si="2"/>
        <v>5</v>
      </c>
      <c r="D72" s="142">
        <v>53</v>
      </c>
      <c r="E72" s="143">
        <f t="shared" si="16"/>
        <v>0</v>
      </c>
      <c r="F72" s="144">
        <f t="shared" si="3"/>
        <v>0</v>
      </c>
      <c r="G72" s="144">
        <f t="shared" si="4"/>
        <v>0</v>
      </c>
      <c r="H72" s="169">
        <f t="shared" si="36"/>
        <v>0</v>
      </c>
      <c r="I72" s="143">
        <f t="shared" si="18"/>
        <v>0</v>
      </c>
      <c r="J72" s="144">
        <f t="shared" si="5"/>
        <v>0</v>
      </c>
      <c r="K72" s="144">
        <f t="shared" si="6"/>
        <v>0</v>
      </c>
      <c r="L72" s="169">
        <f t="shared" si="34"/>
        <v>0</v>
      </c>
      <c r="M72" s="143">
        <f t="shared" si="20"/>
        <v>0</v>
      </c>
      <c r="N72" s="144">
        <f t="shared" si="7"/>
        <v>0</v>
      </c>
      <c r="O72" s="144">
        <f t="shared" si="8"/>
        <v>0</v>
      </c>
      <c r="P72" s="169">
        <f t="shared" si="37"/>
        <v>0</v>
      </c>
      <c r="R72" s="143">
        <f t="shared" si="22"/>
        <v>0</v>
      </c>
      <c r="S72" s="144">
        <f t="shared" si="9"/>
        <v>0</v>
      </c>
      <c r="T72" s="144">
        <f t="shared" si="10"/>
        <v>0</v>
      </c>
      <c r="U72" s="170">
        <f t="shared" si="11"/>
        <v>0</v>
      </c>
      <c r="V72" s="143">
        <f t="shared" si="23"/>
        <v>0</v>
      </c>
      <c r="W72" s="144">
        <f t="shared" si="12"/>
        <v>0</v>
      </c>
      <c r="X72" s="144">
        <f t="shared" si="13"/>
        <v>0</v>
      </c>
      <c r="Y72" s="170">
        <f t="shared" si="14"/>
        <v>0</v>
      </c>
      <c r="Z72" s="151">
        <v>0</v>
      </c>
      <c r="AA72" s="151">
        <v>0</v>
      </c>
      <c r="AB72" s="151">
        <v>0</v>
      </c>
      <c r="AC72" s="151">
        <v>0</v>
      </c>
    </row>
    <row r="73" spans="1:29" s="61" customFormat="1" ht="11.25">
      <c r="A73" s="147">
        <f t="shared" si="0"/>
        <v>0</v>
      </c>
      <c r="B73" s="152">
        <f t="shared" si="1"/>
        <v>0</v>
      </c>
      <c r="C73" s="141">
        <f t="shared" si="2"/>
        <v>5</v>
      </c>
      <c r="D73" s="142">
        <v>54</v>
      </c>
      <c r="E73" s="143">
        <f t="shared" si="16"/>
        <v>0</v>
      </c>
      <c r="F73" s="144">
        <f t="shared" si="3"/>
        <v>0</v>
      </c>
      <c r="G73" s="144">
        <f t="shared" si="4"/>
        <v>0</v>
      </c>
      <c r="H73" s="169">
        <f t="shared" si="36"/>
        <v>0</v>
      </c>
      <c r="I73" s="143">
        <f t="shared" si="18"/>
        <v>0</v>
      </c>
      <c r="J73" s="144">
        <f t="shared" si="5"/>
        <v>0</v>
      </c>
      <c r="K73" s="144">
        <f t="shared" si="6"/>
        <v>0</v>
      </c>
      <c r="L73" s="169">
        <f t="shared" si="34"/>
        <v>0</v>
      </c>
      <c r="M73" s="143">
        <f t="shared" si="20"/>
        <v>0</v>
      </c>
      <c r="N73" s="144">
        <f t="shared" si="7"/>
        <v>0</v>
      </c>
      <c r="O73" s="144">
        <f t="shared" si="8"/>
        <v>0</v>
      </c>
      <c r="P73" s="169">
        <f t="shared" si="37"/>
        <v>0</v>
      </c>
      <c r="R73" s="143">
        <f t="shared" si="22"/>
        <v>0</v>
      </c>
      <c r="S73" s="144">
        <f t="shared" si="9"/>
        <v>0</v>
      </c>
      <c r="T73" s="144">
        <f t="shared" si="10"/>
        <v>0</v>
      </c>
      <c r="U73" s="170">
        <f t="shared" si="11"/>
        <v>0</v>
      </c>
      <c r="V73" s="143">
        <f t="shared" si="23"/>
        <v>0</v>
      </c>
      <c r="W73" s="144">
        <f t="shared" si="12"/>
        <v>0</v>
      </c>
      <c r="X73" s="144">
        <f t="shared" si="13"/>
        <v>0</v>
      </c>
      <c r="Y73" s="170">
        <f t="shared" si="14"/>
        <v>0</v>
      </c>
      <c r="Z73" s="151">
        <v>0</v>
      </c>
      <c r="AA73" s="151">
        <v>0</v>
      </c>
      <c r="AB73" s="151">
        <v>0</v>
      </c>
      <c r="AC73" s="151">
        <v>0</v>
      </c>
    </row>
    <row r="74" spans="1:29" s="61" customFormat="1" ht="11.25">
      <c r="A74" s="147">
        <f t="shared" si="0"/>
        <v>0</v>
      </c>
      <c r="B74" s="152">
        <f t="shared" si="1"/>
        <v>0</v>
      </c>
      <c r="C74" s="141">
        <f t="shared" si="2"/>
        <v>5</v>
      </c>
      <c r="D74" s="142">
        <v>55</v>
      </c>
      <c r="E74" s="143">
        <f t="shared" si="16"/>
        <v>0</v>
      </c>
      <c r="F74" s="144">
        <f t="shared" si="3"/>
        <v>0</v>
      </c>
      <c r="G74" s="144">
        <f t="shared" si="4"/>
        <v>0</v>
      </c>
      <c r="H74" s="169">
        <f t="shared" si="36"/>
        <v>0</v>
      </c>
      <c r="I74" s="143">
        <f t="shared" si="18"/>
        <v>0</v>
      </c>
      <c r="J74" s="144">
        <f t="shared" si="5"/>
        <v>0</v>
      </c>
      <c r="K74" s="144">
        <f t="shared" si="6"/>
        <v>0</v>
      </c>
      <c r="L74" s="169">
        <f t="shared" si="34"/>
        <v>0</v>
      </c>
      <c r="M74" s="143">
        <f t="shared" si="20"/>
        <v>0</v>
      </c>
      <c r="N74" s="144">
        <f t="shared" si="7"/>
        <v>0</v>
      </c>
      <c r="O74" s="144">
        <f t="shared" si="8"/>
        <v>0</v>
      </c>
      <c r="P74" s="169">
        <f t="shared" si="37"/>
        <v>0</v>
      </c>
      <c r="R74" s="143">
        <f t="shared" si="22"/>
        <v>0</v>
      </c>
      <c r="S74" s="144">
        <f t="shared" si="9"/>
        <v>0</v>
      </c>
      <c r="T74" s="144">
        <f t="shared" si="10"/>
        <v>0</v>
      </c>
      <c r="U74" s="170">
        <f t="shared" si="11"/>
        <v>0</v>
      </c>
      <c r="V74" s="143">
        <f t="shared" si="23"/>
        <v>0</v>
      </c>
      <c r="W74" s="144">
        <f t="shared" si="12"/>
        <v>0</v>
      </c>
      <c r="X74" s="144">
        <f t="shared" si="13"/>
        <v>0</v>
      </c>
      <c r="Y74" s="170">
        <f t="shared" si="14"/>
        <v>0</v>
      </c>
      <c r="Z74" s="151">
        <v>0</v>
      </c>
      <c r="AA74" s="151">
        <v>0</v>
      </c>
      <c r="AB74" s="151">
        <v>0</v>
      </c>
      <c r="AC74" s="151">
        <v>0</v>
      </c>
    </row>
    <row r="75" spans="1:29" s="61" customFormat="1" ht="11.25">
      <c r="A75" s="147">
        <f t="shared" si="0"/>
        <v>0</v>
      </c>
      <c r="B75" s="152">
        <f t="shared" si="1"/>
        <v>0</v>
      </c>
      <c r="C75" s="141">
        <f t="shared" si="2"/>
        <v>5</v>
      </c>
      <c r="D75" s="142">
        <v>56</v>
      </c>
      <c r="E75" s="143">
        <f t="shared" si="16"/>
        <v>0</v>
      </c>
      <c r="F75" s="144">
        <f t="shared" si="3"/>
        <v>0</v>
      </c>
      <c r="G75" s="144">
        <f t="shared" si="4"/>
        <v>0</v>
      </c>
      <c r="H75" s="169">
        <f t="shared" si="36"/>
        <v>0</v>
      </c>
      <c r="I75" s="143">
        <f t="shared" si="18"/>
        <v>0</v>
      </c>
      <c r="J75" s="144">
        <f t="shared" si="5"/>
        <v>0</v>
      </c>
      <c r="K75" s="144">
        <f t="shared" si="6"/>
        <v>0</v>
      </c>
      <c r="L75" s="169">
        <f t="shared" si="34"/>
        <v>0</v>
      </c>
      <c r="M75" s="143">
        <f t="shared" si="20"/>
        <v>0</v>
      </c>
      <c r="N75" s="144">
        <f t="shared" si="7"/>
        <v>0</v>
      </c>
      <c r="O75" s="144">
        <f t="shared" si="8"/>
        <v>0</v>
      </c>
      <c r="P75" s="169">
        <f t="shared" si="37"/>
        <v>0</v>
      </c>
      <c r="R75" s="143">
        <f t="shared" si="22"/>
        <v>0</v>
      </c>
      <c r="S75" s="144">
        <f t="shared" si="9"/>
        <v>0</v>
      </c>
      <c r="T75" s="144">
        <f t="shared" si="10"/>
        <v>0</v>
      </c>
      <c r="U75" s="170">
        <f t="shared" si="11"/>
        <v>0</v>
      </c>
      <c r="V75" s="143">
        <f t="shared" si="23"/>
        <v>0</v>
      </c>
      <c r="W75" s="144">
        <f t="shared" si="12"/>
        <v>0</v>
      </c>
      <c r="X75" s="144">
        <f t="shared" si="13"/>
        <v>0</v>
      </c>
      <c r="Y75" s="170">
        <f t="shared" si="14"/>
        <v>0</v>
      </c>
      <c r="Z75" s="151">
        <v>0</v>
      </c>
      <c r="AA75" s="151">
        <v>0</v>
      </c>
      <c r="AB75" s="151">
        <v>0</v>
      </c>
      <c r="AC75" s="151">
        <v>0</v>
      </c>
    </row>
    <row r="76" spans="1:29" s="61" customFormat="1" ht="11.25">
      <c r="A76" s="147">
        <f t="shared" si="0"/>
        <v>0</v>
      </c>
      <c r="B76" s="152">
        <f t="shared" si="1"/>
        <v>0</v>
      </c>
      <c r="C76" s="141">
        <f t="shared" si="2"/>
        <v>5</v>
      </c>
      <c r="D76" s="142">
        <v>57</v>
      </c>
      <c r="E76" s="143">
        <f t="shared" si="16"/>
        <v>0</v>
      </c>
      <c r="F76" s="144">
        <f t="shared" si="3"/>
        <v>0</v>
      </c>
      <c r="G76" s="144">
        <f t="shared" si="4"/>
        <v>0</v>
      </c>
      <c r="H76" s="169">
        <f t="shared" si="36"/>
        <v>0</v>
      </c>
      <c r="I76" s="143">
        <f t="shared" si="18"/>
        <v>0</v>
      </c>
      <c r="J76" s="144">
        <f t="shared" si="5"/>
        <v>0</v>
      </c>
      <c r="K76" s="144">
        <f t="shared" si="6"/>
        <v>0</v>
      </c>
      <c r="L76" s="169">
        <f t="shared" si="34"/>
        <v>0</v>
      </c>
      <c r="M76" s="143">
        <f t="shared" si="20"/>
        <v>0</v>
      </c>
      <c r="N76" s="144">
        <f t="shared" si="7"/>
        <v>0</v>
      </c>
      <c r="O76" s="144">
        <f t="shared" si="8"/>
        <v>0</v>
      </c>
      <c r="P76" s="169">
        <f t="shared" si="37"/>
        <v>0</v>
      </c>
      <c r="R76" s="143">
        <f t="shared" si="22"/>
        <v>0</v>
      </c>
      <c r="S76" s="144">
        <f t="shared" si="9"/>
        <v>0</v>
      </c>
      <c r="T76" s="144">
        <f t="shared" si="10"/>
        <v>0</v>
      </c>
      <c r="U76" s="170">
        <f t="shared" si="11"/>
        <v>0</v>
      </c>
      <c r="V76" s="143">
        <f t="shared" si="23"/>
        <v>0</v>
      </c>
      <c r="W76" s="144">
        <f t="shared" si="12"/>
        <v>0</v>
      </c>
      <c r="X76" s="144">
        <f t="shared" si="13"/>
        <v>0</v>
      </c>
      <c r="Y76" s="170">
        <f t="shared" si="14"/>
        <v>0</v>
      </c>
      <c r="Z76" s="151">
        <v>0</v>
      </c>
      <c r="AA76" s="151">
        <v>0</v>
      </c>
      <c r="AB76" s="151">
        <v>0</v>
      </c>
      <c r="AC76" s="151">
        <v>0</v>
      </c>
    </row>
    <row r="77" spans="1:29" s="61" customFormat="1" ht="11.25">
      <c r="A77" s="147">
        <f t="shared" si="0"/>
        <v>0</v>
      </c>
      <c r="B77" s="152">
        <f t="shared" si="1"/>
        <v>0</v>
      </c>
      <c r="C77" s="141">
        <f t="shared" si="2"/>
        <v>5</v>
      </c>
      <c r="D77" s="142">
        <v>58</v>
      </c>
      <c r="E77" s="143">
        <f t="shared" si="16"/>
        <v>0</v>
      </c>
      <c r="F77" s="144">
        <f t="shared" si="3"/>
        <v>0</v>
      </c>
      <c r="G77" s="144">
        <f t="shared" si="4"/>
        <v>0</v>
      </c>
      <c r="H77" s="169">
        <f t="shared" si="36"/>
        <v>0</v>
      </c>
      <c r="I77" s="143">
        <f t="shared" si="18"/>
        <v>0</v>
      </c>
      <c r="J77" s="144">
        <f t="shared" si="5"/>
        <v>0</v>
      </c>
      <c r="K77" s="144">
        <f t="shared" si="6"/>
        <v>0</v>
      </c>
      <c r="L77" s="169">
        <f t="shared" si="34"/>
        <v>0</v>
      </c>
      <c r="M77" s="143">
        <f t="shared" si="20"/>
        <v>0</v>
      </c>
      <c r="N77" s="144">
        <f t="shared" si="7"/>
        <v>0</v>
      </c>
      <c r="O77" s="144">
        <f t="shared" si="8"/>
        <v>0</v>
      </c>
      <c r="P77" s="169">
        <f t="shared" si="37"/>
        <v>0</v>
      </c>
      <c r="R77" s="143">
        <f t="shared" si="22"/>
        <v>0</v>
      </c>
      <c r="S77" s="144">
        <f t="shared" si="9"/>
        <v>0</v>
      </c>
      <c r="T77" s="144">
        <f t="shared" si="10"/>
        <v>0</v>
      </c>
      <c r="U77" s="170">
        <f t="shared" si="11"/>
        <v>0</v>
      </c>
      <c r="V77" s="143">
        <f t="shared" si="23"/>
        <v>0</v>
      </c>
      <c r="W77" s="144">
        <f t="shared" si="12"/>
        <v>0</v>
      </c>
      <c r="X77" s="144">
        <f t="shared" si="13"/>
        <v>0</v>
      </c>
      <c r="Y77" s="170">
        <f t="shared" si="14"/>
        <v>0</v>
      </c>
      <c r="Z77" s="151">
        <v>0</v>
      </c>
      <c r="AA77" s="151">
        <v>0</v>
      </c>
      <c r="AB77" s="151">
        <v>0</v>
      </c>
      <c r="AC77" s="151">
        <v>0</v>
      </c>
    </row>
    <row r="78" spans="1:29" s="61" customFormat="1" ht="11.25">
      <c r="A78" s="147">
        <f t="shared" si="0"/>
        <v>0</v>
      </c>
      <c r="B78" s="152">
        <f t="shared" si="1"/>
        <v>0</v>
      </c>
      <c r="C78" s="141">
        <f t="shared" si="2"/>
        <v>5</v>
      </c>
      <c r="D78" s="142">
        <v>59</v>
      </c>
      <c r="E78" s="143">
        <f t="shared" si="16"/>
        <v>0</v>
      </c>
      <c r="F78" s="144">
        <f t="shared" si="3"/>
        <v>0</v>
      </c>
      <c r="G78" s="144">
        <f t="shared" si="4"/>
        <v>0</v>
      </c>
      <c r="H78" s="169">
        <f t="shared" si="36"/>
        <v>0</v>
      </c>
      <c r="I78" s="143">
        <f t="shared" si="18"/>
        <v>0</v>
      </c>
      <c r="J78" s="144">
        <f t="shared" si="5"/>
        <v>0</v>
      </c>
      <c r="K78" s="144">
        <f t="shared" si="6"/>
        <v>0</v>
      </c>
      <c r="L78" s="169">
        <f t="shared" si="34"/>
        <v>0</v>
      </c>
      <c r="M78" s="143">
        <f t="shared" si="20"/>
        <v>0</v>
      </c>
      <c r="N78" s="144">
        <f t="shared" si="7"/>
        <v>0</v>
      </c>
      <c r="O78" s="144">
        <f t="shared" si="8"/>
        <v>0</v>
      </c>
      <c r="P78" s="169">
        <f t="shared" si="37"/>
        <v>0</v>
      </c>
      <c r="R78" s="143">
        <f t="shared" si="22"/>
        <v>0</v>
      </c>
      <c r="S78" s="144">
        <f t="shared" si="9"/>
        <v>0</v>
      </c>
      <c r="T78" s="144">
        <f t="shared" si="10"/>
        <v>0</v>
      </c>
      <c r="U78" s="170">
        <f t="shared" si="11"/>
        <v>0</v>
      </c>
      <c r="V78" s="143">
        <f t="shared" si="23"/>
        <v>0</v>
      </c>
      <c r="W78" s="144">
        <f t="shared" si="12"/>
        <v>0</v>
      </c>
      <c r="X78" s="144">
        <f t="shared" si="13"/>
        <v>0</v>
      </c>
      <c r="Y78" s="170">
        <f t="shared" si="14"/>
        <v>0</v>
      </c>
      <c r="Z78" s="151">
        <v>0</v>
      </c>
      <c r="AA78" s="151">
        <v>0</v>
      </c>
      <c r="AB78" s="151">
        <v>0</v>
      </c>
      <c r="AC78" s="151">
        <v>0</v>
      </c>
    </row>
    <row r="79" spans="1:29" s="61" customFormat="1" ht="12" thickBot="1">
      <c r="A79" s="153">
        <f t="shared" si="0"/>
        <v>0</v>
      </c>
      <c r="B79" s="154">
        <f t="shared" si="1"/>
        <v>0</v>
      </c>
      <c r="C79" s="155">
        <f t="shared" si="2"/>
        <v>5</v>
      </c>
      <c r="D79" s="156">
        <v>60</v>
      </c>
      <c r="E79" s="157">
        <f t="shared" si="16"/>
        <v>0</v>
      </c>
      <c r="F79" s="158">
        <f t="shared" si="3"/>
        <v>0</v>
      </c>
      <c r="G79" s="158">
        <f t="shared" si="4"/>
        <v>0</v>
      </c>
      <c r="H79" s="172">
        <f t="shared" si="36"/>
        <v>0</v>
      </c>
      <c r="I79" s="157">
        <f t="shared" si="18"/>
        <v>0</v>
      </c>
      <c r="J79" s="158">
        <f t="shared" si="5"/>
        <v>0</v>
      </c>
      <c r="K79" s="158">
        <f t="shared" si="6"/>
        <v>0</v>
      </c>
      <c r="L79" s="172">
        <f t="shared" si="34"/>
        <v>0</v>
      </c>
      <c r="M79" s="157">
        <f t="shared" si="20"/>
        <v>0</v>
      </c>
      <c r="N79" s="158">
        <f t="shared" si="7"/>
        <v>0</v>
      </c>
      <c r="O79" s="158">
        <f t="shared" si="8"/>
        <v>0</v>
      </c>
      <c r="P79" s="172">
        <f t="shared" si="37"/>
        <v>0</v>
      </c>
      <c r="R79" s="157">
        <f t="shared" si="22"/>
        <v>0</v>
      </c>
      <c r="S79" s="158">
        <f t="shared" si="9"/>
        <v>0</v>
      </c>
      <c r="T79" s="158">
        <f t="shared" si="10"/>
        <v>0</v>
      </c>
      <c r="U79" s="173">
        <f t="shared" si="11"/>
        <v>0</v>
      </c>
      <c r="V79" s="157">
        <f t="shared" si="23"/>
        <v>0</v>
      </c>
      <c r="W79" s="158">
        <f t="shared" si="12"/>
        <v>0</v>
      </c>
      <c r="X79" s="158">
        <f t="shared" si="13"/>
        <v>0</v>
      </c>
      <c r="Y79" s="173">
        <f t="shared" si="14"/>
        <v>0</v>
      </c>
      <c r="Z79" s="151">
        <v>0</v>
      </c>
      <c r="AA79" s="151">
        <v>0</v>
      </c>
      <c r="AB79" s="151">
        <v>0</v>
      </c>
      <c r="AC79" s="151">
        <v>0</v>
      </c>
    </row>
    <row r="80" spans="1:29" s="61" customFormat="1" ht="11.25">
      <c r="A80" s="147">
        <f t="shared" si="0"/>
        <v>0</v>
      </c>
      <c r="B80" s="152">
        <f t="shared" si="1"/>
        <v>0</v>
      </c>
      <c r="C80" s="141">
        <f t="shared" si="2"/>
        <v>6</v>
      </c>
      <c r="D80" s="142">
        <v>61</v>
      </c>
      <c r="E80" s="143">
        <f t="shared" si="16"/>
        <v>0</v>
      </c>
      <c r="F80" s="144">
        <f t="shared" si="3"/>
        <v>0</v>
      </c>
      <c r="G80" s="144">
        <f t="shared" si="4"/>
        <v>0</v>
      </c>
      <c r="H80" s="169">
        <f t="shared" si="36"/>
        <v>0</v>
      </c>
      <c r="I80" s="143">
        <f t="shared" si="18"/>
        <v>0</v>
      </c>
      <c r="J80" s="144">
        <f t="shared" si="5"/>
        <v>0</v>
      </c>
      <c r="K80" s="144">
        <f t="shared" si="6"/>
        <v>0</v>
      </c>
      <c r="L80" s="169">
        <f t="shared" si="34"/>
        <v>0</v>
      </c>
      <c r="M80" s="143">
        <f t="shared" si="20"/>
        <v>0</v>
      </c>
      <c r="N80" s="144">
        <f t="shared" si="7"/>
        <v>0</v>
      </c>
      <c r="O80" s="144">
        <f t="shared" si="8"/>
        <v>0</v>
      </c>
      <c r="P80" s="169">
        <f t="shared" si="37"/>
        <v>0</v>
      </c>
      <c r="R80" s="143">
        <f t="shared" si="22"/>
        <v>0</v>
      </c>
      <c r="S80" s="144">
        <f t="shared" si="9"/>
        <v>0</v>
      </c>
      <c r="T80" s="144">
        <f t="shared" si="10"/>
        <v>0</v>
      </c>
      <c r="U80" s="169">
        <f t="shared" si="11"/>
        <v>0</v>
      </c>
      <c r="V80" s="143">
        <f t="shared" si="23"/>
        <v>0</v>
      </c>
      <c r="W80" s="144">
        <f t="shared" si="12"/>
        <v>0</v>
      </c>
      <c r="X80" s="144">
        <f t="shared" si="13"/>
        <v>0</v>
      </c>
      <c r="Y80" s="169">
        <f t="shared" si="14"/>
        <v>0</v>
      </c>
      <c r="Z80" s="151">
        <v>0</v>
      </c>
      <c r="AA80" s="151">
        <v>0</v>
      </c>
      <c r="AB80" s="151">
        <v>0</v>
      </c>
      <c r="AC80" s="151">
        <v>0</v>
      </c>
    </row>
    <row r="81" spans="1:29" s="61" customFormat="1" ht="11.25">
      <c r="A81" s="147">
        <f t="shared" si="0"/>
        <v>0</v>
      </c>
      <c r="B81" s="152">
        <f t="shared" si="1"/>
        <v>0</v>
      </c>
      <c r="C81" s="141">
        <f t="shared" si="2"/>
        <v>6</v>
      </c>
      <c r="D81" s="142">
        <v>62</v>
      </c>
      <c r="E81" s="143">
        <f t="shared" si="16"/>
        <v>0</v>
      </c>
      <c r="F81" s="144">
        <f t="shared" si="3"/>
        <v>0</v>
      </c>
      <c r="G81" s="144">
        <f t="shared" si="4"/>
        <v>0</v>
      </c>
      <c r="H81" s="169">
        <f t="shared" si="36"/>
        <v>0</v>
      </c>
      <c r="I81" s="143">
        <f t="shared" si="18"/>
        <v>0</v>
      </c>
      <c r="J81" s="144">
        <f t="shared" si="5"/>
        <v>0</v>
      </c>
      <c r="K81" s="144">
        <f t="shared" si="6"/>
        <v>0</v>
      </c>
      <c r="L81" s="169">
        <f t="shared" si="34"/>
        <v>0</v>
      </c>
      <c r="M81" s="143">
        <f t="shared" si="20"/>
        <v>0</v>
      </c>
      <c r="N81" s="144">
        <f t="shared" si="7"/>
        <v>0</v>
      </c>
      <c r="O81" s="144">
        <f t="shared" si="8"/>
        <v>0</v>
      </c>
      <c r="P81" s="169">
        <f t="shared" si="37"/>
        <v>0</v>
      </c>
      <c r="R81" s="143">
        <f t="shared" si="22"/>
        <v>0</v>
      </c>
      <c r="S81" s="144">
        <f t="shared" si="9"/>
        <v>0</v>
      </c>
      <c r="T81" s="144">
        <f t="shared" si="10"/>
        <v>0</v>
      </c>
      <c r="U81" s="169">
        <f t="shared" si="11"/>
        <v>0</v>
      </c>
      <c r="V81" s="143">
        <f t="shared" si="23"/>
        <v>0</v>
      </c>
      <c r="W81" s="144">
        <f t="shared" si="12"/>
        <v>0</v>
      </c>
      <c r="X81" s="144">
        <f t="shared" si="13"/>
        <v>0</v>
      </c>
      <c r="Y81" s="169">
        <f t="shared" si="14"/>
        <v>0</v>
      </c>
      <c r="Z81" s="151">
        <v>0</v>
      </c>
      <c r="AA81" s="151">
        <v>0</v>
      </c>
      <c r="AB81" s="151">
        <v>0</v>
      </c>
      <c r="AC81" s="151">
        <v>0</v>
      </c>
    </row>
    <row r="82" spans="1:29" s="61" customFormat="1" ht="11.25">
      <c r="A82" s="147">
        <f t="shared" si="0"/>
        <v>0</v>
      </c>
      <c r="B82" s="152">
        <f t="shared" si="1"/>
        <v>0</v>
      </c>
      <c r="C82" s="141">
        <f t="shared" si="2"/>
        <v>6</v>
      </c>
      <c r="D82" s="142">
        <v>63</v>
      </c>
      <c r="E82" s="143">
        <f t="shared" si="16"/>
        <v>0</v>
      </c>
      <c r="F82" s="144">
        <f t="shared" si="3"/>
        <v>0</v>
      </c>
      <c r="G82" s="144">
        <f t="shared" si="4"/>
        <v>0</v>
      </c>
      <c r="H82" s="169">
        <f t="shared" si="36"/>
        <v>0</v>
      </c>
      <c r="I82" s="143">
        <f t="shared" si="18"/>
        <v>0</v>
      </c>
      <c r="J82" s="144">
        <f t="shared" si="5"/>
        <v>0</v>
      </c>
      <c r="K82" s="144">
        <f t="shared" si="6"/>
        <v>0</v>
      </c>
      <c r="L82" s="169">
        <f t="shared" si="34"/>
        <v>0</v>
      </c>
      <c r="M82" s="143">
        <f t="shared" si="20"/>
        <v>0</v>
      </c>
      <c r="N82" s="144">
        <f t="shared" si="7"/>
        <v>0</v>
      </c>
      <c r="O82" s="144">
        <f t="shared" si="8"/>
        <v>0</v>
      </c>
      <c r="P82" s="169">
        <f t="shared" si="37"/>
        <v>0</v>
      </c>
      <c r="R82" s="143">
        <f t="shared" si="22"/>
        <v>0</v>
      </c>
      <c r="S82" s="144">
        <f t="shared" si="9"/>
        <v>0</v>
      </c>
      <c r="T82" s="144">
        <f t="shared" si="10"/>
        <v>0</v>
      </c>
      <c r="U82" s="169">
        <f t="shared" si="11"/>
        <v>0</v>
      </c>
      <c r="V82" s="143">
        <f t="shared" si="23"/>
        <v>0</v>
      </c>
      <c r="W82" s="144">
        <f t="shared" si="12"/>
        <v>0</v>
      </c>
      <c r="X82" s="144">
        <f t="shared" si="13"/>
        <v>0</v>
      </c>
      <c r="Y82" s="169">
        <f t="shared" si="14"/>
        <v>0</v>
      </c>
      <c r="Z82" s="151">
        <v>0</v>
      </c>
      <c r="AA82" s="151">
        <v>0</v>
      </c>
      <c r="AB82" s="151">
        <v>0</v>
      </c>
      <c r="AC82" s="151">
        <v>0</v>
      </c>
    </row>
    <row r="83" spans="1:29" s="61" customFormat="1" ht="11.25">
      <c r="A83" s="147">
        <f t="shared" si="0"/>
        <v>0</v>
      </c>
      <c r="B83" s="152">
        <f t="shared" si="1"/>
        <v>0</v>
      </c>
      <c r="C83" s="141">
        <f t="shared" si="2"/>
        <v>6</v>
      </c>
      <c r="D83" s="142">
        <v>64</v>
      </c>
      <c r="E83" s="143">
        <f t="shared" si="16"/>
        <v>0</v>
      </c>
      <c r="F83" s="144">
        <f t="shared" si="3"/>
        <v>0</v>
      </c>
      <c r="G83" s="144">
        <f t="shared" si="4"/>
        <v>0</v>
      </c>
      <c r="H83" s="169">
        <f t="shared" si="36"/>
        <v>0</v>
      </c>
      <c r="I83" s="143">
        <f t="shared" si="18"/>
        <v>0</v>
      </c>
      <c r="J83" s="144">
        <f t="shared" si="5"/>
        <v>0</v>
      </c>
      <c r="K83" s="144">
        <f t="shared" si="6"/>
        <v>0</v>
      </c>
      <c r="L83" s="169">
        <f t="shared" si="34"/>
        <v>0</v>
      </c>
      <c r="M83" s="143">
        <f t="shared" si="20"/>
        <v>0</v>
      </c>
      <c r="N83" s="144">
        <f t="shared" si="7"/>
        <v>0</v>
      </c>
      <c r="O83" s="144">
        <f t="shared" si="8"/>
        <v>0</v>
      </c>
      <c r="P83" s="169">
        <f t="shared" si="37"/>
        <v>0</v>
      </c>
      <c r="R83" s="143">
        <f t="shared" si="22"/>
        <v>0</v>
      </c>
      <c r="S83" s="144">
        <f t="shared" si="9"/>
        <v>0</v>
      </c>
      <c r="T83" s="144">
        <f t="shared" si="10"/>
        <v>0</v>
      </c>
      <c r="U83" s="169">
        <f t="shared" si="11"/>
        <v>0</v>
      </c>
      <c r="V83" s="143">
        <f t="shared" si="23"/>
        <v>0</v>
      </c>
      <c r="W83" s="144">
        <f t="shared" si="12"/>
        <v>0</v>
      </c>
      <c r="X83" s="144">
        <f t="shared" si="13"/>
        <v>0</v>
      </c>
      <c r="Y83" s="169">
        <f t="shared" si="14"/>
        <v>0</v>
      </c>
      <c r="Z83" s="151">
        <v>0</v>
      </c>
      <c r="AA83" s="151">
        <v>0</v>
      </c>
      <c r="AB83" s="151">
        <v>0</v>
      </c>
      <c r="AC83" s="151">
        <v>0</v>
      </c>
    </row>
    <row r="84" spans="1:29" s="61" customFormat="1" ht="11.25">
      <c r="A84" s="147">
        <f t="shared" ref="A84:A147" si="38">VLOOKUP(D84,$A$10:$C$14,3)</f>
        <v>0</v>
      </c>
      <c r="B84" s="152">
        <f t="shared" ref="B84:B147" si="39">A84/12</f>
        <v>0</v>
      </c>
      <c r="C84" s="141">
        <f t="shared" ref="C84:C147" si="40">INT((D84+11)/12)</f>
        <v>6</v>
      </c>
      <c r="D84" s="142">
        <v>65</v>
      </c>
      <c r="E84" s="143">
        <f t="shared" si="16"/>
        <v>0</v>
      </c>
      <c r="F84" s="144">
        <f t="shared" ref="F84:F147" si="41">ROUND(E84*$B84,2)</f>
        <v>0</v>
      </c>
      <c r="G84" s="144">
        <f t="shared" ref="G84:G147" si="42">IF(E84&lt;H84,E84,H84-F84)</f>
        <v>0</v>
      </c>
      <c r="H84" s="169">
        <f t="shared" si="36"/>
        <v>0</v>
      </c>
      <c r="I84" s="143">
        <f t="shared" si="18"/>
        <v>0</v>
      </c>
      <c r="J84" s="144">
        <f t="shared" ref="J84:J147" si="43">ROUND(I84*$B84,2)</f>
        <v>0</v>
      </c>
      <c r="K84" s="144">
        <f t="shared" ref="K84:K147" si="44">IF(I84&lt;L84,I84,L84-J84)</f>
        <v>0</v>
      </c>
      <c r="L84" s="169">
        <f t="shared" si="34"/>
        <v>0</v>
      </c>
      <c r="M84" s="143">
        <f t="shared" si="20"/>
        <v>0</v>
      </c>
      <c r="N84" s="144">
        <f t="shared" ref="N84:N147" si="45">ROUND(M84*$B84,2)</f>
        <v>0</v>
      </c>
      <c r="O84" s="144">
        <f t="shared" ref="O84:O147" si="46">IF(M84&lt;P84,M84,P84-N84)</f>
        <v>0</v>
      </c>
      <c r="P84" s="169">
        <f t="shared" si="37"/>
        <v>0</v>
      </c>
      <c r="R84" s="143">
        <f t="shared" si="22"/>
        <v>0</v>
      </c>
      <c r="S84" s="144">
        <f t="shared" ref="S84:S147" si="47">ROUND(R84*$B84,2)</f>
        <v>0</v>
      </c>
      <c r="T84" s="144">
        <f t="shared" ref="T84:T147" si="48">IF(R84&lt;U84,R84,U84-S84)</f>
        <v>0</v>
      </c>
      <c r="U84" s="169">
        <f t="shared" ref="U84:U147" si="49">IF(R84&lt;=0,0,$Y$15)</f>
        <v>0</v>
      </c>
      <c r="V84" s="143">
        <f t="shared" si="23"/>
        <v>0</v>
      </c>
      <c r="W84" s="144">
        <f t="shared" ref="W84:W147" si="50">ROUND(V84*$B84,2)</f>
        <v>0</v>
      </c>
      <c r="X84" s="144">
        <f t="shared" ref="X84:X147" si="51">IF(V84&lt;Y84,V84,Y84-W84)</f>
        <v>0</v>
      </c>
      <c r="Y84" s="169">
        <f t="shared" ref="Y84:Y147" si="52">IF(V84&lt;=0,0,PMT(B84,($B$2-D84+1),V84*-1))</f>
        <v>0</v>
      </c>
      <c r="Z84" s="151">
        <v>0</v>
      </c>
      <c r="AA84" s="151">
        <v>0</v>
      </c>
      <c r="AB84" s="151">
        <v>0</v>
      </c>
      <c r="AC84" s="151">
        <v>0</v>
      </c>
    </row>
    <row r="85" spans="1:29" s="61" customFormat="1" ht="11.25">
      <c r="A85" s="147">
        <f t="shared" si="38"/>
        <v>0</v>
      </c>
      <c r="B85" s="152">
        <f t="shared" si="39"/>
        <v>0</v>
      </c>
      <c r="C85" s="141">
        <f t="shared" si="40"/>
        <v>6</v>
      </c>
      <c r="D85" s="142">
        <v>66</v>
      </c>
      <c r="E85" s="143">
        <f t="shared" ref="E85:E148" si="53">IF(E84&lt;H84,0,E84-G84)</f>
        <v>0</v>
      </c>
      <c r="F85" s="144">
        <f t="shared" si="41"/>
        <v>0</v>
      </c>
      <c r="G85" s="144">
        <f t="shared" si="42"/>
        <v>0</v>
      </c>
      <c r="H85" s="169">
        <f t="shared" si="36"/>
        <v>0</v>
      </c>
      <c r="I85" s="143">
        <f t="shared" ref="I85:I148" si="54">IF(I84&lt;L84,0,I84-K84)</f>
        <v>0</v>
      </c>
      <c r="J85" s="144">
        <f t="shared" si="43"/>
        <v>0</v>
      </c>
      <c r="K85" s="144">
        <f t="shared" si="44"/>
        <v>0</v>
      </c>
      <c r="L85" s="169">
        <f t="shared" si="34"/>
        <v>0</v>
      </c>
      <c r="M85" s="143">
        <f t="shared" ref="M85:M148" si="55">IF(M84&lt;P84,0,M84-O84)</f>
        <v>0</v>
      </c>
      <c r="N85" s="144">
        <f t="shared" si="45"/>
        <v>0</v>
      </c>
      <c r="O85" s="144">
        <f t="shared" si="46"/>
        <v>0</v>
      </c>
      <c r="P85" s="169">
        <f t="shared" si="37"/>
        <v>0</v>
      </c>
      <c r="R85" s="143">
        <f t="shared" ref="R85:R148" si="56">IF(R84&lt;U84,0,R84-T84)</f>
        <v>0</v>
      </c>
      <c r="S85" s="144">
        <f t="shared" si="47"/>
        <v>0</v>
      </c>
      <c r="T85" s="144">
        <f t="shared" si="48"/>
        <v>0</v>
      </c>
      <c r="U85" s="169">
        <f t="shared" si="49"/>
        <v>0</v>
      </c>
      <c r="V85" s="143">
        <f t="shared" ref="V85:V148" si="57">IF(V84&lt;Y84,0,V84-X84)</f>
        <v>0</v>
      </c>
      <c r="W85" s="144">
        <f t="shared" si="50"/>
        <v>0</v>
      </c>
      <c r="X85" s="144">
        <f t="shared" si="51"/>
        <v>0</v>
      </c>
      <c r="Y85" s="169">
        <f t="shared" si="52"/>
        <v>0</v>
      </c>
      <c r="Z85" s="151">
        <v>0</v>
      </c>
      <c r="AA85" s="151">
        <v>0</v>
      </c>
      <c r="AB85" s="151">
        <v>0</v>
      </c>
      <c r="AC85" s="151">
        <v>0</v>
      </c>
    </row>
    <row r="86" spans="1:29" s="61" customFormat="1" ht="11.25">
      <c r="A86" s="147">
        <f t="shared" si="38"/>
        <v>0</v>
      </c>
      <c r="B86" s="152">
        <f t="shared" si="39"/>
        <v>0</v>
      </c>
      <c r="C86" s="141">
        <f t="shared" si="40"/>
        <v>6</v>
      </c>
      <c r="D86" s="142">
        <v>67</v>
      </c>
      <c r="E86" s="143">
        <f t="shared" si="53"/>
        <v>0</v>
      </c>
      <c r="F86" s="144">
        <f t="shared" si="41"/>
        <v>0</v>
      </c>
      <c r="G86" s="144">
        <f t="shared" si="42"/>
        <v>0</v>
      </c>
      <c r="H86" s="169">
        <f t="shared" si="36"/>
        <v>0</v>
      </c>
      <c r="I86" s="143">
        <f t="shared" si="54"/>
        <v>0</v>
      </c>
      <c r="J86" s="144">
        <f t="shared" si="43"/>
        <v>0</v>
      </c>
      <c r="K86" s="144">
        <f t="shared" si="44"/>
        <v>0</v>
      </c>
      <c r="L86" s="169">
        <f t="shared" si="34"/>
        <v>0</v>
      </c>
      <c r="M86" s="143">
        <f t="shared" si="55"/>
        <v>0</v>
      </c>
      <c r="N86" s="144">
        <f t="shared" si="45"/>
        <v>0</v>
      </c>
      <c r="O86" s="144">
        <f t="shared" si="46"/>
        <v>0</v>
      </c>
      <c r="P86" s="169">
        <f t="shared" si="37"/>
        <v>0</v>
      </c>
      <c r="R86" s="143">
        <f t="shared" si="56"/>
        <v>0</v>
      </c>
      <c r="S86" s="144">
        <f t="shared" si="47"/>
        <v>0</v>
      </c>
      <c r="T86" s="144">
        <f t="shared" si="48"/>
        <v>0</v>
      </c>
      <c r="U86" s="169">
        <f t="shared" si="49"/>
        <v>0</v>
      </c>
      <c r="V86" s="143">
        <f t="shared" si="57"/>
        <v>0</v>
      </c>
      <c r="W86" s="144">
        <f t="shared" si="50"/>
        <v>0</v>
      </c>
      <c r="X86" s="144">
        <f t="shared" si="51"/>
        <v>0</v>
      </c>
      <c r="Y86" s="169">
        <f t="shared" si="52"/>
        <v>0</v>
      </c>
      <c r="Z86" s="151">
        <v>0</v>
      </c>
      <c r="AA86" s="151">
        <v>0</v>
      </c>
      <c r="AB86" s="151">
        <v>0</v>
      </c>
      <c r="AC86" s="151">
        <v>0</v>
      </c>
    </row>
    <row r="87" spans="1:29" s="61" customFormat="1" ht="11.25">
      <c r="A87" s="147">
        <f t="shared" si="38"/>
        <v>0</v>
      </c>
      <c r="B87" s="152">
        <f t="shared" si="39"/>
        <v>0</v>
      </c>
      <c r="C87" s="141">
        <f t="shared" si="40"/>
        <v>6</v>
      </c>
      <c r="D87" s="142">
        <v>68</v>
      </c>
      <c r="E87" s="143">
        <f t="shared" si="53"/>
        <v>0</v>
      </c>
      <c r="F87" s="144">
        <f t="shared" si="41"/>
        <v>0</v>
      </c>
      <c r="G87" s="144">
        <f t="shared" si="42"/>
        <v>0</v>
      </c>
      <c r="H87" s="169">
        <f t="shared" si="36"/>
        <v>0</v>
      </c>
      <c r="I87" s="143">
        <f t="shared" si="54"/>
        <v>0</v>
      </c>
      <c r="J87" s="144">
        <f t="shared" si="43"/>
        <v>0</v>
      </c>
      <c r="K87" s="144">
        <f t="shared" si="44"/>
        <v>0</v>
      </c>
      <c r="L87" s="169">
        <f t="shared" si="34"/>
        <v>0</v>
      </c>
      <c r="M87" s="143">
        <f t="shared" si="55"/>
        <v>0</v>
      </c>
      <c r="N87" s="144">
        <f t="shared" si="45"/>
        <v>0</v>
      </c>
      <c r="O87" s="144">
        <f t="shared" si="46"/>
        <v>0</v>
      </c>
      <c r="P87" s="169">
        <f t="shared" si="37"/>
        <v>0</v>
      </c>
      <c r="R87" s="143">
        <f t="shared" si="56"/>
        <v>0</v>
      </c>
      <c r="S87" s="144">
        <f t="shared" si="47"/>
        <v>0</v>
      </c>
      <c r="T87" s="144">
        <f t="shared" si="48"/>
        <v>0</v>
      </c>
      <c r="U87" s="169">
        <f t="shared" si="49"/>
        <v>0</v>
      </c>
      <c r="V87" s="143">
        <f t="shared" si="57"/>
        <v>0</v>
      </c>
      <c r="W87" s="144">
        <f t="shared" si="50"/>
        <v>0</v>
      </c>
      <c r="X87" s="144">
        <f t="shared" si="51"/>
        <v>0</v>
      </c>
      <c r="Y87" s="169">
        <f t="shared" si="52"/>
        <v>0</v>
      </c>
      <c r="Z87" s="151">
        <v>0</v>
      </c>
      <c r="AA87" s="151">
        <v>0</v>
      </c>
      <c r="AB87" s="151">
        <v>0</v>
      </c>
      <c r="AC87" s="151">
        <v>0</v>
      </c>
    </row>
    <row r="88" spans="1:29" s="61" customFormat="1" ht="11.25">
      <c r="A88" s="147">
        <f t="shared" si="38"/>
        <v>0</v>
      </c>
      <c r="B88" s="152">
        <f t="shared" si="39"/>
        <v>0</v>
      </c>
      <c r="C88" s="141">
        <f t="shared" si="40"/>
        <v>6</v>
      </c>
      <c r="D88" s="142">
        <v>69</v>
      </c>
      <c r="E88" s="143">
        <f t="shared" si="53"/>
        <v>0</v>
      </c>
      <c r="F88" s="144">
        <f t="shared" si="41"/>
        <v>0</v>
      </c>
      <c r="G88" s="144">
        <f t="shared" si="42"/>
        <v>0</v>
      </c>
      <c r="H88" s="169">
        <f t="shared" si="36"/>
        <v>0</v>
      </c>
      <c r="I88" s="143">
        <f t="shared" si="54"/>
        <v>0</v>
      </c>
      <c r="J88" s="144">
        <f t="shared" si="43"/>
        <v>0</v>
      </c>
      <c r="K88" s="144">
        <f t="shared" si="44"/>
        <v>0</v>
      </c>
      <c r="L88" s="169">
        <f t="shared" si="34"/>
        <v>0</v>
      </c>
      <c r="M88" s="143">
        <f t="shared" si="55"/>
        <v>0</v>
      </c>
      <c r="N88" s="144">
        <f t="shared" si="45"/>
        <v>0</v>
      </c>
      <c r="O88" s="144">
        <f t="shared" si="46"/>
        <v>0</v>
      </c>
      <c r="P88" s="169">
        <f t="shared" si="37"/>
        <v>0</v>
      </c>
      <c r="R88" s="143">
        <f t="shared" si="56"/>
        <v>0</v>
      </c>
      <c r="S88" s="144">
        <f t="shared" si="47"/>
        <v>0</v>
      </c>
      <c r="T88" s="144">
        <f t="shared" si="48"/>
        <v>0</v>
      </c>
      <c r="U88" s="169">
        <f t="shared" si="49"/>
        <v>0</v>
      </c>
      <c r="V88" s="143">
        <f t="shared" si="57"/>
        <v>0</v>
      </c>
      <c r="W88" s="144">
        <f t="shared" si="50"/>
        <v>0</v>
      </c>
      <c r="X88" s="144">
        <f t="shared" si="51"/>
        <v>0</v>
      </c>
      <c r="Y88" s="169">
        <f t="shared" si="52"/>
        <v>0</v>
      </c>
      <c r="Z88" s="151">
        <v>0</v>
      </c>
      <c r="AA88" s="151">
        <v>0</v>
      </c>
      <c r="AB88" s="151">
        <v>0</v>
      </c>
      <c r="AC88" s="151">
        <v>0</v>
      </c>
    </row>
    <row r="89" spans="1:29" s="61" customFormat="1" ht="11.25">
      <c r="A89" s="147">
        <f t="shared" si="38"/>
        <v>0</v>
      </c>
      <c r="B89" s="152">
        <f t="shared" si="39"/>
        <v>0</v>
      </c>
      <c r="C89" s="141">
        <f t="shared" si="40"/>
        <v>6</v>
      </c>
      <c r="D89" s="142">
        <v>70</v>
      </c>
      <c r="E89" s="143">
        <f t="shared" si="53"/>
        <v>0</v>
      </c>
      <c r="F89" s="144">
        <f t="shared" si="41"/>
        <v>0</v>
      </c>
      <c r="G89" s="144">
        <f t="shared" si="42"/>
        <v>0</v>
      </c>
      <c r="H89" s="169">
        <f t="shared" si="36"/>
        <v>0</v>
      </c>
      <c r="I89" s="143">
        <f t="shared" si="54"/>
        <v>0</v>
      </c>
      <c r="J89" s="144">
        <f t="shared" si="43"/>
        <v>0</v>
      </c>
      <c r="K89" s="144">
        <f t="shared" si="44"/>
        <v>0</v>
      </c>
      <c r="L89" s="169">
        <f t="shared" si="34"/>
        <v>0</v>
      </c>
      <c r="M89" s="143">
        <f t="shared" si="55"/>
        <v>0</v>
      </c>
      <c r="N89" s="144">
        <f t="shared" si="45"/>
        <v>0</v>
      </c>
      <c r="O89" s="144">
        <f t="shared" si="46"/>
        <v>0</v>
      </c>
      <c r="P89" s="169">
        <f t="shared" si="37"/>
        <v>0</v>
      </c>
      <c r="R89" s="143">
        <f t="shared" si="56"/>
        <v>0</v>
      </c>
      <c r="S89" s="144">
        <f t="shared" si="47"/>
        <v>0</v>
      </c>
      <c r="T89" s="144">
        <f t="shared" si="48"/>
        <v>0</v>
      </c>
      <c r="U89" s="169">
        <f t="shared" si="49"/>
        <v>0</v>
      </c>
      <c r="V89" s="143">
        <f t="shared" si="57"/>
        <v>0</v>
      </c>
      <c r="W89" s="144">
        <f t="shared" si="50"/>
        <v>0</v>
      </c>
      <c r="X89" s="144">
        <f t="shared" si="51"/>
        <v>0</v>
      </c>
      <c r="Y89" s="169">
        <f t="shared" si="52"/>
        <v>0</v>
      </c>
      <c r="Z89" s="151">
        <v>0</v>
      </c>
      <c r="AA89" s="151">
        <v>0</v>
      </c>
      <c r="AB89" s="151">
        <v>0</v>
      </c>
      <c r="AC89" s="151">
        <v>0</v>
      </c>
    </row>
    <row r="90" spans="1:29" s="61" customFormat="1" ht="11.25">
      <c r="A90" s="147">
        <f t="shared" si="38"/>
        <v>0</v>
      </c>
      <c r="B90" s="152">
        <f t="shared" si="39"/>
        <v>0</v>
      </c>
      <c r="C90" s="141">
        <f t="shared" si="40"/>
        <v>6</v>
      </c>
      <c r="D90" s="142">
        <v>71</v>
      </c>
      <c r="E90" s="143">
        <f t="shared" si="53"/>
        <v>0</v>
      </c>
      <c r="F90" s="144">
        <f t="shared" si="41"/>
        <v>0</v>
      </c>
      <c r="G90" s="144">
        <f t="shared" si="42"/>
        <v>0</v>
      </c>
      <c r="H90" s="169">
        <f t="shared" si="36"/>
        <v>0</v>
      </c>
      <c r="I90" s="143">
        <f t="shared" si="54"/>
        <v>0</v>
      </c>
      <c r="J90" s="144">
        <f t="shared" si="43"/>
        <v>0</v>
      </c>
      <c r="K90" s="144">
        <f t="shared" si="44"/>
        <v>0</v>
      </c>
      <c r="L90" s="169">
        <f t="shared" si="34"/>
        <v>0</v>
      </c>
      <c r="M90" s="143">
        <f t="shared" si="55"/>
        <v>0</v>
      </c>
      <c r="N90" s="144">
        <f t="shared" si="45"/>
        <v>0</v>
      </c>
      <c r="O90" s="144">
        <f t="shared" si="46"/>
        <v>0</v>
      </c>
      <c r="P90" s="169">
        <f t="shared" si="37"/>
        <v>0</v>
      </c>
      <c r="R90" s="143">
        <f t="shared" si="56"/>
        <v>0</v>
      </c>
      <c r="S90" s="144">
        <f t="shared" si="47"/>
        <v>0</v>
      </c>
      <c r="T90" s="144">
        <f t="shared" si="48"/>
        <v>0</v>
      </c>
      <c r="U90" s="169">
        <f t="shared" si="49"/>
        <v>0</v>
      </c>
      <c r="V90" s="143">
        <f t="shared" si="57"/>
        <v>0</v>
      </c>
      <c r="W90" s="144">
        <f t="shared" si="50"/>
        <v>0</v>
      </c>
      <c r="X90" s="144">
        <f t="shared" si="51"/>
        <v>0</v>
      </c>
      <c r="Y90" s="169">
        <f t="shared" si="52"/>
        <v>0</v>
      </c>
      <c r="Z90" s="151">
        <v>0</v>
      </c>
      <c r="AA90" s="151">
        <v>0</v>
      </c>
      <c r="AB90" s="151">
        <v>0</v>
      </c>
      <c r="AC90" s="151">
        <v>0</v>
      </c>
    </row>
    <row r="91" spans="1:29" s="61" customFormat="1" ht="12" thickBot="1">
      <c r="A91" s="153">
        <f t="shared" si="38"/>
        <v>0</v>
      </c>
      <c r="B91" s="154">
        <f t="shared" si="39"/>
        <v>0</v>
      </c>
      <c r="C91" s="155">
        <f t="shared" si="40"/>
        <v>6</v>
      </c>
      <c r="D91" s="156">
        <v>72</v>
      </c>
      <c r="E91" s="157">
        <f t="shared" si="53"/>
        <v>0</v>
      </c>
      <c r="F91" s="158">
        <f t="shared" si="41"/>
        <v>0</v>
      </c>
      <c r="G91" s="158">
        <f t="shared" si="42"/>
        <v>0</v>
      </c>
      <c r="H91" s="172">
        <f t="shared" si="36"/>
        <v>0</v>
      </c>
      <c r="I91" s="157">
        <f t="shared" si="54"/>
        <v>0</v>
      </c>
      <c r="J91" s="158">
        <f t="shared" si="43"/>
        <v>0</v>
      </c>
      <c r="K91" s="158">
        <f t="shared" si="44"/>
        <v>0</v>
      </c>
      <c r="L91" s="172">
        <f t="shared" si="34"/>
        <v>0</v>
      </c>
      <c r="M91" s="157">
        <f t="shared" si="55"/>
        <v>0</v>
      </c>
      <c r="N91" s="158">
        <f t="shared" si="45"/>
        <v>0</v>
      </c>
      <c r="O91" s="158">
        <f t="shared" si="46"/>
        <v>0</v>
      </c>
      <c r="P91" s="172">
        <f t="shared" si="37"/>
        <v>0</v>
      </c>
      <c r="R91" s="157">
        <f t="shared" si="56"/>
        <v>0</v>
      </c>
      <c r="S91" s="158">
        <f t="shared" si="47"/>
        <v>0</v>
      </c>
      <c r="T91" s="158">
        <f t="shared" si="48"/>
        <v>0</v>
      </c>
      <c r="U91" s="172">
        <f t="shared" si="49"/>
        <v>0</v>
      </c>
      <c r="V91" s="157">
        <f t="shared" si="57"/>
        <v>0</v>
      </c>
      <c r="W91" s="158">
        <f t="shared" si="50"/>
        <v>0</v>
      </c>
      <c r="X91" s="158">
        <f t="shared" si="51"/>
        <v>0</v>
      </c>
      <c r="Y91" s="172">
        <f t="shared" si="52"/>
        <v>0</v>
      </c>
      <c r="Z91" s="151">
        <v>0</v>
      </c>
      <c r="AA91" s="151">
        <v>0</v>
      </c>
      <c r="AB91" s="151">
        <v>0</v>
      </c>
      <c r="AC91" s="151">
        <v>0</v>
      </c>
    </row>
    <row r="92" spans="1:29" s="61" customFormat="1" ht="11.25">
      <c r="A92" s="147">
        <f t="shared" si="38"/>
        <v>0</v>
      </c>
      <c r="B92" s="152">
        <f t="shared" si="39"/>
        <v>0</v>
      </c>
      <c r="C92" s="141">
        <f t="shared" si="40"/>
        <v>7</v>
      </c>
      <c r="D92" s="142">
        <v>73</v>
      </c>
      <c r="E92" s="143">
        <f t="shared" si="53"/>
        <v>0</v>
      </c>
      <c r="F92" s="144">
        <f t="shared" si="41"/>
        <v>0</v>
      </c>
      <c r="G92" s="144">
        <f t="shared" si="42"/>
        <v>0</v>
      </c>
      <c r="H92" s="169">
        <f t="shared" si="36"/>
        <v>0</v>
      </c>
      <c r="I92" s="143">
        <f t="shared" si="54"/>
        <v>0</v>
      </c>
      <c r="J92" s="144">
        <f t="shared" si="43"/>
        <v>0</v>
      </c>
      <c r="K92" s="144">
        <f t="shared" si="44"/>
        <v>0</v>
      </c>
      <c r="L92" s="169">
        <f t="shared" si="34"/>
        <v>0</v>
      </c>
      <c r="M92" s="143">
        <f t="shared" si="55"/>
        <v>0</v>
      </c>
      <c r="N92" s="144">
        <f t="shared" si="45"/>
        <v>0</v>
      </c>
      <c r="O92" s="144">
        <f t="shared" si="46"/>
        <v>0</v>
      </c>
      <c r="P92" s="169">
        <f t="shared" si="37"/>
        <v>0</v>
      </c>
      <c r="R92" s="143">
        <f t="shared" si="56"/>
        <v>0</v>
      </c>
      <c r="S92" s="144">
        <f t="shared" si="47"/>
        <v>0</v>
      </c>
      <c r="T92" s="144">
        <f t="shared" si="48"/>
        <v>0</v>
      </c>
      <c r="U92" s="169">
        <f t="shared" si="49"/>
        <v>0</v>
      </c>
      <c r="V92" s="143">
        <f t="shared" si="57"/>
        <v>0</v>
      </c>
      <c r="W92" s="144">
        <f t="shared" si="50"/>
        <v>0</v>
      </c>
      <c r="X92" s="144">
        <f t="shared" si="51"/>
        <v>0</v>
      </c>
      <c r="Y92" s="169">
        <f t="shared" si="52"/>
        <v>0</v>
      </c>
      <c r="Z92" s="151">
        <v>0</v>
      </c>
      <c r="AA92" s="151">
        <v>0</v>
      </c>
      <c r="AB92" s="151">
        <v>0</v>
      </c>
      <c r="AC92" s="151">
        <v>0</v>
      </c>
    </row>
    <row r="93" spans="1:29" s="61" customFormat="1" ht="11.25">
      <c r="A93" s="147">
        <f t="shared" si="38"/>
        <v>0</v>
      </c>
      <c r="B93" s="152">
        <f t="shared" si="39"/>
        <v>0</v>
      </c>
      <c r="C93" s="141">
        <f t="shared" si="40"/>
        <v>7</v>
      </c>
      <c r="D93" s="142">
        <v>74</v>
      </c>
      <c r="E93" s="143">
        <f t="shared" si="53"/>
        <v>0</v>
      </c>
      <c r="F93" s="144">
        <f t="shared" si="41"/>
        <v>0</v>
      </c>
      <c r="G93" s="144">
        <f t="shared" si="42"/>
        <v>0</v>
      </c>
      <c r="H93" s="169">
        <f t="shared" si="36"/>
        <v>0</v>
      </c>
      <c r="I93" s="143">
        <f t="shared" si="54"/>
        <v>0</v>
      </c>
      <c r="J93" s="144">
        <f t="shared" si="43"/>
        <v>0</v>
      </c>
      <c r="K93" s="144">
        <f t="shared" si="44"/>
        <v>0</v>
      </c>
      <c r="L93" s="169">
        <f t="shared" si="34"/>
        <v>0</v>
      </c>
      <c r="M93" s="143">
        <f t="shared" si="55"/>
        <v>0</v>
      </c>
      <c r="N93" s="144">
        <f t="shared" si="45"/>
        <v>0</v>
      </c>
      <c r="O93" s="144">
        <f t="shared" si="46"/>
        <v>0</v>
      </c>
      <c r="P93" s="169">
        <f t="shared" si="37"/>
        <v>0</v>
      </c>
      <c r="R93" s="143">
        <f t="shared" si="56"/>
        <v>0</v>
      </c>
      <c r="S93" s="144">
        <f t="shared" si="47"/>
        <v>0</v>
      </c>
      <c r="T93" s="144">
        <f t="shared" si="48"/>
        <v>0</v>
      </c>
      <c r="U93" s="169">
        <f t="shared" si="49"/>
        <v>0</v>
      </c>
      <c r="V93" s="143">
        <f t="shared" si="57"/>
        <v>0</v>
      </c>
      <c r="W93" s="144">
        <f t="shared" si="50"/>
        <v>0</v>
      </c>
      <c r="X93" s="144">
        <f t="shared" si="51"/>
        <v>0</v>
      </c>
      <c r="Y93" s="169">
        <f t="shared" si="52"/>
        <v>0</v>
      </c>
      <c r="Z93" s="151">
        <v>0</v>
      </c>
      <c r="AA93" s="151">
        <v>0</v>
      </c>
      <c r="AB93" s="151">
        <v>0</v>
      </c>
      <c r="AC93" s="151">
        <v>0</v>
      </c>
    </row>
    <row r="94" spans="1:29" s="61" customFormat="1" ht="11.25">
      <c r="A94" s="147">
        <f t="shared" si="38"/>
        <v>0</v>
      </c>
      <c r="B94" s="152">
        <f t="shared" si="39"/>
        <v>0</v>
      </c>
      <c r="C94" s="141">
        <f t="shared" si="40"/>
        <v>7</v>
      </c>
      <c r="D94" s="142">
        <v>75</v>
      </c>
      <c r="E94" s="143">
        <f t="shared" si="53"/>
        <v>0</v>
      </c>
      <c r="F94" s="144">
        <f t="shared" si="41"/>
        <v>0</v>
      </c>
      <c r="G94" s="144">
        <f t="shared" si="42"/>
        <v>0</v>
      </c>
      <c r="H94" s="169">
        <f t="shared" si="36"/>
        <v>0</v>
      </c>
      <c r="I94" s="143">
        <f t="shared" si="54"/>
        <v>0</v>
      </c>
      <c r="J94" s="144">
        <f t="shared" si="43"/>
        <v>0</v>
      </c>
      <c r="K94" s="144">
        <f t="shared" si="44"/>
        <v>0</v>
      </c>
      <c r="L94" s="169">
        <f t="shared" si="34"/>
        <v>0</v>
      </c>
      <c r="M94" s="143">
        <f t="shared" si="55"/>
        <v>0</v>
      </c>
      <c r="N94" s="144">
        <f t="shared" si="45"/>
        <v>0</v>
      </c>
      <c r="O94" s="144">
        <f t="shared" si="46"/>
        <v>0</v>
      </c>
      <c r="P94" s="169">
        <f t="shared" si="37"/>
        <v>0</v>
      </c>
      <c r="R94" s="143">
        <f t="shared" si="56"/>
        <v>0</v>
      </c>
      <c r="S94" s="144">
        <f t="shared" si="47"/>
        <v>0</v>
      </c>
      <c r="T94" s="144">
        <f t="shared" si="48"/>
        <v>0</v>
      </c>
      <c r="U94" s="169">
        <f t="shared" si="49"/>
        <v>0</v>
      </c>
      <c r="V94" s="143">
        <f t="shared" si="57"/>
        <v>0</v>
      </c>
      <c r="W94" s="144">
        <f t="shared" si="50"/>
        <v>0</v>
      </c>
      <c r="X94" s="144">
        <f t="shared" si="51"/>
        <v>0</v>
      </c>
      <c r="Y94" s="169">
        <f t="shared" si="52"/>
        <v>0</v>
      </c>
      <c r="Z94" s="151">
        <v>0</v>
      </c>
      <c r="AA94" s="151">
        <v>0</v>
      </c>
      <c r="AB94" s="151">
        <v>0</v>
      </c>
      <c r="AC94" s="151">
        <v>0</v>
      </c>
    </row>
    <row r="95" spans="1:29" s="61" customFormat="1" ht="11.25">
      <c r="A95" s="147">
        <f t="shared" si="38"/>
        <v>0</v>
      </c>
      <c r="B95" s="152">
        <f t="shared" si="39"/>
        <v>0</v>
      </c>
      <c r="C95" s="141">
        <f t="shared" si="40"/>
        <v>7</v>
      </c>
      <c r="D95" s="142">
        <v>76</v>
      </c>
      <c r="E95" s="143">
        <f t="shared" si="53"/>
        <v>0</v>
      </c>
      <c r="F95" s="144">
        <f t="shared" si="41"/>
        <v>0</v>
      </c>
      <c r="G95" s="144">
        <f t="shared" si="42"/>
        <v>0</v>
      </c>
      <c r="H95" s="169">
        <f t="shared" si="36"/>
        <v>0</v>
      </c>
      <c r="I95" s="143">
        <f t="shared" si="54"/>
        <v>0</v>
      </c>
      <c r="J95" s="144">
        <f t="shared" si="43"/>
        <v>0</v>
      </c>
      <c r="K95" s="144">
        <f t="shared" si="44"/>
        <v>0</v>
      </c>
      <c r="L95" s="169">
        <f t="shared" si="34"/>
        <v>0</v>
      </c>
      <c r="M95" s="143">
        <f t="shared" si="55"/>
        <v>0</v>
      </c>
      <c r="N95" s="144">
        <f t="shared" si="45"/>
        <v>0</v>
      </c>
      <c r="O95" s="144">
        <f t="shared" si="46"/>
        <v>0</v>
      </c>
      <c r="P95" s="169">
        <f t="shared" si="37"/>
        <v>0</v>
      </c>
      <c r="R95" s="143">
        <f t="shared" si="56"/>
        <v>0</v>
      </c>
      <c r="S95" s="144">
        <f t="shared" si="47"/>
        <v>0</v>
      </c>
      <c r="T95" s="144">
        <f t="shared" si="48"/>
        <v>0</v>
      </c>
      <c r="U95" s="169">
        <f t="shared" si="49"/>
        <v>0</v>
      </c>
      <c r="V95" s="143">
        <f t="shared" si="57"/>
        <v>0</v>
      </c>
      <c r="W95" s="144">
        <f t="shared" si="50"/>
        <v>0</v>
      </c>
      <c r="X95" s="144">
        <f t="shared" si="51"/>
        <v>0</v>
      </c>
      <c r="Y95" s="169">
        <f t="shared" si="52"/>
        <v>0</v>
      </c>
      <c r="Z95" s="151">
        <v>0</v>
      </c>
      <c r="AA95" s="151">
        <v>0</v>
      </c>
      <c r="AB95" s="151">
        <v>0</v>
      </c>
      <c r="AC95" s="151">
        <v>0</v>
      </c>
    </row>
    <row r="96" spans="1:29" s="61" customFormat="1" ht="11.25">
      <c r="A96" s="147">
        <f t="shared" si="38"/>
        <v>0</v>
      </c>
      <c r="B96" s="152">
        <f t="shared" si="39"/>
        <v>0</v>
      </c>
      <c r="C96" s="141">
        <f t="shared" si="40"/>
        <v>7</v>
      </c>
      <c r="D96" s="142">
        <v>77</v>
      </c>
      <c r="E96" s="143">
        <f t="shared" si="53"/>
        <v>0</v>
      </c>
      <c r="F96" s="144">
        <f t="shared" si="41"/>
        <v>0</v>
      </c>
      <c r="G96" s="144">
        <f t="shared" si="42"/>
        <v>0</v>
      </c>
      <c r="H96" s="169">
        <f t="shared" si="36"/>
        <v>0</v>
      </c>
      <c r="I96" s="143">
        <f t="shared" si="54"/>
        <v>0</v>
      </c>
      <c r="J96" s="144">
        <f t="shared" si="43"/>
        <v>0</v>
      </c>
      <c r="K96" s="144">
        <f t="shared" si="44"/>
        <v>0</v>
      </c>
      <c r="L96" s="169">
        <f t="shared" si="34"/>
        <v>0</v>
      </c>
      <c r="M96" s="143">
        <f t="shared" si="55"/>
        <v>0</v>
      </c>
      <c r="N96" s="144">
        <f t="shared" si="45"/>
        <v>0</v>
      </c>
      <c r="O96" s="144">
        <f t="shared" si="46"/>
        <v>0</v>
      </c>
      <c r="P96" s="169">
        <f t="shared" si="37"/>
        <v>0</v>
      </c>
      <c r="R96" s="143">
        <f t="shared" si="56"/>
        <v>0</v>
      </c>
      <c r="S96" s="144">
        <f t="shared" si="47"/>
        <v>0</v>
      </c>
      <c r="T96" s="144">
        <f t="shared" si="48"/>
        <v>0</v>
      </c>
      <c r="U96" s="169">
        <f t="shared" si="49"/>
        <v>0</v>
      </c>
      <c r="V96" s="143">
        <f t="shared" si="57"/>
        <v>0</v>
      </c>
      <c r="W96" s="144">
        <f t="shared" si="50"/>
        <v>0</v>
      </c>
      <c r="X96" s="144">
        <f t="shared" si="51"/>
        <v>0</v>
      </c>
      <c r="Y96" s="169">
        <f t="shared" si="52"/>
        <v>0</v>
      </c>
      <c r="Z96" s="151">
        <v>0</v>
      </c>
      <c r="AA96" s="151">
        <v>0</v>
      </c>
      <c r="AB96" s="151">
        <v>0</v>
      </c>
      <c r="AC96" s="151">
        <v>0</v>
      </c>
    </row>
    <row r="97" spans="1:29" s="61" customFormat="1" ht="11.25">
      <c r="A97" s="147">
        <f t="shared" si="38"/>
        <v>0</v>
      </c>
      <c r="B97" s="152">
        <f t="shared" si="39"/>
        <v>0</v>
      </c>
      <c r="C97" s="141">
        <f t="shared" si="40"/>
        <v>7</v>
      </c>
      <c r="D97" s="142">
        <v>78</v>
      </c>
      <c r="E97" s="143">
        <f t="shared" si="53"/>
        <v>0</v>
      </c>
      <c r="F97" s="144">
        <f t="shared" si="41"/>
        <v>0</v>
      </c>
      <c r="G97" s="144">
        <f t="shared" si="42"/>
        <v>0</v>
      </c>
      <c r="H97" s="169">
        <f t="shared" si="36"/>
        <v>0</v>
      </c>
      <c r="I97" s="143">
        <f t="shared" si="54"/>
        <v>0</v>
      </c>
      <c r="J97" s="144">
        <f t="shared" si="43"/>
        <v>0</v>
      </c>
      <c r="K97" s="144">
        <f t="shared" si="44"/>
        <v>0</v>
      </c>
      <c r="L97" s="169">
        <f t="shared" si="34"/>
        <v>0</v>
      </c>
      <c r="M97" s="143">
        <f t="shared" si="55"/>
        <v>0</v>
      </c>
      <c r="N97" s="144">
        <f t="shared" si="45"/>
        <v>0</v>
      </c>
      <c r="O97" s="144">
        <f t="shared" si="46"/>
        <v>0</v>
      </c>
      <c r="P97" s="169">
        <f t="shared" si="37"/>
        <v>0</v>
      </c>
      <c r="R97" s="143">
        <f t="shared" si="56"/>
        <v>0</v>
      </c>
      <c r="S97" s="144">
        <f t="shared" si="47"/>
        <v>0</v>
      </c>
      <c r="T97" s="144">
        <f t="shared" si="48"/>
        <v>0</v>
      </c>
      <c r="U97" s="169">
        <f t="shared" si="49"/>
        <v>0</v>
      </c>
      <c r="V97" s="143">
        <f t="shared" si="57"/>
        <v>0</v>
      </c>
      <c r="W97" s="144">
        <f t="shared" si="50"/>
        <v>0</v>
      </c>
      <c r="X97" s="144">
        <f t="shared" si="51"/>
        <v>0</v>
      </c>
      <c r="Y97" s="169">
        <f t="shared" si="52"/>
        <v>0</v>
      </c>
      <c r="Z97" s="151">
        <v>0</v>
      </c>
      <c r="AA97" s="151">
        <v>0</v>
      </c>
      <c r="AB97" s="151">
        <v>0</v>
      </c>
      <c r="AC97" s="151">
        <v>0</v>
      </c>
    </row>
    <row r="98" spans="1:29" s="61" customFormat="1" ht="11.25">
      <c r="A98" s="147">
        <f t="shared" si="38"/>
        <v>0</v>
      </c>
      <c r="B98" s="152">
        <f t="shared" si="39"/>
        <v>0</v>
      </c>
      <c r="C98" s="141">
        <f t="shared" si="40"/>
        <v>7</v>
      </c>
      <c r="D98" s="142">
        <v>79</v>
      </c>
      <c r="E98" s="143">
        <f t="shared" si="53"/>
        <v>0</v>
      </c>
      <c r="F98" s="144">
        <f t="shared" si="41"/>
        <v>0</v>
      </c>
      <c r="G98" s="144">
        <f t="shared" si="42"/>
        <v>0</v>
      </c>
      <c r="H98" s="169">
        <f t="shared" si="36"/>
        <v>0</v>
      </c>
      <c r="I98" s="143">
        <f t="shared" si="54"/>
        <v>0</v>
      </c>
      <c r="J98" s="144">
        <f t="shared" si="43"/>
        <v>0</v>
      </c>
      <c r="K98" s="144">
        <f t="shared" si="44"/>
        <v>0</v>
      </c>
      <c r="L98" s="169">
        <f t="shared" si="34"/>
        <v>0</v>
      </c>
      <c r="M98" s="143">
        <f t="shared" si="55"/>
        <v>0</v>
      </c>
      <c r="N98" s="144">
        <f t="shared" si="45"/>
        <v>0</v>
      </c>
      <c r="O98" s="144">
        <f t="shared" si="46"/>
        <v>0</v>
      </c>
      <c r="P98" s="169">
        <f t="shared" si="37"/>
        <v>0</v>
      </c>
      <c r="R98" s="143">
        <f t="shared" si="56"/>
        <v>0</v>
      </c>
      <c r="S98" s="144">
        <f t="shared" si="47"/>
        <v>0</v>
      </c>
      <c r="T98" s="144">
        <f t="shared" si="48"/>
        <v>0</v>
      </c>
      <c r="U98" s="169">
        <f t="shared" si="49"/>
        <v>0</v>
      </c>
      <c r="V98" s="143">
        <f t="shared" si="57"/>
        <v>0</v>
      </c>
      <c r="W98" s="144">
        <f t="shared" si="50"/>
        <v>0</v>
      </c>
      <c r="X98" s="144">
        <f t="shared" si="51"/>
        <v>0</v>
      </c>
      <c r="Y98" s="169">
        <f t="shared" si="52"/>
        <v>0</v>
      </c>
      <c r="Z98" s="151">
        <v>0</v>
      </c>
      <c r="AA98" s="151">
        <v>0</v>
      </c>
      <c r="AB98" s="151">
        <v>0</v>
      </c>
      <c r="AC98" s="151">
        <v>0</v>
      </c>
    </row>
    <row r="99" spans="1:29" s="61" customFormat="1" ht="11.25">
      <c r="A99" s="147">
        <f t="shared" si="38"/>
        <v>0</v>
      </c>
      <c r="B99" s="152">
        <f t="shared" si="39"/>
        <v>0</v>
      </c>
      <c r="C99" s="141">
        <f t="shared" si="40"/>
        <v>7</v>
      </c>
      <c r="D99" s="142">
        <v>80</v>
      </c>
      <c r="E99" s="143">
        <f t="shared" si="53"/>
        <v>0</v>
      </c>
      <c r="F99" s="144">
        <f t="shared" si="41"/>
        <v>0</v>
      </c>
      <c r="G99" s="144">
        <f t="shared" si="42"/>
        <v>0</v>
      </c>
      <c r="H99" s="169">
        <f t="shared" si="36"/>
        <v>0</v>
      </c>
      <c r="I99" s="143">
        <f t="shared" si="54"/>
        <v>0</v>
      </c>
      <c r="J99" s="144">
        <f t="shared" si="43"/>
        <v>0</v>
      </c>
      <c r="K99" s="144">
        <f t="shared" si="44"/>
        <v>0</v>
      </c>
      <c r="L99" s="169">
        <f t="shared" si="34"/>
        <v>0</v>
      </c>
      <c r="M99" s="143">
        <f t="shared" si="55"/>
        <v>0</v>
      </c>
      <c r="N99" s="144">
        <f t="shared" si="45"/>
        <v>0</v>
      </c>
      <c r="O99" s="144">
        <f t="shared" si="46"/>
        <v>0</v>
      </c>
      <c r="P99" s="169">
        <f t="shared" si="37"/>
        <v>0</v>
      </c>
      <c r="R99" s="143">
        <f t="shared" si="56"/>
        <v>0</v>
      </c>
      <c r="S99" s="144">
        <f t="shared" si="47"/>
        <v>0</v>
      </c>
      <c r="T99" s="144">
        <f t="shared" si="48"/>
        <v>0</v>
      </c>
      <c r="U99" s="169">
        <f t="shared" si="49"/>
        <v>0</v>
      </c>
      <c r="V99" s="143">
        <f t="shared" si="57"/>
        <v>0</v>
      </c>
      <c r="W99" s="144">
        <f t="shared" si="50"/>
        <v>0</v>
      </c>
      <c r="X99" s="144">
        <f t="shared" si="51"/>
        <v>0</v>
      </c>
      <c r="Y99" s="169">
        <f t="shared" si="52"/>
        <v>0</v>
      </c>
      <c r="Z99" s="151">
        <v>0</v>
      </c>
      <c r="AA99" s="151">
        <v>0</v>
      </c>
      <c r="AB99" s="151">
        <v>0</v>
      </c>
      <c r="AC99" s="151">
        <v>0</v>
      </c>
    </row>
    <row r="100" spans="1:29" s="61" customFormat="1" ht="11.25">
      <c r="A100" s="147">
        <f t="shared" si="38"/>
        <v>0</v>
      </c>
      <c r="B100" s="152">
        <f t="shared" si="39"/>
        <v>0</v>
      </c>
      <c r="C100" s="141">
        <f t="shared" si="40"/>
        <v>7</v>
      </c>
      <c r="D100" s="142">
        <v>81</v>
      </c>
      <c r="E100" s="143">
        <f t="shared" si="53"/>
        <v>0</v>
      </c>
      <c r="F100" s="144">
        <f t="shared" si="41"/>
        <v>0</v>
      </c>
      <c r="G100" s="144">
        <f t="shared" si="42"/>
        <v>0</v>
      </c>
      <c r="H100" s="169">
        <f t="shared" si="36"/>
        <v>0</v>
      </c>
      <c r="I100" s="143">
        <f t="shared" si="54"/>
        <v>0</v>
      </c>
      <c r="J100" s="144">
        <f t="shared" si="43"/>
        <v>0</v>
      </c>
      <c r="K100" s="144">
        <f t="shared" si="44"/>
        <v>0</v>
      </c>
      <c r="L100" s="169">
        <f t="shared" si="34"/>
        <v>0</v>
      </c>
      <c r="M100" s="143">
        <f t="shared" si="55"/>
        <v>0</v>
      </c>
      <c r="N100" s="144">
        <f t="shared" si="45"/>
        <v>0</v>
      </c>
      <c r="O100" s="144">
        <f t="shared" si="46"/>
        <v>0</v>
      </c>
      <c r="P100" s="169">
        <f t="shared" si="37"/>
        <v>0</v>
      </c>
      <c r="R100" s="143">
        <f t="shared" si="56"/>
        <v>0</v>
      </c>
      <c r="S100" s="144">
        <f t="shared" si="47"/>
        <v>0</v>
      </c>
      <c r="T100" s="144">
        <f t="shared" si="48"/>
        <v>0</v>
      </c>
      <c r="U100" s="169">
        <f t="shared" si="49"/>
        <v>0</v>
      </c>
      <c r="V100" s="143">
        <f t="shared" si="57"/>
        <v>0</v>
      </c>
      <c r="W100" s="144">
        <f t="shared" si="50"/>
        <v>0</v>
      </c>
      <c r="X100" s="144">
        <f t="shared" si="51"/>
        <v>0</v>
      </c>
      <c r="Y100" s="169">
        <f t="shared" si="52"/>
        <v>0</v>
      </c>
      <c r="Z100" s="151">
        <v>0</v>
      </c>
      <c r="AA100" s="151">
        <v>0</v>
      </c>
      <c r="AB100" s="151">
        <v>0</v>
      </c>
      <c r="AC100" s="151">
        <v>0</v>
      </c>
    </row>
    <row r="101" spans="1:29" s="61" customFormat="1" ht="11.25">
      <c r="A101" s="147">
        <f t="shared" si="38"/>
        <v>0</v>
      </c>
      <c r="B101" s="152">
        <f t="shared" si="39"/>
        <v>0</v>
      </c>
      <c r="C101" s="141">
        <f t="shared" si="40"/>
        <v>7</v>
      </c>
      <c r="D101" s="142">
        <v>82</v>
      </c>
      <c r="E101" s="143">
        <f t="shared" si="53"/>
        <v>0</v>
      </c>
      <c r="F101" s="144">
        <f t="shared" si="41"/>
        <v>0</v>
      </c>
      <c r="G101" s="144">
        <f t="shared" si="42"/>
        <v>0</v>
      </c>
      <c r="H101" s="169">
        <f t="shared" si="36"/>
        <v>0</v>
      </c>
      <c r="I101" s="143">
        <f t="shared" si="54"/>
        <v>0</v>
      </c>
      <c r="J101" s="144">
        <f t="shared" si="43"/>
        <v>0</v>
      </c>
      <c r="K101" s="144">
        <f t="shared" si="44"/>
        <v>0</v>
      </c>
      <c r="L101" s="169">
        <f t="shared" si="34"/>
        <v>0</v>
      </c>
      <c r="M101" s="143">
        <f t="shared" si="55"/>
        <v>0</v>
      </c>
      <c r="N101" s="144">
        <f t="shared" si="45"/>
        <v>0</v>
      </c>
      <c r="O101" s="144">
        <f t="shared" si="46"/>
        <v>0</v>
      </c>
      <c r="P101" s="169">
        <f t="shared" si="37"/>
        <v>0</v>
      </c>
      <c r="R101" s="143">
        <f t="shared" si="56"/>
        <v>0</v>
      </c>
      <c r="S101" s="144">
        <f t="shared" si="47"/>
        <v>0</v>
      </c>
      <c r="T101" s="144">
        <f t="shared" si="48"/>
        <v>0</v>
      </c>
      <c r="U101" s="169">
        <f t="shared" si="49"/>
        <v>0</v>
      </c>
      <c r="V101" s="143">
        <f t="shared" si="57"/>
        <v>0</v>
      </c>
      <c r="W101" s="144">
        <f t="shared" si="50"/>
        <v>0</v>
      </c>
      <c r="X101" s="144">
        <f t="shared" si="51"/>
        <v>0</v>
      </c>
      <c r="Y101" s="169">
        <f t="shared" si="52"/>
        <v>0</v>
      </c>
      <c r="Z101" s="151">
        <v>0</v>
      </c>
      <c r="AA101" s="151">
        <v>0</v>
      </c>
      <c r="AB101" s="151">
        <v>0</v>
      </c>
      <c r="AC101" s="151">
        <v>0</v>
      </c>
    </row>
    <row r="102" spans="1:29" s="61" customFormat="1" ht="11.25">
      <c r="A102" s="147">
        <f t="shared" si="38"/>
        <v>0</v>
      </c>
      <c r="B102" s="152">
        <f t="shared" si="39"/>
        <v>0</v>
      </c>
      <c r="C102" s="141">
        <f t="shared" si="40"/>
        <v>7</v>
      </c>
      <c r="D102" s="142">
        <v>83</v>
      </c>
      <c r="E102" s="143">
        <f t="shared" si="53"/>
        <v>0</v>
      </c>
      <c r="F102" s="144">
        <f t="shared" si="41"/>
        <v>0</v>
      </c>
      <c r="G102" s="144">
        <f t="shared" si="42"/>
        <v>0</v>
      </c>
      <c r="H102" s="169">
        <f t="shared" si="36"/>
        <v>0</v>
      </c>
      <c r="I102" s="143">
        <f t="shared" si="54"/>
        <v>0</v>
      </c>
      <c r="J102" s="144">
        <f t="shared" si="43"/>
        <v>0</v>
      </c>
      <c r="K102" s="144">
        <f t="shared" si="44"/>
        <v>0</v>
      </c>
      <c r="L102" s="169">
        <f t="shared" si="34"/>
        <v>0</v>
      </c>
      <c r="M102" s="143">
        <f t="shared" si="55"/>
        <v>0</v>
      </c>
      <c r="N102" s="144">
        <f t="shared" si="45"/>
        <v>0</v>
      </c>
      <c r="O102" s="144">
        <f t="shared" si="46"/>
        <v>0</v>
      </c>
      <c r="P102" s="169">
        <f t="shared" si="37"/>
        <v>0</v>
      </c>
      <c r="R102" s="143">
        <f t="shared" si="56"/>
        <v>0</v>
      </c>
      <c r="S102" s="144">
        <f t="shared" si="47"/>
        <v>0</v>
      </c>
      <c r="T102" s="144">
        <f t="shared" si="48"/>
        <v>0</v>
      </c>
      <c r="U102" s="169">
        <f t="shared" si="49"/>
        <v>0</v>
      </c>
      <c r="V102" s="143">
        <f t="shared" si="57"/>
        <v>0</v>
      </c>
      <c r="W102" s="144">
        <f t="shared" si="50"/>
        <v>0</v>
      </c>
      <c r="X102" s="144">
        <f t="shared" si="51"/>
        <v>0</v>
      </c>
      <c r="Y102" s="169">
        <f t="shared" si="52"/>
        <v>0</v>
      </c>
      <c r="Z102" s="151">
        <v>0</v>
      </c>
      <c r="AA102" s="151">
        <v>0</v>
      </c>
      <c r="AB102" s="151">
        <v>0</v>
      </c>
      <c r="AC102" s="151">
        <v>0</v>
      </c>
    </row>
    <row r="103" spans="1:29" s="61" customFormat="1" ht="12" thickBot="1">
      <c r="A103" s="153">
        <f t="shared" si="38"/>
        <v>0</v>
      </c>
      <c r="B103" s="154">
        <f t="shared" si="39"/>
        <v>0</v>
      </c>
      <c r="C103" s="155">
        <f t="shared" si="40"/>
        <v>7</v>
      </c>
      <c r="D103" s="156">
        <v>84</v>
      </c>
      <c r="E103" s="157">
        <f t="shared" si="53"/>
        <v>0</v>
      </c>
      <c r="F103" s="158">
        <f t="shared" si="41"/>
        <v>0</v>
      </c>
      <c r="G103" s="158">
        <f t="shared" si="42"/>
        <v>0</v>
      </c>
      <c r="H103" s="172">
        <f t="shared" si="36"/>
        <v>0</v>
      </c>
      <c r="I103" s="157">
        <f t="shared" si="54"/>
        <v>0</v>
      </c>
      <c r="J103" s="158">
        <f t="shared" si="43"/>
        <v>0</v>
      </c>
      <c r="K103" s="158">
        <f t="shared" si="44"/>
        <v>0</v>
      </c>
      <c r="L103" s="172">
        <f t="shared" si="34"/>
        <v>0</v>
      </c>
      <c r="M103" s="157">
        <f t="shared" si="55"/>
        <v>0</v>
      </c>
      <c r="N103" s="158">
        <f t="shared" si="45"/>
        <v>0</v>
      </c>
      <c r="O103" s="158">
        <f t="shared" si="46"/>
        <v>0</v>
      </c>
      <c r="P103" s="172">
        <f t="shared" si="37"/>
        <v>0</v>
      </c>
      <c r="R103" s="157">
        <f t="shared" si="56"/>
        <v>0</v>
      </c>
      <c r="S103" s="158">
        <f t="shared" si="47"/>
        <v>0</v>
      </c>
      <c r="T103" s="158">
        <f t="shared" si="48"/>
        <v>0</v>
      </c>
      <c r="U103" s="172">
        <f t="shared" si="49"/>
        <v>0</v>
      </c>
      <c r="V103" s="157">
        <f t="shared" si="57"/>
        <v>0</v>
      </c>
      <c r="W103" s="158">
        <f t="shared" si="50"/>
        <v>0</v>
      </c>
      <c r="X103" s="158">
        <f t="shared" si="51"/>
        <v>0</v>
      </c>
      <c r="Y103" s="172">
        <f t="shared" si="52"/>
        <v>0</v>
      </c>
      <c r="Z103" s="151">
        <v>0</v>
      </c>
      <c r="AA103" s="151">
        <v>0</v>
      </c>
      <c r="AB103" s="151">
        <v>0</v>
      </c>
      <c r="AC103" s="151">
        <v>0</v>
      </c>
    </row>
    <row r="104" spans="1:29" s="61" customFormat="1" ht="11.25">
      <c r="A104" s="147">
        <f t="shared" si="38"/>
        <v>0</v>
      </c>
      <c r="B104" s="152">
        <f t="shared" si="39"/>
        <v>0</v>
      </c>
      <c r="C104" s="141">
        <f t="shared" si="40"/>
        <v>8</v>
      </c>
      <c r="D104" s="142">
        <v>85</v>
      </c>
      <c r="E104" s="143">
        <f t="shared" si="53"/>
        <v>0</v>
      </c>
      <c r="F104" s="144">
        <f t="shared" si="41"/>
        <v>0</v>
      </c>
      <c r="G104" s="144">
        <f t="shared" si="42"/>
        <v>0</v>
      </c>
      <c r="H104" s="169">
        <f t="shared" si="36"/>
        <v>0</v>
      </c>
      <c r="I104" s="143">
        <f t="shared" si="54"/>
        <v>0</v>
      </c>
      <c r="J104" s="144">
        <f t="shared" si="43"/>
        <v>0</v>
      </c>
      <c r="K104" s="144">
        <f t="shared" si="44"/>
        <v>0</v>
      </c>
      <c r="L104" s="169">
        <f t="shared" si="34"/>
        <v>0</v>
      </c>
      <c r="M104" s="143">
        <f t="shared" si="55"/>
        <v>0</v>
      </c>
      <c r="N104" s="144">
        <f t="shared" si="45"/>
        <v>0</v>
      </c>
      <c r="O104" s="144">
        <f t="shared" si="46"/>
        <v>0</v>
      </c>
      <c r="P104" s="169">
        <f t="shared" si="37"/>
        <v>0</v>
      </c>
      <c r="R104" s="143">
        <f t="shared" si="56"/>
        <v>0</v>
      </c>
      <c r="S104" s="144">
        <f t="shared" si="47"/>
        <v>0</v>
      </c>
      <c r="T104" s="144">
        <f t="shared" si="48"/>
        <v>0</v>
      </c>
      <c r="U104" s="169">
        <f t="shared" si="49"/>
        <v>0</v>
      </c>
      <c r="V104" s="143">
        <f t="shared" si="57"/>
        <v>0</v>
      </c>
      <c r="W104" s="144">
        <f t="shared" si="50"/>
        <v>0</v>
      </c>
      <c r="X104" s="144">
        <f t="shared" si="51"/>
        <v>0</v>
      </c>
      <c r="Y104" s="169">
        <f t="shared" si="52"/>
        <v>0</v>
      </c>
      <c r="Z104" s="151">
        <v>0</v>
      </c>
      <c r="AA104" s="151">
        <v>0</v>
      </c>
      <c r="AB104" s="151">
        <v>0</v>
      </c>
      <c r="AC104" s="151">
        <v>0</v>
      </c>
    </row>
    <row r="105" spans="1:29" s="61" customFormat="1" ht="11.25">
      <c r="A105" s="147">
        <f t="shared" si="38"/>
        <v>0</v>
      </c>
      <c r="B105" s="152">
        <f t="shared" si="39"/>
        <v>0</v>
      </c>
      <c r="C105" s="141">
        <f t="shared" si="40"/>
        <v>8</v>
      </c>
      <c r="D105" s="142">
        <v>86</v>
      </c>
      <c r="E105" s="143">
        <f t="shared" si="53"/>
        <v>0</v>
      </c>
      <c r="F105" s="144">
        <f t="shared" si="41"/>
        <v>0</v>
      </c>
      <c r="G105" s="144">
        <f t="shared" si="42"/>
        <v>0</v>
      </c>
      <c r="H105" s="169">
        <f t="shared" si="36"/>
        <v>0</v>
      </c>
      <c r="I105" s="143">
        <f t="shared" si="54"/>
        <v>0</v>
      </c>
      <c r="J105" s="144">
        <f t="shared" si="43"/>
        <v>0</v>
      </c>
      <c r="K105" s="144">
        <f t="shared" si="44"/>
        <v>0</v>
      </c>
      <c r="L105" s="169">
        <f t="shared" si="34"/>
        <v>0</v>
      </c>
      <c r="M105" s="143">
        <f t="shared" si="55"/>
        <v>0</v>
      </c>
      <c r="N105" s="144">
        <f t="shared" si="45"/>
        <v>0</v>
      </c>
      <c r="O105" s="144">
        <f t="shared" si="46"/>
        <v>0</v>
      </c>
      <c r="P105" s="169">
        <f t="shared" si="37"/>
        <v>0</v>
      </c>
      <c r="R105" s="143">
        <f t="shared" si="56"/>
        <v>0</v>
      </c>
      <c r="S105" s="144">
        <f t="shared" si="47"/>
        <v>0</v>
      </c>
      <c r="T105" s="144">
        <f t="shared" si="48"/>
        <v>0</v>
      </c>
      <c r="U105" s="169">
        <f t="shared" si="49"/>
        <v>0</v>
      </c>
      <c r="V105" s="143">
        <f t="shared" si="57"/>
        <v>0</v>
      </c>
      <c r="W105" s="144">
        <f t="shared" si="50"/>
        <v>0</v>
      </c>
      <c r="X105" s="144">
        <f t="shared" si="51"/>
        <v>0</v>
      </c>
      <c r="Y105" s="169">
        <f t="shared" si="52"/>
        <v>0</v>
      </c>
      <c r="Z105" s="151">
        <v>0</v>
      </c>
      <c r="AA105" s="151">
        <v>0</v>
      </c>
      <c r="AB105" s="151">
        <v>0</v>
      </c>
      <c r="AC105" s="151">
        <v>0</v>
      </c>
    </row>
    <row r="106" spans="1:29" s="61" customFormat="1" ht="11.25">
      <c r="A106" s="147">
        <f t="shared" si="38"/>
        <v>0</v>
      </c>
      <c r="B106" s="152">
        <f t="shared" si="39"/>
        <v>0</v>
      </c>
      <c r="C106" s="141">
        <f t="shared" si="40"/>
        <v>8</v>
      </c>
      <c r="D106" s="142">
        <v>87</v>
      </c>
      <c r="E106" s="143">
        <f t="shared" si="53"/>
        <v>0</v>
      </c>
      <c r="F106" s="144">
        <f t="shared" si="41"/>
        <v>0</v>
      </c>
      <c r="G106" s="144">
        <f t="shared" si="42"/>
        <v>0</v>
      </c>
      <c r="H106" s="169">
        <f t="shared" si="36"/>
        <v>0</v>
      </c>
      <c r="I106" s="143">
        <f t="shared" si="54"/>
        <v>0</v>
      </c>
      <c r="J106" s="144">
        <f t="shared" si="43"/>
        <v>0</v>
      </c>
      <c r="K106" s="144">
        <f t="shared" si="44"/>
        <v>0</v>
      </c>
      <c r="L106" s="169">
        <f t="shared" si="34"/>
        <v>0</v>
      </c>
      <c r="M106" s="143">
        <f t="shared" si="55"/>
        <v>0</v>
      </c>
      <c r="N106" s="144">
        <f t="shared" si="45"/>
        <v>0</v>
      </c>
      <c r="O106" s="144">
        <f t="shared" si="46"/>
        <v>0</v>
      </c>
      <c r="P106" s="169">
        <f t="shared" si="37"/>
        <v>0</v>
      </c>
      <c r="R106" s="143">
        <f t="shared" si="56"/>
        <v>0</v>
      </c>
      <c r="S106" s="144">
        <f t="shared" si="47"/>
        <v>0</v>
      </c>
      <c r="T106" s="144">
        <f t="shared" si="48"/>
        <v>0</v>
      </c>
      <c r="U106" s="169">
        <f t="shared" si="49"/>
        <v>0</v>
      </c>
      <c r="V106" s="143">
        <f t="shared" si="57"/>
        <v>0</v>
      </c>
      <c r="W106" s="144">
        <f t="shared" si="50"/>
        <v>0</v>
      </c>
      <c r="X106" s="144">
        <f t="shared" si="51"/>
        <v>0</v>
      </c>
      <c r="Y106" s="169">
        <f t="shared" si="52"/>
        <v>0</v>
      </c>
      <c r="Z106" s="151">
        <v>0</v>
      </c>
      <c r="AA106" s="151">
        <v>0</v>
      </c>
      <c r="AB106" s="151">
        <v>0</v>
      </c>
      <c r="AC106" s="151">
        <v>0</v>
      </c>
    </row>
    <row r="107" spans="1:29" s="61" customFormat="1" ht="11.25">
      <c r="A107" s="147">
        <f t="shared" si="38"/>
        <v>0</v>
      </c>
      <c r="B107" s="152">
        <f t="shared" si="39"/>
        <v>0</v>
      </c>
      <c r="C107" s="141">
        <f t="shared" si="40"/>
        <v>8</v>
      </c>
      <c r="D107" s="142">
        <v>88</v>
      </c>
      <c r="E107" s="143">
        <f t="shared" si="53"/>
        <v>0</v>
      </c>
      <c r="F107" s="144">
        <f t="shared" si="41"/>
        <v>0</v>
      </c>
      <c r="G107" s="144">
        <f t="shared" si="42"/>
        <v>0</v>
      </c>
      <c r="H107" s="169">
        <f t="shared" si="36"/>
        <v>0</v>
      </c>
      <c r="I107" s="143">
        <f t="shared" si="54"/>
        <v>0</v>
      </c>
      <c r="J107" s="144">
        <f t="shared" si="43"/>
        <v>0</v>
      </c>
      <c r="K107" s="144">
        <f t="shared" si="44"/>
        <v>0</v>
      </c>
      <c r="L107" s="169">
        <f t="shared" si="34"/>
        <v>0</v>
      </c>
      <c r="M107" s="143">
        <f t="shared" si="55"/>
        <v>0</v>
      </c>
      <c r="N107" s="144">
        <f t="shared" si="45"/>
        <v>0</v>
      </c>
      <c r="O107" s="144">
        <f t="shared" si="46"/>
        <v>0</v>
      </c>
      <c r="P107" s="169">
        <f t="shared" si="37"/>
        <v>0</v>
      </c>
      <c r="R107" s="143">
        <f t="shared" si="56"/>
        <v>0</v>
      </c>
      <c r="S107" s="144">
        <f t="shared" si="47"/>
        <v>0</v>
      </c>
      <c r="T107" s="144">
        <f t="shared" si="48"/>
        <v>0</v>
      </c>
      <c r="U107" s="169">
        <f t="shared" si="49"/>
        <v>0</v>
      </c>
      <c r="V107" s="143">
        <f t="shared" si="57"/>
        <v>0</v>
      </c>
      <c r="W107" s="144">
        <f t="shared" si="50"/>
        <v>0</v>
      </c>
      <c r="X107" s="144">
        <f t="shared" si="51"/>
        <v>0</v>
      </c>
      <c r="Y107" s="169">
        <f t="shared" si="52"/>
        <v>0</v>
      </c>
      <c r="Z107" s="151">
        <v>0</v>
      </c>
      <c r="AA107" s="151">
        <v>0</v>
      </c>
      <c r="AB107" s="151">
        <v>0</v>
      </c>
      <c r="AC107" s="151">
        <v>0</v>
      </c>
    </row>
    <row r="108" spans="1:29" s="61" customFormat="1" ht="11.25">
      <c r="A108" s="147">
        <f t="shared" si="38"/>
        <v>0</v>
      </c>
      <c r="B108" s="152">
        <f t="shared" si="39"/>
        <v>0</v>
      </c>
      <c r="C108" s="141">
        <f t="shared" si="40"/>
        <v>8</v>
      </c>
      <c r="D108" s="142">
        <v>89</v>
      </c>
      <c r="E108" s="143">
        <f t="shared" si="53"/>
        <v>0</v>
      </c>
      <c r="F108" s="144">
        <f t="shared" si="41"/>
        <v>0</v>
      </c>
      <c r="G108" s="144">
        <f t="shared" si="42"/>
        <v>0</v>
      </c>
      <c r="H108" s="169">
        <f t="shared" si="36"/>
        <v>0</v>
      </c>
      <c r="I108" s="143">
        <f t="shared" si="54"/>
        <v>0</v>
      </c>
      <c r="J108" s="144">
        <f t="shared" si="43"/>
        <v>0</v>
      </c>
      <c r="K108" s="144">
        <f t="shared" si="44"/>
        <v>0</v>
      </c>
      <c r="L108" s="169">
        <f t="shared" si="34"/>
        <v>0</v>
      </c>
      <c r="M108" s="143">
        <f t="shared" si="55"/>
        <v>0</v>
      </c>
      <c r="N108" s="144">
        <f t="shared" si="45"/>
        <v>0</v>
      </c>
      <c r="O108" s="144">
        <f t="shared" si="46"/>
        <v>0</v>
      </c>
      <c r="P108" s="169">
        <f t="shared" si="37"/>
        <v>0</v>
      </c>
      <c r="R108" s="143">
        <f t="shared" si="56"/>
        <v>0</v>
      </c>
      <c r="S108" s="144">
        <f t="shared" si="47"/>
        <v>0</v>
      </c>
      <c r="T108" s="144">
        <f t="shared" si="48"/>
        <v>0</v>
      </c>
      <c r="U108" s="169">
        <f t="shared" si="49"/>
        <v>0</v>
      </c>
      <c r="V108" s="143">
        <f t="shared" si="57"/>
        <v>0</v>
      </c>
      <c r="W108" s="144">
        <f t="shared" si="50"/>
        <v>0</v>
      </c>
      <c r="X108" s="144">
        <f t="shared" si="51"/>
        <v>0</v>
      </c>
      <c r="Y108" s="169">
        <f t="shared" si="52"/>
        <v>0</v>
      </c>
      <c r="Z108" s="151">
        <v>0</v>
      </c>
      <c r="AA108" s="151">
        <v>0</v>
      </c>
      <c r="AB108" s="151">
        <v>0</v>
      </c>
      <c r="AC108" s="151">
        <v>0</v>
      </c>
    </row>
    <row r="109" spans="1:29" s="61" customFormat="1" ht="11.25">
      <c r="A109" s="147">
        <f t="shared" si="38"/>
        <v>0</v>
      </c>
      <c r="B109" s="152">
        <f t="shared" si="39"/>
        <v>0</v>
      </c>
      <c r="C109" s="141">
        <f t="shared" si="40"/>
        <v>8</v>
      </c>
      <c r="D109" s="142">
        <v>90</v>
      </c>
      <c r="E109" s="143">
        <f t="shared" si="53"/>
        <v>0</v>
      </c>
      <c r="F109" s="144">
        <f t="shared" si="41"/>
        <v>0</v>
      </c>
      <c r="G109" s="144">
        <f t="shared" si="42"/>
        <v>0</v>
      </c>
      <c r="H109" s="169">
        <f t="shared" si="36"/>
        <v>0</v>
      </c>
      <c r="I109" s="143">
        <f t="shared" si="54"/>
        <v>0</v>
      </c>
      <c r="J109" s="144">
        <f t="shared" si="43"/>
        <v>0</v>
      </c>
      <c r="K109" s="144">
        <f t="shared" si="44"/>
        <v>0</v>
      </c>
      <c r="L109" s="169">
        <f t="shared" si="34"/>
        <v>0</v>
      </c>
      <c r="M109" s="143">
        <f t="shared" si="55"/>
        <v>0</v>
      </c>
      <c r="N109" s="144">
        <f t="shared" si="45"/>
        <v>0</v>
      </c>
      <c r="O109" s="144">
        <f t="shared" si="46"/>
        <v>0</v>
      </c>
      <c r="P109" s="169">
        <f t="shared" si="37"/>
        <v>0</v>
      </c>
      <c r="R109" s="143">
        <f t="shared" si="56"/>
        <v>0</v>
      </c>
      <c r="S109" s="144">
        <f t="shared" si="47"/>
        <v>0</v>
      </c>
      <c r="T109" s="144">
        <f t="shared" si="48"/>
        <v>0</v>
      </c>
      <c r="U109" s="169">
        <f t="shared" si="49"/>
        <v>0</v>
      </c>
      <c r="V109" s="143">
        <f t="shared" si="57"/>
        <v>0</v>
      </c>
      <c r="W109" s="144">
        <f t="shared" si="50"/>
        <v>0</v>
      </c>
      <c r="X109" s="144">
        <f t="shared" si="51"/>
        <v>0</v>
      </c>
      <c r="Y109" s="169">
        <f t="shared" si="52"/>
        <v>0</v>
      </c>
      <c r="Z109" s="151">
        <v>0</v>
      </c>
      <c r="AA109" s="151">
        <v>0</v>
      </c>
      <c r="AB109" s="151">
        <v>0</v>
      </c>
      <c r="AC109" s="151">
        <v>0</v>
      </c>
    </row>
    <row r="110" spans="1:29" s="61" customFormat="1" ht="11.25">
      <c r="A110" s="147">
        <f t="shared" si="38"/>
        <v>0</v>
      </c>
      <c r="B110" s="152">
        <f t="shared" si="39"/>
        <v>0</v>
      </c>
      <c r="C110" s="141">
        <f t="shared" si="40"/>
        <v>8</v>
      </c>
      <c r="D110" s="142">
        <v>91</v>
      </c>
      <c r="E110" s="143">
        <f t="shared" si="53"/>
        <v>0</v>
      </c>
      <c r="F110" s="144">
        <f t="shared" si="41"/>
        <v>0</v>
      </c>
      <c r="G110" s="144">
        <f t="shared" si="42"/>
        <v>0</v>
      </c>
      <c r="H110" s="169">
        <f t="shared" si="36"/>
        <v>0</v>
      </c>
      <c r="I110" s="143">
        <f t="shared" si="54"/>
        <v>0</v>
      </c>
      <c r="J110" s="144">
        <f t="shared" si="43"/>
        <v>0</v>
      </c>
      <c r="K110" s="144">
        <f t="shared" si="44"/>
        <v>0</v>
      </c>
      <c r="L110" s="169">
        <f t="shared" si="34"/>
        <v>0</v>
      </c>
      <c r="M110" s="143">
        <f t="shared" si="55"/>
        <v>0</v>
      </c>
      <c r="N110" s="144">
        <f t="shared" si="45"/>
        <v>0</v>
      </c>
      <c r="O110" s="144">
        <f t="shared" si="46"/>
        <v>0</v>
      </c>
      <c r="P110" s="169">
        <f t="shared" si="37"/>
        <v>0</v>
      </c>
      <c r="R110" s="143">
        <f t="shared" si="56"/>
        <v>0</v>
      </c>
      <c r="S110" s="144">
        <f t="shared" si="47"/>
        <v>0</v>
      </c>
      <c r="T110" s="144">
        <f t="shared" si="48"/>
        <v>0</v>
      </c>
      <c r="U110" s="169">
        <f t="shared" si="49"/>
        <v>0</v>
      </c>
      <c r="V110" s="143">
        <f t="shared" si="57"/>
        <v>0</v>
      </c>
      <c r="W110" s="144">
        <f t="shared" si="50"/>
        <v>0</v>
      </c>
      <c r="X110" s="144">
        <f t="shared" si="51"/>
        <v>0</v>
      </c>
      <c r="Y110" s="169">
        <f t="shared" si="52"/>
        <v>0</v>
      </c>
      <c r="Z110" s="151">
        <v>0</v>
      </c>
      <c r="AA110" s="151">
        <v>0</v>
      </c>
      <c r="AB110" s="151">
        <v>0</v>
      </c>
      <c r="AC110" s="151">
        <v>0</v>
      </c>
    </row>
    <row r="111" spans="1:29" s="61" customFormat="1" ht="11.25">
      <c r="A111" s="147">
        <f t="shared" si="38"/>
        <v>0</v>
      </c>
      <c r="B111" s="152">
        <f t="shared" si="39"/>
        <v>0</v>
      </c>
      <c r="C111" s="141">
        <f t="shared" si="40"/>
        <v>8</v>
      </c>
      <c r="D111" s="142">
        <v>92</v>
      </c>
      <c r="E111" s="143">
        <f t="shared" si="53"/>
        <v>0</v>
      </c>
      <c r="F111" s="144">
        <f t="shared" si="41"/>
        <v>0</v>
      </c>
      <c r="G111" s="144">
        <f t="shared" si="42"/>
        <v>0</v>
      </c>
      <c r="H111" s="169">
        <f t="shared" si="36"/>
        <v>0</v>
      </c>
      <c r="I111" s="143">
        <f t="shared" si="54"/>
        <v>0</v>
      </c>
      <c r="J111" s="144">
        <f t="shared" si="43"/>
        <v>0</v>
      </c>
      <c r="K111" s="144">
        <f t="shared" si="44"/>
        <v>0</v>
      </c>
      <c r="L111" s="169">
        <f t="shared" si="34"/>
        <v>0</v>
      </c>
      <c r="M111" s="143">
        <f t="shared" si="55"/>
        <v>0</v>
      </c>
      <c r="N111" s="144">
        <f t="shared" si="45"/>
        <v>0</v>
      </c>
      <c r="O111" s="144">
        <f t="shared" si="46"/>
        <v>0</v>
      </c>
      <c r="P111" s="169">
        <f t="shared" si="37"/>
        <v>0</v>
      </c>
      <c r="R111" s="143">
        <f t="shared" si="56"/>
        <v>0</v>
      </c>
      <c r="S111" s="144">
        <f t="shared" si="47"/>
        <v>0</v>
      </c>
      <c r="T111" s="144">
        <f t="shared" si="48"/>
        <v>0</v>
      </c>
      <c r="U111" s="169">
        <f t="shared" si="49"/>
        <v>0</v>
      </c>
      <c r="V111" s="143">
        <f t="shared" si="57"/>
        <v>0</v>
      </c>
      <c r="W111" s="144">
        <f t="shared" si="50"/>
        <v>0</v>
      </c>
      <c r="X111" s="144">
        <f t="shared" si="51"/>
        <v>0</v>
      </c>
      <c r="Y111" s="169">
        <f t="shared" si="52"/>
        <v>0</v>
      </c>
      <c r="Z111" s="151">
        <v>0</v>
      </c>
      <c r="AA111" s="151">
        <v>0</v>
      </c>
      <c r="AB111" s="151">
        <v>0</v>
      </c>
      <c r="AC111" s="151">
        <v>0</v>
      </c>
    </row>
    <row r="112" spans="1:29" s="61" customFormat="1" ht="11.25">
      <c r="A112" s="147">
        <f t="shared" si="38"/>
        <v>0</v>
      </c>
      <c r="B112" s="152">
        <f t="shared" si="39"/>
        <v>0</v>
      </c>
      <c r="C112" s="141">
        <f t="shared" si="40"/>
        <v>8</v>
      </c>
      <c r="D112" s="142">
        <v>93</v>
      </c>
      <c r="E112" s="143">
        <f t="shared" si="53"/>
        <v>0</v>
      </c>
      <c r="F112" s="144">
        <f t="shared" si="41"/>
        <v>0</v>
      </c>
      <c r="G112" s="144">
        <f t="shared" si="42"/>
        <v>0</v>
      </c>
      <c r="H112" s="169">
        <f t="shared" si="36"/>
        <v>0</v>
      </c>
      <c r="I112" s="143">
        <f t="shared" si="54"/>
        <v>0</v>
      </c>
      <c r="J112" s="144">
        <f t="shared" si="43"/>
        <v>0</v>
      </c>
      <c r="K112" s="144">
        <f t="shared" si="44"/>
        <v>0</v>
      </c>
      <c r="L112" s="169">
        <f t="shared" si="34"/>
        <v>0</v>
      </c>
      <c r="M112" s="143">
        <f t="shared" si="55"/>
        <v>0</v>
      </c>
      <c r="N112" s="144">
        <f t="shared" si="45"/>
        <v>0</v>
      </c>
      <c r="O112" s="144">
        <f t="shared" si="46"/>
        <v>0</v>
      </c>
      <c r="P112" s="169">
        <f t="shared" si="37"/>
        <v>0</v>
      </c>
      <c r="R112" s="143">
        <f t="shared" si="56"/>
        <v>0</v>
      </c>
      <c r="S112" s="144">
        <f t="shared" si="47"/>
        <v>0</v>
      </c>
      <c r="T112" s="144">
        <f t="shared" si="48"/>
        <v>0</v>
      </c>
      <c r="U112" s="169">
        <f t="shared" si="49"/>
        <v>0</v>
      </c>
      <c r="V112" s="143">
        <f t="shared" si="57"/>
        <v>0</v>
      </c>
      <c r="W112" s="144">
        <f t="shared" si="50"/>
        <v>0</v>
      </c>
      <c r="X112" s="144">
        <f t="shared" si="51"/>
        <v>0</v>
      </c>
      <c r="Y112" s="169">
        <f t="shared" si="52"/>
        <v>0</v>
      </c>
      <c r="Z112" s="151">
        <v>0</v>
      </c>
      <c r="AA112" s="151">
        <v>0</v>
      </c>
      <c r="AB112" s="151">
        <v>0</v>
      </c>
      <c r="AC112" s="151">
        <v>0</v>
      </c>
    </row>
    <row r="113" spans="1:29" s="61" customFormat="1" ht="11.25">
      <c r="A113" s="147">
        <f t="shared" si="38"/>
        <v>0</v>
      </c>
      <c r="B113" s="152">
        <f t="shared" si="39"/>
        <v>0</v>
      </c>
      <c r="C113" s="141">
        <f t="shared" si="40"/>
        <v>8</v>
      </c>
      <c r="D113" s="142">
        <v>94</v>
      </c>
      <c r="E113" s="143">
        <f t="shared" si="53"/>
        <v>0</v>
      </c>
      <c r="F113" s="144">
        <f t="shared" si="41"/>
        <v>0</v>
      </c>
      <c r="G113" s="144">
        <f t="shared" si="42"/>
        <v>0</v>
      </c>
      <c r="H113" s="169">
        <f t="shared" si="36"/>
        <v>0</v>
      </c>
      <c r="I113" s="143">
        <f t="shared" si="54"/>
        <v>0</v>
      </c>
      <c r="J113" s="144">
        <f t="shared" si="43"/>
        <v>0</v>
      </c>
      <c r="K113" s="144">
        <f t="shared" si="44"/>
        <v>0</v>
      </c>
      <c r="L113" s="169">
        <f t="shared" si="34"/>
        <v>0</v>
      </c>
      <c r="M113" s="143">
        <f t="shared" si="55"/>
        <v>0</v>
      </c>
      <c r="N113" s="144">
        <f t="shared" si="45"/>
        <v>0</v>
      </c>
      <c r="O113" s="144">
        <f t="shared" si="46"/>
        <v>0</v>
      </c>
      <c r="P113" s="169">
        <f t="shared" si="37"/>
        <v>0</v>
      </c>
      <c r="R113" s="143">
        <f t="shared" si="56"/>
        <v>0</v>
      </c>
      <c r="S113" s="144">
        <f t="shared" si="47"/>
        <v>0</v>
      </c>
      <c r="T113" s="144">
        <f t="shared" si="48"/>
        <v>0</v>
      </c>
      <c r="U113" s="169">
        <f t="shared" si="49"/>
        <v>0</v>
      </c>
      <c r="V113" s="143">
        <f t="shared" si="57"/>
        <v>0</v>
      </c>
      <c r="W113" s="144">
        <f t="shared" si="50"/>
        <v>0</v>
      </c>
      <c r="X113" s="144">
        <f t="shared" si="51"/>
        <v>0</v>
      </c>
      <c r="Y113" s="169">
        <f t="shared" si="52"/>
        <v>0</v>
      </c>
      <c r="Z113" s="151">
        <v>0</v>
      </c>
      <c r="AA113" s="151">
        <v>0</v>
      </c>
      <c r="AB113" s="151">
        <v>0</v>
      </c>
      <c r="AC113" s="151">
        <v>0</v>
      </c>
    </row>
    <row r="114" spans="1:29" s="61" customFormat="1" ht="11.25">
      <c r="A114" s="147">
        <f t="shared" si="38"/>
        <v>0</v>
      </c>
      <c r="B114" s="152">
        <f t="shared" si="39"/>
        <v>0</v>
      </c>
      <c r="C114" s="141">
        <f t="shared" si="40"/>
        <v>8</v>
      </c>
      <c r="D114" s="142">
        <v>95</v>
      </c>
      <c r="E114" s="143">
        <f t="shared" si="53"/>
        <v>0</v>
      </c>
      <c r="F114" s="144">
        <f t="shared" si="41"/>
        <v>0</v>
      </c>
      <c r="G114" s="144">
        <f t="shared" si="42"/>
        <v>0</v>
      </c>
      <c r="H114" s="169">
        <f t="shared" si="36"/>
        <v>0</v>
      </c>
      <c r="I114" s="143">
        <f t="shared" si="54"/>
        <v>0</v>
      </c>
      <c r="J114" s="144">
        <f t="shared" si="43"/>
        <v>0</v>
      </c>
      <c r="K114" s="144">
        <f t="shared" si="44"/>
        <v>0</v>
      </c>
      <c r="L114" s="169">
        <f t="shared" si="34"/>
        <v>0</v>
      </c>
      <c r="M114" s="143">
        <f t="shared" si="55"/>
        <v>0</v>
      </c>
      <c r="N114" s="144">
        <f t="shared" si="45"/>
        <v>0</v>
      </c>
      <c r="O114" s="144">
        <f t="shared" si="46"/>
        <v>0</v>
      </c>
      <c r="P114" s="169">
        <f t="shared" si="37"/>
        <v>0</v>
      </c>
      <c r="R114" s="143">
        <f t="shared" si="56"/>
        <v>0</v>
      </c>
      <c r="S114" s="144">
        <f t="shared" si="47"/>
        <v>0</v>
      </c>
      <c r="T114" s="144">
        <f t="shared" si="48"/>
        <v>0</v>
      </c>
      <c r="U114" s="169">
        <f t="shared" si="49"/>
        <v>0</v>
      </c>
      <c r="V114" s="143">
        <f t="shared" si="57"/>
        <v>0</v>
      </c>
      <c r="W114" s="144">
        <f t="shared" si="50"/>
        <v>0</v>
      </c>
      <c r="X114" s="144">
        <f t="shared" si="51"/>
        <v>0</v>
      </c>
      <c r="Y114" s="169">
        <f t="shared" si="52"/>
        <v>0</v>
      </c>
      <c r="Z114" s="151">
        <v>0</v>
      </c>
      <c r="AA114" s="151">
        <v>0</v>
      </c>
      <c r="AB114" s="151">
        <v>0</v>
      </c>
      <c r="AC114" s="151">
        <v>0</v>
      </c>
    </row>
    <row r="115" spans="1:29" s="61" customFormat="1" ht="12" thickBot="1">
      <c r="A115" s="153">
        <f t="shared" si="38"/>
        <v>0</v>
      </c>
      <c r="B115" s="154">
        <f t="shared" si="39"/>
        <v>0</v>
      </c>
      <c r="C115" s="155">
        <f t="shared" si="40"/>
        <v>8</v>
      </c>
      <c r="D115" s="156">
        <v>96</v>
      </c>
      <c r="E115" s="157">
        <f t="shared" si="53"/>
        <v>0</v>
      </c>
      <c r="F115" s="158">
        <f t="shared" si="41"/>
        <v>0</v>
      </c>
      <c r="G115" s="158">
        <f t="shared" si="42"/>
        <v>0</v>
      </c>
      <c r="H115" s="172">
        <f t="shared" si="36"/>
        <v>0</v>
      </c>
      <c r="I115" s="157">
        <f t="shared" si="54"/>
        <v>0</v>
      </c>
      <c r="J115" s="158">
        <f t="shared" si="43"/>
        <v>0</v>
      </c>
      <c r="K115" s="158">
        <f t="shared" si="44"/>
        <v>0</v>
      </c>
      <c r="L115" s="172">
        <f t="shared" si="34"/>
        <v>0</v>
      </c>
      <c r="M115" s="157">
        <f t="shared" si="55"/>
        <v>0</v>
      </c>
      <c r="N115" s="158">
        <f t="shared" si="45"/>
        <v>0</v>
      </c>
      <c r="O115" s="158">
        <f t="shared" si="46"/>
        <v>0</v>
      </c>
      <c r="P115" s="172">
        <f t="shared" si="37"/>
        <v>0</v>
      </c>
      <c r="R115" s="157">
        <f t="shared" si="56"/>
        <v>0</v>
      </c>
      <c r="S115" s="158">
        <f t="shared" si="47"/>
        <v>0</v>
      </c>
      <c r="T115" s="158">
        <f t="shared" si="48"/>
        <v>0</v>
      </c>
      <c r="U115" s="172">
        <f t="shared" si="49"/>
        <v>0</v>
      </c>
      <c r="V115" s="157">
        <f t="shared" si="57"/>
        <v>0</v>
      </c>
      <c r="W115" s="158">
        <f t="shared" si="50"/>
        <v>0</v>
      </c>
      <c r="X115" s="158">
        <f t="shared" si="51"/>
        <v>0</v>
      </c>
      <c r="Y115" s="172">
        <f t="shared" si="52"/>
        <v>0</v>
      </c>
      <c r="Z115" s="151">
        <v>0</v>
      </c>
      <c r="AA115" s="151">
        <v>0</v>
      </c>
      <c r="AB115" s="151">
        <v>0</v>
      </c>
      <c r="AC115" s="151">
        <v>0</v>
      </c>
    </row>
    <row r="116" spans="1:29" s="61" customFormat="1" ht="11.25">
      <c r="A116" s="147">
        <f t="shared" si="38"/>
        <v>0</v>
      </c>
      <c r="B116" s="152">
        <f t="shared" si="39"/>
        <v>0</v>
      </c>
      <c r="C116" s="141">
        <f t="shared" si="40"/>
        <v>9</v>
      </c>
      <c r="D116" s="142">
        <v>97</v>
      </c>
      <c r="E116" s="143">
        <f t="shared" si="53"/>
        <v>0</v>
      </c>
      <c r="F116" s="144">
        <f t="shared" si="41"/>
        <v>0</v>
      </c>
      <c r="G116" s="144">
        <f t="shared" si="42"/>
        <v>0</v>
      </c>
      <c r="H116" s="169">
        <f t="shared" si="36"/>
        <v>0</v>
      </c>
      <c r="I116" s="143">
        <f t="shared" si="54"/>
        <v>0</v>
      </c>
      <c r="J116" s="144">
        <f t="shared" si="43"/>
        <v>0</v>
      </c>
      <c r="K116" s="144">
        <f t="shared" si="44"/>
        <v>0</v>
      </c>
      <c r="L116" s="169">
        <f t="shared" si="34"/>
        <v>0</v>
      </c>
      <c r="M116" s="143">
        <f t="shared" si="55"/>
        <v>0</v>
      </c>
      <c r="N116" s="144">
        <f t="shared" si="45"/>
        <v>0</v>
      </c>
      <c r="O116" s="144">
        <f t="shared" si="46"/>
        <v>0</v>
      </c>
      <c r="P116" s="169">
        <f t="shared" si="37"/>
        <v>0</v>
      </c>
      <c r="R116" s="143">
        <f t="shared" si="56"/>
        <v>0</v>
      </c>
      <c r="S116" s="144">
        <f t="shared" si="47"/>
        <v>0</v>
      </c>
      <c r="T116" s="144">
        <f t="shared" si="48"/>
        <v>0</v>
      </c>
      <c r="U116" s="169">
        <f t="shared" si="49"/>
        <v>0</v>
      </c>
      <c r="V116" s="143">
        <f t="shared" si="57"/>
        <v>0</v>
      </c>
      <c r="W116" s="144">
        <f t="shared" si="50"/>
        <v>0</v>
      </c>
      <c r="X116" s="144">
        <f t="shared" si="51"/>
        <v>0</v>
      </c>
      <c r="Y116" s="169">
        <f t="shared" si="52"/>
        <v>0</v>
      </c>
      <c r="Z116" s="151">
        <v>0</v>
      </c>
      <c r="AA116" s="151">
        <v>0</v>
      </c>
      <c r="AB116" s="151">
        <v>0</v>
      </c>
      <c r="AC116" s="151">
        <v>0</v>
      </c>
    </row>
    <row r="117" spans="1:29" s="61" customFormat="1" ht="11.25">
      <c r="A117" s="147">
        <f t="shared" si="38"/>
        <v>0</v>
      </c>
      <c r="B117" s="152">
        <f t="shared" si="39"/>
        <v>0</v>
      </c>
      <c r="C117" s="141">
        <f t="shared" si="40"/>
        <v>9</v>
      </c>
      <c r="D117" s="142">
        <v>98</v>
      </c>
      <c r="E117" s="143">
        <f t="shared" si="53"/>
        <v>0</v>
      </c>
      <c r="F117" s="144">
        <f t="shared" si="41"/>
        <v>0</v>
      </c>
      <c r="G117" s="144">
        <f t="shared" si="42"/>
        <v>0</v>
      </c>
      <c r="H117" s="169">
        <f t="shared" si="36"/>
        <v>0</v>
      </c>
      <c r="I117" s="143">
        <f t="shared" si="54"/>
        <v>0</v>
      </c>
      <c r="J117" s="144">
        <f t="shared" si="43"/>
        <v>0</v>
      </c>
      <c r="K117" s="144">
        <f t="shared" si="44"/>
        <v>0</v>
      </c>
      <c r="L117" s="169">
        <f t="shared" si="34"/>
        <v>0</v>
      </c>
      <c r="M117" s="143">
        <f t="shared" si="55"/>
        <v>0</v>
      </c>
      <c r="N117" s="144">
        <f t="shared" si="45"/>
        <v>0</v>
      </c>
      <c r="O117" s="144">
        <f t="shared" si="46"/>
        <v>0</v>
      </c>
      <c r="P117" s="169">
        <f t="shared" si="37"/>
        <v>0</v>
      </c>
      <c r="R117" s="143">
        <f t="shared" si="56"/>
        <v>0</v>
      </c>
      <c r="S117" s="144">
        <f t="shared" si="47"/>
        <v>0</v>
      </c>
      <c r="T117" s="144">
        <f t="shared" si="48"/>
        <v>0</v>
      </c>
      <c r="U117" s="169">
        <f t="shared" si="49"/>
        <v>0</v>
      </c>
      <c r="V117" s="143">
        <f t="shared" si="57"/>
        <v>0</v>
      </c>
      <c r="W117" s="144">
        <f t="shared" si="50"/>
        <v>0</v>
      </c>
      <c r="X117" s="144">
        <f t="shared" si="51"/>
        <v>0</v>
      </c>
      <c r="Y117" s="169">
        <f t="shared" si="52"/>
        <v>0</v>
      </c>
      <c r="Z117" s="151">
        <v>0</v>
      </c>
      <c r="AA117" s="151">
        <v>0</v>
      </c>
      <c r="AB117" s="151">
        <v>0</v>
      </c>
      <c r="AC117" s="151">
        <v>0</v>
      </c>
    </row>
    <row r="118" spans="1:29" s="61" customFormat="1" ht="11.25">
      <c r="A118" s="147">
        <f t="shared" si="38"/>
        <v>0</v>
      </c>
      <c r="B118" s="152">
        <f t="shared" si="39"/>
        <v>0</v>
      </c>
      <c r="C118" s="141">
        <f t="shared" si="40"/>
        <v>9</v>
      </c>
      <c r="D118" s="142">
        <v>99</v>
      </c>
      <c r="E118" s="143">
        <f t="shared" si="53"/>
        <v>0</v>
      </c>
      <c r="F118" s="144">
        <f t="shared" si="41"/>
        <v>0</v>
      </c>
      <c r="G118" s="144">
        <f t="shared" si="42"/>
        <v>0</v>
      </c>
      <c r="H118" s="169">
        <f t="shared" si="36"/>
        <v>0</v>
      </c>
      <c r="I118" s="143">
        <f t="shared" si="54"/>
        <v>0</v>
      </c>
      <c r="J118" s="144">
        <f t="shared" si="43"/>
        <v>0</v>
      </c>
      <c r="K118" s="144">
        <f t="shared" si="44"/>
        <v>0</v>
      </c>
      <c r="L118" s="169">
        <f t="shared" si="34"/>
        <v>0</v>
      </c>
      <c r="M118" s="143">
        <f t="shared" si="55"/>
        <v>0</v>
      </c>
      <c r="N118" s="144">
        <f t="shared" si="45"/>
        <v>0</v>
      </c>
      <c r="O118" s="144">
        <f t="shared" si="46"/>
        <v>0</v>
      </c>
      <c r="P118" s="169">
        <f t="shared" si="37"/>
        <v>0</v>
      </c>
      <c r="R118" s="143">
        <f t="shared" si="56"/>
        <v>0</v>
      </c>
      <c r="S118" s="144">
        <f t="shared" si="47"/>
        <v>0</v>
      </c>
      <c r="T118" s="144">
        <f t="shared" si="48"/>
        <v>0</v>
      </c>
      <c r="U118" s="169">
        <f t="shared" si="49"/>
        <v>0</v>
      </c>
      <c r="V118" s="143">
        <f t="shared" si="57"/>
        <v>0</v>
      </c>
      <c r="W118" s="144">
        <f t="shared" si="50"/>
        <v>0</v>
      </c>
      <c r="X118" s="144">
        <f t="shared" si="51"/>
        <v>0</v>
      </c>
      <c r="Y118" s="169">
        <f t="shared" si="52"/>
        <v>0</v>
      </c>
      <c r="Z118" s="151">
        <v>0</v>
      </c>
      <c r="AA118" s="151">
        <v>0</v>
      </c>
      <c r="AB118" s="151">
        <v>0</v>
      </c>
      <c r="AC118" s="151">
        <v>0</v>
      </c>
    </row>
    <row r="119" spans="1:29" s="61" customFormat="1" ht="11.25">
      <c r="A119" s="147">
        <f t="shared" si="38"/>
        <v>0</v>
      </c>
      <c r="B119" s="152">
        <f t="shared" si="39"/>
        <v>0</v>
      </c>
      <c r="C119" s="141">
        <f t="shared" si="40"/>
        <v>9</v>
      </c>
      <c r="D119" s="142">
        <v>100</v>
      </c>
      <c r="E119" s="143">
        <f t="shared" si="53"/>
        <v>0</v>
      </c>
      <c r="F119" s="144">
        <f t="shared" si="41"/>
        <v>0</v>
      </c>
      <c r="G119" s="144">
        <f t="shared" si="42"/>
        <v>0</v>
      </c>
      <c r="H119" s="169">
        <f t="shared" si="36"/>
        <v>0</v>
      </c>
      <c r="I119" s="143">
        <f t="shared" si="54"/>
        <v>0</v>
      </c>
      <c r="J119" s="144">
        <f t="shared" si="43"/>
        <v>0</v>
      </c>
      <c r="K119" s="144">
        <f t="shared" si="44"/>
        <v>0</v>
      </c>
      <c r="L119" s="169">
        <f t="shared" si="34"/>
        <v>0</v>
      </c>
      <c r="M119" s="143">
        <f t="shared" si="55"/>
        <v>0</v>
      </c>
      <c r="N119" s="144">
        <f t="shared" si="45"/>
        <v>0</v>
      </c>
      <c r="O119" s="144">
        <f t="shared" si="46"/>
        <v>0</v>
      </c>
      <c r="P119" s="169">
        <f t="shared" si="37"/>
        <v>0</v>
      </c>
      <c r="R119" s="143">
        <f t="shared" si="56"/>
        <v>0</v>
      </c>
      <c r="S119" s="144">
        <f t="shared" si="47"/>
        <v>0</v>
      </c>
      <c r="T119" s="144">
        <f t="shared" si="48"/>
        <v>0</v>
      </c>
      <c r="U119" s="169">
        <f t="shared" si="49"/>
        <v>0</v>
      </c>
      <c r="V119" s="143">
        <f t="shared" si="57"/>
        <v>0</v>
      </c>
      <c r="W119" s="144">
        <f t="shared" si="50"/>
        <v>0</v>
      </c>
      <c r="X119" s="144">
        <f t="shared" si="51"/>
        <v>0</v>
      </c>
      <c r="Y119" s="169">
        <f t="shared" si="52"/>
        <v>0</v>
      </c>
      <c r="Z119" s="151">
        <v>0</v>
      </c>
      <c r="AA119" s="151">
        <v>0</v>
      </c>
      <c r="AB119" s="151">
        <v>0</v>
      </c>
      <c r="AC119" s="151">
        <v>0</v>
      </c>
    </row>
    <row r="120" spans="1:29" s="61" customFormat="1" ht="11.25">
      <c r="A120" s="147">
        <f t="shared" si="38"/>
        <v>0</v>
      </c>
      <c r="B120" s="152">
        <f t="shared" si="39"/>
        <v>0</v>
      </c>
      <c r="C120" s="141">
        <f t="shared" si="40"/>
        <v>9</v>
      </c>
      <c r="D120" s="142">
        <v>101</v>
      </c>
      <c r="E120" s="143">
        <f t="shared" si="53"/>
        <v>0</v>
      </c>
      <c r="F120" s="144">
        <f t="shared" si="41"/>
        <v>0</v>
      </c>
      <c r="G120" s="144">
        <f t="shared" si="42"/>
        <v>0</v>
      </c>
      <c r="H120" s="169">
        <f t="shared" si="36"/>
        <v>0</v>
      </c>
      <c r="I120" s="143">
        <f t="shared" si="54"/>
        <v>0</v>
      </c>
      <c r="J120" s="144">
        <f t="shared" si="43"/>
        <v>0</v>
      </c>
      <c r="K120" s="144">
        <f t="shared" si="44"/>
        <v>0</v>
      </c>
      <c r="L120" s="169">
        <f t="shared" si="34"/>
        <v>0</v>
      </c>
      <c r="M120" s="143">
        <f t="shared" si="55"/>
        <v>0</v>
      </c>
      <c r="N120" s="144">
        <f t="shared" si="45"/>
        <v>0</v>
      </c>
      <c r="O120" s="144">
        <f t="shared" si="46"/>
        <v>0</v>
      </c>
      <c r="P120" s="169">
        <f t="shared" si="37"/>
        <v>0</v>
      </c>
      <c r="R120" s="143">
        <f t="shared" si="56"/>
        <v>0</v>
      </c>
      <c r="S120" s="144">
        <f t="shared" si="47"/>
        <v>0</v>
      </c>
      <c r="T120" s="144">
        <f t="shared" si="48"/>
        <v>0</v>
      </c>
      <c r="U120" s="169">
        <f t="shared" si="49"/>
        <v>0</v>
      </c>
      <c r="V120" s="143">
        <f t="shared" si="57"/>
        <v>0</v>
      </c>
      <c r="W120" s="144">
        <f t="shared" si="50"/>
        <v>0</v>
      </c>
      <c r="X120" s="144">
        <f t="shared" si="51"/>
        <v>0</v>
      </c>
      <c r="Y120" s="169">
        <f t="shared" si="52"/>
        <v>0</v>
      </c>
      <c r="Z120" s="151">
        <v>0</v>
      </c>
      <c r="AA120" s="151">
        <v>0</v>
      </c>
      <c r="AB120" s="151">
        <v>0</v>
      </c>
      <c r="AC120" s="151">
        <v>0</v>
      </c>
    </row>
    <row r="121" spans="1:29" s="61" customFormat="1" ht="11.25">
      <c r="A121" s="147">
        <f t="shared" si="38"/>
        <v>0</v>
      </c>
      <c r="B121" s="152">
        <f t="shared" si="39"/>
        <v>0</v>
      </c>
      <c r="C121" s="141">
        <f t="shared" si="40"/>
        <v>9</v>
      </c>
      <c r="D121" s="142">
        <v>102</v>
      </c>
      <c r="E121" s="143">
        <f t="shared" si="53"/>
        <v>0</v>
      </c>
      <c r="F121" s="144">
        <f t="shared" si="41"/>
        <v>0</v>
      </c>
      <c r="G121" s="144">
        <f t="shared" si="42"/>
        <v>0</v>
      </c>
      <c r="H121" s="169">
        <f t="shared" si="36"/>
        <v>0</v>
      </c>
      <c r="I121" s="143">
        <f t="shared" si="54"/>
        <v>0</v>
      </c>
      <c r="J121" s="144">
        <f t="shared" si="43"/>
        <v>0</v>
      </c>
      <c r="K121" s="144">
        <f t="shared" si="44"/>
        <v>0</v>
      </c>
      <c r="L121" s="169">
        <f t="shared" ref="L121:L184" si="58">IF(I121&lt;=0,0,L$13)</f>
        <v>0</v>
      </c>
      <c r="M121" s="143">
        <f t="shared" si="55"/>
        <v>0</v>
      </c>
      <c r="N121" s="144">
        <f t="shared" si="45"/>
        <v>0</v>
      </c>
      <c r="O121" s="144">
        <f t="shared" si="46"/>
        <v>0</v>
      </c>
      <c r="P121" s="169">
        <f t="shared" si="37"/>
        <v>0</v>
      </c>
      <c r="R121" s="143">
        <f t="shared" si="56"/>
        <v>0</v>
      </c>
      <c r="S121" s="144">
        <f t="shared" si="47"/>
        <v>0</v>
      </c>
      <c r="T121" s="144">
        <f t="shared" si="48"/>
        <v>0</v>
      </c>
      <c r="U121" s="169">
        <f t="shared" si="49"/>
        <v>0</v>
      </c>
      <c r="V121" s="143">
        <f t="shared" si="57"/>
        <v>0</v>
      </c>
      <c r="W121" s="144">
        <f t="shared" si="50"/>
        <v>0</v>
      </c>
      <c r="X121" s="144">
        <f t="shared" si="51"/>
        <v>0</v>
      </c>
      <c r="Y121" s="169">
        <f t="shared" si="52"/>
        <v>0</v>
      </c>
      <c r="Z121" s="151">
        <v>0</v>
      </c>
      <c r="AA121" s="151">
        <v>0</v>
      </c>
      <c r="AB121" s="151">
        <v>0</v>
      </c>
      <c r="AC121" s="151">
        <v>0</v>
      </c>
    </row>
    <row r="122" spans="1:29" s="61" customFormat="1" ht="11.25">
      <c r="A122" s="147">
        <f t="shared" si="38"/>
        <v>0</v>
      </c>
      <c r="B122" s="152">
        <f t="shared" si="39"/>
        <v>0</v>
      </c>
      <c r="C122" s="141">
        <f t="shared" si="40"/>
        <v>9</v>
      </c>
      <c r="D122" s="142">
        <v>103</v>
      </c>
      <c r="E122" s="143">
        <f t="shared" si="53"/>
        <v>0</v>
      </c>
      <c r="F122" s="144">
        <f t="shared" si="41"/>
        <v>0</v>
      </c>
      <c r="G122" s="144">
        <f t="shared" si="42"/>
        <v>0</v>
      </c>
      <c r="H122" s="169">
        <f t="shared" si="36"/>
        <v>0</v>
      </c>
      <c r="I122" s="143">
        <f t="shared" si="54"/>
        <v>0</v>
      </c>
      <c r="J122" s="144">
        <f t="shared" si="43"/>
        <v>0</v>
      </c>
      <c r="K122" s="144">
        <f t="shared" si="44"/>
        <v>0</v>
      </c>
      <c r="L122" s="169">
        <f t="shared" si="58"/>
        <v>0</v>
      </c>
      <c r="M122" s="143">
        <f t="shared" si="55"/>
        <v>0</v>
      </c>
      <c r="N122" s="144">
        <f t="shared" si="45"/>
        <v>0</v>
      </c>
      <c r="O122" s="144">
        <f t="shared" si="46"/>
        <v>0</v>
      </c>
      <c r="P122" s="169">
        <f t="shared" si="37"/>
        <v>0</v>
      </c>
      <c r="R122" s="143">
        <f t="shared" si="56"/>
        <v>0</v>
      </c>
      <c r="S122" s="144">
        <f t="shared" si="47"/>
        <v>0</v>
      </c>
      <c r="T122" s="144">
        <f t="shared" si="48"/>
        <v>0</v>
      </c>
      <c r="U122" s="169">
        <f t="shared" si="49"/>
        <v>0</v>
      </c>
      <c r="V122" s="143">
        <f t="shared" si="57"/>
        <v>0</v>
      </c>
      <c r="W122" s="144">
        <f t="shared" si="50"/>
        <v>0</v>
      </c>
      <c r="X122" s="144">
        <f t="shared" si="51"/>
        <v>0</v>
      </c>
      <c r="Y122" s="169">
        <f t="shared" si="52"/>
        <v>0</v>
      </c>
      <c r="Z122" s="151">
        <v>0</v>
      </c>
      <c r="AA122" s="151">
        <v>0</v>
      </c>
      <c r="AB122" s="151">
        <v>0</v>
      </c>
      <c r="AC122" s="151">
        <v>0</v>
      </c>
    </row>
    <row r="123" spans="1:29" s="61" customFormat="1" ht="11.25">
      <c r="A123" s="147">
        <f t="shared" si="38"/>
        <v>0</v>
      </c>
      <c r="B123" s="152">
        <f t="shared" si="39"/>
        <v>0</v>
      </c>
      <c r="C123" s="141">
        <f t="shared" si="40"/>
        <v>9</v>
      </c>
      <c r="D123" s="142">
        <v>104</v>
      </c>
      <c r="E123" s="143">
        <f t="shared" si="53"/>
        <v>0</v>
      </c>
      <c r="F123" s="144">
        <f t="shared" si="41"/>
        <v>0</v>
      </c>
      <c r="G123" s="144">
        <f t="shared" si="42"/>
        <v>0</v>
      </c>
      <c r="H123" s="169">
        <f t="shared" si="36"/>
        <v>0</v>
      </c>
      <c r="I123" s="143">
        <f t="shared" si="54"/>
        <v>0</v>
      </c>
      <c r="J123" s="144">
        <f t="shared" si="43"/>
        <v>0</v>
      </c>
      <c r="K123" s="144">
        <f t="shared" si="44"/>
        <v>0</v>
      </c>
      <c r="L123" s="169">
        <f t="shared" si="58"/>
        <v>0</v>
      </c>
      <c r="M123" s="143">
        <f t="shared" si="55"/>
        <v>0</v>
      </c>
      <c r="N123" s="144">
        <f t="shared" si="45"/>
        <v>0</v>
      </c>
      <c r="O123" s="144">
        <f t="shared" si="46"/>
        <v>0</v>
      </c>
      <c r="P123" s="169">
        <f t="shared" si="37"/>
        <v>0</v>
      </c>
      <c r="R123" s="143">
        <f t="shared" si="56"/>
        <v>0</v>
      </c>
      <c r="S123" s="144">
        <f t="shared" si="47"/>
        <v>0</v>
      </c>
      <c r="T123" s="144">
        <f t="shared" si="48"/>
        <v>0</v>
      </c>
      <c r="U123" s="169">
        <f t="shared" si="49"/>
        <v>0</v>
      </c>
      <c r="V123" s="143">
        <f t="shared" si="57"/>
        <v>0</v>
      </c>
      <c r="W123" s="144">
        <f t="shared" si="50"/>
        <v>0</v>
      </c>
      <c r="X123" s="144">
        <f t="shared" si="51"/>
        <v>0</v>
      </c>
      <c r="Y123" s="169">
        <f t="shared" si="52"/>
        <v>0</v>
      </c>
      <c r="Z123" s="151">
        <v>0</v>
      </c>
      <c r="AA123" s="151">
        <v>0</v>
      </c>
      <c r="AB123" s="151">
        <v>0</v>
      </c>
      <c r="AC123" s="151">
        <v>0</v>
      </c>
    </row>
    <row r="124" spans="1:29" s="61" customFormat="1" ht="11.25">
      <c r="A124" s="147">
        <f t="shared" si="38"/>
        <v>0</v>
      </c>
      <c r="B124" s="152">
        <f t="shared" si="39"/>
        <v>0</v>
      </c>
      <c r="C124" s="141">
        <f t="shared" si="40"/>
        <v>9</v>
      </c>
      <c r="D124" s="142">
        <v>105</v>
      </c>
      <c r="E124" s="143">
        <f t="shared" si="53"/>
        <v>0</v>
      </c>
      <c r="F124" s="144">
        <f t="shared" si="41"/>
        <v>0</v>
      </c>
      <c r="G124" s="144">
        <f t="shared" si="42"/>
        <v>0</v>
      </c>
      <c r="H124" s="169">
        <f t="shared" si="36"/>
        <v>0</v>
      </c>
      <c r="I124" s="143">
        <f t="shared" si="54"/>
        <v>0</v>
      </c>
      <c r="J124" s="144">
        <f t="shared" si="43"/>
        <v>0</v>
      </c>
      <c r="K124" s="144">
        <f t="shared" si="44"/>
        <v>0</v>
      </c>
      <c r="L124" s="169">
        <f t="shared" si="58"/>
        <v>0</v>
      </c>
      <c r="M124" s="143">
        <f t="shared" si="55"/>
        <v>0</v>
      </c>
      <c r="N124" s="144">
        <f t="shared" si="45"/>
        <v>0</v>
      </c>
      <c r="O124" s="144">
        <f t="shared" si="46"/>
        <v>0</v>
      </c>
      <c r="P124" s="169">
        <f t="shared" si="37"/>
        <v>0</v>
      </c>
      <c r="R124" s="143">
        <f t="shared" si="56"/>
        <v>0</v>
      </c>
      <c r="S124" s="144">
        <f t="shared" si="47"/>
        <v>0</v>
      </c>
      <c r="T124" s="144">
        <f t="shared" si="48"/>
        <v>0</v>
      </c>
      <c r="U124" s="169">
        <f t="shared" si="49"/>
        <v>0</v>
      </c>
      <c r="V124" s="143">
        <f t="shared" si="57"/>
        <v>0</v>
      </c>
      <c r="W124" s="144">
        <f t="shared" si="50"/>
        <v>0</v>
      </c>
      <c r="X124" s="144">
        <f t="shared" si="51"/>
        <v>0</v>
      </c>
      <c r="Y124" s="169">
        <f t="shared" si="52"/>
        <v>0</v>
      </c>
      <c r="Z124" s="151">
        <v>0</v>
      </c>
      <c r="AA124" s="151">
        <v>0</v>
      </c>
      <c r="AB124" s="151">
        <v>0</v>
      </c>
      <c r="AC124" s="151">
        <v>0</v>
      </c>
    </row>
    <row r="125" spans="1:29" s="61" customFormat="1" ht="11.25">
      <c r="A125" s="147">
        <f t="shared" si="38"/>
        <v>0</v>
      </c>
      <c r="B125" s="152">
        <f t="shared" si="39"/>
        <v>0</v>
      </c>
      <c r="C125" s="141">
        <f t="shared" si="40"/>
        <v>9</v>
      </c>
      <c r="D125" s="142">
        <v>106</v>
      </c>
      <c r="E125" s="143">
        <f t="shared" si="53"/>
        <v>0</v>
      </c>
      <c r="F125" s="144">
        <f t="shared" si="41"/>
        <v>0</v>
      </c>
      <c r="G125" s="144">
        <f t="shared" si="42"/>
        <v>0</v>
      </c>
      <c r="H125" s="169">
        <f t="shared" si="36"/>
        <v>0</v>
      </c>
      <c r="I125" s="143">
        <f t="shared" si="54"/>
        <v>0</v>
      </c>
      <c r="J125" s="144">
        <f t="shared" si="43"/>
        <v>0</v>
      </c>
      <c r="K125" s="144">
        <f t="shared" si="44"/>
        <v>0</v>
      </c>
      <c r="L125" s="169">
        <f t="shared" si="58"/>
        <v>0</v>
      </c>
      <c r="M125" s="143">
        <f t="shared" si="55"/>
        <v>0</v>
      </c>
      <c r="N125" s="144">
        <f t="shared" si="45"/>
        <v>0</v>
      </c>
      <c r="O125" s="144">
        <f t="shared" si="46"/>
        <v>0</v>
      </c>
      <c r="P125" s="169">
        <f t="shared" si="37"/>
        <v>0</v>
      </c>
      <c r="R125" s="143">
        <f t="shared" si="56"/>
        <v>0</v>
      </c>
      <c r="S125" s="144">
        <f t="shared" si="47"/>
        <v>0</v>
      </c>
      <c r="T125" s="144">
        <f t="shared" si="48"/>
        <v>0</v>
      </c>
      <c r="U125" s="169">
        <f t="shared" si="49"/>
        <v>0</v>
      </c>
      <c r="V125" s="143">
        <f t="shared" si="57"/>
        <v>0</v>
      </c>
      <c r="W125" s="144">
        <f t="shared" si="50"/>
        <v>0</v>
      </c>
      <c r="X125" s="144">
        <f t="shared" si="51"/>
        <v>0</v>
      </c>
      <c r="Y125" s="169">
        <f t="shared" si="52"/>
        <v>0</v>
      </c>
      <c r="Z125" s="151">
        <v>0</v>
      </c>
      <c r="AA125" s="151">
        <v>0</v>
      </c>
      <c r="AB125" s="151">
        <v>0</v>
      </c>
      <c r="AC125" s="151">
        <v>0</v>
      </c>
    </row>
    <row r="126" spans="1:29" s="61" customFormat="1" ht="11.25">
      <c r="A126" s="147">
        <f t="shared" si="38"/>
        <v>0</v>
      </c>
      <c r="B126" s="152">
        <f t="shared" si="39"/>
        <v>0</v>
      </c>
      <c r="C126" s="141">
        <f t="shared" si="40"/>
        <v>9</v>
      </c>
      <c r="D126" s="142">
        <v>107</v>
      </c>
      <c r="E126" s="143">
        <f t="shared" si="53"/>
        <v>0</v>
      </c>
      <c r="F126" s="144">
        <f t="shared" si="41"/>
        <v>0</v>
      </c>
      <c r="G126" s="144">
        <f t="shared" si="42"/>
        <v>0</v>
      </c>
      <c r="H126" s="169">
        <f t="shared" si="36"/>
        <v>0</v>
      </c>
      <c r="I126" s="143">
        <f t="shared" si="54"/>
        <v>0</v>
      </c>
      <c r="J126" s="144">
        <f t="shared" si="43"/>
        <v>0</v>
      </c>
      <c r="K126" s="144">
        <f t="shared" si="44"/>
        <v>0</v>
      </c>
      <c r="L126" s="169">
        <f t="shared" si="58"/>
        <v>0</v>
      </c>
      <c r="M126" s="143">
        <f t="shared" si="55"/>
        <v>0</v>
      </c>
      <c r="N126" s="144">
        <f t="shared" si="45"/>
        <v>0</v>
      </c>
      <c r="O126" s="144">
        <f t="shared" si="46"/>
        <v>0</v>
      </c>
      <c r="P126" s="169">
        <f t="shared" si="37"/>
        <v>0</v>
      </c>
      <c r="R126" s="143">
        <f t="shared" si="56"/>
        <v>0</v>
      </c>
      <c r="S126" s="144">
        <f t="shared" si="47"/>
        <v>0</v>
      </c>
      <c r="T126" s="144">
        <f t="shared" si="48"/>
        <v>0</v>
      </c>
      <c r="U126" s="169">
        <f t="shared" si="49"/>
        <v>0</v>
      </c>
      <c r="V126" s="143">
        <f t="shared" si="57"/>
        <v>0</v>
      </c>
      <c r="W126" s="144">
        <f t="shared" si="50"/>
        <v>0</v>
      </c>
      <c r="X126" s="144">
        <f t="shared" si="51"/>
        <v>0</v>
      </c>
      <c r="Y126" s="169">
        <f t="shared" si="52"/>
        <v>0</v>
      </c>
      <c r="Z126" s="151">
        <v>0</v>
      </c>
      <c r="AA126" s="151">
        <v>0</v>
      </c>
      <c r="AB126" s="151">
        <v>0</v>
      </c>
      <c r="AC126" s="151">
        <v>0</v>
      </c>
    </row>
    <row r="127" spans="1:29" s="61" customFormat="1" ht="12" thickBot="1">
      <c r="A127" s="153">
        <f t="shared" si="38"/>
        <v>0</v>
      </c>
      <c r="B127" s="154">
        <f t="shared" si="39"/>
        <v>0</v>
      </c>
      <c r="C127" s="155">
        <f t="shared" si="40"/>
        <v>9</v>
      </c>
      <c r="D127" s="156">
        <v>108</v>
      </c>
      <c r="E127" s="157">
        <f t="shared" si="53"/>
        <v>0</v>
      </c>
      <c r="F127" s="158">
        <f t="shared" si="41"/>
        <v>0</v>
      </c>
      <c r="G127" s="158">
        <f t="shared" si="42"/>
        <v>0</v>
      </c>
      <c r="H127" s="172">
        <f t="shared" si="36"/>
        <v>0</v>
      </c>
      <c r="I127" s="157">
        <f t="shared" si="54"/>
        <v>0</v>
      </c>
      <c r="J127" s="158">
        <f t="shared" si="43"/>
        <v>0</v>
      </c>
      <c r="K127" s="158">
        <f t="shared" si="44"/>
        <v>0</v>
      </c>
      <c r="L127" s="172">
        <f t="shared" si="58"/>
        <v>0</v>
      </c>
      <c r="M127" s="157">
        <f t="shared" si="55"/>
        <v>0</v>
      </c>
      <c r="N127" s="158">
        <f t="shared" si="45"/>
        <v>0</v>
      </c>
      <c r="O127" s="158">
        <f t="shared" si="46"/>
        <v>0</v>
      </c>
      <c r="P127" s="172">
        <f t="shared" si="37"/>
        <v>0</v>
      </c>
      <c r="R127" s="157">
        <f t="shared" si="56"/>
        <v>0</v>
      </c>
      <c r="S127" s="158">
        <f t="shared" si="47"/>
        <v>0</v>
      </c>
      <c r="T127" s="158">
        <f t="shared" si="48"/>
        <v>0</v>
      </c>
      <c r="U127" s="172">
        <f t="shared" si="49"/>
        <v>0</v>
      </c>
      <c r="V127" s="157">
        <f t="shared" si="57"/>
        <v>0</v>
      </c>
      <c r="W127" s="158">
        <f t="shared" si="50"/>
        <v>0</v>
      </c>
      <c r="X127" s="158">
        <f t="shared" si="51"/>
        <v>0</v>
      </c>
      <c r="Y127" s="172">
        <f t="shared" si="52"/>
        <v>0</v>
      </c>
      <c r="Z127" s="151">
        <v>0</v>
      </c>
      <c r="AA127" s="151">
        <v>0</v>
      </c>
      <c r="AB127" s="151">
        <v>0</v>
      </c>
      <c r="AC127" s="151">
        <v>0</v>
      </c>
    </row>
    <row r="128" spans="1:29" s="61" customFormat="1" ht="11.25">
      <c r="A128" s="147">
        <f t="shared" si="38"/>
        <v>0</v>
      </c>
      <c r="B128" s="152">
        <f t="shared" si="39"/>
        <v>0</v>
      </c>
      <c r="C128" s="141">
        <f t="shared" si="40"/>
        <v>10</v>
      </c>
      <c r="D128" s="142">
        <v>109</v>
      </c>
      <c r="E128" s="143">
        <f t="shared" si="53"/>
        <v>0</v>
      </c>
      <c r="F128" s="144">
        <f t="shared" si="41"/>
        <v>0</v>
      </c>
      <c r="G128" s="144">
        <f t="shared" si="42"/>
        <v>0</v>
      </c>
      <c r="H128" s="169">
        <f t="shared" si="36"/>
        <v>0</v>
      </c>
      <c r="I128" s="143">
        <f t="shared" si="54"/>
        <v>0</v>
      </c>
      <c r="J128" s="144">
        <f t="shared" si="43"/>
        <v>0</v>
      </c>
      <c r="K128" s="144">
        <f t="shared" si="44"/>
        <v>0</v>
      </c>
      <c r="L128" s="169">
        <f t="shared" si="58"/>
        <v>0</v>
      </c>
      <c r="M128" s="143">
        <f t="shared" si="55"/>
        <v>0</v>
      </c>
      <c r="N128" s="144">
        <f t="shared" si="45"/>
        <v>0</v>
      </c>
      <c r="O128" s="144">
        <f t="shared" si="46"/>
        <v>0</v>
      </c>
      <c r="P128" s="169">
        <f t="shared" si="37"/>
        <v>0</v>
      </c>
      <c r="R128" s="143">
        <f t="shared" si="56"/>
        <v>0</v>
      </c>
      <c r="S128" s="144">
        <f t="shared" si="47"/>
        <v>0</v>
      </c>
      <c r="T128" s="144">
        <f t="shared" si="48"/>
        <v>0</v>
      </c>
      <c r="U128" s="169">
        <f t="shared" si="49"/>
        <v>0</v>
      </c>
      <c r="V128" s="143">
        <f t="shared" si="57"/>
        <v>0</v>
      </c>
      <c r="W128" s="144">
        <f t="shared" si="50"/>
        <v>0</v>
      </c>
      <c r="X128" s="144">
        <f t="shared" si="51"/>
        <v>0</v>
      </c>
      <c r="Y128" s="169">
        <f t="shared" si="52"/>
        <v>0</v>
      </c>
      <c r="Z128" s="151">
        <v>0</v>
      </c>
      <c r="AA128" s="151">
        <v>0</v>
      </c>
      <c r="AB128" s="151">
        <v>0</v>
      </c>
      <c r="AC128" s="151">
        <v>0</v>
      </c>
    </row>
    <row r="129" spans="1:29" s="61" customFormat="1" ht="11.25">
      <c r="A129" s="147">
        <f t="shared" si="38"/>
        <v>0</v>
      </c>
      <c r="B129" s="152">
        <f t="shared" si="39"/>
        <v>0</v>
      </c>
      <c r="C129" s="141">
        <f t="shared" si="40"/>
        <v>10</v>
      </c>
      <c r="D129" s="142">
        <v>110</v>
      </c>
      <c r="E129" s="143">
        <f t="shared" si="53"/>
        <v>0</v>
      </c>
      <c r="F129" s="144">
        <f t="shared" si="41"/>
        <v>0</v>
      </c>
      <c r="G129" s="144">
        <f t="shared" si="42"/>
        <v>0</v>
      </c>
      <c r="H129" s="169">
        <f t="shared" si="36"/>
        <v>0</v>
      </c>
      <c r="I129" s="143">
        <f t="shared" si="54"/>
        <v>0</v>
      </c>
      <c r="J129" s="144">
        <f t="shared" si="43"/>
        <v>0</v>
      </c>
      <c r="K129" s="144">
        <f t="shared" si="44"/>
        <v>0</v>
      </c>
      <c r="L129" s="169">
        <f t="shared" si="58"/>
        <v>0</v>
      </c>
      <c r="M129" s="143">
        <f t="shared" si="55"/>
        <v>0</v>
      </c>
      <c r="N129" s="144">
        <f t="shared" si="45"/>
        <v>0</v>
      </c>
      <c r="O129" s="144">
        <f t="shared" si="46"/>
        <v>0</v>
      </c>
      <c r="P129" s="169">
        <f t="shared" si="37"/>
        <v>0</v>
      </c>
      <c r="R129" s="143">
        <f t="shared" si="56"/>
        <v>0</v>
      </c>
      <c r="S129" s="144">
        <f t="shared" si="47"/>
        <v>0</v>
      </c>
      <c r="T129" s="144">
        <f t="shared" si="48"/>
        <v>0</v>
      </c>
      <c r="U129" s="169">
        <f t="shared" si="49"/>
        <v>0</v>
      </c>
      <c r="V129" s="143">
        <f t="shared" si="57"/>
        <v>0</v>
      </c>
      <c r="W129" s="144">
        <f t="shared" si="50"/>
        <v>0</v>
      </c>
      <c r="X129" s="144">
        <f t="shared" si="51"/>
        <v>0</v>
      </c>
      <c r="Y129" s="169">
        <f t="shared" si="52"/>
        <v>0</v>
      </c>
      <c r="Z129" s="151">
        <v>0</v>
      </c>
      <c r="AA129" s="151">
        <v>0</v>
      </c>
      <c r="AB129" s="151">
        <v>0</v>
      </c>
      <c r="AC129" s="151">
        <v>0</v>
      </c>
    </row>
    <row r="130" spans="1:29" s="61" customFormat="1" ht="11.25">
      <c r="A130" s="147">
        <f t="shared" si="38"/>
        <v>0</v>
      </c>
      <c r="B130" s="152">
        <f t="shared" si="39"/>
        <v>0</v>
      </c>
      <c r="C130" s="141">
        <f t="shared" si="40"/>
        <v>10</v>
      </c>
      <c r="D130" s="142">
        <v>111</v>
      </c>
      <c r="E130" s="143">
        <f t="shared" si="53"/>
        <v>0</v>
      </c>
      <c r="F130" s="144">
        <f t="shared" si="41"/>
        <v>0</v>
      </c>
      <c r="G130" s="144">
        <f t="shared" si="42"/>
        <v>0</v>
      </c>
      <c r="H130" s="169">
        <f t="shared" si="36"/>
        <v>0</v>
      </c>
      <c r="I130" s="143">
        <f t="shared" si="54"/>
        <v>0</v>
      </c>
      <c r="J130" s="144">
        <f t="shared" si="43"/>
        <v>0</v>
      </c>
      <c r="K130" s="144">
        <f t="shared" si="44"/>
        <v>0</v>
      </c>
      <c r="L130" s="169">
        <f t="shared" si="58"/>
        <v>0</v>
      </c>
      <c r="M130" s="143">
        <f t="shared" si="55"/>
        <v>0</v>
      </c>
      <c r="N130" s="144">
        <f t="shared" si="45"/>
        <v>0</v>
      </c>
      <c r="O130" s="144">
        <f t="shared" si="46"/>
        <v>0</v>
      </c>
      <c r="P130" s="169">
        <f t="shared" si="37"/>
        <v>0</v>
      </c>
      <c r="R130" s="143">
        <f t="shared" si="56"/>
        <v>0</v>
      </c>
      <c r="S130" s="144">
        <f t="shared" si="47"/>
        <v>0</v>
      </c>
      <c r="T130" s="144">
        <f t="shared" si="48"/>
        <v>0</v>
      </c>
      <c r="U130" s="169">
        <f t="shared" si="49"/>
        <v>0</v>
      </c>
      <c r="V130" s="143">
        <f t="shared" si="57"/>
        <v>0</v>
      </c>
      <c r="W130" s="144">
        <f t="shared" si="50"/>
        <v>0</v>
      </c>
      <c r="X130" s="144">
        <f t="shared" si="51"/>
        <v>0</v>
      </c>
      <c r="Y130" s="169">
        <f t="shared" si="52"/>
        <v>0</v>
      </c>
      <c r="Z130" s="151">
        <v>0</v>
      </c>
      <c r="AA130" s="151">
        <v>0</v>
      </c>
      <c r="AB130" s="151">
        <v>0</v>
      </c>
      <c r="AC130" s="151">
        <v>0</v>
      </c>
    </row>
    <row r="131" spans="1:29" s="61" customFormat="1" ht="11.25">
      <c r="A131" s="147">
        <f t="shared" si="38"/>
        <v>0</v>
      </c>
      <c r="B131" s="152">
        <f t="shared" si="39"/>
        <v>0</v>
      </c>
      <c r="C131" s="141">
        <f t="shared" si="40"/>
        <v>10</v>
      </c>
      <c r="D131" s="142">
        <v>112</v>
      </c>
      <c r="E131" s="143">
        <f t="shared" si="53"/>
        <v>0</v>
      </c>
      <c r="F131" s="144">
        <f t="shared" si="41"/>
        <v>0</v>
      </c>
      <c r="G131" s="144">
        <f t="shared" si="42"/>
        <v>0</v>
      </c>
      <c r="H131" s="169">
        <f t="shared" si="36"/>
        <v>0</v>
      </c>
      <c r="I131" s="143">
        <f t="shared" si="54"/>
        <v>0</v>
      </c>
      <c r="J131" s="144">
        <f t="shared" si="43"/>
        <v>0</v>
      </c>
      <c r="K131" s="144">
        <f t="shared" si="44"/>
        <v>0</v>
      </c>
      <c r="L131" s="169">
        <f t="shared" si="58"/>
        <v>0</v>
      </c>
      <c r="M131" s="143">
        <f t="shared" si="55"/>
        <v>0</v>
      </c>
      <c r="N131" s="144">
        <f t="shared" si="45"/>
        <v>0</v>
      </c>
      <c r="O131" s="144">
        <f t="shared" si="46"/>
        <v>0</v>
      </c>
      <c r="P131" s="169">
        <f t="shared" si="37"/>
        <v>0</v>
      </c>
      <c r="R131" s="143">
        <f t="shared" si="56"/>
        <v>0</v>
      </c>
      <c r="S131" s="144">
        <f t="shared" si="47"/>
        <v>0</v>
      </c>
      <c r="T131" s="144">
        <f t="shared" si="48"/>
        <v>0</v>
      </c>
      <c r="U131" s="169">
        <f t="shared" si="49"/>
        <v>0</v>
      </c>
      <c r="V131" s="143">
        <f t="shared" si="57"/>
        <v>0</v>
      </c>
      <c r="W131" s="144">
        <f t="shared" si="50"/>
        <v>0</v>
      </c>
      <c r="X131" s="144">
        <f t="shared" si="51"/>
        <v>0</v>
      </c>
      <c r="Y131" s="169">
        <f t="shared" si="52"/>
        <v>0</v>
      </c>
      <c r="Z131" s="151">
        <v>0</v>
      </c>
      <c r="AA131" s="151">
        <v>0</v>
      </c>
      <c r="AB131" s="151">
        <v>0</v>
      </c>
      <c r="AC131" s="151">
        <v>0</v>
      </c>
    </row>
    <row r="132" spans="1:29" s="61" customFormat="1" ht="11.25">
      <c r="A132" s="147">
        <f t="shared" si="38"/>
        <v>0</v>
      </c>
      <c r="B132" s="152">
        <f t="shared" si="39"/>
        <v>0</v>
      </c>
      <c r="C132" s="141">
        <f t="shared" si="40"/>
        <v>10</v>
      </c>
      <c r="D132" s="142">
        <v>113</v>
      </c>
      <c r="E132" s="143">
        <f t="shared" si="53"/>
        <v>0</v>
      </c>
      <c r="F132" s="144">
        <f t="shared" si="41"/>
        <v>0</v>
      </c>
      <c r="G132" s="144">
        <f t="shared" si="42"/>
        <v>0</v>
      </c>
      <c r="H132" s="169">
        <f t="shared" si="36"/>
        <v>0</v>
      </c>
      <c r="I132" s="143">
        <f t="shared" si="54"/>
        <v>0</v>
      </c>
      <c r="J132" s="144">
        <f t="shared" si="43"/>
        <v>0</v>
      </c>
      <c r="K132" s="144">
        <f t="shared" si="44"/>
        <v>0</v>
      </c>
      <c r="L132" s="169">
        <f t="shared" si="58"/>
        <v>0</v>
      </c>
      <c r="M132" s="143">
        <f t="shared" si="55"/>
        <v>0</v>
      </c>
      <c r="N132" s="144">
        <f t="shared" si="45"/>
        <v>0</v>
      </c>
      <c r="O132" s="144">
        <f t="shared" si="46"/>
        <v>0</v>
      </c>
      <c r="P132" s="169">
        <f t="shared" si="37"/>
        <v>0</v>
      </c>
      <c r="R132" s="143">
        <f t="shared" si="56"/>
        <v>0</v>
      </c>
      <c r="S132" s="144">
        <f t="shared" si="47"/>
        <v>0</v>
      </c>
      <c r="T132" s="144">
        <f t="shared" si="48"/>
        <v>0</v>
      </c>
      <c r="U132" s="169">
        <f t="shared" si="49"/>
        <v>0</v>
      </c>
      <c r="V132" s="143">
        <f t="shared" si="57"/>
        <v>0</v>
      </c>
      <c r="W132" s="144">
        <f t="shared" si="50"/>
        <v>0</v>
      </c>
      <c r="X132" s="144">
        <f t="shared" si="51"/>
        <v>0</v>
      </c>
      <c r="Y132" s="169">
        <f t="shared" si="52"/>
        <v>0</v>
      </c>
      <c r="Z132" s="151">
        <v>0</v>
      </c>
      <c r="AA132" s="151">
        <v>0</v>
      </c>
      <c r="AB132" s="151">
        <v>0</v>
      </c>
      <c r="AC132" s="151">
        <v>0</v>
      </c>
    </row>
    <row r="133" spans="1:29" s="61" customFormat="1" ht="11.25">
      <c r="A133" s="147">
        <f t="shared" si="38"/>
        <v>0</v>
      </c>
      <c r="B133" s="152">
        <f t="shared" si="39"/>
        <v>0</v>
      </c>
      <c r="C133" s="141">
        <f t="shared" si="40"/>
        <v>10</v>
      </c>
      <c r="D133" s="142">
        <v>114</v>
      </c>
      <c r="E133" s="143">
        <f t="shared" si="53"/>
        <v>0</v>
      </c>
      <c r="F133" s="144">
        <f t="shared" si="41"/>
        <v>0</v>
      </c>
      <c r="G133" s="144">
        <f t="shared" si="42"/>
        <v>0</v>
      </c>
      <c r="H133" s="169">
        <f t="shared" ref="H133:H196" si="59">IF(E133&lt;=0,0,H$14)</f>
        <v>0</v>
      </c>
      <c r="I133" s="143">
        <f t="shared" si="54"/>
        <v>0</v>
      </c>
      <c r="J133" s="144">
        <f t="shared" si="43"/>
        <v>0</v>
      </c>
      <c r="K133" s="144">
        <f t="shared" si="44"/>
        <v>0</v>
      </c>
      <c r="L133" s="169">
        <f t="shared" si="58"/>
        <v>0</v>
      </c>
      <c r="M133" s="143">
        <f t="shared" si="55"/>
        <v>0</v>
      </c>
      <c r="N133" s="144">
        <f t="shared" si="45"/>
        <v>0</v>
      </c>
      <c r="O133" s="144">
        <f t="shared" si="46"/>
        <v>0</v>
      </c>
      <c r="P133" s="169">
        <f t="shared" ref="P133:P196" si="60">IF(M133&lt;=0,0,P$14)</f>
        <v>0</v>
      </c>
      <c r="R133" s="143">
        <f t="shared" si="56"/>
        <v>0</v>
      </c>
      <c r="S133" s="144">
        <f t="shared" si="47"/>
        <v>0</v>
      </c>
      <c r="T133" s="144">
        <f t="shared" si="48"/>
        <v>0</v>
      </c>
      <c r="U133" s="169">
        <f t="shared" si="49"/>
        <v>0</v>
      </c>
      <c r="V133" s="143">
        <f t="shared" si="57"/>
        <v>0</v>
      </c>
      <c r="W133" s="144">
        <f t="shared" si="50"/>
        <v>0</v>
      </c>
      <c r="X133" s="144">
        <f t="shared" si="51"/>
        <v>0</v>
      </c>
      <c r="Y133" s="169">
        <f t="shared" si="52"/>
        <v>0</v>
      </c>
      <c r="Z133" s="151">
        <v>0</v>
      </c>
      <c r="AA133" s="151">
        <v>0</v>
      </c>
      <c r="AB133" s="151">
        <v>0</v>
      </c>
      <c r="AC133" s="151">
        <v>0</v>
      </c>
    </row>
    <row r="134" spans="1:29" s="61" customFormat="1" ht="11.25">
      <c r="A134" s="147">
        <f t="shared" si="38"/>
        <v>0</v>
      </c>
      <c r="B134" s="152">
        <f t="shared" si="39"/>
        <v>0</v>
      </c>
      <c r="C134" s="141">
        <f t="shared" si="40"/>
        <v>10</v>
      </c>
      <c r="D134" s="142">
        <v>115</v>
      </c>
      <c r="E134" s="143">
        <f t="shared" si="53"/>
        <v>0</v>
      </c>
      <c r="F134" s="144">
        <f t="shared" si="41"/>
        <v>0</v>
      </c>
      <c r="G134" s="144">
        <f t="shared" si="42"/>
        <v>0</v>
      </c>
      <c r="H134" s="169">
        <f t="shared" si="59"/>
        <v>0</v>
      </c>
      <c r="I134" s="143">
        <f t="shared" si="54"/>
        <v>0</v>
      </c>
      <c r="J134" s="144">
        <f t="shared" si="43"/>
        <v>0</v>
      </c>
      <c r="K134" s="144">
        <f t="shared" si="44"/>
        <v>0</v>
      </c>
      <c r="L134" s="169">
        <f t="shared" si="58"/>
        <v>0</v>
      </c>
      <c r="M134" s="143">
        <f t="shared" si="55"/>
        <v>0</v>
      </c>
      <c r="N134" s="144">
        <f t="shared" si="45"/>
        <v>0</v>
      </c>
      <c r="O134" s="144">
        <f t="shared" si="46"/>
        <v>0</v>
      </c>
      <c r="P134" s="169">
        <f t="shared" si="60"/>
        <v>0</v>
      </c>
      <c r="R134" s="143">
        <f t="shared" si="56"/>
        <v>0</v>
      </c>
      <c r="S134" s="144">
        <f t="shared" si="47"/>
        <v>0</v>
      </c>
      <c r="T134" s="144">
        <f t="shared" si="48"/>
        <v>0</v>
      </c>
      <c r="U134" s="169">
        <f t="shared" si="49"/>
        <v>0</v>
      </c>
      <c r="V134" s="143">
        <f t="shared" si="57"/>
        <v>0</v>
      </c>
      <c r="W134" s="144">
        <f t="shared" si="50"/>
        <v>0</v>
      </c>
      <c r="X134" s="144">
        <f t="shared" si="51"/>
        <v>0</v>
      </c>
      <c r="Y134" s="169">
        <f t="shared" si="52"/>
        <v>0</v>
      </c>
      <c r="Z134" s="151">
        <v>0</v>
      </c>
      <c r="AA134" s="151">
        <v>0</v>
      </c>
      <c r="AB134" s="151">
        <v>0</v>
      </c>
      <c r="AC134" s="151">
        <v>0</v>
      </c>
    </row>
    <row r="135" spans="1:29" s="61" customFormat="1" ht="11.25">
      <c r="A135" s="147">
        <f t="shared" si="38"/>
        <v>0</v>
      </c>
      <c r="B135" s="152">
        <f t="shared" si="39"/>
        <v>0</v>
      </c>
      <c r="C135" s="141">
        <f t="shared" si="40"/>
        <v>10</v>
      </c>
      <c r="D135" s="142">
        <v>116</v>
      </c>
      <c r="E135" s="143">
        <f t="shared" si="53"/>
        <v>0</v>
      </c>
      <c r="F135" s="144">
        <f t="shared" si="41"/>
        <v>0</v>
      </c>
      <c r="G135" s="144">
        <f t="shared" si="42"/>
        <v>0</v>
      </c>
      <c r="H135" s="169">
        <f t="shared" si="59"/>
        <v>0</v>
      </c>
      <c r="I135" s="143">
        <f t="shared" si="54"/>
        <v>0</v>
      </c>
      <c r="J135" s="144">
        <f t="shared" si="43"/>
        <v>0</v>
      </c>
      <c r="K135" s="144">
        <f t="shared" si="44"/>
        <v>0</v>
      </c>
      <c r="L135" s="169">
        <f t="shared" si="58"/>
        <v>0</v>
      </c>
      <c r="M135" s="143">
        <f t="shared" si="55"/>
        <v>0</v>
      </c>
      <c r="N135" s="144">
        <f t="shared" si="45"/>
        <v>0</v>
      </c>
      <c r="O135" s="144">
        <f t="shared" si="46"/>
        <v>0</v>
      </c>
      <c r="P135" s="169">
        <f t="shared" si="60"/>
        <v>0</v>
      </c>
      <c r="R135" s="143">
        <f t="shared" si="56"/>
        <v>0</v>
      </c>
      <c r="S135" s="144">
        <f t="shared" si="47"/>
        <v>0</v>
      </c>
      <c r="T135" s="144">
        <f t="shared" si="48"/>
        <v>0</v>
      </c>
      <c r="U135" s="169">
        <f t="shared" si="49"/>
        <v>0</v>
      </c>
      <c r="V135" s="143">
        <f t="shared" si="57"/>
        <v>0</v>
      </c>
      <c r="W135" s="144">
        <f t="shared" si="50"/>
        <v>0</v>
      </c>
      <c r="X135" s="144">
        <f t="shared" si="51"/>
        <v>0</v>
      </c>
      <c r="Y135" s="169">
        <f t="shared" si="52"/>
        <v>0</v>
      </c>
      <c r="Z135" s="151">
        <v>0</v>
      </c>
      <c r="AA135" s="151">
        <v>0</v>
      </c>
      <c r="AB135" s="151">
        <v>0</v>
      </c>
      <c r="AC135" s="151">
        <v>0</v>
      </c>
    </row>
    <row r="136" spans="1:29" s="61" customFormat="1" ht="11.25">
      <c r="A136" s="147">
        <f t="shared" si="38"/>
        <v>0</v>
      </c>
      <c r="B136" s="152">
        <f t="shared" si="39"/>
        <v>0</v>
      </c>
      <c r="C136" s="141">
        <f t="shared" si="40"/>
        <v>10</v>
      </c>
      <c r="D136" s="142">
        <v>117</v>
      </c>
      <c r="E136" s="143">
        <f t="shared" si="53"/>
        <v>0</v>
      </c>
      <c r="F136" s="144">
        <f t="shared" si="41"/>
        <v>0</v>
      </c>
      <c r="G136" s="144">
        <f t="shared" si="42"/>
        <v>0</v>
      </c>
      <c r="H136" s="169">
        <f t="shared" si="59"/>
        <v>0</v>
      </c>
      <c r="I136" s="143">
        <f t="shared" si="54"/>
        <v>0</v>
      </c>
      <c r="J136" s="144">
        <f t="shared" si="43"/>
        <v>0</v>
      </c>
      <c r="K136" s="144">
        <f t="shared" si="44"/>
        <v>0</v>
      </c>
      <c r="L136" s="169">
        <f t="shared" si="58"/>
        <v>0</v>
      </c>
      <c r="M136" s="143">
        <f t="shared" si="55"/>
        <v>0</v>
      </c>
      <c r="N136" s="144">
        <f t="shared" si="45"/>
        <v>0</v>
      </c>
      <c r="O136" s="144">
        <f t="shared" si="46"/>
        <v>0</v>
      </c>
      <c r="P136" s="169">
        <f t="shared" si="60"/>
        <v>0</v>
      </c>
      <c r="R136" s="143">
        <f t="shared" si="56"/>
        <v>0</v>
      </c>
      <c r="S136" s="144">
        <f t="shared" si="47"/>
        <v>0</v>
      </c>
      <c r="T136" s="144">
        <f t="shared" si="48"/>
        <v>0</v>
      </c>
      <c r="U136" s="169">
        <f t="shared" si="49"/>
        <v>0</v>
      </c>
      <c r="V136" s="143">
        <f t="shared" si="57"/>
        <v>0</v>
      </c>
      <c r="W136" s="144">
        <f t="shared" si="50"/>
        <v>0</v>
      </c>
      <c r="X136" s="144">
        <f t="shared" si="51"/>
        <v>0</v>
      </c>
      <c r="Y136" s="169">
        <f t="shared" si="52"/>
        <v>0</v>
      </c>
      <c r="Z136" s="151">
        <v>0</v>
      </c>
      <c r="AA136" s="151">
        <v>0</v>
      </c>
      <c r="AB136" s="151">
        <v>0</v>
      </c>
      <c r="AC136" s="151">
        <v>0</v>
      </c>
    </row>
    <row r="137" spans="1:29" s="61" customFormat="1" ht="11.25">
      <c r="A137" s="147">
        <f t="shared" si="38"/>
        <v>0</v>
      </c>
      <c r="B137" s="152">
        <f t="shared" si="39"/>
        <v>0</v>
      </c>
      <c r="C137" s="141">
        <f t="shared" si="40"/>
        <v>10</v>
      </c>
      <c r="D137" s="142">
        <v>118</v>
      </c>
      <c r="E137" s="143">
        <f t="shared" si="53"/>
        <v>0</v>
      </c>
      <c r="F137" s="144">
        <f t="shared" si="41"/>
        <v>0</v>
      </c>
      <c r="G137" s="144">
        <f t="shared" si="42"/>
        <v>0</v>
      </c>
      <c r="H137" s="169">
        <f t="shared" si="59"/>
        <v>0</v>
      </c>
      <c r="I137" s="143">
        <f t="shared" si="54"/>
        <v>0</v>
      </c>
      <c r="J137" s="144">
        <f t="shared" si="43"/>
        <v>0</v>
      </c>
      <c r="K137" s="144">
        <f t="shared" si="44"/>
        <v>0</v>
      </c>
      <c r="L137" s="169">
        <f t="shared" si="58"/>
        <v>0</v>
      </c>
      <c r="M137" s="143">
        <f t="shared" si="55"/>
        <v>0</v>
      </c>
      <c r="N137" s="144">
        <f t="shared" si="45"/>
        <v>0</v>
      </c>
      <c r="O137" s="144">
        <f t="shared" si="46"/>
        <v>0</v>
      </c>
      <c r="P137" s="169">
        <f t="shared" si="60"/>
        <v>0</v>
      </c>
      <c r="R137" s="143">
        <f t="shared" si="56"/>
        <v>0</v>
      </c>
      <c r="S137" s="144">
        <f t="shared" si="47"/>
        <v>0</v>
      </c>
      <c r="T137" s="144">
        <f t="shared" si="48"/>
        <v>0</v>
      </c>
      <c r="U137" s="169">
        <f t="shared" si="49"/>
        <v>0</v>
      </c>
      <c r="V137" s="143">
        <f t="shared" si="57"/>
        <v>0</v>
      </c>
      <c r="W137" s="144">
        <f t="shared" si="50"/>
        <v>0</v>
      </c>
      <c r="X137" s="144">
        <f t="shared" si="51"/>
        <v>0</v>
      </c>
      <c r="Y137" s="169">
        <f t="shared" si="52"/>
        <v>0</v>
      </c>
      <c r="Z137" s="151">
        <v>0</v>
      </c>
      <c r="AA137" s="151">
        <v>0</v>
      </c>
      <c r="AB137" s="151">
        <v>0</v>
      </c>
      <c r="AC137" s="151">
        <v>0</v>
      </c>
    </row>
    <row r="138" spans="1:29" s="61" customFormat="1" ht="11.25">
      <c r="A138" s="147">
        <f t="shared" si="38"/>
        <v>0</v>
      </c>
      <c r="B138" s="152">
        <f t="shared" si="39"/>
        <v>0</v>
      </c>
      <c r="C138" s="141">
        <f t="shared" si="40"/>
        <v>10</v>
      </c>
      <c r="D138" s="142">
        <v>119</v>
      </c>
      <c r="E138" s="143">
        <f t="shared" si="53"/>
        <v>0</v>
      </c>
      <c r="F138" s="144">
        <f t="shared" si="41"/>
        <v>0</v>
      </c>
      <c r="G138" s="144">
        <f t="shared" si="42"/>
        <v>0</v>
      </c>
      <c r="H138" s="169">
        <f t="shared" si="59"/>
        <v>0</v>
      </c>
      <c r="I138" s="143">
        <f t="shared" si="54"/>
        <v>0</v>
      </c>
      <c r="J138" s="144">
        <f t="shared" si="43"/>
        <v>0</v>
      </c>
      <c r="K138" s="144">
        <f t="shared" si="44"/>
        <v>0</v>
      </c>
      <c r="L138" s="169">
        <f t="shared" si="58"/>
        <v>0</v>
      </c>
      <c r="M138" s="143">
        <f t="shared" si="55"/>
        <v>0</v>
      </c>
      <c r="N138" s="144">
        <f t="shared" si="45"/>
        <v>0</v>
      </c>
      <c r="O138" s="144">
        <f t="shared" si="46"/>
        <v>0</v>
      </c>
      <c r="P138" s="169">
        <f t="shared" si="60"/>
        <v>0</v>
      </c>
      <c r="R138" s="143">
        <f t="shared" si="56"/>
        <v>0</v>
      </c>
      <c r="S138" s="144">
        <f t="shared" si="47"/>
        <v>0</v>
      </c>
      <c r="T138" s="144">
        <f t="shared" si="48"/>
        <v>0</v>
      </c>
      <c r="U138" s="169">
        <f t="shared" si="49"/>
        <v>0</v>
      </c>
      <c r="V138" s="143">
        <f t="shared" si="57"/>
        <v>0</v>
      </c>
      <c r="W138" s="144">
        <f t="shared" si="50"/>
        <v>0</v>
      </c>
      <c r="X138" s="144">
        <f t="shared" si="51"/>
        <v>0</v>
      </c>
      <c r="Y138" s="169">
        <f t="shared" si="52"/>
        <v>0</v>
      </c>
      <c r="Z138" s="151">
        <v>0</v>
      </c>
      <c r="AA138" s="151">
        <v>0</v>
      </c>
      <c r="AB138" s="151">
        <v>0</v>
      </c>
      <c r="AC138" s="151">
        <v>0</v>
      </c>
    </row>
    <row r="139" spans="1:29" s="61" customFormat="1" ht="12" thickBot="1">
      <c r="A139" s="153">
        <f t="shared" si="38"/>
        <v>0</v>
      </c>
      <c r="B139" s="154">
        <f t="shared" si="39"/>
        <v>0</v>
      </c>
      <c r="C139" s="155">
        <f t="shared" si="40"/>
        <v>10</v>
      </c>
      <c r="D139" s="156">
        <v>120</v>
      </c>
      <c r="E139" s="157">
        <f t="shared" si="53"/>
        <v>0</v>
      </c>
      <c r="F139" s="158">
        <f t="shared" si="41"/>
        <v>0</v>
      </c>
      <c r="G139" s="158">
        <f t="shared" si="42"/>
        <v>0</v>
      </c>
      <c r="H139" s="172">
        <f t="shared" si="59"/>
        <v>0</v>
      </c>
      <c r="I139" s="157">
        <f t="shared" si="54"/>
        <v>0</v>
      </c>
      <c r="J139" s="158">
        <f t="shared" si="43"/>
        <v>0</v>
      </c>
      <c r="K139" s="158">
        <f t="shared" si="44"/>
        <v>0</v>
      </c>
      <c r="L139" s="172">
        <f t="shared" si="58"/>
        <v>0</v>
      </c>
      <c r="M139" s="157">
        <f t="shared" si="55"/>
        <v>0</v>
      </c>
      <c r="N139" s="158">
        <f t="shared" si="45"/>
        <v>0</v>
      </c>
      <c r="O139" s="158">
        <f t="shared" si="46"/>
        <v>0</v>
      </c>
      <c r="P139" s="172">
        <f t="shared" si="60"/>
        <v>0</v>
      </c>
      <c r="R139" s="157">
        <f t="shared" si="56"/>
        <v>0</v>
      </c>
      <c r="S139" s="158">
        <f t="shared" si="47"/>
        <v>0</v>
      </c>
      <c r="T139" s="158">
        <f t="shared" si="48"/>
        <v>0</v>
      </c>
      <c r="U139" s="172">
        <f t="shared" si="49"/>
        <v>0</v>
      </c>
      <c r="V139" s="157">
        <f t="shared" si="57"/>
        <v>0</v>
      </c>
      <c r="W139" s="158">
        <f t="shared" si="50"/>
        <v>0</v>
      </c>
      <c r="X139" s="158">
        <f t="shared" si="51"/>
        <v>0</v>
      </c>
      <c r="Y139" s="172">
        <f t="shared" si="52"/>
        <v>0</v>
      </c>
      <c r="Z139" s="151">
        <v>0</v>
      </c>
      <c r="AA139" s="151">
        <v>0</v>
      </c>
      <c r="AB139" s="151">
        <v>0</v>
      </c>
      <c r="AC139" s="151">
        <v>0</v>
      </c>
    </row>
    <row r="140" spans="1:29" s="61" customFormat="1" ht="11.25">
      <c r="A140" s="147">
        <f t="shared" si="38"/>
        <v>0</v>
      </c>
      <c r="B140" s="152">
        <f t="shared" si="39"/>
        <v>0</v>
      </c>
      <c r="C140" s="141">
        <f t="shared" si="40"/>
        <v>11</v>
      </c>
      <c r="D140" s="142">
        <v>121</v>
      </c>
      <c r="E140" s="143">
        <f t="shared" si="53"/>
        <v>0</v>
      </c>
      <c r="F140" s="144">
        <f t="shared" si="41"/>
        <v>0</v>
      </c>
      <c r="G140" s="144">
        <f t="shared" si="42"/>
        <v>0</v>
      </c>
      <c r="H140" s="169">
        <f t="shared" si="59"/>
        <v>0</v>
      </c>
      <c r="I140" s="143">
        <f t="shared" si="54"/>
        <v>0</v>
      </c>
      <c r="J140" s="144">
        <f t="shared" si="43"/>
        <v>0</v>
      </c>
      <c r="K140" s="144">
        <f t="shared" si="44"/>
        <v>0</v>
      </c>
      <c r="L140" s="169">
        <f t="shared" si="58"/>
        <v>0</v>
      </c>
      <c r="M140" s="143">
        <f t="shared" si="55"/>
        <v>0</v>
      </c>
      <c r="N140" s="144">
        <f t="shared" si="45"/>
        <v>0</v>
      </c>
      <c r="O140" s="144">
        <f t="shared" si="46"/>
        <v>0</v>
      </c>
      <c r="P140" s="169">
        <f t="shared" si="60"/>
        <v>0</v>
      </c>
      <c r="R140" s="143">
        <f t="shared" si="56"/>
        <v>0</v>
      </c>
      <c r="S140" s="144">
        <f t="shared" si="47"/>
        <v>0</v>
      </c>
      <c r="T140" s="144">
        <f t="shared" si="48"/>
        <v>0</v>
      </c>
      <c r="U140" s="169">
        <f t="shared" si="49"/>
        <v>0</v>
      </c>
      <c r="V140" s="143">
        <f t="shared" si="57"/>
        <v>0</v>
      </c>
      <c r="W140" s="144">
        <f t="shared" si="50"/>
        <v>0</v>
      </c>
      <c r="X140" s="144">
        <f t="shared" si="51"/>
        <v>0</v>
      </c>
      <c r="Y140" s="169">
        <f t="shared" si="52"/>
        <v>0</v>
      </c>
      <c r="Z140" s="151">
        <v>0</v>
      </c>
      <c r="AA140" s="151">
        <v>0</v>
      </c>
      <c r="AB140" s="151">
        <v>0</v>
      </c>
      <c r="AC140" s="151">
        <v>0</v>
      </c>
    </row>
    <row r="141" spans="1:29" s="61" customFormat="1" ht="11.25">
      <c r="A141" s="147">
        <f t="shared" si="38"/>
        <v>0</v>
      </c>
      <c r="B141" s="152">
        <f t="shared" si="39"/>
        <v>0</v>
      </c>
      <c r="C141" s="141">
        <f t="shared" si="40"/>
        <v>11</v>
      </c>
      <c r="D141" s="142">
        <v>122</v>
      </c>
      <c r="E141" s="143">
        <f t="shared" si="53"/>
        <v>0</v>
      </c>
      <c r="F141" s="144">
        <f t="shared" si="41"/>
        <v>0</v>
      </c>
      <c r="G141" s="144">
        <f t="shared" si="42"/>
        <v>0</v>
      </c>
      <c r="H141" s="169">
        <f t="shared" si="59"/>
        <v>0</v>
      </c>
      <c r="I141" s="143">
        <f t="shared" si="54"/>
        <v>0</v>
      </c>
      <c r="J141" s="144">
        <f t="shared" si="43"/>
        <v>0</v>
      </c>
      <c r="K141" s="144">
        <f t="shared" si="44"/>
        <v>0</v>
      </c>
      <c r="L141" s="169">
        <f t="shared" si="58"/>
        <v>0</v>
      </c>
      <c r="M141" s="143">
        <f t="shared" si="55"/>
        <v>0</v>
      </c>
      <c r="N141" s="144">
        <f t="shared" si="45"/>
        <v>0</v>
      </c>
      <c r="O141" s="144">
        <f t="shared" si="46"/>
        <v>0</v>
      </c>
      <c r="P141" s="169">
        <f t="shared" si="60"/>
        <v>0</v>
      </c>
      <c r="R141" s="143">
        <f t="shared" si="56"/>
        <v>0</v>
      </c>
      <c r="S141" s="144">
        <f t="shared" si="47"/>
        <v>0</v>
      </c>
      <c r="T141" s="144">
        <f t="shared" si="48"/>
        <v>0</v>
      </c>
      <c r="U141" s="169">
        <f t="shared" si="49"/>
        <v>0</v>
      </c>
      <c r="V141" s="143">
        <f t="shared" si="57"/>
        <v>0</v>
      </c>
      <c r="W141" s="144">
        <f t="shared" si="50"/>
        <v>0</v>
      </c>
      <c r="X141" s="144">
        <f t="shared" si="51"/>
        <v>0</v>
      </c>
      <c r="Y141" s="169">
        <f t="shared" si="52"/>
        <v>0</v>
      </c>
      <c r="Z141" s="151">
        <v>0</v>
      </c>
      <c r="AA141" s="151">
        <v>0</v>
      </c>
      <c r="AB141" s="151">
        <v>0</v>
      </c>
      <c r="AC141" s="151">
        <v>0</v>
      </c>
    </row>
    <row r="142" spans="1:29" s="61" customFormat="1" ht="11.25">
      <c r="A142" s="147">
        <f t="shared" si="38"/>
        <v>0</v>
      </c>
      <c r="B142" s="152">
        <f t="shared" si="39"/>
        <v>0</v>
      </c>
      <c r="C142" s="141">
        <f t="shared" si="40"/>
        <v>11</v>
      </c>
      <c r="D142" s="142">
        <v>123</v>
      </c>
      <c r="E142" s="143">
        <f t="shared" si="53"/>
        <v>0</v>
      </c>
      <c r="F142" s="144">
        <f t="shared" si="41"/>
        <v>0</v>
      </c>
      <c r="G142" s="144">
        <f t="shared" si="42"/>
        <v>0</v>
      </c>
      <c r="H142" s="169">
        <f t="shared" si="59"/>
        <v>0</v>
      </c>
      <c r="I142" s="143">
        <f t="shared" si="54"/>
        <v>0</v>
      </c>
      <c r="J142" s="144">
        <f t="shared" si="43"/>
        <v>0</v>
      </c>
      <c r="K142" s="144">
        <f t="shared" si="44"/>
        <v>0</v>
      </c>
      <c r="L142" s="169">
        <f t="shared" si="58"/>
        <v>0</v>
      </c>
      <c r="M142" s="143">
        <f t="shared" si="55"/>
        <v>0</v>
      </c>
      <c r="N142" s="144">
        <f t="shared" si="45"/>
        <v>0</v>
      </c>
      <c r="O142" s="144">
        <f t="shared" si="46"/>
        <v>0</v>
      </c>
      <c r="P142" s="169">
        <f t="shared" si="60"/>
        <v>0</v>
      </c>
      <c r="R142" s="143">
        <f t="shared" si="56"/>
        <v>0</v>
      </c>
      <c r="S142" s="144">
        <f t="shared" si="47"/>
        <v>0</v>
      </c>
      <c r="T142" s="144">
        <f t="shared" si="48"/>
        <v>0</v>
      </c>
      <c r="U142" s="169">
        <f t="shared" si="49"/>
        <v>0</v>
      </c>
      <c r="V142" s="143">
        <f t="shared" si="57"/>
        <v>0</v>
      </c>
      <c r="W142" s="144">
        <f t="shared" si="50"/>
        <v>0</v>
      </c>
      <c r="X142" s="144">
        <f t="shared" si="51"/>
        <v>0</v>
      </c>
      <c r="Y142" s="169">
        <f t="shared" si="52"/>
        <v>0</v>
      </c>
      <c r="Z142" s="151">
        <v>0</v>
      </c>
      <c r="AA142" s="151">
        <v>0</v>
      </c>
      <c r="AB142" s="151">
        <v>0</v>
      </c>
      <c r="AC142" s="151">
        <v>0</v>
      </c>
    </row>
    <row r="143" spans="1:29" s="61" customFormat="1" ht="11.25">
      <c r="A143" s="147">
        <f t="shared" si="38"/>
        <v>0</v>
      </c>
      <c r="B143" s="152">
        <f t="shared" si="39"/>
        <v>0</v>
      </c>
      <c r="C143" s="141">
        <f t="shared" si="40"/>
        <v>11</v>
      </c>
      <c r="D143" s="142">
        <v>124</v>
      </c>
      <c r="E143" s="143">
        <f t="shared" si="53"/>
        <v>0</v>
      </c>
      <c r="F143" s="144">
        <f t="shared" si="41"/>
        <v>0</v>
      </c>
      <c r="G143" s="144">
        <f t="shared" si="42"/>
        <v>0</v>
      </c>
      <c r="H143" s="169">
        <f t="shared" si="59"/>
        <v>0</v>
      </c>
      <c r="I143" s="143">
        <f t="shared" si="54"/>
        <v>0</v>
      </c>
      <c r="J143" s="144">
        <f t="shared" si="43"/>
        <v>0</v>
      </c>
      <c r="K143" s="144">
        <f t="shared" si="44"/>
        <v>0</v>
      </c>
      <c r="L143" s="169">
        <f t="shared" si="58"/>
        <v>0</v>
      </c>
      <c r="M143" s="143">
        <f t="shared" si="55"/>
        <v>0</v>
      </c>
      <c r="N143" s="144">
        <f t="shared" si="45"/>
        <v>0</v>
      </c>
      <c r="O143" s="144">
        <f t="shared" si="46"/>
        <v>0</v>
      </c>
      <c r="P143" s="169">
        <f t="shared" si="60"/>
        <v>0</v>
      </c>
      <c r="R143" s="143">
        <f t="shared" si="56"/>
        <v>0</v>
      </c>
      <c r="S143" s="144">
        <f t="shared" si="47"/>
        <v>0</v>
      </c>
      <c r="T143" s="144">
        <f t="shared" si="48"/>
        <v>0</v>
      </c>
      <c r="U143" s="169">
        <f t="shared" si="49"/>
        <v>0</v>
      </c>
      <c r="V143" s="143">
        <f t="shared" si="57"/>
        <v>0</v>
      </c>
      <c r="W143" s="144">
        <f t="shared" si="50"/>
        <v>0</v>
      </c>
      <c r="X143" s="144">
        <f t="shared" si="51"/>
        <v>0</v>
      </c>
      <c r="Y143" s="169">
        <f t="shared" si="52"/>
        <v>0</v>
      </c>
      <c r="Z143" s="151">
        <v>0</v>
      </c>
      <c r="AA143" s="151">
        <v>0</v>
      </c>
      <c r="AB143" s="151">
        <v>0</v>
      </c>
      <c r="AC143" s="151">
        <v>0</v>
      </c>
    </row>
    <row r="144" spans="1:29" s="61" customFormat="1" ht="11.25">
      <c r="A144" s="147">
        <f t="shared" si="38"/>
        <v>0</v>
      </c>
      <c r="B144" s="152">
        <f t="shared" si="39"/>
        <v>0</v>
      </c>
      <c r="C144" s="141">
        <f t="shared" si="40"/>
        <v>11</v>
      </c>
      <c r="D144" s="142">
        <v>125</v>
      </c>
      <c r="E144" s="143">
        <f t="shared" si="53"/>
        <v>0</v>
      </c>
      <c r="F144" s="144">
        <f t="shared" si="41"/>
        <v>0</v>
      </c>
      <c r="G144" s="144">
        <f t="shared" si="42"/>
        <v>0</v>
      </c>
      <c r="H144" s="169">
        <f t="shared" si="59"/>
        <v>0</v>
      </c>
      <c r="I144" s="143">
        <f t="shared" si="54"/>
        <v>0</v>
      </c>
      <c r="J144" s="144">
        <f t="shared" si="43"/>
        <v>0</v>
      </c>
      <c r="K144" s="144">
        <f t="shared" si="44"/>
        <v>0</v>
      </c>
      <c r="L144" s="169">
        <f t="shared" si="58"/>
        <v>0</v>
      </c>
      <c r="M144" s="143">
        <f t="shared" si="55"/>
        <v>0</v>
      </c>
      <c r="N144" s="144">
        <f t="shared" si="45"/>
        <v>0</v>
      </c>
      <c r="O144" s="144">
        <f t="shared" si="46"/>
        <v>0</v>
      </c>
      <c r="P144" s="169">
        <f t="shared" si="60"/>
        <v>0</v>
      </c>
      <c r="R144" s="143">
        <f t="shared" si="56"/>
        <v>0</v>
      </c>
      <c r="S144" s="144">
        <f t="shared" si="47"/>
        <v>0</v>
      </c>
      <c r="T144" s="144">
        <f t="shared" si="48"/>
        <v>0</v>
      </c>
      <c r="U144" s="169">
        <f t="shared" si="49"/>
        <v>0</v>
      </c>
      <c r="V144" s="143">
        <f t="shared" si="57"/>
        <v>0</v>
      </c>
      <c r="W144" s="144">
        <f t="shared" si="50"/>
        <v>0</v>
      </c>
      <c r="X144" s="144">
        <f t="shared" si="51"/>
        <v>0</v>
      </c>
      <c r="Y144" s="169">
        <f t="shared" si="52"/>
        <v>0</v>
      </c>
      <c r="Z144" s="151">
        <v>0</v>
      </c>
      <c r="AA144" s="151">
        <v>0</v>
      </c>
      <c r="AB144" s="151">
        <v>0</v>
      </c>
      <c r="AC144" s="151">
        <v>0</v>
      </c>
    </row>
    <row r="145" spans="1:29" s="61" customFormat="1" ht="11.25">
      <c r="A145" s="147">
        <f t="shared" si="38"/>
        <v>0</v>
      </c>
      <c r="B145" s="152">
        <f t="shared" si="39"/>
        <v>0</v>
      </c>
      <c r="C145" s="141">
        <f t="shared" si="40"/>
        <v>11</v>
      </c>
      <c r="D145" s="142">
        <v>126</v>
      </c>
      <c r="E145" s="143">
        <f t="shared" si="53"/>
        <v>0</v>
      </c>
      <c r="F145" s="144">
        <f t="shared" si="41"/>
        <v>0</v>
      </c>
      <c r="G145" s="144">
        <f t="shared" si="42"/>
        <v>0</v>
      </c>
      <c r="H145" s="169">
        <f t="shared" si="59"/>
        <v>0</v>
      </c>
      <c r="I145" s="143">
        <f t="shared" si="54"/>
        <v>0</v>
      </c>
      <c r="J145" s="144">
        <f t="shared" si="43"/>
        <v>0</v>
      </c>
      <c r="K145" s="144">
        <f t="shared" si="44"/>
        <v>0</v>
      </c>
      <c r="L145" s="169">
        <f t="shared" si="58"/>
        <v>0</v>
      </c>
      <c r="M145" s="143">
        <f t="shared" si="55"/>
        <v>0</v>
      </c>
      <c r="N145" s="144">
        <f t="shared" si="45"/>
        <v>0</v>
      </c>
      <c r="O145" s="144">
        <f t="shared" si="46"/>
        <v>0</v>
      </c>
      <c r="P145" s="169">
        <f t="shared" si="60"/>
        <v>0</v>
      </c>
      <c r="R145" s="143">
        <f t="shared" si="56"/>
        <v>0</v>
      </c>
      <c r="S145" s="144">
        <f t="shared" si="47"/>
        <v>0</v>
      </c>
      <c r="T145" s="144">
        <f t="shared" si="48"/>
        <v>0</v>
      </c>
      <c r="U145" s="169">
        <f t="shared" si="49"/>
        <v>0</v>
      </c>
      <c r="V145" s="143">
        <f t="shared" si="57"/>
        <v>0</v>
      </c>
      <c r="W145" s="144">
        <f t="shared" si="50"/>
        <v>0</v>
      </c>
      <c r="X145" s="144">
        <f t="shared" si="51"/>
        <v>0</v>
      </c>
      <c r="Y145" s="169">
        <f t="shared" si="52"/>
        <v>0</v>
      </c>
      <c r="Z145" s="151">
        <v>0</v>
      </c>
      <c r="AA145" s="151">
        <v>0</v>
      </c>
      <c r="AB145" s="151">
        <v>0</v>
      </c>
      <c r="AC145" s="151">
        <v>0</v>
      </c>
    </row>
    <row r="146" spans="1:29" s="61" customFormat="1" ht="11.25">
      <c r="A146" s="147">
        <f t="shared" si="38"/>
        <v>0</v>
      </c>
      <c r="B146" s="152">
        <f t="shared" si="39"/>
        <v>0</v>
      </c>
      <c r="C146" s="141">
        <f t="shared" si="40"/>
        <v>11</v>
      </c>
      <c r="D146" s="142">
        <v>127</v>
      </c>
      <c r="E146" s="143">
        <f t="shared" si="53"/>
        <v>0</v>
      </c>
      <c r="F146" s="144">
        <f t="shared" si="41"/>
        <v>0</v>
      </c>
      <c r="G146" s="144">
        <f t="shared" si="42"/>
        <v>0</v>
      </c>
      <c r="H146" s="169">
        <f t="shared" si="59"/>
        <v>0</v>
      </c>
      <c r="I146" s="143">
        <f t="shared" si="54"/>
        <v>0</v>
      </c>
      <c r="J146" s="144">
        <f t="shared" si="43"/>
        <v>0</v>
      </c>
      <c r="K146" s="144">
        <f t="shared" si="44"/>
        <v>0</v>
      </c>
      <c r="L146" s="169">
        <f t="shared" si="58"/>
        <v>0</v>
      </c>
      <c r="M146" s="143">
        <f t="shared" si="55"/>
        <v>0</v>
      </c>
      <c r="N146" s="144">
        <f t="shared" si="45"/>
        <v>0</v>
      </c>
      <c r="O146" s="144">
        <f t="shared" si="46"/>
        <v>0</v>
      </c>
      <c r="P146" s="169">
        <f t="shared" si="60"/>
        <v>0</v>
      </c>
      <c r="R146" s="143">
        <f t="shared" si="56"/>
        <v>0</v>
      </c>
      <c r="S146" s="144">
        <f t="shared" si="47"/>
        <v>0</v>
      </c>
      <c r="T146" s="144">
        <f t="shared" si="48"/>
        <v>0</v>
      </c>
      <c r="U146" s="169">
        <f t="shared" si="49"/>
        <v>0</v>
      </c>
      <c r="V146" s="143">
        <f t="shared" si="57"/>
        <v>0</v>
      </c>
      <c r="W146" s="144">
        <f t="shared" si="50"/>
        <v>0</v>
      </c>
      <c r="X146" s="144">
        <f t="shared" si="51"/>
        <v>0</v>
      </c>
      <c r="Y146" s="169">
        <f t="shared" si="52"/>
        <v>0</v>
      </c>
      <c r="Z146" s="151">
        <v>0</v>
      </c>
      <c r="AA146" s="151">
        <v>0</v>
      </c>
      <c r="AB146" s="151">
        <v>0</v>
      </c>
      <c r="AC146" s="151">
        <v>0</v>
      </c>
    </row>
    <row r="147" spans="1:29" s="61" customFormat="1" ht="11.25">
      <c r="A147" s="147">
        <f t="shared" si="38"/>
        <v>0</v>
      </c>
      <c r="B147" s="152">
        <f t="shared" si="39"/>
        <v>0</v>
      </c>
      <c r="C147" s="141">
        <f t="shared" si="40"/>
        <v>11</v>
      </c>
      <c r="D147" s="142">
        <v>128</v>
      </c>
      <c r="E147" s="143">
        <f t="shared" si="53"/>
        <v>0</v>
      </c>
      <c r="F147" s="144">
        <f t="shared" si="41"/>
        <v>0</v>
      </c>
      <c r="G147" s="144">
        <f t="shared" si="42"/>
        <v>0</v>
      </c>
      <c r="H147" s="169">
        <f t="shared" si="59"/>
        <v>0</v>
      </c>
      <c r="I147" s="143">
        <f t="shared" si="54"/>
        <v>0</v>
      </c>
      <c r="J147" s="144">
        <f t="shared" si="43"/>
        <v>0</v>
      </c>
      <c r="K147" s="144">
        <f t="shared" si="44"/>
        <v>0</v>
      </c>
      <c r="L147" s="169">
        <f t="shared" si="58"/>
        <v>0</v>
      </c>
      <c r="M147" s="143">
        <f t="shared" si="55"/>
        <v>0</v>
      </c>
      <c r="N147" s="144">
        <f t="shared" si="45"/>
        <v>0</v>
      </c>
      <c r="O147" s="144">
        <f t="shared" si="46"/>
        <v>0</v>
      </c>
      <c r="P147" s="169">
        <f t="shared" si="60"/>
        <v>0</v>
      </c>
      <c r="R147" s="143">
        <f t="shared" si="56"/>
        <v>0</v>
      </c>
      <c r="S147" s="144">
        <f t="shared" si="47"/>
        <v>0</v>
      </c>
      <c r="T147" s="144">
        <f t="shared" si="48"/>
        <v>0</v>
      </c>
      <c r="U147" s="169">
        <f t="shared" si="49"/>
        <v>0</v>
      </c>
      <c r="V147" s="143">
        <f t="shared" si="57"/>
        <v>0</v>
      </c>
      <c r="W147" s="144">
        <f t="shared" si="50"/>
        <v>0</v>
      </c>
      <c r="X147" s="144">
        <f t="shared" si="51"/>
        <v>0</v>
      </c>
      <c r="Y147" s="169">
        <f t="shared" si="52"/>
        <v>0</v>
      </c>
      <c r="Z147" s="151">
        <v>0</v>
      </c>
      <c r="AA147" s="151">
        <v>0</v>
      </c>
      <c r="AB147" s="151">
        <v>0</v>
      </c>
      <c r="AC147" s="151">
        <v>0</v>
      </c>
    </row>
    <row r="148" spans="1:29" s="61" customFormat="1" ht="11.25">
      <c r="A148" s="147">
        <f t="shared" ref="A148:A211" si="61">VLOOKUP(D148,$A$10:$C$14,3)</f>
        <v>0</v>
      </c>
      <c r="B148" s="152">
        <f t="shared" ref="B148:B211" si="62">A148/12</f>
        <v>0</v>
      </c>
      <c r="C148" s="141">
        <f t="shared" ref="C148:C211" si="63">INT((D148+11)/12)</f>
        <v>11</v>
      </c>
      <c r="D148" s="142">
        <v>129</v>
      </c>
      <c r="E148" s="143">
        <f t="shared" si="53"/>
        <v>0</v>
      </c>
      <c r="F148" s="144">
        <f t="shared" ref="F148:F211" si="64">ROUND(E148*$B148,2)</f>
        <v>0</v>
      </c>
      <c r="G148" s="144">
        <f t="shared" ref="G148:G211" si="65">IF(E148&lt;H148,E148,H148-F148)</f>
        <v>0</v>
      </c>
      <c r="H148" s="169">
        <f t="shared" si="59"/>
        <v>0</v>
      </c>
      <c r="I148" s="143">
        <f t="shared" si="54"/>
        <v>0</v>
      </c>
      <c r="J148" s="144">
        <f t="shared" ref="J148:J211" si="66">ROUND(I148*$B148,2)</f>
        <v>0</v>
      </c>
      <c r="K148" s="144">
        <f t="shared" ref="K148:K211" si="67">IF(I148&lt;L148,I148,L148-J148)</f>
        <v>0</v>
      </c>
      <c r="L148" s="169">
        <f t="shared" si="58"/>
        <v>0</v>
      </c>
      <c r="M148" s="143">
        <f t="shared" si="55"/>
        <v>0</v>
      </c>
      <c r="N148" s="144">
        <f t="shared" ref="N148:N211" si="68">ROUND(M148*$B148,2)</f>
        <v>0</v>
      </c>
      <c r="O148" s="144">
        <f t="shared" ref="O148:O211" si="69">IF(M148&lt;P148,M148,P148-N148)</f>
        <v>0</v>
      </c>
      <c r="P148" s="169">
        <f t="shared" si="60"/>
        <v>0</v>
      </c>
      <c r="R148" s="143">
        <f t="shared" si="56"/>
        <v>0</v>
      </c>
      <c r="S148" s="144">
        <f t="shared" ref="S148:S211" si="70">ROUND(R148*$B148,2)</f>
        <v>0</v>
      </c>
      <c r="T148" s="144">
        <f t="shared" ref="T148:T211" si="71">IF(R148&lt;U148,R148,U148-S148)</f>
        <v>0</v>
      </c>
      <c r="U148" s="169">
        <f t="shared" ref="U148:U211" si="72">IF(R148&lt;=0,0,$Y$15)</f>
        <v>0</v>
      </c>
      <c r="V148" s="143">
        <f t="shared" si="57"/>
        <v>0</v>
      </c>
      <c r="W148" s="144">
        <f t="shared" ref="W148:W211" si="73">ROUND(V148*$B148,2)</f>
        <v>0</v>
      </c>
      <c r="X148" s="144">
        <f t="shared" ref="X148:X211" si="74">IF(V148&lt;Y148,V148,Y148-W148)</f>
        <v>0</v>
      </c>
      <c r="Y148" s="169">
        <f t="shared" ref="Y148:Y211" si="75">IF(V148&lt;=0,0,PMT(B148,($B$2-D148+1),V148*-1))</f>
        <v>0</v>
      </c>
      <c r="Z148" s="151">
        <v>0</v>
      </c>
      <c r="AA148" s="151">
        <v>0</v>
      </c>
      <c r="AB148" s="151">
        <v>0</v>
      </c>
      <c r="AC148" s="151">
        <v>0</v>
      </c>
    </row>
    <row r="149" spans="1:29" s="61" customFormat="1" ht="11.25">
      <c r="A149" s="147">
        <f t="shared" si="61"/>
        <v>0</v>
      </c>
      <c r="B149" s="152">
        <f t="shared" si="62"/>
        <v>0</v>
      </c>
      <c r="C149" s="141">
        <f t="shared" si="63"/>
        <v>11</v>
      </c>
      <c r="D149" s="142">
        <v>130</v>
      </c>
      <c r="E149" s="143">
        <f t="shared" ref="E149:E212" si="76">IF(E148&lt;H148,0,E148-G148)</f>
        <v>0</v>
      </c>
      <c r="F149" s="144">
        <f t="shared" si="64"/>
        <v>0</v>
      </c>
      <c r="G149" s="144">
        <f t="shared" si="65"/>
        <v>0</v>
      </c>
      <c r="H149" s="169">
        <f t="shared" si="59"/>
        <v>0</v>
      </c>
      <c r="I149" s="143">
        <f t="shared" ref="I149:I212" si="77">IF(I148&lt;L148,0,I148-K148)</f>
        <v>0</v>
      </c>
      <c r="J149" s="144">
        <f t="shared" si="66"/>
        <v>0</v>
      </c>
      <c r="K149" s="144">
        <f t="shared" si="67"/>
        <v>0</v>
      </c>
      <c r="L149" s="169">
        <f t="shared" si="58"/>
        <v>0</v>
      </c>
      <c r="M149" s="143">
        <f t="shared" ref="M149:M212" si="78">IF(M148&lt;P148,0,M148-O148)</f>
        <v>0</v>
      </c>
      <c r="N149" s="144">
        <f t="shared" si="68"/>
        <v>0</v>
      </c>
      <c r="O149" s="144">
        <f t="shared" si="69"/>
        <v>0</v>
      </c>
      <c r="P149" s="169">
        <f t="shared" si="60"/>
        <v>0</v>
      </c>
      <c r="R149" s="143">
        <f t="shared" ref="R149:R212" si="79">IF(R148&lt;U148,0,R148-T148)</f>
        <v>0</v>
      </c>
      <c r="S149" s="144">
        <f t="shared" si="70"/>
        <v>0</v>
      </c>
      <c r="T149" s="144">
        <f t="shared" si="71"/>
        <v>0</v>
      </c>
      <c r="U149" s="169">
        <f t="shared" si="72"/>
        <v>0</v>
      </c>
      <c r="V149" s="143">
        <f t="shared" ref="V149:V212" si="80">IF(V148&lt;Y148,0,V148-X148)</f>
        <v>0</v>
      </c>
      <c r="W149" s="144">
        <f t="shared" si="73"/>
        <v>0</v>
      </c>
      <c r="X149" s="144">
        <f t="shared" si="74"/>
        <v>0</v>
      </c>
      <c r="Y149" s="169">
        <f t="shared" si="75"/>
        <v>0</v>
      </c>
      <c r="Z149" s="151">
        <v>0</v>
      </c>
      <c r="AA149" s="151">
        <v>0</v>
      </c>
      <c r="AB149" s="151">
        <v>0</v>
      </c>
      <c r="AC149" s="151">
        <v>0</v>
      </c>
    </row>
    <row r="150" spans="1:29" s="61" customFormat="1" ht="11.25">
      <c r="A150" s="147">
        <f t="shared" si="61"/>
        <v>0</v>
      </c>
      <c r="B150" s="152">
        <f t="shared" si="62"/>
        <v>0</v>
      </c>
      <c r="C150" s="141">
        <f t="shared" si="63"/>
        <v>11</v>
      </c>
      <c r="D150" s="142">
        <v>131</v>
      </c>
      <c r="E150" s="143">
        <f t="shared" si="76"/>
        <v>0</v>
      </c>
      <c r="F150" s="144">
        <f t="shared" si="64"/>
        <v>0</v>
      </c>
      <c r="G150" s="144">
        <f t="shared" si="65"/>
        <v>0</v>
      </c>
      <c r="H150" s="169">
        <f t="shared" si="59"/>
        <v>0</v>
      </c>
      <c r="I150" s="143">
        <f t="shared" si="77"/>
        <v>0</v>
      </c>
      <c r="J150" s="144">
        <f t="shared" si="66"/>
        <v>0</v>
      </c>
      <c r="K150" s="144">
        <f t="shared" si="67"/>
        <v>0</v>
      </c>
      <c r="L150" s="169">
        <f t="shared" si="58"/>
        <v>0</v>
      </c>
      <c r="M150" s="143">
        <f t="shared" si="78"/>
        <v>0</v>
      </c>
      <c r="N150" s="144">
        <f t="shared" si="68"/>
        <v>0</v>
      </c>
      <c r="O150" s="144">
        <f t="shared" si="69"/>
        <v>0</v>
      </c>
      <c r="P150" s="169">
        <f t="shared" si="60"/>
        <v>0</v>
      </c>
      <c r="R150" s="143">
        <f t="shared" si="79"/>
        <v>0</v>
      </c>
      <c r="S150" s="144">
        <f t="shared" si="70"/>
        <v>0</v>
      </c>
      <c r="T150" s="144">
        <f t="shared" si="71"/>
        <v>0</v>
      </c>
      <c r="U150" s="169">
        <f t="shared" si="72"/>
        <v>0</v>
      </c>
      <c r="V150" s="143">
        <f t="shared" si="80"/>
        <v>0</v>
      </c>
      <c r="W150" s="144">
        <f t="shared" si="73"/>
        <v>0</v>
      </c>
      <c r="X150" s="144">
        <f t="shared" si="74"/>
        <v>0</v>
      </c>
      <c r="Y150" s="169">
        <f t="shared" si="75"/>
        <v>0</v>
      </c>
      <c r="Z150" s="151">
        <v>0</v>
      </c>
      <c r="AA150" s="151">
        <v>0</v>
      </c>
      <c r="AB150" s="151">
        <v>0</v>
      </c>
      <c r="AC150" s="151">
        <v>0</v>
      </c>
    </row>
    <row r="151" spans="1:29" s="61" customFormat="1" ht="12" thickBot="1">
      <c r="A151" s="153">
        <f t="shared" si="61"/>
        <v>0</v>
      </c>
      <c r="B151" s="154">
        <f t="shared" si="62"/>
        <v>0</v>
      </c>
      <c r="C151" s="155">
        <f t="shared" si="63"/>
        <v>11</v>
      </c>
      <c r="D151" s="156">
        <v>132</v>
      </c>
      <c r="E151" s="157">
        <f t="shared" si="76"/>
        <v>0</v>
      </c>
      <c r="F151" s="158">
        <f t="shared" si="64"/>
        <v>0</v>
      </c>
      <c r="G151" s="158">
        <f t="shared" si="65"/>
        <v>0</v>
      </c>
      <c r="H151" s="172">
        <f t="shared" si="59"/>
        <v>0</v>
      </c>
      <c r="I151" s="157">
        <f t="shared" si="77"/>
        <v>0</v>
      </c>
      <c r="J151" s="158">
        <f t="shared" si="66"/>
        <v>0</v>
      </c>
      <c r="K151" s="158">
        <f t="shared" si="67"/>
        <v>0</v>
      </c>
      <c r="L151" s="172">
        <f t="shared" si="58"/>
        <v>0</v>
      </c>
      <c r="M151" s="157">
        <f t="shared" si="78"/>
        <v>0</v>
      </c>
      <c r="N151" s="158">
        <f t="shared" si="68"/>
        <v>0</v>
      </c>
      <c r="O151" s="158">
        <f t="shared" si="69"/>
        <v>0</v>
      </c>
      <c r="P151" s="172">
        <f t="shared" si="60"/>
        <v>0</v>
      </c>
      <c r="R151" s="157">
        <f t="shared" si="79"/>
        <v>0</v>
      </c>
      <c r="S151" s="158">
        <f t="shared" si="70"/>
        <v>0</v>
      </c>
      <c r="T151" s="158">
        <f t="shared" si="71"/>
        <v>0</v>
      </c>
      <c r="U151" s="172">
        <f t="shared" si="72"/>
        <v>0</v>
      </c>
      <c r="V151" s="157">
        <f t="shared" si="80"/>
        <v>0</v>
      </c>
      <c r="W151" s="158">
        <f t="shared" si="73"/>
        <v>0</v>
      </c>
      <c r="X151" s="158">
        <f t="shared" si="74"/>
        <v>0</v>
      </c>
      <c r="Y151" s="172">
        <f t="shared" si="75"/>
        <v>0</v>
      </c>
      <c r="Z151" s="151">
        <v>0</v>
      </c>
      <c r="AA151" s="151">
        <v>0</v>
      </c>
      <c r="AB151" s="151">
        <v>0</v>
      </c>
      <c r="AC151" s="151">
        <v>0</v>
      </c>
    </row>
    <row r="152" spans="1:29" s="61" customFormat="1" ht="11.25">
      <c r="A152" s="147">
        <f t="shared" si="61"/>
        <v>0</v>
      </c>
      <c r="B152" s="152">
        <f t="shared" si="62"/>
        <v>0</v>
      </c>
      <c r="C152" s="141">
        <f t="shared" si="63"/>
        <v>12</v>
      </c>
      <c r="D152" s="142">
        <v>133</v>
      </c>
      <c r="E152" s="143">
        <f t="shared" si="76"/>
        <v>0</v>
      </c>
      <c r="F152" s="144">
        <f t="shared" si="64"/>
        <v>0</v>
      </c>
      <c r="G152" s="144">
        <f t="shared" si="65"/>
        <v>0</v>
      </c>
      <c r="H152" s="169">
        <f t="shared" si="59"/>
        <v>0</v>
      </c>
      <c r="I152" s="143">
        <f t="shared" si="77"/>
        <v>0</v>
      </c>
      <c r="J152" s="144">
        <f t="shared" si="66"/>
        <v>0</v>
      </c>
      <c r="K152" s="144">
        <f t="shared" si="67"/>
        <v>0</v>
      </c>
      <c r="L152" s="169">
        <f t="shared" si="58"/>
        <v>0</v>
      </c>
      <c r="M152" s="143">
        <f t="shared" si="78"/>
        <v>0</v>
      </c>
      <c r="N152" s="144">
        <f t="shared" si="68"/>
        <v>0</v>
      </c>
      <c r="O152" s="144">
        <f t="shared" si="69"/>
        <v>0</v>
      </c>
      <c r="P152" s="169">
        <f t="shared" si="60"/>
        <v>0</v>
      </c>
      <c r="R152" s="143">
        <f t="shared" si="79"/>
        <v>0</v>
      </c>
      <c r="S152" s="144">
        <f t="shared" si="70"/>
        <v>0</v>
      </c>
      <c r="T152" s="144">
        <f t="shared" si="71"/>
        <v>0</v>
      </c>
      <c r="U152" s="169">
        <f t="shared" si="72"/>
        <v>0</v>
      </c>
      <c r="V152" s="143">
        <f t="shared" si="80"/>
        <v>0</v>
      </c>
      <c r="W152" s="144">
        <f t="shared" si="73"/>
        <v>0</v>
      </c>
      <c r="X152" s="144">
        <f t="shared" si="74"/>
        <v>0</v>
      </c>
      <c r="Y152" s="169">
        <f t="shared" si="75"/>
        <v>0</v>
      </c>
      <c r="Z152" s="151">
        <v>0</v>
      </c>
      <c r="AA152" s="151">
        <v>0</v>
      </c>
      <c r="AB152" s="151">
        <v>0</v>
      </c>
      <c r="AC152" s="151">
        <v>0</v>
      </c>
    </row>
    <row r="153" spans="1:29" s="61" customFormat="1" ht="11.25">
      <c r="A153" s="147">
        <f t="shared" si="61"/>
        <v>0</v>
      </c>
      <c r="B153" s="152">
        <f t="shared" si="62"/>
        <v>0</v>
      </c>
      <c r="C153" s="141">
        <f t="shared" si="63"/>
        <v>12</v>
      </c>
      <c r="D153" s="142">
        <v>134</v>
      </c>
      <c r="E153" s="143">
        <f t="shared" si="76"/>
        <v>0</v>
      </c>
      <c r="F153" s="144">
        <f t="shared" si="64"/>
        <v>0</v>
      </c>
      <c r="G153" s="144">
        <f t="shared" si="65"/>
        <v>0</v>
      </c>
      <c r="H153" s="169">
        <f t="shared" si="59"/>
        <v>0</v>
      </c>
      <c r="I153" s="143">
        <f t="shared" si="77"/>
        <v>0</v>
      </c>
      <c r="J153" s="144">
        <f t="shared" si="66"/>
        <v>0</v>
      </c>
      <c r="K153" s="144">
        <f t="shared" si="67"/>
        <v>0</v>
      </c>
      <c r="L153" s="169">
        <f t="shared" si="58"/>
        <v>0</v>
      </c>
      <c r="M153" s="143">
        <f t="shared" si="78"/>
        <v>0</v>
      </c>
      <c r="N153" s="144">
        <f t="shared" si="68"/>
        <v>0</v>
      </c>
      <c r="O153" s="144">
        <f t="shared" si="69"/>
        <v>0</v>
      </c>
      <c r="P153" s="169">
        <f t="shared" si="60"/>
        <v>0</v>
      </c>
      <c r="R153" s="143">
        <f t="shared" si="79"/>
        <v>0</v>
      </c>
      <c r="S153" s="144">
        <f t="shared" si="70"/>
        <v>0</v>
      </c>
      <c r="T153" s="144">
        <f t="shared" si="71"/>
        <v>0</v>
      </c>
      <c r="U153" s="169">
        <f t="shared" si="72"/>
        <v>0</v>
      </c>
      <c r="V153" s="143">
        <f t="shared" si="80"/>
        <v>0</v>
      </c>
      <c r="W153" s="144">
        <f t="shared" si="73"/>
        <v>0</v>
      </c>
      <c r="X153" s="144">
        <f t="shared" si="74"/>
        <v>0</v>
      </c>
      <c r="Y153" s="169">
        <f t="shared" si="75"/>
        <v>0</v>
      </c>
      <c r="Z153" s="151">
        <v>0</v>
      </c>
      <c r="AA153" s="151">
        <v>0</v>
      </c>
      <c r="AB153" s="151">
        <v>0</v>
      </c>
      <c r="AC153" s="151">
        <v>0</v>
      </c>
    </row>
    <row r="154" spans="1:29" s="61" customFormat="1" ht="11.25">
      <c r="A154" s="147">
        <f t="shared" si="61"/>
        <v>0</v>
      </c>
      <c r="B154" s="152">
        <f t="shared" si="62"/>
        <v>0</v>
      </c>
      <c r="C154" s="141">
        <f t="shared" si="63"/>
        <v>12</v>
      </c>
      <c r="D154" s="142">
        <v>135</v>
      </c>
      <c r="E154" s="143">
        <f t="shared" si="76"/>
        <v>0</v>
      </c>
      <c r="F154" s="144">
        <f t="shared" si="64"/>
        <v>0</v>
      </c>
      <c r="G154" s="144">
        <f t="shared" si="65"/>
        <v>0</v>
      </c>
      <c r="H154" s="169">
        <f t="shared" si="59"/>
        <v>0</v>
      </c>
      <c r="I154" s="143">
        <f t="shared" si="77"/>
        <v>0</v>
      </c>
      <c r="J154" s="144">
        <f t="shared" si="66"/>
        <v>0</v>
      </c>
      <c r="K154" s="144">
        <f t="shared" si="67"/>
        <v>0</v>
      </c>
      <c r="L154" s="169">
        <f t="shared" si="58"/>
        <v>0</v>
      </c>
      <c r="M154" s="143">
        <f t="shared" si="78"/>
        <v>0</v>
      </c>
      <c r="N154" s="144">
        <f t="shared" si="68"/>
        <v>0</v>
      </c>
      <c r="O154" s="144">
        <f t="shared" si="69"/>
        <v>0</v>
      </c>
      <c r="P154" s="169">
        <f t="shared" si="60"/>
        <v>0</v>
      </c>
      <c r="R154" s="143">
        <f t="shared" si="79"/>
        <v>0</v>
      </c>
      <c r="S154" s="144">
        <f t="shared" si="70"/>
        <v>0</v>
      </c>
      <c r="T154" s="144">
        <f t="shared" si="71"/>
        <v>0</v>
      </c>
      <c r="U154" s="169">
        <f t="shared" si="72"/>
        <v>0</v>
      </c>
      <c r="V154" s="143">
        <f t="shared" si="80"/>
        <v>0</v>
      </c>
      <c r="W154" s="144">
        <f t="shared" si="73"/>
        <v>0</v>
      </c>
      <c r="X154" s="144">
        <f t="shared" si="74"/>
        <v>0</v>
      </c>
      <c r="Y154" s="169">
        <f t="shared" si="75"/>
        <v>0</v>
      </c>
      <c r="Z154" s="151">
        <v>0</v>
      </c>
      <c r="AA154" s="151">
        <v>0</v>
      </c>
      <c r="AB154" s="151">
        <v>0</v>
      </c>
      <c r="AC154" s="151">
        <v>0</v>
      </c>
    </row>
    <row r="155" spans="1:29" s="61" customFormat="1" ht="11.25">
      <c r="A155" s="147">
        <f t="shared" si="61"/>
        <v>0</v>
      </c>
      <c r="B155" s="152">
        <f t="shared" si="62"/>
        <v>0</v>
      </c>
      <c r="C155" s="141">
        <f t="shared" si="63"/>
        <v>12</v>
      </c>
      <c r="D155" s="142">
        <v>136</v>
      </c>
      <c r="E155" s="143">
        <f t="shared" si="76"/>
        <v>0</v>
      </c>
      <c r="F155" s="144">
        <f t="shared" si="64"/>
        <v>0</v>
      </c>
      <c r="G155" s="144">
        <f t="shared" si="65"/>
        <v>0</v>
      </c>
      <c r="H155" s="169">
        <f t="shared" si="59"/>
        <v>0</v>
      </c>
      <c r="I155" s="143">
        <f t="shared" si="77"/>
        <v>0</v>
      </c>
      <c r="J155" s="144">
        <f t="shared" si="66"/>
        <v>0</v>
      </c>
      <c r="K155" s="144">
        <f t="shared" si="67"/>
        <v>0</v>
      </c>
      <c r="L155" s="169">
        <f t="shared" si="58"/>
        <v>0</v>
      </c>
      <c r="M155" s="143">
        <f t="shared" si="78"/>
        <v>0</v>
      </c>
      <c r="N155" s="144">
        <f t="shared" si="68"/>
        <v>0</v>
      </c>
      <c r="O155" s="144">
        <f t="shared" si="69"/>
        <v>0</v>
      </c>
      <c r="P155" s="169">
        <f t="shared" si="60"/>
        <v>0</v>
      </c>
      <c r="R155" s="143">
        <f t="shared" si="79"/>
        <v>0</v>
      </c>
      <c r="S155" s="144">
        <f t="shared" si="70"/>
        <v>0</v>
      </c>
      <c r="T155" s="144">
        <f t="shared" si="71"/>
        <v>0</v>
      </c>
      <c r="U155" s="169">
        <f t="shared" si="72"/>
        <v>0</v>
      </c>
      <c r="V155" s="143">
        <f t="shared" si="80"/>
        <v>0</v>
      </c>
      <c r="W155" s="144">
        <f t="shared" si="73"/>
        <v>0</v>
      </c>
      <c r="X155" s="144">
        <f t="shared" si="74"/>
        <v>0</v>
      </c>
      <c r="Y155" s="169">
        <f t="shared" si="75"/>
        <v>0</v>
      </c>
      <c r="Z155" s="151">
        <v>0</v>
      </c>
      <c r="AA155" s="151">
        <v>0</v>
      </c>
      <c r="AB155" s="151">
        <v>0</v>
      </c>
      <c r="AC155" s="151">
        <v>0</v>
      </c>
    </row>
    <row r="156" spans="1:29" s="61" customFormat="1" ht="11.25">
      <c r="A156" s="147">
        <f t="shared" si="61"/>
        <v>0</v>
      </c>
      <c r="B156" s="152">
        <f t="shared" si="62"/>
        <v>0</v>
      </c>
      <c r="C156" s="141">
        <f t="shared" si="63"/>
        <v>12</v>
      </c>
      <c r="D156" s="142">
        <v>137</v>
      </c>
      <c r="E156" s="143">
        <f t="shared" si="76"/>
        <v>0</v>
      </c>
      <c r="F156" s="144">
        <f t="shared" si="64"/>
        <v>0</v>
      </c>
      <c r="G156" s="144">
        <f t="shared" si="65"/>
        <v>0</v>
      </c>
      <c r="H156" s="169">
        <f t="shared" si="59"/>
        <v>0</v>
      </c>
      <c r="I156" s="143">
        <f t="shared" si="77"/>
        <v>0</v>
      </c>
      <c r="J156" s="144">
        <f t="shared" si="66"/>
        <v>0</v>
      </c>
      <c r="K156" s="144">
        <f t="shared" si="67"/>
        <v>0</v>
      </c>
      <c r="L156" s="169">
        <f t="shared" si="58"/>
        <v>0</v>
      </c>
      <c r="M156" s="143">
        <f t="shared" si="78"/>
        <v>0</v>
      </c>
      <c r="N156" s="144">
        <f t="shared" si="68"/>
        <v>0</v>
      </c>
      <c r="O156" s="144">
        <f t="shared" si="69"/>
        <v>0</v>
      </c>
      <c r="P156" s="169">
        <f t="shared" si="60"/>
        <v>0</v>
      </c>
      <c r="R156" s="143">
        <f t="shared" si="79"/>
        <v>0</v>
      </c>
      <c r="S156" s="144">
        <f t="shared" si="70"/>
        <v>0</v>
      </c>
      <c r="T156" s="144">
        <f t="shared" si="71"/>
        <v>0</v>
      </c>
      <c r="U156" s="169">
        <f t="shared" si="72"/>
        <v>0</v>
      </c>
      <c r="V156" s="143">
        <f t="shared" si="80"/>
        <v>0</v>
      </c>
      <c r="W156" s="144">
        <f t="shared" si="73"/>
        <v>0</v>
      </c>
      <c r="X156" s="144">
        <f t="shared" si="74"/>
        <v>0</v>
      </c>
      <c r="Y156" s="169">
        <f t="shared" si="75"/>
        <v>0</v>
      </c>
      <c r="Z156" s="151">
        <v>0</v>
      </c>
      <c r="AA156" s="151">
        <v>0</v>
      </c>
      <c r="AB156" s="151">
        <v>0</v>
      </c>
      <c r="AC156" s="151">
        <v>0</v>
      </c>
    </row>
    <row r="157" spans="1:29" s="61" customFormat="1" ht="11.25">
      <c r="A157" s="147">
        <f t="shared" si="61"/>
        <v>0</v>
      </c>
      <c r="B157" s="152">
        <f t="shared" si="62"/>
        <v>0</v>
      </c>
      <c r="C157" s="141">
        <f t="shared" si="63"/>
        <v>12</v>
      </c>
      <c r="D157" s="142">
        <v>138</v>
      </c>
      <c r="E157" s="143">
        <f t="shared" si="76"/>
        <v>0</v>
      </c>
      <c r="F157" s="144">
        <f t="shared" si="64"/>
        <v>0</v>
      </c>
      <c r="G157" s="144">
        <f t="shared" si="65"/>
        <v>0</v>
      </c>
      <c r="H157" s="169">
        <f t="shared" si="59"/>
        <v>0</v>
      </c>
      <c r="I157" s="143">
        <f t="shared" si="77"/>
        <v>0</v>
      </c>
      <c r="J157" s="144">
        <f t="shared" si="66"/>
        <v>0</v>
      </c>
      <c r="K157" s="144">
        <f t="shared" si="67"/>
        <v>0</v>
      </c>
      <c r="L157" s="169">
        <f t="shared" si="58"/>
        <v>0</v>
      </c>
      <c r="M157" s="143">
        <f t="shared" si="78"/>
        <v>0</v>
      </c>
      <c r="N157" s="144">
        <f t="shared" si="68"/>
        <v>0</v>
      </c>
      <c r="O157" s="144">
        <f t="shared" si="69"/>
        <v>0</v>
      </c>
      <c r="P157" s="169">
        <f t="shared" si="60"/>
        <v>0</v>
      </c>
      <c r="R157" s="143">
        <f t="shared" si="79"/>
        <v>0</v>
      </c>
      <c r="S157" s="144">
        <f t="shared" si="70"/>
        <v>0</v>
      </c>
      <c r="T157" s="144">
        <f t="shared" si="71"/>
        <v>0</v>
      </c>
      <c r="U157" s="169">
        <f t="shared" si="72"/>
        <v>0</v>
      </c>
      <c r="V157" s="143">
        <f t="shared" si="80"/>
        <v>0</v>
      </c>
      <c r="W157" s="144">
        <f t="shared" si="73"/>
        <v>0</v>
      </c>
      <c r="X157" s="144">
        <f t="shared" si="74"/>
        <v>0</v>
      </c>
      <c r="Y157" s="169">
        <f t="shared" si="75"/>
        <v>0</v>
      </c>
      <c r="Z157" s="151">
        <v>0</v>
      </c>
      <c r="AA157" s="151">
        <v>0</v>
      </c>
      <c r="AB157" s="151">
        <v>0</v>
      </c>
      <c r="AC157" s="151">
        <v>0</v>
      </c>
    </row>
    <row r="158" spans="1:29" s="61" customFormat="1" ht="11.25">
      <c r="A158" s="147">
        <f t="shared" si="61"/>
        <v>0</v>
      </c>
      <c r="B158" s="152">
        <f t="shared" si="62"/>
        <v>0</v>
      </c>
      <c r="C158" s="141">
        <f t="shared" si="63"/>
        <v>12</v>
      </c>
      <c r="D158" s="142">
        <v>139</v>
      </c>
      <c r="E158" s="143">
        <f t="shared" si="76"/>
        <v>0</v>
      </c>
      <c r="F158" s="144">
        <f t="shared" si="64"/>
        <v>0</v>
      </c>
      <c r="G158" s="144">
        <f t="shared" si="65"/>
        <v>0</v>
      </c>
      <c r="H158" s="169">
        <f t="shared" si="59"/>
        <v>0</v>
      </c>
      <c r="I158" s="143">
        <f t="shared" si="77"/>
        <v>0</v>
      </c>
      <c r="J158" s="144">
        <f t="shared" si="66"/>
        <v>0</v>
      </c>
      <c r="K158" s="144">
        <f t="shared" si="67"/>
        <v>0</v>
      </c>
      <c r="L158" s="169">
        <f t="shared" si="58"/>
        <v>0</v>
      </c>
      <c r="M158" s="143">
        <f t="shared" si="78"/>
        <v>0</v>
      </c>
      <c r="N158" s="144">
        <f t="shared" si="68"/>
        <v>0</v>
      </c>
      <c r="O158" s="144">
        <f t="shared" si="69"/>
        <v>0</v>
      </c>
      <c r="P158" s="169">
        <f t="shared" si="60"/>
        <v>0</v>
      </c>
      <c r="R158" s="143">
        <f t="shared" si="79"/>
        <v>0</v>
      </c>
      <c r="S158" s="144">
        <f t="shared" si="70"/>
        <v>0</v>
      </c>
      <c r="T158" s="144">
        <f t="shared" si="71"/>
        <v>0</v>
      </c>
      <c r="U158" s="169">
        <f t="shared" si="72"/>
        <v>0</v>
      </c>
      <c r="V158" s="143">
        <f t="shared" si="80"/>
        <v>0</v>
      </c>
      <c r="W158" s="144">
        <f t="shared" si="73"/>
        <v>0</v>
      </c>
      <c r="X158" s="144">
        <f t="shared" si="74"/>
        <v>0</v>
      </c>
      <c r="Y158" s="169">
        <f t="shared" si="75"/>
        <v>0</v>
      </c>
      <c r="Z158" s="151">
        <v>0</v>
      </c>
      <c r="AA158" s="151">
        <v>0</v>
      </c>
      <c r="AB158" s="151">
        <v>0</v>
      </c>
      <c r="AC158" s="151">
        <v>0</v>
      </c>
    </row>
    <row r="159" spans="1:29" s="61" customFormat="1" ht="11.25">
      <c r="A159" s="147">
        <f t="shared" si="61"/>
        <v>0</v>
      </c>
      <c r="B159" s="152">
        <f t="shared" si="62"/>
        <v>0</v>
      </c>
      <c r="C159" s="141">
        <f t="shared" si="63"/>
        <v>12</v>
      </c>
      <c r="D159" s="142">
        <v>140</v>
      </c>
      <c r="E159" s="143">
        <f t="shared" si="76"/>
        <v>0</v>
      </c>
      <c r="F159" s="144">
        <f t="shared" si="64"/>
        <v>0</v>
      </c>
      <c r="G159" s="144">
        <f t="shared" si="65"/>
        <v>0</v>
      </c>
      <c r="H159" s="169">
        <f t="shared" si="59"/>
        <v>0</v>
      </c>
      <c r="I159" s="143">
        <f t="shared" si="77"/>
        <v>0</v>
      </c>
      <c r="J159" s="144">
        <f t="shared" si="66"/>
        <v>0</v>
      </c>
      <c r="K159" s="144">
        <f t="shared" si="67"/>
        <v>0</v>
      </c>
      <c r="L159" s="169">
        <f t="shared" si="58"/>
        <v>0</v>
      </c>
      <c r="M159" s="143">
        <f t="shared" si="78"/>
        <v>0</v>
      </c>
      <c r="N159" s="144">
        <f t="shared" si="68"/>
        <v>0</v>
      </c>
      <c r="O159" s="144">
        <f t="shared" si="69"/>
        <v>0</v>
      </c>
      <c r="P159" s="169">
        <f t="shared" si="60"/>
        <v>0</v>
      </c>
      <c r="R159" s="143">
        <f t="shared" si="79"/>
        <v>0</v>
      </c>
      <c r="S159" s="144">
        <f t="shared" si="70"/>
        <v>0</v>
      </c>
      <c r="T159" s="144">
        <f t="shared" si="71"/>
        <v>0</v>
      </c>
      <c r="U159" s="169">
        <f t="shared" si="72"/>
        <v>0</v>
      </c>
      <c r="V159" s="143">
        <f t="shared" si="80"/>
        <v>0</v>
      </c>
      <c r="W159" s="144">
        <f t="shared" si="73"/>
        <v>0</v>
      </c>
      <c r="X159" s="144">
        <f t="shared" si="74"/>
        <v>0</v>
      </c>
      <c r="Y159" s="169">
        <f t="shared" si="75"/>
        <v>0</v>
      </c>
      <c r="Z159" s="151">
        <v>0</v>
      </c>
      <c r="AA159" s="151">
        <v>0</v>
      </c>
      <c r="AB159" s="151">
        <v>0</v>
      </c>
      <c r="AC159" s="151">
        <v>0</v>
      </c>
    </row>
    <row r="160" spans="1:29" s="61" customFormat="1" ht="11.25">
      <c r="A160" s="147">
        <f t="shared" si="61"/>
        <v>0</v>
      </c>
      <c r="B160" s="152">
        <f t="shared" si="62"/>
        <v>0</v>
      </c>
      <c r="C160" s="141">
        <f t="shared" si="63"/>
        <v>12</v>
      </c>
      <c r="D160" s="142">
        <v>141</v>
      </c>
      <c r="E160" s="143">
        <f t="shared" si="76"/>
        <v>0</v>
      </c>
      <c r="F160" s="144">
        <f t="shared" si="64"/>
        <v>0</v>
      </c>
      <c r="G160" s="144">
        <f t="shared" si="65"/>
        <v>0</v>
      </c>
      <c r="H160" s="169">
        <f t="shared" si="59"/>
        <v>0</v>
      </c>
      <c r="I160" s="143">
        <f t="shared" si="77"/>
        <v>0</v>
      </c>
      <c r="J160" s="144">
        <f t="shared" si="66"/>
        <v>0</v>
      </c>
      <c r="K160" s="144">
        <f t="shared" si="67"/>
        <v>0</v>
      </c>
      <c r="L160" s="169">
        <f t="shared" si="58"/>
        <v>0</v>
      </c>
      <c r="M160" s="143">
        <f t="shared" si="78"/>
        <v>0</v>
      </c>
      <c r="N160" s="144">
        <f t="shared" si="68"/>
        <v>0</v>
      </c>
      <c r="O160" s="144">
        <f t="shared" si="69"/>
        <v>0</v>
      </c>
      <c r="P160" s="169">
        <f t="shared" si="60"/>
        <v>0</v>
      </c>
      <c r="R160" s="143">
        <f t="shared" si="79"/>
        <v>0</v>
      </c>
      <c r="S160" s="144">
        <f t="shared" si="70"/>
        <v>0</v>
      </c>
      <c r="T160" s="144">
        <f t="shared" si="71"/>
        <v>0</v>
      </c>
      <c r="U160" s="169">
        <f t="shared" si="72"/>
        <v>0</v>
      </c>
      <c r="V160" s="143">
        <f t="shared" si="80"/>
        <v>0</v>
      </c>
      <c r="W160" s="144">
        <f t="shared" si="73"/>
        <v>0</v>
      </c>
      <c r="X160" s="144">
        <f t="shared" si="74"/>
        <v>0</v>
      </c>
      <c r="Y160" s="169">
        <f t="shared" si="75"/>
        <v>0</v>
      </c>
      <c r="Z160" s="151">
        <v>0</v>
      </c>
      <c r="AA160" s="151">
        <v>0</v>
      </c>
      <c r="AB160" s="151">
        <v>0</v>
      </c>
      <c r="AC160" s="151">
        <v>0</v>
      </c>
    </row>
    <row r="161" spans="1:29" s="61" customFormat="1" ht="11.25">
      <c r="A161" s="147">
        <f t="shared" si="61"/>
        <v>0</v>
      </c>
      <c r="B161" s="152">
        <f t="shared" si="62"/>
        <v>0</v>
      </c>
      <c r="C161" s="141">
        <f t="shared" si="63"/>
        <v>12</v>
      </c>
      <c r="D161" s="142">
        <v>142</v>
      </c>
      <c r="E161" s="143">
        <f t="shared" si="76"/>
        <v>0</v>
      </c>
      <c r="F161" s="144">
        <f t="shared" si="64"/>
        <v>0</v>
      </c>
      <c r="G161" s="144">
        <f t="shared" si="65"/>
        <v>0</v>
      </c>
      <c r="H161" s="169">
        <f t="shared" si="59"/>
        <v>0</v>
      </c>
      <c r="I161" s="143">
        <f t="shared" si="77"/>
        <v>0</v>
      </c>
      <c r="J161" s="144">
        <f t="shared" si="66"/>
        <v>0</v>
      </c>
      <c r="K161" s="144">
        <f t="shared" si="67"/>
        <v>0</v>
      </c>
      <c r="L161" s="169">
        <f t="shared" si="58"/>
        <v>0</v>
      </c>
      <c r="M161" s="143">
        <f t="shared" si="78"/>
        <v>0</v>
      </c>
      <c r="N161" s="144">
        <f t="shared" si="68"/>
        <v>0</v>
      </c>
      <c r="O161" s="144">
        <f t="shared" si="69"/>
        <v>0</v>
      </c>
      <c r="P161" s="169">
        <f t="shared" si="60"/>
        <v>0</v>
      </c>
      <c r="R161" s="143">
        <f t="shared" si="79"/>
        <v>0</v>
      </c>
      <c r="S161" s="144">
        <f t="shared" si="70"/>
        <v>0</v>
      </c>
      <c r="T161" s="144">
        <f t="shared" si="71"/>
        <v>0</v>
      </c>
      <c r="U161" s="169">
        <f t="shared" si="72"/>
        <v>0</v>
      </c>
      <c r="V161" s="143">
        <f t="shared" si="80"/>
        <v>0</v>
      </c>
      <c r="W161" s="144">
        <f t="shared" si="73"/>
        <v>0</v>
      </c>
      <c r="X161" s="144">
        <f t="shared" si="74"/>
        <v>0</v>
      </c>
      <c r="Y161" s="169">
        <f t="shared" si="75"/>
        <v>0</v>
      </c>
      <c r="Z161" s="151">
        <v>0</v>
      </c>
      <c r="AA161" s="151">
        <v>0</v>
      </c>
      <c r="AB161" s="151">
        <v>0</v>
      </c>
      <c r="AC161" s="151">
        <v>0</v>
      </c>
    </row>
    <row r="162" spans="1:29" s="61" customFormat="1" ht="11.25">
      <c r="A162" s="147">
        <f t="shared" si="61"/>
        <v>0</v>
      </c>
      <c r="B162" s="152">
        <f t="shared" si="62"/>
        <v>0</v>
      </c>
      <c r="C162" s="141">
        <f t="shared" si="63"/>
        <v>12</v>
      </c>
      <c r="D162" s="142">
        <v>143</v>
      </c>
      <c r="E162" s="143">
        <f t="shared" si="76"/>
        <v>0</v>
      </c>
      <c r="F162" s="144">
        <f t="shared" si="64"/>
        <v>0</v>
      </c>
      <c r="G162" s="144">
        <f t="shared" si="65"/>
        <v>0</v>
      </c>
      <c r="H162" s="169">
        <f t="shared" si="59"/>
        <v>0</v>
      </c>
      <c r="I162" s="143">
        <f t="shared" si="77"/>
        <v>0</v>
      </c>
      <c r="J162" s="144">
        <f t="shared" si="66"/>
        <v>0</v>
      </c>
      <c r="K162" s="144">
        <f t="shared" si="67"/>
        <v>0</v>
      </c>
      <c r="L162" s="169">
        <f t="shared" si="58"/>
        <v>0</v>
      </c>
      <c r="M162" s="143">
        <f t="shared" si="78"/>
        <v>0</v>
      </c>
      <c r="N162" s="144">
        <f t="shared" si="68"/>
        <v>0</v>
      </c>
      <c r="O162" s="144">
        <f t="shared" si="69"/>
        <v>0</v>
      </c>
      <c r="P162" s="169">
        <f t="shared" si="60"/>
        <v>0</v>
      </c>
      <c r="R162" s="143">
        <f t="shared" si="79"/>
        <v>0</v>
      </c>
      <c r="S162" s="144">
        <f t="shared" si="70"/>
        <v>0</v>
      </c>
      <c r="T162" s="144">
        <f t="shared" si="71"/>
        <v>0</v>
      </c>
      <c r="U162" s="169">
        <f t="shared" si="72"/>
        <v>0</v>
      </c>
      <c r="V162" s="143">
        <f t="shared" si="80"/>
        <v>0</v>
      </c>
      <c r="W162" s="144">
        <f t="shared" si="73"/>
        <v>0</v>
      </c>
      <c r="X162" s="144">
        <f t="shared" si="74"/>
        <v>0</v>
      </c>
      <c r="Y162" s="169">
        <f t="shared" si="75"/>
        <v>0</v>
      </c>
      <c r="Z162" s="151">
        <v>0</v>
      </c>
      <c r="AA162" s="151">
        <v>0</v>
      </c>
      <c r="AB162" s="151">
        <v>0</v>
      </c>
      <c r="AC162" s="151">
        <v>0</v>
      </c>
    </row>
    <row r="163" spans="1:29" s="61" customFormat="1" ht="12" thickBot="1">
      <c r="A163" s="153">
        <f t="shared" si="61"/>
        <v>0</v>
      </c>
      <c r="B163" s="154">
        <f t="shared" si="62"/>
        <v>0</v>
      </c>
      <c r="C163" s="155">
        <f t="shared" si="63"/>
        <v>12</v>
      </c>
      <c r="D163" s="156">
        <v>144</v>
      </c>
      <c r="E163" s="157">
        <f t="shared" si="76"/>
        <v>0</v>
      </c>
      <c r="F163" s="158">
        <f t="shared" si="64"/>
        <v>0</v>
      </c>
      <c r="G163" s="158">
        <f t="shared" si="65"/>
        <v>0</v>
      </c>
      <c r="H163" s="172">
        <f t="shared" si="59"/>
        <v>0</v>
      </c>
      <c r="I163" s="157">
        <f t="shared" si="77"/>
        <v>0</v>
      </c>
      <c r="J163" s="158">
        <f t="shared" si="66"/>
        <v>0</v>
      </c>
      <c r="K163" s="158">
        <f t="shared" si="67"/>
        <v>0</v>
      </c>
      <c r="L163" s="172">
        <f t="shared" si="58"/>
        <v>0</v>
      </c>
      <c r="M163" s="157">
        <f t="shared" si="78"/>
        <v>0</v>
      </c>
      <c r="N163" s="158">
        <f t="shared" si="68"/>
        <v>0</v>
      </c>
      <c r="O163" s="158">
        <f t="shared" si="69"/>
        <v>0</v>
      </c>
      <c r="P163" s="172">
        <f t="shared" si="60"/>
        <v>0</v>
      </c>
      <c r="R163" s="157">
        <f t="shared" si="79"/>
        <v>0</v>
      </c>
      <c r="S163" s="158">
        <f t="shared" si="70"/>
        <v>0</v>
      </c>
      <c r="T163" s="158">
        <f t="shared" si="71"/>
        <v>0</v>
      </c>
      <c r="U163" s="172">
        <f t="shared" si="72"/>
        <v>0</v>
      </c>
      <c r="V163" s="157">
        <f t="shared" si="80"/>
        <v>0</v>
      </c>
      <c r="W163" s="158">
        <f t="shared" si="73"/>
        <v>0</v>
      </c>
      <c r="X163" s="158">
        <f t="shared" si="74"/>
        <v>0</v>
      </c>
      <c r="Y163" s="172">
        <f t="shared" si="75"/>
        <v>0</v>
      </c>
      <c r="Z163" s="151">
        <v>0</v>
      </c>
      <c r="AA163" s="151">
        <v>0</v>
      </c>
      <c r="AB163" s="151">
        <v>0</v>
      </c>
      <c r="AC163" s="151">
        <v>0</v>
      </c>
    </row>
    <row r="164" spans="1:29" s="61" customFormat="1" ht="11.25">
      <c r="A164" s="147">
        <f t="shared" si="61"/>
        <v>0</v>
      </c>
      <c r="B164" s="152">
        <f t="shared" si="62"/>
        <v>0</v>
      </c>
      <c r="C164" s="141">
        <f t="shared" si="63"/>
        <v>13</v>
      </c>
      <c r="D164" s="142">
        <v>145</v>
      </c>
      <c r="E164" s="143">
        <f t="shared" si="76"/>
        <v>0</v>
      </c>
      <c r="F164" s="144">
        <f t="shared" si="64"/>
        <v>0</v>
      </c>
      <c r="G164" s="144">
        <f t="shared" si="65"/>
        <v>0</v>
      </c>
      <c r="H164" s="169">
        <f t="shared" si="59"/>
        <v>0</v>
      </c>
      <c r="I164" s="143">
        <f t="shared" si="77"/>
        <v>0</v>
      </c>
      <c r="J164" s="144">
        <f t="shared" si="66"/>
        <v>0</v>
      </c>
      <c r="K164" s="144">
        <f t="shared" si="67"/>
        <v>0</v>
      </c>
      <c r="L164" s="169">
        <f t="shared" si="58"/>
        <v>0</v>
      </c>
      <c r="M164" s="143">
        <f t="shared" si="78"/>
        <v>0</v>
      </c>
      <c r="N164" s="144">
        <f t="shared" si="68"/>
        <v>0</v>
      </c>
      <c r="O164" s="144">
        <f t="shared" si="69"/>
        <v>0</v>
      </c>
      <c r="P164" s="169">
        <f t="shared" si="60"/>
        <v>0</v>
      </c>
      <c r="R164" s="143">
        <f t="shared" si="79"/>
        <v>0</v>
      </c>
      <c r="S164" s="144">
        <f t="shared" si="70"/>
        <v>0</v>
      </c>
      <c r="T164" s="144">
        <f t="shared" si="71"/>
        <v>0</v>
      </c>
      <c r="U164" s="169">
        <f t="shared" si="72"/>
        <v>0</v>
      </c>
      <c r="V164" s="143">
        <f t="shared" si="80"/>
        <v>0</v>
      </c>
      <c r="W164" s="144">
        <f t="shared" si="73"/>
        <v>0</v>
      </c>
      <c r="X164" s="144">
        <f t="shared" si="74"/>
        <v>0</v>
      </c>
      <c r="Y164" s="169">
        <f t="shared" si="75"/>
        <v>0</v>
      </c>
      <c r="Z164" s="151">
        <v>0</v>
      </c>
      <c r="AA164" s="151">
        <v>0</v>
      </c>
      <c r="AB164" s="151">
        <v>0</v>
      </c>
      <c r="AC164" s="151">
        <v>0</v>
      </c>
    </row>
    <row r="165" spans="1:29" s="61" customFormat="1" ht="11.25">
      <c r="A165" s="147">
        <f t="shared" si="61"/>
        <v>0</v>
      </c>
      <c r="B165" s="152">
        <f t="shared" si="62"/>
        <v>0</v>
      </c>
      <c r="C165" s="141">
        <f t="shared" si="63"/>
        <v>13</v>
      </c>
      <c r="D165" s="142">
        <v>146</v>
      </c>
      <c r="E165" s="143">
        <f t="shared" si="76"/>
        <v>0</v>
      </c>
      <c r="F165" s="144">
        <f t="shared" si="64"/>
        <v>0</v>
      </c>
      <c r="G165" s="144">
        <f t="shared" si="65"/>
        <v>0</v>
      </c>
      <c r="H165" s="169">
        <f t="shared" si="59"/>
        <v>0</v>
      </c>
      <c r="I165" s="143">
        <f t="shared" si="77"/>
        <v>0</v>
      </c>
      <c r="J165" s="144">
        <f t="shared" si="66"/>
        <v>0</v>
      </c>
      <c r="K165" s="144">
        <f t="shared" si="67"/>
        <v>0</v>
      </c>
      <c r="L165" s="169">
        <f t="shared" si="58"/>
        <v>0</v>
      </c>
      <c r="M165" s="143">
        <f t="shared" si="78"/>
        <v>0</v>
      </c>
      <c r="N165" s="144">
        <f t="shared" si="68"/>
        <v>0</v>
      </c>
      <c r="O165" s="144">
        <f t="shared" si="69"/>
        <v>0</v>
      </c>
      <c r="P165" s="169">
        <f t="shared" si="60"/>
        <v>0</v>
      </c>
      <c r="R165" s="143">
        <f t="shared" si="79"/>
        <v>0</v>
      </c>
      <c r="S165" s="144">
        <f t="shared" si="70"/>
        <v>0</v>
      </c>
      <c r="T165" s="144">
        <f t="shared" si="71"/>
        <v>0</v>
      </c>
      <c r="U165" s="169">
        <f t="shared" si="72"/>
        <v>0</v>
      </c>
      <c r="V165" s="143">
        <f t="shared" si="80"/>
        <v>0</v>
      </c>
      <c r="W165" s="144">
        <f t="shared" si="73"/>
        <v>0</v>
      </c>
      <c r="X165" s="144">
        <f t="shared" si="74"/>
        <v>0</v>
      </c>
      <c r="Y165" s="169">
        <f t="shared" si="75"/>
        <v>0</v>
      </c>
      <c r="Z165" s="151">
        <v>0</v>
      </c>
      <c r="AA165" s="151">
        <v>0</v>
      </c>
      <c r="AB165" s="151">
        <v>0</v>
      </c>
      <c r="AC165" s="151">
        <v>0</v>
      </c>
    </row>
    <row r="166" spans="1:29" s="61" customFormat="1" ht="11.25">
      <c r="A166" s="147">
        <f t="shared" si="61"/>
        <v>0</v>
      </c>
      <c r="B166" s="152">
        <f t="shared" si="62"/>
        <v>0</v>
      </c>
      <c r="C166" s="141">
        <f t="shared" si="63"/>
        <v>13</v>
      </c>
      <c r="D166" s="142">
        <v>147</v>
      </c>
      <c r="E166" s="143">
        <f t="shared" si="76"/>
        <v>0</v>
      </c>
      <c r="F166" s="144">
        <f t="shared" si="64"/>
        <v>0</v>
      </c>
      <c r="G166" s="144">
        <f t="shared" si="65"/>
        <v>0</v>
      </c>
      <c r="H166" s="169">
        <f t="shared" si="59"/>
        <v>0</v>
      </c>
      <c r="I166" s="143">
        <f t="shared" si="77"/>
        <v>0</v>
      </c>
      <c r="J166" s="144">
        <f t="shared" si="66"/>
        <v>0</v>
      </c>
      <c r="K166" s="144">
        <f t="shared" si="67"/>
        <v>0</v>
      </c>
      <c r="L166" s="169">
        <f t="shared" si="58"/>
        <v>0</v>
      </c>
      <c r="M166" s="143">
        <f t="shared" si="78"/>
        <v>0</v>
      </c>
      <c r="N166" s="144">
        <f t="shared" si="68"/>
        <v>0</v>
      </c>
      <c r="O166" s="144">
        <f t="shared" si="69"/>
        <v>0</v>
      </c>
      <c r="P166" s="169">
        <f t="shared" si="60"/>
        <v>0</v>
      </c>
      <c r="R166" s="143">
        <f t="shared" si="79"/>
        <v>0</v>
      </c>
      <c r="S166" s="144">
        <f t="shared" si="70"/>
        <v>0</v>
      </c>
      <c r="T166" s="144">
        <f t="shared" si="71"/>
        <v>0</v>
      </c>
      <c r="U166" s="169">
        <f t="shared" si="72"/>
        <v>0</v>
      </c>
      <c r="V166" s="143">
        <f t="shared" si="80"/>
        <v>0</v>
      </c>
      <c r="W166" s="144">
        <f t="shared" si="73"/>
        <v>0</v>
      </c>
      <c r="X166" s="144">
        <f t="shared" si="74"/>
        <v>0</v>
      </c>
      <c r="Y166" s="169">
        <f t="shared" si="75"/>
        <v>0</v>
      </c>
      <c r="Z166" s="151">
        <v>0</v>
      </c>
      <c r="AA166" s="151">
        <v>0</v>
      </c>
      <c r="AB166" s="151">
        <v>0</v>
      </c>
      <c r="AC166" s="151">
        <v>0</v>
      </c>
    </row>
    <row r="167" spans="1:29" s="61" customFormat="1" ht="11.25">
      <c r="A167" s="147">
        <f t="shared" si="61"/>
        <v>0</v>
      </c>
      <c r="B167" s="152">
        <f t="shared" si="62"/>
        <v>0</v>
      </c>
      <c r="C167" s="141">
        <f t="shared" si="63"/>
        <v>13</v>
      </c>
      <c r="D167" s="142">
        <v>148</v>
      </c>
      <c r="E167" s="143">
        <f t="shared" si="76"/>
        <v>0</v>
      </c>
      <c r="F167" s="144">
        <f t="shared" si="64"/>
        <v>0</v>
      </c>
      <c r="G167" s="144">
        <f t="shared" si="65"/>
        <v>0</v>
      </c>
      <c r="H167" s="169">
        <f t="shared" si="59"/>
        <v>0</v>
      </c>
      <c r="I167" s="143">
        <f t="shared" si="77"/>
        <v>0</v>
      </c>
      <c r="J167" s="144">
        <f t="shared" si="66"/>
        <v>0</v>
      </c>
      <c r="K167" s="144">
        <f t="shared" si="67"/>
        <v>0</v>
      </c>
      <c r="L167" s="169">
        <f t="shared" si="58"/>
        <v>0</v>
      </c>
      <c r="M167" s="143">
        <f t="shared" si="78"/>
        <v>0</v>
      </c>
      <c r="N167" s="144">
        <f t="shared" si="68"/>
        <v>0</v>
      </c>
      <c r="O167" s="144">
        <f t="shared" si="69"/>
        <v>0</v>
      </c>
      <c r="P167" s="169">
        <f t="shared" si="60"/>
        <v>0</v>
      </c>
      <c r="R167" s="143">
        <f t="shared" si="79"/>
        <v>0</v>
      </c>
      <c r="S167" s="144">
        <f t="shared" si="70"/>
        <v>0</v>
      </c>
      <c r="T167" s="144">
        <f t="shared" si="71"/>
        <v>0</v>
      </c>
      <c r="U167" s="169">
        <f t="shared" si="72"/>
        <v>0</v>
      </c>
      <c r="V167" s="143">
        <f t="shared" si="80"/>
        <v>0</v>
      </c>
      <c r="W167" s="144">
        <f t="shared" si="73"/>
        <v>0</v>
      </c>
      <c r="X167" s="144">
        <f t="shared" si="74"/>
        <v>0</v>
      </c>
      <c r="Y167" s="169">
        <f t="shared" si="75"/>
        <v>0</v>
      </c>
      <c r="Z167" s="151">
        <v>0</v>
      </c>
      <c r="AA167" s="151">
        <v>0</v>
      </c>
      <c r="AB167" s="151">
        <v>0</v>
      </c>
      <c r="AC167" s="151">
        <v>0</v>
      </c>
    </row>
    <row r="168" spans="1:29" s="61" customFormat="1" ht="11.25">
      <c r="A168" s="147">
        <f t="shared" si="61"/>
        <v>0</v>
      </c>
      <c r="B168" s="152">
        <f t="shared" si="62"/>
        <v>0</v>
      </c>
      <c r="C168" s="141">
        <f t="shared" si="63"/>
        <v>13</v>
      </c>
      <c r="D168" s="142">
        <v>149</v>
      </c>
      <c r="E168" s="143">
        <f t="shared" si="76"/>
        <v>0</v>
      </c>
      <c r="F168" s="144">
        <f t="shared" si="64"/>
        <v>0</v>
      </c>
      <c r="G168" s="144">
        <f t="shared" si="65"/>
        <v>0</v>
      </c>
      <c r="H168" s="169">
        <f t="shared" si="59"/>
        <v>0</v>
      </c>
      <c r="I168" s="143">
        <f t="shared" si="77"/>
        <v>0</v>
      </c>
      <c r="J168" s="144">
        <f t="shared" si="66"/>
        <v>0</v>
      </c>
      <c r="K168" s="144">
        <f t="shared" si="67"/>
        <v>0</v>
      </c>
      <c r="L168" s="169">
        <f t="shared" si="58"/>
        <v>0</v>
      </c>
      <c r="M168" s="143">
        <f t="shared" si="78"/>
        <v>0</v>
      </c>
      <c r="N168" s="144">
        <f t="shared" si="68"/>
        <v>0</v>
      </c>
      <c r="O168" s="144">
        <f t="shared" si="69"/>
        <v>0</v>
      </c>
      <c r="P168" s="169">
        <f t="shared" si="60"/>
        <v>0</v>
      </c>
      <c r="R168" s="143">
        <f t="shared" si="79"/>
        <v>0</v>
      </c>
      <c r="S168" s="144">
        <f t="shared" si="70"/>
        <v>0</v>
      </c>
      <c r="T168" s="144">
        <f t="shared" si="71"/>
        <v>0</v>
      </c>
      <c r="U168" s="169">
        <f t="shared" si="72"/>
        <v>0</v>
      </c>
      <c r="V168" s="143">
        <f t="shared" si="80"/>
        <v>0</v>
      </c>
      <c r="W168" s="144">
        <f t="shared" si="73"/>
        <v>0</v>
      </c>
      <c r="X168" s="144">
        <f t="shared" si="74"/>
        <v>0</v>
      </c>
      <c r="Y168" s="169">
        <f t="shared" si="75"/>
        <v>0</v>
      </c>
      <c r="Z168" s="151">
        <v>0</v>
      </c>
      <c r="AA168" s="151">
        <v>0</v>
      </c>
      <c r="AB168" s="151">
        <v>0</v>
      </c>
      <c r="AC168" s="151">
        <v>0</v>
      </c>
    </row>
    <row r="169" spans="1:29" s="61" customFormat="1" ht="11.25">
      <c r="A169" s="147">
        <f t="shared" si="61"/>
        <v>0</v>
      </c>
      <c r="B169" s="152">
        <f t="shared" si="62"/>
        <v>0</v>
      </c>
      <c r="C169" s="141">
        <f t="shared" si="63"/>
        <v>13</v>
      </c>
      <c r="D169" s="142">
        <v>150</v>
      </c>
      <c r="E169" s="143">
        <f t="shared" si="76"/>
        <v>0</v>
      </c>
      <c r="F169" s="144">
        <f t="shared" si="64"/>
        <v>0</v>
      </c>
      <c r="G169" s="144">
        <f t="shared" si="65"/>
        <v>0</v>
      </c>
      <c r="H169" s="169">
        <f t="shared" si="59"/>
        <v>0</v>
      </c>
      <c r="I169" s="143">
        <f t="shared" si="77"/>
        <v>0</v>
      </c>
      <c r="J169" s="144">
        <f t="shared" si="66"/>
        <v>0</v>
      </c>
      <c r="K169" s="144">
        <f t="shared" si="67"/>
        <v>0</v>
      </c>
      <c r="L169" s="169">
        <f t="shared" si="58"/>
        <v>0</v>
      </c>
      <c r="M169" s="143">
        <f t="shared" si="78"/>
        <v>0</v>
      </c>
      <c r="N169" s="144">
        <f t="shared" si="68"/>
        <v>0</v>
      </c>
      <c r="O169" s="144">
        <f t="shared" si="69"/>
        <v>0</v>
      </c>
      <c r="P169" s="169">
        <f t="shared" si="60"/>
        <v>0</v>
      </c>
      <c r="R169" s="143">
        <f t="shared" si="79"/>
        <v>0</v>
      </c>
      <c r="S169" s="144">
        <f t="shared" si="70"/>
        <v>0</v>
      </c>
      <c r="T169" s="144">
        <f t="shared" si="71"/>
        <v>0</v>
      </c>
      <c r="U169" s="169">
        <f t="shared" si="72"/>
        <v>0</v>
      </c>
      <c r="V169" s="143">
        <f t="shared" si="80"/>
        <v>0</v>
      </c>
      <c r="W169" s="144">
        <f t="shared" si="73"/>
        <v>0</v>
      </c>
      <c r="X169" s="144">
        <f t="shared" si="74"/>
        <v>0</v>
      </c>
      <c r="Y169" s="169">
        <f t="shared" si="75"/>
        <v>0</v>
      </c>
      <c r="Z169" s="151">
        <v>0</v>
      </c>
      <c r="AA169" s="151">
        <v>0</v>
      </c>
      <c r="AB169" s="151">
        <v>0</v>
      </c>
      <c r="AC169" s="151">
        <v>0</v>
      </c>
    </row>
    <row r="170" spans="1:29" s="61" customFormat="1" ht="11.25">
      <c r="A170" s="147">
        <f t="shared" si="61"/>
        <v>0</v>
      </c>
      <c r="B170" s="152">
        <f t="shared" si="62"/>
        <v>0</v>
      </c>
      <c r="C170" s="141">
        <f t="shared" si="63"/>
        <v>13</v>
      </c>
      <c r="D170" s="142">
        <v>151</v>
      </c>
      <c r="E170" s="143">
        <f t="shared" si="76"/>
        <v>0</v>
      </c>
      <c r="F170" s="144">
        <f t="shared" si="64"/>
        <v>0</v>
      </c>
      <c r="G170" s="144">
        <f t="shared" si="65"/>
        <v>0</v>
      </c>
      <c r="H170" s="169">
        <f t="shared" si="59"/>
        <v>0</v>
      </c>
      <c r="I170" s="143">
        <f t="shared" si="77"/>
        <v>0</v>
      </c>
      <c r="J170" s="144">
        <f t="shared" si="66"/>
        <v>0</v>
      </c>
      <c r="K170" s="144">
        <f t="shared" si="67"/>
        <v>0</v>
      </c>
      <c r="L170" s="169">
        <f t="shared" si="58"/>
        <v>0</v>
      </c>
      <c r="M170" s="143">
        <f t="shared" si="78"/>
        <v>0</v>
      </c>
      <c r="N170" s="144">
        <f t="shared" si="68"/>
        <v>0</v>
      </c>
      <c r="O170" s="144">
        <f t="shared" si="69"/>
        <v>0</v>
      </c>
      <c r="P170" s="169">
        <f t="shared" si="60"/>
        <v>0</v>
      </c>
      <c r="R170" s="143">
        <f t="shared" si="79"/>
        <v>0</v>
      </c>
      <c r="S170" s="144">
        <f t="shared" si="70"/>
        <v>0</v>
      </c>
      <c r="T170" s="144">
        <f t="shared" si="71"/>
        <v>0</v>
      </c>
      <c r="U170" s="169">
        <f t="shared" si="72"/>
        <v>0</v>
      </c>
      <c r="V170" s="143">
        <f t="shared" si="80"/>
        <v>0</v>
      </c>
      <c r="W170" s="144">
        <f t="shared" si="73"/>
        <v>0</v>
      </c>
      <c r="X170" s="144">
        <f t="shared" si="74"/>
        <v>0</v>
      </c>
      <c r="Y170" s="169">
        <f t="shared" si="75"/>
        <v>0</v>
      </c>
      <c r="Z170" s="151">
        <v>0</v>
      </c>
      <c r="AA170" s="151">
        <v>0</v>
      </c>
      <c r="AB170" s="151">
        <v>0</v>
      </c>
      <c r="AC170" s="151">
        <v>0</v>
      </c>
    </row>
    <row r="171" spans="1:29" s="61" customFormat="1" ht="11.25">
      <c r="A171" s="147">
        <f t="shared" si="61"/>
        <v>0</v>
      </c>
      <c r="B171" s="152">
        <f t="shared" si="62"/>
        <v>0</v>
      </c>
      <c r="C171" s="141">
        <f t="shared" si="63"/>
        <v>13</v>
      </c>
      <c r="D171" s="142">
        <v>152</v>
      </c>
      <c r="E171" s="143">
        <f t="shared" si="76"/>
        <v>0</v>
      </c>
      <c r="F171" s="144">
        <f t="shared" si="64"/>
        <v>0</v>
      </c>
      <c r="G171" s="144">
        <f t="shared" si="65"/>
        <v>0</v>
      </c>
      <c r="H171" s="169">
        <f t="shared" si="59"/>
        <v>0</v>
      </c>
      <c r="I171" s="143">
        <f t="shared" si="77"/>
        <v>0</v>
      </c>
      <c r="J171" s="144">
        <f t="shared" si="66"/>
        <v>0</v>
      </c>
      <c r="K171" s="144">
        <f t="shared" si="67"/>
        <v>0</v>
      </c>
      <c r="L171" s="169">
        <f t="shared" si="58"/>
        <v>0</v>
      </c>
      <c r="M171" s="143">
        <f t="shared" si="78"/>
        <v>0</v>
      </c>
      <c r="N171" s="144">
        <f t="shared" si="68"/>
        <v>0</v>
      </c>
      <c r="O171" s="144">
        <f t="shared" si="69"/>
        <v>0</v>
      </c>
      <c r="P171" s="169">
        <f t="shared" si="60"/>
        <v>0</v>
      </c>
      <c r="R171" s="143">
        <f t="shared" si="79"/>
        <v>0</v>
      </c>
      <c r="S171" s="144">
        <f t="shared" si="70"/>
        <v>0</v>
      </c>
      <c r="T171" s="144">
        <f t="shared" si="71"/>
        <v>0</v>
      </c>
      <c r="U171" s="169">
        <f t="shared" si="72"/>
        <v>0</v>
      </c>
      <c r="V171" s="143">
        <f t="shared" si="80"/>
        <v>0</v>
      </c>
      <c r="W171" s="144">
        <f t="shared" si="73"/>
        <v>0</v>
      </c>
      <c r="X171" s="144">
        <f t="shared" si="74"/>
        <v>0</v>
      </c>
      <c r="Y171" s="169">
        <f t="shared" si="75"/>
        <v>0</v>
      </c>
      <c r="Z171" s="151">
        <v>0</v>
      </c>
      <c r="AA171" s="151">
        <v>0</v>
      </c>
      <c r="AB171" s="151">
        <v>0</v>
      </c>
      <c r="AC171" s="151">
        <v>0</v>
      </c>
    </row>
    <row r="172" spans="1:29" s="61" customFormat="1" ht="11.25">
      <c r="A172" s="147">
        <f t="shared" si="61"/>
        <v>0</v>
      </c>
      <c r="B172" s="152">
        <f t="shared" si="62"/>
        <v>0</v>
      </c>
      <c r="C172" s="141">
        <f t="shared" si="63"/>
        <v>13</v>
      </c>
      <c r="D172" s="142">
        <v>153</v>
      </c>
      <c r="E172" s="143">
        <f t="shared" si="76"/>
        <v>0</v>
      </c>
      <c r="F172" s="144">
        <f t="shared" si="64"/>
        <v>0</v>
      </c>
      <c r="G172" s="144">
        <f t="shared" si="65"/>
        <v>0</v>
      </c>
      <c r="H172" s="169">
        <f t="shared" si="59"/>
        <v>0</v>
      </c>
      <c r="I172" s="143">
        <f t="shared" si="77"/>
        <v>0</v>
      </c>
      <c r="J172" s="144">
        <f t="shared" si="66"/>
        <v>0</v>
      </c>
      <c r="K172" s="144">
        <f t="shared" si="67"/>
        <v>0</v>
      </c>
      <c r="L172" s="169">
        <f t="shared" si="58"/>
        <v>0</v>
      </c>
      <c r="M172" s="143">
        <f t="shared" si="78"/>
        <v>0</v>
      </c>
      <c r="N172" s="144">
        <f t="shared" si="68"/>
        <v>0</v>
      </c>
      <c r="O172" s="144">
        <f t="shared" si="69"/>
        <v>0</v>
      </c>
      <c r="P172" s="169">
        <f t="shared" si="60"/>
        <v>0</v>
      </c>
      <c r="R172" s="143">
        <f t="shared" si="79"/>
        <v>0</v>
      </c>
      <c r="S172" s="144">
        <f t="shared" si="70"/>
        <v>0</v>
      </c>
      <c r="T172" s="144">
        <f t="shared" si="71"/>
        <v>0</v>
      </c>
      <c r="U172" s="169">
        <f t="shared" si="72"/>
        <v>0</v>
      </c>
      <c r="V172" s="143">
        <f t="shared" si="80"/>
        <v>0</v>
      </c>
      <c r="W172" s="144">
        <f t="shared" si="73"/>
        <v>0</v>
      </c>
      <c r="X172" s="144">
        <f t="shared" si="74"/>
        <v>0</v>
      </c>
      <c r="Y172" s="169">
        <f t="shared" si="75"/>
        <v>0</v>
      </c>
      <c r="Z172" s="151">
        <v>0</v>
      </c>
      <c r="AA172" s="151">
        <v>0</v>
      </c>
      <c r="AB172" s="151">
        <v>0</v>
      </c>
      <c r="AC172" s="151">
        <v>0</v>
      </c>
    </row>
    <row r="173" spans="1:29" s="61" customFormat="1" ht="11.25">
      <c r="A173" s="147">
        <f t="shared" si="61"/>
        <v>0</v>
      </c>
      <c r="B173" s="152">
        <f t="shared" si="62"/>
        <v>0</v>
      </c>
      <c r="C173" s="141">
        <f t="shared" si="63"/>
        <v>13</v>
      </c>
      <c r="D173" s="142">
        <v>154</v>
      </c>
      <c r="E173" s="143">
        <f t="shared" si="76"/>
        <v>0</v>
      </c>
      <c r="F173" s="144">
        <f t="shared" si="64"/>
        <v>0</v>
      </c>
      <c r="G173" s="144">
        <f t="shared" si="65"/>
        <v>0</v>
      </c>
      <c r="H173" s="169">
        <f t="shared" si="59"/>
        <v>0</v>
      </c>
      <c r="I173" s="143">
        <f t="shared" si="77"/>
        <v>0</v>
      </c>
      <c r="J173" s="144">
        <f t="shared" si="66"/>
        <v>0</v>
      </c>
      <c r="K173" s="144">
        <f t="shared" si="67"/>
        <v>0</v>
      </c>
      <c r="L173" s="169">
        <f t="shared" si="58"/>
        <v>0</v>
      </c>
      <c r="M173" s="143">
        <f t="shared" si="78"/>
        <v>0</v>
      </c>
      <c r="N173" s="144">
        <f t="shared" si="68"/>
        <v>0</v>
      </c>
      <c r="O173" s="144">
        <f t="shared" si="69"/>
        <v>0</v>
      </c>
      <c r="P173" s="169">
        <f t="shared" si="60"/>
        <v>0</v>
      </c>
      <c r="R173" s="143">
        <f t="shared" si="79"/>
        <v>0</v>
      </c>
      <c r="S173" s="144">
        <f t="shared" si="70"/>
        <v>0</v>
      </c>
      <c r="T173" s="144">
        <f t="shared" si="71"/>
        <v>0</v>
      </c>
      <c r="U173" s="169">
        <f t="shared" si="72"/>
        <v>0</v>
      </c>
      <c r="V173" s="143">
        <f t="shared" si="80"/>
        <v>0</v>
      </c>
      <c r="W173" s="144">
        <f t="shared" si="73"/>
        <v>0</v>
      </c>
      <c r="X173" s="144">
        <f t="shared" si="74"/>
        <v>0</v>
      </c>
      <c r="Y173" s="169">
        <f t="shared" si="75"/>
        <v>0</v>
      </c>
      <c r="Z173" s="151">
        <v>0</v>
      </c>
      <c r="AA173" s="151">
        <v>0</v>
      </c>
      <c r="AB173" s="151">
        <v>0</v>
      </c>
      <c r="AC173" s="151">
        <v>0</v>
      </c>
    </row>
    <row r="174" spans="1:29" s="61" customFormat="1" ht="11.25">
      <c r="A174" s="147">
        <f t="shared" si="61"/>
        <v>0</v>
      </c>
      <c r="B174" s="152">
        <f t="shared" si="62"/>
        <v>0</v>
      </c>
      <c r="C174" s="141">
        <f t="shared" si="63"/>
        <v>13</v>
      </c>
      <c r="D174" s="142">
        <v>155</v>
      </c>
      <c r="E174" s="143">
        <f t="shared" si="76"/>
        <v>0</v>
      </c>
      <c r="F174" s="144">
        <f t="shared" si="64"/>
        <v>0</v>
      </c>
      <c r="G174" s="144">
        <f t="shared" si="65"/>
        <v>0</v>
      </c>
      <c r="H174" s="169">
        <f t="shared" si="59"/>
        <v>0</v>
      </c>
      <c r="I174" s="143">
        <f t="shared" si="77"/>
        <v>0</v>
      </c>
      <c r="J174" s="144">
        <f t="shared" si="66"/>
        <v>0</v>
      </c>
      <c r="K174" s="144">
        <f t="shared" si="67"/>
        <v>0</v>
      </c>
      <c r="L174" s="169">
        <f t="shared" si="58"/>
        <v>0</v>
      </c>
      <c r="M174" s="143">
        <f t="shared" si="78"/>
        <v>0</v>
      </c>
      <c r="N174" s="144">
        <f t="shared" si="68"/>
        <v>0</v>
      </c>
      <c r="O174" s="144">
        <f t="shared" si="69"/>
        <v>0</v>
      </c>
      <c r="P174" s="169">
        <f t="shared" si="60"/>
        <v>0</v>
      </c>
      <c r="R174" s="143">
        <f t="shared" si="79"/>
        <v>0</v>
      </c>
      <c r="S174" s="144">
        <f t="shared" si="70"/>
        <v>0</v>
      </c>
      <c r="T174" s="144">
        <f t="shared" si="71"/>
        <v>0</v>
      </c>
      <c r="U174" s="169">
        <f t="shared" si="72"/>
        <v>0</v>
      </c>
      <c r="V174" s="143">
        <f t="shared" si="80"/>
        <v>0</v>
      </c>
      <c r="W174" s="144">
        <f t="shared" si="73"/>
        <v>0</v>
      </c>
      <c r="X174" s="144">
        <f t="shared" si="74"/>
        <v>0</v>
      </c>
      <c r="Y174" s="169">
        <f t="shared" si="75"/>
        <v>0</v>
      </c>
      <c r="Z174" s="151">
        <v>0</v>
      </c>
      <c r="AA174" s="151">
        <v>0</v>
      </c>
      <c r="AB174" s="151">
        <v>0</v>
      </c>
      <c r="AC174" s="151">
        <v>0</v>
      </c>
    </row>
    <row r="175" spans="1:29" s="61" customFormat="1" ht="12" thickBot="1">
      <c r="A175" s="153">
        <f t="shared" si="61"/>
        <v>0</v>
      </c>
      <c r="B175" s="154">
        <f t="shared" si="62"/>
        <v>0</v>
      </c>
      <c r="C175" s="155">
        <f t="shared" si="63"/>
        <v>13</v>
      </c>
      <c r="D175" s="156">
        <v>156</v>
      </c>
      <c r="E175" s="157">
        <f t="shared" si="76"/>
        <v>0</v>
      </c>
      <c r="F175" s="158">
        <f t="shared" si="64"/>
        <v>0</v>
      </c>
      <c r="G175" s="158">
        <f t="shared" si="65"/>
        <v>0</v>
      </c>
      <c r="H175" s="172">
        <f t="shared" si="59"/>
        <v>0</v>
      </c>
      <c r="I175" s="157">
        <f t="shared" si="77"/>
        <v>0</v>
      </c>
      <c r="J175" s="158">
        <f t="shared" si="66"/>
        <v>0</v>
      </c>
      <c r="K175" s="158">
        <f t="shared" si="67"/>
        <v>0</v>
      </c>
      <c r="L175" s="172">
        <f t="shared" si="58"/>
        <v>0</v>
      </c>
      <c r="M175" s="157">
        <f t="shared" si="78"/>
        <v>0</v>
      </c>
      <c r="N175" s="158">
        <f t="shared" si="68"/>
        <v>0</v>
      </c>
      <c r="O175" s="158">
        <f t="shared" si="69"/>
        <v>0</v>
      </c>
      <c r="P175" s="172">
        <f t="shared" si="60"/>
        <v>0</v>
      </c>
      <c r="R175" s="157">
        <f t="shared" si="79"/>
        <v>0</v>
      </c>
      <c r="S175" s="158">
        <f t="shared" si="70"/>
        <v>0</v>
      </c>
      <c r="T175" s="158">
        <f t="shared" si="71"/>
        <v>0</v>
      </c>
      <c r="U175" s="172">
        <f t="shared" si="72"/>
        <v>0</v>
      </c>
      <c r="V175" s="157">
        <f t="shared" si="80"/>
        <v>0</v>
      </c>
      <c r="W175" s="158">
        <f t="shared" si="73"/>
        <v>0</v>
      </c>
      <c r="X175" s="158">
        <f t="shared" si="74"/>
        <v>0</v>
      </c>
      <c r="Y175" s="172">
        <f t="shared" si="75"/>
        <v>0</v>
      </c>
      <c r="Z175" s="151">
        <v>0</v>
      </c>
      <c r="AA175" s="151">
        <v>0</v>
      </c>
      <c r="AB175" s="151">
        <v>0</v>
      </c>
      <c r="AC175" s="151">
        <v>0</v>
      </c>
    </row>
    <row r="176" spans="1:29" s="61" customFormat="1" ht="11.25">
      <c r="A176" s="147">
        <f t="shared" si="61"/>
        <v>0</v>
      </c>
      <c r="B176" s="152">
        <f t="shared" si="62"/>
        <v>0</v>
      </c>
      <c r="C176" s="141">
        <f t="shared" si="63"/>
        <v>14</v>
      </c>
      <c r="D176" s="142">
        <v>157</v>
      </c>
      <c r="E176" s="143">
        <f t="shared" si="76"/>
        <v>0</v>
      </c>
      <c r="F176" s="144">
        <f t="shared" si="64"/>
        <v>0</v>
      </c>
      <c r="G176" s="144">
        <f t="shared" si="65"/>
        <v>0</v>
      </c>
      <c r="H176" s="169">
        <f t="shared" si="59"/>
        <v>0</v>
      </c>
      <c r="I176" s="143">
        <f t="shared" si="77"/>
        <v>0</v>
      </c>
      <c r="J176" s="144">
        <f t="shared" si="66"/>
        <v>0</v>
      </c>
      <c r="K176" s="144">
        <f t="shared" si="67"/>
        <v>0</v>
      </c>
      <c r="L176" s="169">
        <f t="shared" si="58"/>
        <v>0</v>
      </c>
      <c r="M176" s="143">
        <f t="shared" si="78"/>
        <v>0</v>
      </c>
      <c r="N176" s="144">
        <f t="shared" si="68"/>
        <v>0</v>
      </c>
      <c r="O176" s="144">
        <f t="shared" si="69"/>
        <v>0</v>
      </c>
      <c r="P176" s="169">
        <f t="shared" si="60"/>
        <v>0</v>
      </c>
      <c r="R176" s="143">
        <f t="shared" si="79"/>
        <v>0</v>
      </c>
      <c r="S176" s="144">
        <f t="shared" si="70"/>
        <v>0</v>
      </c>
      <c r="T176" s="144">
        <f t="shared" si="71"/>
        <v>0</v>
      </c>
      <c r="U176" s="169">
        <f t="shared" si="72"/>
        <v>0</v>
      </c>
      <c r="V176" s="143">
        <f t="shared" si="80"/>
        <v>0</v>
      </c>
      <c r="W176" s="144">
        <f t="shared" si="73"/>
        <v>0</v>
      </c>
      <c r="X176" s="144">
        <f t="shared" si="74"/>
        <v>0</v>
      </c>
      <c r="Y176" s="169">
        <f t="shared" si="75"/>
        <v>0</v>
      </c>
      <c r="Z176" s="151">
        <v>0</v>
      </c>
      <c r="AA176" s="151">
        <v>0</v>
      </c>
      <c r="AB176" s="151">
        <v>0</v>
      </c>
      <c r="AC176" s="151">
        <v>0</v>
      </c>
    </row>
    <row r="177" spans="1:29" s="61" customFormat="1" ht="11.25">
      <c r="A177" s="147">
        <f t="shared" si="61"/>
        <v>0</v>
      </c>
      <c r="B177" s="152">
        <f t="shared" si="62"/>
        <v>0</v>
      </c>
      <c r="C177" s="141">
        <f t="shared" si="63"/>
        <v>14</v>
      </c>
      <c r="D177" s="142">
        <v>158</v>
      </c>
      <c r="E177" s="143">
        <f t="shared" si="76"/>
        <v>0</v>
      </c>
      <c r="F177" s="144">
        <f t="shared" si="64"/>
        <v>0</v>
      </c>
      <c r="G177" s="144">
        <f t="shared" si="65"/>
        <v>0</v>
      </c>
      <c r="H177" s="169">
        <f t="shared" si="59"/>
        <v>0</v>
      </c>
      <c r="I177" s="143">
        <f t="shared" si="77"/>
        <v>0</v>
      </c>
      <c r="J177" s="144">
        <f t="shared" si="66"/>
        <v>0</v>
      </c>
      <c r="K177" s="144">
        <f t="shared" si="67"/>
        <v>0</v>
      </c>
      <c r="L177" s="169">
        <f t="shared" si="58"/>
        <v>0</v>
      </c>
      <c r="M177" s="143">
        <f t="shared" si="78"/>
        <v>0</v>
      </c>
      <c r="N177" s="144">
        <f t="shared" si="68"/>
        <v>0</v>
      </c>
      <c r="O177" s="144">
        <f t="shared" si="69"/>
        <v>0</v>
      </c>
      <c r="P177" s="169">
        <f t="shared" si="60"/>
        <v>0</v>
      </c>
      <c r="R177" s="143">
        <f t="shared" si="79"/>
        <v>0</v>
      </c>
      <c r="S177" s="144">
        <f t="shared" si="70"/>
        <v>0</v>
      </c>
      <c r="T177" s="144">
        <f t="shared" si="71"/>
        <v>0</v>
      </c>
      <c r="U177" s="169">
        <f t="shared" si="72"/>
        <v>0</v>
      </c>
      <c r="V177" s="143">
        <f t="shared" si="80"/>
        <v>0</v>
      </c>
      <c r="W177" s="144">
        <f t="shared" si="73"/>
        <v>0</v>
      </c>
      <c r="X177" s="144">
        <f t="shared" si="74"/>
        <v>0</v>
      </c>
      <c r="Y177" s="169">
        <f t="shared" si="75"/>
        <v>0</v>
      </c>
      <c r="Z177" s="151">
        <v>0</v>
      </c>
      <c r="AA177" s="151">
        <v>0</v>
      </c>
      <c r="AB177" s="151">
        <v>0</v>
      </c>
      <c r="AC177" s="151">
        <v>0</v>
      </c>
    </row>
    <row r="178" spans="1:29" s="61" customFormat="1" ht="11.25">
      <c r="A178" s="147">
        <f t="shared" si="61"/>
        <v>0</v>
      </c>
      <c r="B178" s="152">
        <f t="shared" si="62"/>
        <v>0</v>
      </c>
      <c r="C178" s="141">
        <f t="shared" si="63"/>
        <v>14</v>
      </c>
      <c r="D178" s="142">
        <v>159</v>
      </c>
      <c r="E178" s="143">
        <f t="shared" si="76"/>
        <v>0</v>
      </c>
      <c r="F178" s="144">
        <f t="shared" si="64"/>
        <v>0</v>
      </c>
      <c r="G178" s="144">
        <f t="shared" si="65"/>
        <v>0</v>
      </c>
      <c r="H178" s="169">
        <f t="shared" si="59"/>
        <v>0</v>
      </c>
      <c r="I178" s="143">
        <f t="shared" si="77"/>
        <v>0</v>
      </c>
      <c r="J178" s="144">
        <f t="shared" si="66"/>
        <v>0</v>
      </c>
      <c r="K178" s="144">
        <f t="shared" si="67"/>
        <v>0</v>
      </c>
      <c r="L178" s="169">
        <f t="shared" si="58"/>
        <v>0</v>
      </c>
      <c r="M178" s="143">
        <f t="shared" si="78"/>
        <v>0</v>
      </c>
      <c r="N178" s="144">
        <f t="shared" si="68"/>
        <v>0</v>
      </c>
      <c r="O178" s="144">
        <f t="shared" si="69"/>
        <v>0</v>
      </c>
      <c r="P178" s="169">
        <f t="shared" si="60"/>
        <v>0</v>
      </c>
      <c r="R178" s="143">
        <f t="shared" si="79"/>
        <v>0</v>
      </c>
      <c r="S178" s="144">
        <f t="shared" si="70"/>
        <v>0</v>
      </c>
      <c r="T178" s="144">
        <f t="shared" si="71"/>
        <v>0</v>
      </c>
      <c r="U178" s="169">
        <f t="shared" si="72"/>
        <v>0</v>
      </c>
      <c r="V178" s="143">
        <f t="shared" si="80"/>
        <v>0</v>
      </c>
      <c r="W178" s="144">
        <f t="shared" si="73"/>
        <v>0</v>
      </c>
      <c r="X178" s="144">
        <f t="shared" si="74"/>
        <v>0</v>
      </c>
      <c r="Y178" s="169">
        <f t="shared" si="75"/>
        <v>0</v>
      </c>
      <c r="Z178" s="151">
        <v>0</v>
      </c>
      <c r="AA178" s="151">
        <v>0</v>
      </c>
      <c r="AB178" s="151">
        <v>0</v>
      </c>
      <c r="AC178" s="151">
        <v>0</v>
      </c>
    </row>
    <row r="179" spans="1:29" s="61" customFormat="1" ht="11.25">
      <c r="A179" s="147">
        <f t="shared" si="61"/>
        <v>0</v>
      </c>
      <c r="B179" s="152">
        <f t="shared" si="62"/>
        <v>0</v>
      </c>
      <c r="C179" s="141">
        <f t="shared" si="63"/>
        <v>14</v>
      </c>
      <c r="D179" s="142">
        <v>160</v>
      </c>
      <c r="E179" s="143">
        <f t="shared" si="76"/>
        <v>0</v>
      </c>
      <c r="F179" s="144">
        <f t="shared" si="64"/>
        <v>0</v>
      </c>
      <c r="G179" s="144">
        <f t="shared" si="65"/>
        <v>0</v>
      </c>
      <c r="H179" s="169">
        <f t="shared" si="59"/>
        <v>0</v>
      </c>
      <c r="I179" s="143">
        <f t="shared" si="77"/>
        <v>0</v>
      </c>
      <c r="J179" s="144">
        <f t="shared" si="66"/>
        <v>0</v>
      </c>
      <c r="K179" s="144">
        <f t="shared" si="67"/>
        <v>0</v>
      </c>
      <c r="L179" s="169">
        <f t="shared" si="58"/>
        <v>0</v>
      </c>
      <c r="M179" s="143">
        <f t="shared" si="78"/>
        <v>0</v>
      </c>
      <c r="N179" s="144">
        <f t="shared" si="68"/>
        <v>0</v>
      </c>
      <c r="O179" s="144">
        <f t="shared" si="69"/>
        <v>0</v>
      </c>
      <c r="P179" s="169">
        <f t="shared" si="60"/>
        <v>0</v>
      </c>
      <c r="R179" s="143">
        <f t="shared" si="79"/>
        <v>0</v>
      </c>
      <c r="S179" s="144">
        <f t="shared" si="70"/>
        <v>0</v>
      </c>
      <c r="T179" s="144">
        <f t="shared" si="71"/>
        <v>0</v>
      </c>
      <c r="U179" s="169">
        <f t="shared" si="72"/>
        <v>0</v>
      </c>
      <c r="V179" s="143">
        <f t="shared" si="80"/>
        <v>0</v>
      </c>
      <c r="W179" s="144">
        <f t="shared" si="73"/>
        <v>0</v>
      </c>
      <c r="X179" s="144">
        <f t="shared" si="74"/>
        <v>0</v>
      </c>
      <c r="Y179" s="169">
        <f t="shared" si="75"/>
        <v>0</v>
      </c>
      <c r="Z179" s="151">
        <v>0</v>
      </c>
      <c r="AA179" s="151">
        <v>0</v>
      </c>
      <c r="AB179" s="151">
        <v>0</v>
      </c>
      <c r="AC179" s="151">
        <v>0</v>
      </c>
    </row>
    <row r="180" spans="1:29" s="61" customFormat="1" ht="11.25">
      <c r="A180" s="147">
        <f t="shared" si="61"/>
        <v>0</v>
      </c>
      <c r="B180" s="152">
        <f t="shared" si="62"/>
        <v>0</v>
      </c>
      <c r="C180" s="141">
        <f t="shared" si="63"/>
        <v>14</v>
      </c>
      <c r="D180" s="142">
        <v>161</v>
      </c>
      <c r="E180" s="143">
        <f t="shared" si="76"/>
        <v>0</v>
      </c>
      <c r="F180" s="144">
        <f t="shared" si="64"/>
        <v>0</v>
      </c>
      <c r="G180" s="144">
        <f t="shared" si="65"/>
        <v>0</v>
      </c>
      <c r="H180" s="169">
        <f t="shared" si="59"/>
        <v>0</v>
      </c>
      <c r="I180" s="143">
        <f t="shared" si="77"/>
        <v>0</v>
      </c>
      <c r="J180" s="144">
        <f t="shared" si="66"/>
        <v>0</v>
      </c>
      <c r="K180" s="144">
        <f t="shared" si="67"/>
        <v>0</v>
      </c>
      <c r="L180" s="169">
        <f t="shared" si="58"/>
        <v>0</v>
      </c>
      <c r="M180" s="143">
        <f t="shared" si="78"/>
        <v>0</v>
      </c>
      <c r="N180" s="144">
        <f t="shared" si="68"/>
        <v>0</v>
      </c>
      <c r="O180" s="144">
        <f t="shared" si="69"/>
        <v>0</v>
      </c>
      <c r="P180" s="169">
        <f t="shared" si="60"/>
        <v>0</v>
      </c>
      <c r="R180" s="143">
        <f t="shared" si="79"/>
        <v>0</v>
      </c>
      <c r="S180" s="144">
        <f t="shared" si="70"/>
        <v>0</v>
      </c>
      <c r="T180" s="144">
        <f t="shared" si="71"/>
        <v>0</v>
      </c>
      <c r="U180" s="169">
        <f t="shared" si="72"/>
        <v>0</v>
      </c>
      <c r="V180" s="143">
        <f t="shared" si="80"/>
        <v>0</v>
      </c>
      <c r="W180" s="144">
        <f t="shared" si="73"/>
        <v>0</v>
      </c>
      <c r="X180" s="144">
        <f t="shared" si="74"/>
        <v>0</v>
      </c>
      <c r="Y180" s="169">
        <f t="shared" si="75"/>
        <v>0</v>
      </c>
      <c r="Z180" s="151">
        <v>0</v>
      </c>
      <c r="AA180" s="151">
        <v>0</v>
      </c>
      <c r="AB180" s="151">
        <v>0</v>
      </c>
      <c r="AC180" s="151">
        <v>0</v>
      </c>
    </row>
    <row r="181" spans="1:29" s="61" customFormat="1" ht="11.25">
      <c r="A181" s="147">
        <f t="shared" si="61"/>
        <v>0</v>
      </c>
      <c r="B181" s="152">
        <f t="shared" si="62"/>
        <v>0</v>
      </c>
      <c r="C181" s="141">
        <f t="shared" si="63"/>
        <v>14</v>
      </c>
      <c r="D181" s="142">
        <v>162</v>
      </c>
      <c r="E181" s="143">
        <f t="shared" si="76"/>
        <v>0</v>
      </c>
      <c r="F181" s="144">
        <f t="shared" si="64"/>
        <v>0</v>
      </c>
      <c r="G181" s="144">
        <f t="shared" si="65"/>
        <v>0</v>
      </c>
      <c r="H181" s="169">
        <f t="shared" si="59"/>
        <v>0</v>
      </c>
      <c r="I181" s="143">
        <f t="shared" si="77"/>
        <v>0</v>
      </c>
      <c r="J181" s="144">
        <f t="shared" si="66"/>
        <v>0</v>
      </c>
      <c r="K181" s="144">
        <f t="shared" si="67"/>
        <v>0</v>
      </c>
      <c r="L181" s="169">
        <f t="shared" si="58"/>
        <v>0</v>
      </c>
      <c r="M181" s="143">
        <f t="shared" si="78"/>
        <v>0</v>
      </c>
      <c r="N181" s="144">
        <f t="shared" si="68"/>
        <v>0</v>
      </c>
      <c r="O181" s="144">
        <f t="shared" si="69"/>
        <v>0</v>
      </c>
      <c r="P181" s="169">
        <f t="shared" si="60"/>
        <v>0</v>
      </c>
      <c r="R181" s="143">
        <f t="shared" si="79"/>
        <v>0</v>
      </c>
      <c r="S181" s="144">
        <f t="shared" si="70"/>
        <v>0</v>
      </c>
      <c r="T181" s="144">
        <f t="shared" si="71"/>
        <v>0</v>
      </c>
      <c r="U181" s="169">
        <f t="shared" si="72"/>
        <v>0</v>
      </c>
      <c r="V181" s="143">
        <f t="shared" si="80"/>
        <v>0</v>
      </c>
      <c r="W181" s="144">
        <f t="shared" si="73"/>
        <v>0</v>
      </c>
      <c r="X181" s="144">
        <f t="shared" si="74"/>
        <v>0</v>
      </c>
      <c r="Y181" s="169">
        <f t="shared" si="75"/>
        <v>0</v>
      </c>
      <c r="Z181" s="151">
        <v>0</v>
      </c>
      <c r="AA181" s="151">
        <v>0</v>
      </c>
      <c r="AB181" s="151">
        <v>0</v>
      </c>
      <c r="AC181" s="151">
        <v>0</v>
      </c>
    </row>
    <row r="182" spans="1:29" s="61" customFormat="1" ht="11.25">
      <c r="A182" s="147">
        <f t="shared" si="61"/>
        <v>0</v>
      </c>
      <c r="B182" s="152">
        <f t="shared" si="62"/>
        <v>0</v>
      </c>
      <c r="C182" s="141">
        <f t="shared" si="63"/>
        <v>14</v>
      </c>
      <c r="D182" s="142">
        <v>163</v>
      </c>
      <c r="E182" s="143">
        <f t="shared" si="76"/>
        <v>0</v>
      </c>
      <c r="F182" s="144">
        <f t="shared" si="64"/>
        <v>0</v>
      </c>
      <c r="G182" s="144">
        <f t="shared" si="65"/>
        <v>0</v>
      </c>
      <c r="H182" s="169">
        <f t="shared" si="59"/>
        <v>0</v>
      </c>
      <c r="I182" s="143">
        <f t="shared" si="77"/>
        <v>0</v>
      </c>
      <c r="J182" s="144">
        <f t="shared" si="66"/>
        <v>0</v>
      </c>
      <c r="K182" s="144">
        <f t="shared" si="67"/>
        <v>0</v>
      </c>
      <c r="L182" s="169">
        <f t="shared" si="58"/>
        <v>0</v>
      </c>
      <c r="M182" s="143">
        <f t="shared" si="78"/>
        <v>0</v>
      </c>
      <c r="N182" s="144">
        <f t="shared" si="68"/>
        <v>0</v>
      </c>
      <c r="O182" s="144">
        <f t="shared" si="69"/>
        <v>0</v>
      </c>
      <c r="P182" s="169">
        <f t="shared" si="60"/>
        <v>0</v>
      </c>
      <c r="R182" s="143">
        <f t="shared" si="79"/>
        <v>0</v>
      </c>
      <c r="S182" s="144">
        <f t="shared" si="70"/>
        <v>0</v>
      </c>
      <c r="T182" s="144">
        <f t="shared" si="71"/>
        <v>0</v>
      </c>
      <c r="U182" s="169">
        <f t="shared" si="72"/>
        <v>0</v>
      </c>
      <c r="V182" s="143">
        <f t="shared" si="80"/>
        <v>0</v>
      </c>
      <c r="W182" s="144">
        <f t="shared" si="73"/>
        <v>0</v>
      </c>
      <c r="X182" s="144">
        <f t="shared" si="74"/>
        <v>0</v>
      </c>
      <c r="Y182" s="169">
        <f t="shared" si="75"/>
        <v>0</v>
      </c>
      <c r="Z182" s="151">
        <v>0</v>
      </c>
      <c r="AA182" s="151">
        <v>0</v>
      </c>
      <c r="AB182" s="151">
        <v>0</v>
      </c>
      <c r="AC182" s="151">
        <v>0</v>
      </c>
    </row>
    <row r="183" spans="1:29" s="61" customFormat="1" ht="11.25">
      <c r="A183" s="147">
        <f t="shared" si="61"/>
        <v>0</v>
      </c>
      <c r="B183" s="152">
        <f t="shared" si="62"/>
        <v>0</v>
      </c>
      <c r="C183" s="141">
        <f t="shared" si="63"/>
        <v>14</v>
      </c>
      <c r="D183" s="142">
        <v>164</v>
      </c>
      <c r="E183" s="143">
        <f t="shared" si="76"/>
        <v>0</v>
      </c>
      <c r="F183" s="144">
        <f t="shared" si="64"/>
        <v>0</v>
      </c>
      <c r="G183" s="144">
        <f t="shared" si="65"/>
        <v>0</v>
      </c>
      <c r="H183" s="169">
        <f t="shared" si="59"/>
        <v>0</v>
      </c>
      <c r="I183" s="143">
        <f t="shared" si="77"/>
        <v>0</v>
      </c>
      <c r="J183" s="144">
        <f t="shared" si="66"/>
        <v>0</v>
      </c>
      <c r="K183" s="144">
        <f t="shared" si="67"/>
        <v>0</v>
      </c>
      <c r="L183" s="169">
        <f t="shared" si="58"/>
        <v>0</v>
      </c>
      <c r="M183" s="143">
        <f t="shared" si="78"/>
        <v>0</v>
      </c>
      <c r="N183" s="144">
        <f t="shared" si="68"/>
        <v>0</v>
      </c>
      <c r="O183" s="144">
        <f t="shared" si="69"/>
        <v>0</v>
      </c>
      <c r="P183" s="169">
        <f t="shared" si="60"/>
        <v>0</v>
      </c>
      <c r="R183" s="143">
        <f t="shared" si="79"/>
        <v>0</v>
      </c>
      <c r="S183" s="144">
        <f t="shared" si="70"/>
        <v>0</v>
      </c>
      <c r="T183" s="144">
        <f t="shared" si="71"/>
        <v>0</v>
      </c>
      <c r="U183" s="169">
        <f t="shared" si="72"/>
        <v>0</v>
      </c>
      <c r="V183" s="143">
        <f t="shared" si="80"/>
        <v>0</v>
      </c>
      <c r="W183" s="144">
        <f t="shared" si="73"/>
        <v>0</v>
      </c>
      <c r="X183" s="144">
        <f t="shared" si="74"/>
        <v>0</v>
      </c>
      <c r="Y183" s="169">
        <f t="shared" si="75"/>
        <v>0</v>
      </c>
      <c r="Z183" s="151">
        <v>0</v>
      </c>
      <c r="AA183" s="151">
        <v>0</v>
      </c>
      <c r="AB183" s="151">
        <v>0</v>
      </c>
      <c r="AC183" s="151">
        <v>0</v>
      </c>
    </row>
    <row r="184" spans="1:29" s="61" customFormat="1" ht="11.25">
      <c r="A184" s="147">
        <f t="shared" si="61"/>
        <v>0</v>
      </c>
      <c r="B184" s="152">
        <f t="shared" si="62"/>
        <v>0</v>
      </c>
      <c r="C184" s="141">
        <f t="shared" si="63"/>
        <v>14</v>
      </c>
      <c r="D184" s="142">
        <v>165</v>
      </c>
      <c r="E184" s="143">
        <f t="shared" si="76"/>
        <v>0</v>
      </c>
      <c r="F184" s="144">
        <f t="shared" si="64"/>
        <v>0</v>
      </c>
      <c r="G184" s="144">
        <f t="shared" si="65"/>
        <v>0</v>
      </c>
      <c r="H184" s="169">
        <f t="shared" si="59"/>
        <v>0</v>
      </c>
      <c r="I184" s="143">
        <f t="shared" si="77"/>
        <v>0</v>
      </c>
      <c r="J184" s="144">
        <f t="shared" si="66"/>
        <v>0</v>
      </c>
      <c r="K184" s="144">
        <f t="shared" si="67"/>
        <v>0</v>
      </c>
      <c r="L184" s="169">
        <f t="shared" si="58"/>
        <v>0</v>
      </c>
      <c r="M184" s="143">
        <f t="shared" si="78"/>
        <v>0</v>
      </c>
      <c r="N184" s="144">
        <f t="shared" si="68"/>
        <v>0</v>
      </c>
      <c r="O184" s="144">
        <f t="shared" si="69"/>
        <v>0</v>
      </c>
      <c r="P184" s="169">
        <f t="shared" si="60"/>
        <v>0</v>
      </c>
      <c r="R184" s="143">
        <f t="shared" si="79"/>
        <v>0</v>
      </c>
      <c r="S184" s="144">
        <f t="shared" si="70"/>
        <v>0</v>
      </c>
      <c r="T184" s="144">
        <f t="shared" si="71"/>
        <v>0</v>
      </c>
      <c r="U184" s="169">
        <f t="shared" si="72"/>
        <v>0</v>
      </c>
      <c r="V184" s="143">
        <f t="shared" si="80"/>
        <v>0</v>
      </c>
      <c r="W184" s="144">
        <f t="shared" si="73"/>
        <v>0</v>
      </c>
      <c r="X184" s="144">
        <f t="shared" si="74"/>
        <v>0</v>
      </c>
      <c r="Y184" s="169">
        <f t="shared" si="75"/>
        <v>0</v>
      </c>
      <c r="Z184" s="151">
        <v>0</v>
      </c>
      <c r="AA184" s="151">
        <v>0</v>
      </c>
      <c r="AB184" s="151">
        <v>0</v>
      </c>
      <c r="AC184" s="151">
        <v>0</v>
      </c>
    </row>
    <row r="185" spans="1:29" s="61" customFormat="1" ht="11.25">
      <c r="A185" s="147">
        <f t="shared" si="61"/>
        <v>0</v>
      </c>
      <c r="B185" s="152">
        <f t="shared" si="62"/>
        <v>0</v>
      </c>
      <c r="C185" s="141">
        <f t="shared" si="63"/>
        <v>14</v>
      </c>
      <c r="D185" s="142">
        <v>166</v>
      </c>
      <c r="E185" s="143">
        <f t="shared" si="76"/>
        <v>0</v>
      </c>
      <c r="F185" s="144">
        <f t="shared" si="64"/>
        <v>0</v>
      </c>
      <c r="G185" s="144">
        <f t="shared" si="65"/>
        <v>0</v>
      </c>
      <c r="H185" s="169">
        <f t="shared" si="59"/>
        <v>0</v>
      </c>
      <c r="I185" s="143">
        <f t="shared" si="77"/>
        <v>0</v>
      </c>
      <c r="J185" s="144">
        <f t="shared" si="66"/>
        <v>0</v>
      </c>
      <c r="K185" s="144">
        <f t="shared" si="67"/>
        <v>0</v>
      </c>
      <c r="L185" s="169">
        <f t="shared" ref="L185:L248" si="81">IF(I185&lt;=0,0,L$13)</f>
        <v>0</v>
      </c>
      <c r="M185" s="143">
        <f t="shared" si="78"/>
        <v>0</v>
      </c>
      <c r="N185" s="144">
        <f t="shared" si="68"/>
        <v>0</v>
      </c>
      <c r="O185" s="144">
        <f t="shared" si="69"/>
        <v>0</v>
      </c>
      <c r="P185" s="169">
        <f t="shared" si="60"/>
        <v>0</v>
      </c>
      <c r="R185" s="143">
        <f t="shared" si="79"/>
        <v>0</v>
      </c>
      <c r="S185" s="144">
        <f t="shared" si="70"/>
        <v>0</v>
      </c>
      <c r="T185" s="144">
        <f t="shared" si="71"/>
        <v>0</v>
      </c>
      <c r="U185" s="169">
        <f t="shared" si="72"/>
        <v>0</v>
      </c>
      <c r="V185" s="143">
        <f t="shared" si="80"/>
        <v>0</v>
      </c>
      <c r="W185" s="144">
        <f t="shared" si="73"/>
        <v>0</v>
      </c>
      <c r="X185" s="144">
        <f t="shared" si="74"/>
        <v>0</v>
      </c>
      <c r="Y185" s="169">
        <f t="shared" si="75"/>
        <v>0</v>
      </c>
      <c r="Z185" s="151">
        <v>0</v>
      </c>
      <c r="AA185" s="151">
        <v>0</v>
      </c>
      <c r="AB185" s="151">
        <v>0</v>
      </c>
      <c r="AC185" s="151">
        <v>0</v>
      </c>
    </row>
    <row r="186" spans="1:29" s="61" customFormat="1" ht="11.25">
      <c r="A186" s="147">
        <f t="shared" si="61"/>
        <v>0</v>
      </c>
      <c r="B186" s="152">
        <f t="shared" si="62"/>
        <v>0</v>
      </c>
      <c r="C186" s="141">
        <f t="shared" si="63"/>
        <v>14</v>
      </c>
      <c r="D186" s="142">
        <v>167</v>
      </c>
      <c r="E186" s="143">
        <f t="shared" si="76"/>
        <v>0</v>
      </c>
      <c r="F186" s="144">
        <f t="shared" si="64"/>
        <v>0</v>
      </c>
      <c r="G186" s="144">
        <f t="shared" si="65"/>
        <v>0</v>
      </c>
      <c r="H186" s="169">
        <f t="shared" si="59"/>
        <v>0</v>
      </c>
      <c r="I186" s="143">
        <f t="shared" si="77"/>
        <v>0</v>
      </c>
      <c r="J186" s="144">
        <f t="shared" si="66"/>
        <v>0</v>
      </c>
      <c r="K186" s="144">
        <f t="shared" si="67"/>
        <v>0</v>
      </c>
      <c r="L186" s="169">
        <f t="shared" si="81"/>
        <v>0</v>
      </c>
      <c r="M186" s="143">
        <f t="shared" si="78"/>
        <v>0</v>
      </c>
      <c r="N186" s="144">
        <f t="shared" si="68"/>
        <v>0</v>
      </c>
      <c r="O186" s="144">
        <f t="shared" si="69"/>
        <v>0</v>
      </c>
      <c r="P186" s="169">
        <f t="shared" si="60"/>
        <v>0</v>
      </c>
      <c r="R186" s="143">
        <f t="shared" si="79"/>
        <v>0</v>
      </c>
      <c r="S186" s="144">
        <f t="shared" si="70"/>
        <v>0</v>
      </c>
      <c r="T186" s="144">
        <f t="shared" si="71"/>
        <v>0</v>
      </c>
      <c r="U186" s="169">
        <f t="shared" si="72"/>
        <v>0</v>
      </c>
      <c r="V186" s="143">
        <f t="shared" si="80"/>
        <v>0</v>
      </c>
      <c r="W186" s="144">
        <f t="shared" si="73"/>
        <v>0</v>
      </c>
      <c r="X186" s="144">
        <f t="shared" si="74"/>
        <v>0</v>
      </c>
      <c r="Y186" s="169">
        <f t="shared" si="75"/>
        <v>0</v>
      </c>
      <c r="Z186" s="151">
        <v>0</v>
      </c>
      <c r="AA186" s="151">
        <v>0</v>
      </c>
      <c r="AB186" s="151">
        <v>0</v>
      </c>
      <c r="AC186" s="151">
        <v>0</v>
      </c>
    </row>
    <row r="187" spans="1:29" s="61" customFormat="1" ht="12" thickBot="1">
      <c r="A187" s="153">
        <f t="shared" si="61"/>
        <v>0</v>
      </c>
      <c r="B187" s="154">
        <f t="shared" si="62"/>
        <v>0</v>
      </c>
      <c r="C187" s="155">
        <f t="shared" si="63"/>
        <v>14</v>
      </c>
      <c r="D187" s="156">
        <v>168</v>
      </c>
      <c r="E187" s="157">
        <f t="shared" si="76"/>
        <v>0</v>
      </c>
      <c r="F187" s="158">
        <f t="shared" si="64"/>
        <v>0</v>
      </c>
      <c r="G187" s="158">
        <f t="shared" si="65"/>
        <v>0</v>
      </c>
      <c r="H187" s="172">
        <f t="shared" si="59"/>
        <v>0</v>
      </c>
      <c r="I187" s="157">
        <f t="shared" si="77"/>
        <v>0</v>
      </c>
      <c r="J187" s="158">
        <f t="shared" si="66"/>
        <v>0</v>
      </c>
      <c r="K187" s="158">
        <f t="shared" si="67"/>
        <v>0</v>
      </c>
      <c r="L187" s="172">
        <f t="shared" si="81"/>
        <v>0</v>
      </c>
      <c r="M187" s="157">
        <f t="shared" si="78"/>
        <v>0</v>
      </c>
      <c r="N187" s="158">
        <f t="shared" si="68"/>
        <v>0</v>
      </c>
      <c r="O187" s="158">
        <f t="shared" si="69"/>
        <v>0</v>
      </c>
      <c r="P187" s="172">
        <f t="shared" si="60"/>
        <v>0</v>
      </c>
      <c r="R187" s="157">
        <f t="shared" si="79"/>
        <v>0</v>
      </c>
      <c r="S187" s="158">
        <f t="shared" si="70"/>
        <v>0</v>
      </c>
      <c r="T187" s="158">
        <f t="shared" si="71"/>
        <v>0</v>
      </c>
      <c r="U187" s="172">
        <f t="shared" si="72"/>
        <v>0</v>
      </c>
      <c r="V187" s="157">
        <f t="shared" si="80"/>
        <v>0</v>
      </c>
      <c r="W187" s="158">
        <f t="shared" si="73"/>
        <v>0</v>
      </c>
      <c r="X187" s="158">
        <f t="shared" si="74"/>
        <v>0</v>
      </c>
      <c r="Y187" s="172">
        <f t="shared" si="75"/>
        <v>0</v>
      </c>
      <c r="Z187" s="151">
        <v>0</v>
      </c>
      <c r="AA187" s="151">
        <v>0</v>
      </c>
      <c r="AB187" s="151">
        <v>0</v>
      </c>
      <c r="AC187" s="151">
        <v>0</v>
      </c>
    </row>
    <row r="188" spans="1:29" s="61" customFormat="1" ht="11.25">
      <c r="A188" s="147">
        <f t="shared" si="61"/>
        <v>0</v>
      </c>
      <c r="B188" s="152">
        <f t="shared" si="62"/>
        <v>0</v>
      </c>
      <c r="C188" s="141">
        <f t="shared" si="63"/>
        <v>15</v>
      </c>
      <c r="D188" s="142">
        <v>169</v>
      </c>
      <c r="E188" s="143">
        <f t="shared" si="76"/>
        <v>0</v>
      </c>
      <c r="F188" s="144">
        <f t="shared" si="64"/>
        <v>0</v>
      </c>
      <c r="G188" s="144">
        <f t="shared" si="65"/>
        <v>0</v>
      </c>
      <c r="H188" s="169">
        <f t="shared" si="59"/>
        <v>0</v>
      </c>
      <c r="I188" s="143">
        <f t="shared" si="77"/>
        <v>0</v>
      </c>
      <c r="J188" s="144">
        <f t="shared" si="66"/>
        <v>0</v>
      </c>
      <c r="K188" s="144">
        <f t="shared" si="67"/>
        <v>0</v>
      </c>
      <c r="L188" s="169">
        <f t="shared" si="81"/>
        <v>0</v>
      </c>
      <c r="M188" s="143">
        <f t="shared" si="78"/>
        <v>0</v>
      </c>
      <c r="N188" s="144">
        <f t="shared" si="68"/>
        <v>0</v>
      </c>
      <c r="O188" s="144">
        <f t="shared" si="69"/>
        <v>0</v>
      </c>
      <c r="P188" s="169">
        <f t="shared" si="60"/>
        <v>0</v>
      </c>
      <c r="R188" s="143">
        <f t="shared" si="79"/>
        <v>0</v>
      </c>
      <c r="S188" s="144">
        <f t="shared" si="70"/>
        <v>0</v>
      </c>
      <c r="T188" s="144">
        <f t="shared" si="71"/>
        <v>0</v>
      </c>
      <c r="U188" s="169">
        <f t="shared" si="72"/>
        <v>0</v>
      </c>
      <c r="V188" s="143">
        <f t="shared" si="80"/>
        <v>0</v>
      </c>
      <c r="W188" s="144">
        <f t="shared" si="73"/>
        <v>0</v>
      </c>
      <c r="X188" s="144">
        <f t="shared" si="74"/>
        <v>0</v>
      </c>
      <c r="Y188" s="169">
        <f t="shared" si="75"/>
        <v>0</v>
      </c>
      <c r="Z188" s="151">
        <v>0</v>
      </c>
      <c r="AA188" s="151">
        <v>0</v>
      </c>
      <c r="AB188" s="151">
        <v>0</v>
      </c>
      <c r="AC188" s="151">
        <v>0</v>
      </c>
    </row>
    <row r="189" spans="1:29" s="61" customFormat="1" ht="11.25">
      <c r="A189" s="147">
        <f t="shared" si="61"/>
        <v>0</v>
      </c>
      <c r="B189" s="152">
        <f t="shared" si="62"/>
        <v>0</v>
      </c>
      <c r="C189" s="141">
        <f t="shared" si="63"/>
        <v>15</v>
      </c>
      <c r="D189" s="142">
        <v>170</v>
      </c>
      <c r="E189" s="143">
        <f t="shared" si="76"/>
        <v>0</v>
      </c>
      <c r="F189" s="144">
        <f t="shared" si="64"/>
        <v>0</v>
      </c>
      <c r="G189" s="144">
        <f t="shared" si="65"/>
        <v>0</v>
      </c>
      <c r="H189" s="169">
        <f t="shared" si="59"/>
        <v>0</v>
      </c>
      <c r="I189" s="143">
        <f t="shared" si="77"/>
        <v>0</v>
      </c>
      <c r="J189" s="144">
        <f t="shared" si="66"/>
        <v>0</v>
      </c>
      <c r="K189" s="144">
        <f t="shared" si="67"/>
        <v>0</v>
      </c>
      <c r="L189" s="169">
        <f t="shared" si="81"/>
        <v>0</v>
      </c>
      <c r="M189" s="143">
        <f t="shared" si="78"/>
        <v>0</v>
      </c>
      <c r="N189" s="144">
        <f t="shared" si="68"/>
        <v>0</v>
      </c>
      <c r="O189" s="144">
        <f t="shared" si="69"/>
        <v>0</v>
      </c>
      <c r="P189" s="169">
        <f t="shared" si="60"/>
        <v>0</v>
      </c>
      <c r="R189" s="143">
        <f t="shared" si="79"/>
        <v>0</v>
      </c>
      <c r="S189" s="144">
        <f t="shared" si="70"/>
        <v>0</v>
      </c>
      <c r="T189" s="144">
        <f t="shared" si="71"/>
        <v>0</v>
      </c>
      <c r="U189" s="169">
        <f t="shared" si="72"/>
        <v>0</v>
      </c>
      <c r="V189" s="143">
        <f t="shared" si="80"/>
        <v>0</v>
      </c>
      <c r="W189" s="144">
        <f t="shared" si="73"/>
        <v>0</v>
      </c>
      <c r="X189" s="144">
        <f t="shared" si="74"/>
        <v>0</v>
      </c>
      <c r="Y189" s="169">
        <f t="shared" si="75"/>
        <v>0</v>
      </c>
      <c r="Z189" s="151">
        <v>0</v>
      </c>
      <c r="AA189" s="151">
        <v>0</v>
      </c>
      <c r="AB189" s="151">
        <v>0</v>
      </c>
      <c r="AC189" s="151">
        <v>0</v>
      </c>
    </row>
    <row r="190" spans="1:29" s="61" customFormat="1" ht="11.25">
      <c r="A190" s="147">
        <f t="shared" si="61"/>
        <v>0</v>
      </c>
      <c r="B190" s="152">
        <f t="shared" si="62"/>
        <v>0</v>
      </c>
      <c r="C190" s="141">
        <f t="shared" si="63"/>
        <v>15</v>
      </c>
      <c r="D190" s="142">
        <v>171</v>
      </c>
      <c r="E190" s="143">
        <f t="shared" si="76"/>
        <v>0</v>
      </c>
      <c r="F190" s="144">
        <f t="shared" si="64"/>
        <v>0</v>
      </c>
      <c r="G190" s="144">
        <f t="shared" si="65"/>
        <v>0</v>
      </c>
      <c r="H190" s="169">
        <f t="shared" si="59"/>
        <v>0</v>
      </c>
      <c r="I190" s="143">
        <f t="shared" si="77"/>
        <v>0</v>
      </c>
      <c r="J190" s="144">
        <f t="shared" si="66"/>
        <v>0</v>
      </c>
      <c r="K190" s="144">
        <f t="shared" si="67"/>
        <v>0</v>
      </c>
      <c r="L190" s="169">
        <f t="shared" si="81"/>
        <v>0</v>
      </c>
      <c r="M190" s="143">
        <f t="shared" si="78"/>
        <v>0</v>
      </c>
      <c r="N190" s="144">
        <f t="shared" si="68"/>
        <v>0</v>
      </c>
      <c r="O190" s="144">
        <f t="shared" si="69"/>
        <v>0</v>
      </c>
      <c r="P190" s="169">
        <f t="shared" si="60"/>
        <v>0</v>
      </c>
      <c r="R190" s="143">
        <f t="shared" si="79"/>
        <v>0</v>
      </c>
      <c r="S190" s="144">
        <f t="shared" si="70"/>
        <v>0</v>
      </c>
      <c r="T190" s="144">
        <f t="shared" si="71"/>
        <v>0</v>
      </c>
      <c r="U190" s="169">
        <f t="shared" si="72"/>
        <v>0</v>
      </c>
      <c r="V190" s="143">
        <f t="shared" si="80"/>
        <v>0</v>
      </c>
      <c r="W190" s="144">
        <f t="shared" si="73"/>
        <v>0</v>
      </c>
      <c r="X190" s="144">
        <f t="shared" si="74"/>
        <v>0</v>
      </c>
      <c r="Y190" s="169">
        <f t="shared" si="75"/>
        <v>0</v>
      </c>
      <c r="Z190" s="151">
        <v>0</v>
      </c>
      <c r="AA190" s="151">
        <v>0</v>
      </c>
      <c r="AB190" s="151">
        <v>0</v>
      </c>
      <c r="AC190" s="151">
        <v>0</v>
      </c>
    </row>
    <row r="191" spans="1:29" s="61" customFormat="1" ht="11.25">
      <c r="A191" s="147">
        <f t="shared" si="61"/>
        <v>0</v>
      </c>
      <c r="B191" s="152">
        <f t="shared" si="62"/>
        <v>0</v>
      </c>
      <c r="C191" s="141">
        <f t="shared" si="63"/>
        <v>15</v>
      </c>
      <c r="D191" s="142">
        <v>172</v>
      </c>
      <c r="E191" s="143">
        <f t="shared" si="76"/>
        <v>0</v>
      </c>
      <c r="F191" s="144">
        <f t="shared" si="64"/>
        <v>0</v>
      </c>
      <c r="G191" s="144">
        <f t="shared" si="65"/>
        <v>0</v>
      </c>
      <c r="H191" s="169">
        <f t="shared" si="59"/>
        <v>0</v>
      </c>
      <c r="I191" s="143">
        <f t="shared" si="77"/>
        <v>0</v>
      </c>
      <c r="J191" s="144">
        <f t="shared" si="66"/>
        <v>0</v>
      </c>
      <c r="K191" s="144">
        <f t="shared" si="67"/>
        <v>0</v>
      </c>
      <c r="L191" s="169">
        <f t="shared" si="81"/>
        <v>0</v>
      </c>
      <c r="M191" s="143">
        <f t="shared" si="78"/>
        <v>0</v>
      </c>
      <c r="N191" s="144">
        <f t="shared" si="68"/>
        <v>0</v>
      </c>
      <c r="O191" s="144">
        <f t="shared" si="69"/>
        <v>0</v>
      </c>
      <c r="P191" s="169">
        <f t="shared" si="60"/>
        <v>0</v>
      </c>
      <c r="R191" s="143">
        <f t="shared" si="79"/>
        <v>0</v>
      </c>
      <c r="S191" s="144">
        <f t="shared" si="70"/>
        <v>0</v>
      </c>
      <c r="T191" s="144">
        <f t="shared" si="71"/>
        <v>0</v>
      </c>
      <c r="U191" s="169">
        <f t="shared" si="72"/>
        <v>0</v>
      </c>
      <c r="V191" s="143">
        <f t="shared" si="80"/>
        <v>0</v>
      </c>
      <c r="W191" s="144">
        <f t="shared" si="73"/>
        <v>0</v>
      </c>
      <c r="X191" s="144">
        <f t="shared" si="74"/>
        <v>0</v>
      </c>
      <c r="Y191" s="169">
        <f t="shared" si="75"/>
        <v>0</v>
      </c>
      <c r="Z191" s="151">
        <v>0</v>
      </c>
      <c r="AA191" s="151">
        <v>0</v>
      </c>
      <c r="AB191" s="151">
        <v>0</v>
      </c>
      <c r="AC191" s="151">
        <v>0</v>
      </c>
    </row>
    <row r="192" spans="1:29" s="61" customFormat="1" ht="11.25">
      <c r="A192" s="147">
        <f t="shared" si="61"/>
        <v>0</v>
      </c>
      <c r="B192" s="152">
        <f t="shared" si="62"/>
        <v>0</v>
      </c>
      <c r="C192" s="141">
        <f t="shared" si="63"/>
        <v>15</v>
      </c>
      <c r="D192" s="142">
        <v>173</v>
      </c>
      <c r="E192" s="143">
        <f t="shared" si="76"/>
        <v>0</v>
      </c>
      <c r="F192" s="144">
        <f t="shared" si="64"/>
        <v>0</v>
      </c>
      <c r="G192" s="144">
        <f t="shared" si="65"/>
        <v>0</v>
      </c>
      <c r="H192" s="169">
        <f t="shared" si="59"/>
        <v>0</v>
      </c>
      <c r="I192" s="143">
        <f t="shared" si="77"/>
        <v>0</v>
      </c>
      <c r="J192" s="144">
        <f t="shared" si="66"/>
        <v>0</v>
      </c>
      <c r="K192" s="144">
        <f t="shared" si="67"/>
        <v>0</v>
      </c>
      <c r="L192" s="169">
        <f t="shared" si="81"/>
        <v>0</v>
      </c>
      <c r="M192" s="143">
        <f t="shared" si="78"/>
        <v>0</v>
      </c>
      <c r="N192" s="144">
        <f t="shared" si="68"/>
        <v>0</v>
      </c>
      <c r="O192" s="144">
        <f t="shared" si="69"/>
        <v>0</v>
      </c>
      <c r="P192" s="169">
        <f t="shared" si="60"/>
        <v>0</v>
      </c>
      <c r="R192" s="143">
        <f t="shared" si="79"/>
        <v>0</v>
      </c>
      <c r="S192" s="144">
        <f t="shared" si="70"/>
        <v>0</v>
      </c>
      <c r="T192" s="144">
        <f t="shared" si="71"/>
        <v>0</v>
      </c>
      <c r="U192" s="169">
        <f t="shared" si="72"/>
        <v>0</v>
      </c>
      <c r="V192" s="143">
        <f t="shared" si="80"/>
        <v>0</v>
      </c>
      <c r="W192" s="144">
        <f t="shared" si="73"/>
        <v>0</v>
      </c>
      <c r="X192" s="144">
        <f t="shared" si="74"/>
        <v>0</v>
      </c>
      <c r="Y192" s="169">
        <f t="shared" si="75"/>
        <v>0</v>
      </c>
      <c r="Z192" s="151">
        <v>0</v>
      </c>
      <c r="AA192" s="151">
        <v>0</v>
      </c>
      <c r="AB192" s="151">
        <v>0</v>
      </c>
      <c r="AC192" s="151">
        <v>0</v>
      </c>
    </row>
    <row r="193" spans="1:29" s="61" customFormat="1" ht="11.25">
      <c r="A193" s="147">
        <f t="shared" si="61"/>
        <v>0</v>
      </c>
      <c r="B193" s="152">
        <f t="shared" si="62"/>
        <v>0</v>
      </c>
      <c r="C193" s="141">
        <f t="shared" si="63"/>
        <v>15</v>
      </c>
      <c r="D193" s="142">
        <v>174</v>
      </c>
      <c r="E193" s="143">
        <f t="shared" si="76"/>
        <v>0</v>
      </c>
      <c r="F193" s="144">
        <f t="shared" si="64"/>
        <v>0</v>
      </c>
      <c r="G193" s="144">
        <f t="shared" si="65"/>
        <v>0</v>
      </c>
      <c r="H193" s="169">
        <f t="shared" si="59"/>
        <v>0</v>
      </c>
      <c r="I193" s="143">
        <f t="shared" si="77"/>
        <v>0</v>
      </c>
      <c r="J193" s="144">
        <f t="shared" si="66"/>
        <v>0</v>
      </c>
      <c r="K193" s="144">
        <f t="shared" si="67"/>
        <v>0</v>
      </c>
      <c r="L193" s="169">
        <f t="shared" si="81"/>
        <v>0</v>
      </c>
      <c r="M193" s="143">
        <f t="shared" si="78"/>
        <v>0</v>
      </c>
      <c r="N193" s="144">
        <f t="shared" si="68"/>
        <v>0</v>
      </c>
      <c r="O193" s="144">
        <f t="shared" si="69"/>
        <v>0</v>
      </c>
      <c r="P193" s="169">
        <f t="shared" si="60"/>
        <v>0</v>
      </c>
      <c r="R193" s="143">
        <f t="shared" si="79"/>
        <v>0</v>
      </c>
      <c r="S193" s="144">
        <f t="shared" si="70"/>
        <v>0</v>
      </c>
      <c r="T193" s="144">
        <f t="shared" si="71"/>
        <v>0</v>
      </c>
      <c r="U193" s="169">
        <f t="shared" si="72"/>
        <v>0</v>
      </c>
      <c r="V193" s="143">
        <f t="shared" si="80"/>
        <v>0</v>
      </c>
      <c r="W193" s="144">
        <f t="shared" si="73"/>
        <v>0</v>
      </c>
      <c r="X193" s="144">
        <f t="shared" si="74"/>
        <v>0</v>
      </c>
      <c r="Y193" s="169">
        <f t="shared" si="75"/>
        <v>0</v>
      </c>
      <c r="Z193" s="151">
        <v>0</v>
      </c>
      <c r="AA193" s="151">
        <v>0</v>
      </c>
      <c r="AB193" s="151">
        <v>0</v>
      </c>
      <c r="AC193" s="151">
        <v>0</v>
      </c>
    </row>
    <row r="194" spans="1:29" s="61" customFormat="1" ht="11.25">
      <c r="A194" s="147">
        <f t="shared" si="61"/>
        <v>0</v>
      </c>
      <c r="B194" s="152">
        <f t="shared" si="62"/>
        <v>0</v>
      </c>
      <c r="C194" s="141">
        <f t="shared" si="63"/>
        <v>15</v>
      </c>
      <c r="D194" s="142">
        <v>175</v>
      </c>
      <c r="E194" s="143">
        <f t="shared" si="76"/>
        <v>0</v>
      </c>
      <c r="F194" s="144">
        <f t="shared" si="64"/>
        <v>0</v>
      </c>
      <c r="G194" s="144">
        <f t="shared" si="65"/>
        <v>0</v>
      </c>
      <c r="H194" s="169">
        <f t="shared" si="59"/>
        <v>0</v>
      </c>
      <c r="I194" s="143">
        <f t="shared" si="77"/>
        <v>0</v>
      </c>
      <c r="J194" s="144">
        <f t="shared" si="66"/>
        <v>0</v>
      </c>
      <c r="K194" s="144">
        <f t="shared" si="67"/>
        <v>0</v>
      </c>
      <c r="L194" s="169">
        <f t="shared" si="81"/>
        <v>0</v>
      </c>
      <c r="M194" s="143">
        <f t="shared" si="78"/>
        <v>0</v>
      </c>
      <c r="N194" s="144">
        <f t="shared" si="68"/>
        <v>0</v>
      </c>
      <c r="O194" s="144">
        <f t="shared" si="69"/>
        <v>0</v>
      </c>
      <c r="P194" s="169">
        <f t="shared" si="60"/>
        <v>0</v>
      </c>
      <c r="R194" s="143">
        <f t="shared" si="79"/>
        <v>0</v>
      </c>
      <c r="S194" s="144">
        <f t="shared" si="70"/>
        <v>0</v>
      </c>
      <c r="T194" s="144">
        <f t="shared" si="71"/>
        <v>0</v>
      </c>
      <c r="U194" s="169">
        <f t="shared" si="72"/>
        <v>0</v>
      </c>
      <c r="V194" s="143">
        <f t="shared" si="80"/>
        <v>0</v>
      </c>
      <c r="W194" s="144">
        <f t="shared" si="73"/>
        <v>0</v>
      </c>
      <c r="X194" s="144">
        <f t="shared" si="74"/>
        <v>0</v>
      </c>
      <c r="Y194" s="169">
        <f t="shared" si="75"/>
        <v>0</v>
      </c>
      <c r="Z194" s="151">
        <v>0</v>
      </c>
      <c r="AA194" s="151">
        <v>0</v>
      </c>
      <c r="AB194" s="151">
        <v>0</v>
      </c>
      <c r="AC194" s="151">
        <v>0</v>
      </c>
    </row>
    <row r="195" spans="1:29" s="61" customFormat="1" ht="11.25">
      <c r="A195" s="147">
        <f t="shared" si="61"/>
        <v>0</v>
      </c>
      <c r="B195" s="152">
        <f t="shared" si="62"/>
        <v>0</v>
      </c>
      <c r="C195" s="141">
        <f t="shared" si="63"/>
        <v>15</v>
      </c>
      <c r="D195" s="142">
        <v>176</v>
      </c>
      <c r="E195" s="143">
        <f t="shared" si="76"/>
        <v>0</v>
      </c>
      <c r="F195" s="144">
        <f t="shared" si="64"/>
        <v>0</v>
      </c>
      <c r="G195" s="144">
        <f t="shared" si="65"/>
        <v>0</v>
      </c>
      <c r="H195" s="169">
        <f t="shared" si="59"/>
        <v>0</v>
      </c>
      <c r="I195" s="143">
        <f t="shared" si="77"/>
        <v>0</v>
      </c>
      <c r="J195" s="144">
        <f t="shared" si="66"/>
        <v>0</v>
      </c>
      <c r="K195" s="144">
        <f t="shared" si="67"/>
        <v>0</v>
      </c>
      <c r="L195" s="169">
        <f t="shared" si="81"/>
        <v>0</v>
      </c>
      <c r="M195" s="143">
        <f t="shared" si="78"/>
        <v>0</v>
      </c>
      <c r="N195" s="144">
        <f t="shared" si="68"/>
        <v>0</v>
      </c>
      <c r="O195" s="144">
        <f t="shared" si="69"/>
        <v>0</v>
      </c>
      <c r="P195" s="169">
        <f t="shared" si="60"/>
        <v>0</v>
      </c>
      <c r="R195" s="143">
        <f t="shared" si="79"/>
        <v>0</v>
      </c>
      <c r="S195" s="144">
        <f t="shared" si="70"/>
        <v>0</v>
      </c>
      <c r="T195" s="144">
        <f t="shared" si="71"/>
        <v>0</v>
      </c>
      <c r="U195" s="169">
        <f t="shared" si="72"/>
        <v>0</v>
      </c>
      <c r="V195" s="143">
        <f t="shared" si="80"/>
        <v>0</v>
      </c>
      <c r="W195" s="144">
        <f t="shared" si="73"/>
        <v>0</v>
      </c>
      <c r="X195" s="144">
        <f t="shared" si="74"/>
        <v>0</v>
      </c>
      <c r="Y195" s="169">
        <f t="shared" si="75"/>
        <v>0</v>
      </c>
      <c r="Z195" s="151">
        <v>0</v>
      </c>
      <c r="AA195" s="151">
        <v>0</v>
      </c>
      <c r="AB195" s="151">
        <v>0</v>
      </c>
      <c r="AC195" s="151">
        <v>0</v>
      </c>
    </row>
    <row r="196" spans="1:29" s="61" customFormat="1" ht="11.25">
      <c r="A196" s="147">
        <f t="shared" si="61"/>
        <v>0</v>
      </c>
      <c r="B196" s="152">
        <f t="shared" si="62"/>
        <v>0</v>
      </c>
      <c r="C196" s="141">
        <f t="shared" si="63"/>
        <v>15</v>
      </c>
      <c r="D196" s="142">
        <v>177</v>
      </c>
      <c r="E196" s="143">
        <f t="shared" si="76"/>
        <v>0</v>
      </c>
      <c r="F196" s="144">
        <f t="shared" si="64"/>
        <v>0</v>
      </c>
      <c r="G196" s="144">
        <f t="shared" si="65"/>
        <v>0</v>
      </c>
      <c r="H196" s="169">
        <f t="shared" si="59"/>
        <v>0</v>
      </c>
      <c r="I196" s="143">
        <f t="shared" si="77"/>
        <v>0</v>
      </c>
      <c r="J196" s="144">
        <f t="shared" si="66"/>
        <v>0</v>
      </c>
      <c r="K196" s="144">
        <f t="shared" si="67"/>
        <v>0</v>
      </c>
      <c r="L196" s="169">
        <f t="shared" si="81"/>
        <v>0</v>
      </c>
      <c r="M196" s="143">
        <f t="shared" si="78"/>
        <v>0</v>
      </c>
      <c r="N196" s="144">
        <f t="shared" si="68"/>
        <v>0</v>
      </c>
      <c r="O196" s="144">
        <f t="shared" si="69"/>
        <v>0</v>
      </c>
      <c r="P196" s="169">
        <f t="shared" si="60"/>
        <v>0</v>
      </c>
      <c r="R196" s="143">
        <f t="shared" si="79"/>
        <v>0</v>
      </c>
      <c r="S196" s="144">
        <f t="shared" si="70"/>
        <v>0</v>
      </c>
      <c r="T196" s="144">
        <f t="shared" si="71"/>
        <v>0</v>
      </c>
      <c r="U196" s="169">
        <f t="shared" si="72"/>
        <v>0</v>
      </c>
      <c r="V196" s="143">
        <f t="shared" si="80"/>
        <v>0</v>
      </c>
      <c r="W196" s="144">
        <f t="shared" si="73"/>
        <v>0</v>
      </c>
      <c r="X196" s="144">
        <f t="shared" si="74"/>
        <v>0</v>
      </c>
      <c r="Y196" s="169">
        <f t="shared" si="75"/>
        <v>0</v>
      </c>
      <c r="Z196" s="151">
        <v>0</v>
      </c>
      <c r="AA196" s="151">
        <v>0</v>
      </c>
      <c r="AB196" s="151">
        <v>0</v>
      </c>
      <c r="AC196" s="151">
        <v>0</v>
      </c>
    </row>
    <row r="197" spans="1:29" s="61" customFormat="1" ht="11.25">
      <c r="A197" s="147">
        <f t="shared" si="61"/>
        <v>0</v>
      </c>
      <c r="B197" s="152">
        <f t="shared" si="62"/>
        <v>0</v>
      </c>
      <c r="C197" s="141">
        <f t="shared" si="63"/>
        <v>15</v>
      </c>
      <c r="D197" s="142">
        <v>178</v>
      </c>
      <c r="E197" s="143">
        <f t="shared" si="76"/>
        <v>0</v>
      </c>
      <c r="F197" s="144">
        <f t="shared" si="64"/>
        <v>0</v>
      </c>
      <c r="G197" s="144">
        <f t="shared" si="65"/>
        <v>0</v>
      </c>
      <c r="H197" s="169">
        <f t="shared" ref="H197:H260" si="82">IF(E197&lt;=0,0,H$14)</f>
        <v>0</v>
      </c>
      <c r="I197" s="143">
        <f t="shared" si="77"/>
        <v>0</v>
      </c>
      <c r="J197" s="144">
        <f t="shared" si="66"/>
        <v>0</v>
      </c>
      <c r="K197" s="144">
        <f t="shared" si="67"/>
        <v>0</v>
      </c>
      <c r="L197" s="169">
        <f t="shared" si="81"/>
        <v>0</v>
      </c>
      <c r="M197" s="143">
        <f t="shared" si="78"/>
        <v>0</v>
      </c>
      <c r="N197" s="144">
        <f t="shared" si="68"/>
        <v>0</v>
      </c>
      <c r="O197" s="144">
        <f t="shared" si="69"/>
        <v>0</v>
      </c>
      <c r="P197" s="169">
        <f t="shared" ref="P197:P260" si="83">IF(M197&lt;=0,0,P$14)</f>
        <v>0</v>
      </c>
      <c r="R197" s="143">
        <f t="shared" si="79"/>
        <v>0</v>
      </c>
      <c r="S197" s="144">
        <f t="shared" si="70"/>
        <v>0</v>
      </c>
      <c r="T197" s="144">
        <f t="shared" si="71"/>
        <v>0</v>
      </c>
      <c r="U197" s="169">
        <f t="shared" si="72"/>
        <v>0</v>
      </c>
      <c r="V197" s="143">
        <f t="shared" si="80"/>
        <v>0</v>
      </c>
      <c r="W197" s="144">
        <f t="shared" si="73"/>
        <v>0</v>
      </c>
      <c r="X197" s="144">
        <f t="shared" si="74"/>
        <v>0</v>
      </c>
      <c r="Y197" s="169">
        <f t="shared" si="75"/>
        <v>0</v>
      </c>
      <c r="Z197" s="151">
        <v>0</v>
      </c>
      <c r="AA197" s="151">
        <v>0</v>
      </c>
      <c r="AB197" s="151">
        <v>0</v>
      </c>
      <c r="AC197" s="151">
        <v>0</v>
      </c>
    </row>
    <row r="198" spans="1:29" s="61" customFormat="1" ht="11.25">
      <c r="A198" s="147">
        <f t="shared" si="61"/>
        <v>0</v>
      </c>
      <c r="B198" s="152">
        <f t="shared" si="62"/>
        <v>0</v>
      </c>
      <c r="C198" s="141">
        <f t="shared" si="63"/>
        <v>15</v>
      </c>
      <c r="D198" s="142">
        <v>179</v>
      </c>
      <c r="E198" s="143">
        <f t="shared" si="76"/>
        <v>0</v>
      </c>
      <c r="F198" s="144">
        <f t="shared" si="64"/>
        <v>0</v>
      </c>
      <c r="G198" s="144">
        <f t="shared" si="65"/>
        <v>0</v>
      </c>
      <c r="H198" s="169">
        <f t="shared" si="82"/>
        <v>0</v>
      </c>
      <c r="I198" s="143">
        <f t="shared" si="77"/>
        <v>0</v>
      </c>
      <c r="J198" s="144">
        <f t="shared" si="66"/>
        <v>0</v>
      </c>
      <c r="K198" s="144">
        <f t="shared" si="67"/>
        <v>0</v>
      </c>
      <c r="L198" s="169">
        <f t="shared" si="81"/>
        <v>0</v>
      </c>
      <c r="M198" s="143">
        <f t="shared" si="78"/>
        <v>0</v>
      </c>
      <c r="N198" s="144">
        <f t="shared" si="68"/>
        <v>0</v>
      </c>
      <c r="O198" s="144">
        <f t="shared" si="69"/>
        <v>0</v>
      </c>
      <c r="P198" s="169">
        <f t="shared" si="83"/>
        <v>0</v>
      </c>
      <c r="R198" s="143">
        <f t="shared" si="79"/>
        <v>0</v>
      </c>
      <c r="S198" s="144">
        <f t="shared" si="70"/>
        <v>0</v>
      </c>
      <c r="T198" s="144">
        <f t="shared" si="71"/>
        <v>0</v>
      </c>
      <c r="U198" s="169">
        <f t="shared" si="72"/>
        <v>0</v>
      </c>
      <c r="V198" s="143">
        <f t="shared" si="80"/>
        <v>0</v>
      </c>
      <c r="W198" s="144">
        <f t="shared" si="73"/>
        <v>0</v>
      </c>
      <c r="X198" s="144">
        <f t="shared" si="74"/>
        <v>0</v>
      </c>
      <c r="Y198" s="169">
        <f t="shared" si="75"/>
        <v>0</v>
      </c>
      <c r="Z198" s="151">
        <v>0</v>
      </c>
      <c r="AA198" s="151">
        <v>0</v>
      </c>
      <c r="AB198" s="151">
        <v>0</v>
      </c>
      <c r="AC198" s="151">
        <v>0</v>
      </c>
    </row>
    <row r="199" spans="1:29" s="61" customFormat="1" ht="12" thickBot="1">
      <c r="A199" s="153">
        <f t="shared" si="61"/>
        <v>0</v>
      </c>
      <c r="B199" s="154">
        <f t="shared" si="62"/>
        <v>0</v>
      </c>
      <c r="C199" s="155">
        <f t="shared" si="63"/>
        <v>15</v>
      </c>
      <c r="D199" s="156">
        <v>180</v>
      </c>
      <c r="E199" s="157">
        <f t="shared" si="76"/>
        <v>0</v>
      </c>
      <c r="F199" s="158">
        <f t="shared" si="64"/>
        <v>0</v>
      </c>
      <c r="G199" s="158">
        <f t="shared" si="65"/>
        <v>0</v>
      </c>
      <c r="H199" s="172">
        <f t="shared" si="82"/>
        <v>0</v>
      </c>
      <c r="I199" s="157">
        <f t="shared" si="77"/>
        <v>0</v>
      </c>
      <c r="J199" s="158">
        <f t="shared" si="66"/>
        <v>0</v>
      </c>
      <c r="K199" s="158">
        <f t="shared" si="67"/>
        <v>0</v>
      </c>
      <c r="L199" s="172">
        <f t="shared" si="81"/>
        <v>0</v>
      </c>
      <c r="M199" s="157">
        <f t="shared" si="78"/>
        <v>0</v>
      </c>
      <c r="N199" s="158">
        <f t="shared" si="68"/>
        <v>0</v>
      </c>
      <c r="O199" s="158">
        <f t="shared" si="69"/>
        <v>0</v>
      </c>
      <c r="P199" s="172">
        <f t="shared" si="83"/>
        <v>0</v>
      </c>
      <c r="R199" s="157">
        <f t="shared" si="79"/>
        <v>0</v>
      </c>
      <c r="S199" s="158">
        <f t="shared" si="70"/>
        <v>0</v>
      </c>
      <c r="T199" s="158">
        <f t="shared" si="71"/>
        <v>0</v>
      </c>
      <c r="U199" s="172">
        <f t="shared" si="72"/>
        <v>0</v>
      </c>
      <c r="V199" s="157">
        <f t="shared" si="80"/>
        <v>0</v>
      </c>
      <c r="W199" s="158">
        <f t="shared" si="73"/>
        <v>0</v>
      </c>
      <c r="X199" s="158">
        <f t="shared" si="74"/>
        <v>0</v>
      </c>
      <c r="Y199" s="172">
        <f t="shared" si="75"/>
        <v>0</v>
      </c>
      <c r="Z199" s="151">
        <v>0</v>
      </c>
      <c r="AA199" s="151">
        <v>0</v>
      </c>
      <c r="AB199" s="151">
        <v>0</v>
      </c>
      <c r="AC199" s="151">
        <v>0</v>
      </c>
    </row>
    <row r="200" spans="1:29" s="61" customFormat="1" ht="11.25">
      <c r="A200" s="147">
        <f t="shared" si="61"/>
        <v>0</v>
      </c>
      <c r="B200" s="152">
        <f t="shared" si="62"/>
        <v>0</v>
      </c>
      <c r="C200" s="141">
        <f t="shared" si="63"/>
        <v>16</v>
      </c>
      <c r="D200" s="142">
        <v>181</v>
      </c>
      <c r="E200" s="143">
        <f t="shared" si="76"/>
        <v>0</v>
      </c>
      <c r="F200" s="144">
        <f t="shared" si="64"/>
        <v>0</v>
      </c>
      <c r="G200" s="144">
        <f t="shared" si="65"/>
        <v>0</v>
      </c>
      <c r="H200" s="169">
        <f t="shared" si="82"/>
        <v>0</v>
      </c>
      <c r="I200" s="143">
        <f t="shared" si="77"/>
        <v>0</v>
      </c>
      <c r="J200" s="144">
        <f t="shared" si="66"/>
        <v>0</v>
      </c>
      <c r="K200" s="144">
        <f t="shared" si="67"/>
        <v>0</v>
      </c>
      <c r="L200" s="169">
        <f t="shared" si="81"/>
        <v>0</v>
      </c>
      <c r="M200" s="143">
        <f t="shared" si="78"/>
        <v>0</v>
      </c>
      <c r="N200" s="144">
        <f t="shared" si="68"/>
        <v>0</v>
      </c>
      <c r="O200" s="144">
        <f t="shared" si="69"/>
        <v>0</v>
      </c>
      <c r="P200" s="169">
        <f t="shared" si="83"/>
        <v>0</v>
      </c>
      <c r="R200" s="143">
        <f t="shared" si="79"/>
        <v>0</v>
      </c>
      <c r="S200" s="144">
        <f t="shared" si="70"/>
        <v>0</v>
      </c>
      <c r="T200" s="144">
        <f t="shared" si="71"/>
        <v>0</v>
      </c>
      <c r="U200" s="169">
        <f t="shared" si="72"/>
        <v>0</v>
      </c>
      <c r="V200" s="143">
        <f t="shared" si="80"/>
        <v>0</v>
      </c>
      <c r="W200" s="144">
        <f t="shared" si="73"/>
        <v>0</v>
      </c>
      <c r="X200" s="144">
        <f t="shared" si="74"/>
        <v>0</v>
      </c>
      <c r="Y200" s="169">
        <f t="shared" si="75"/>
        <v>0</v>
      </c>
      <c r="Z200" s="151">
        <v>0</v>
      </c>
      <c r="AA200" s="151">
        <v>0</v>
      </c>
      <c r="AB200" s="151">
        <v>0</v>
      </c>
      <c r="AC200" s="151">
        <v>0</v>
      </c>
    </row>
    <row r="201" spans="1:29" s="61" customFormat="1" ht="11.25">
      <c r="A201" s="147">
        <f t="shared" si="61"/>
        <v>0</v>
      </c>
      <c r="B201" s="152">
        <f t="shared" si="62"/>
        <v>0</v>
      </c>
      <c r="C201" s="141">
        <f t="shared" si="63"/>
        <v>16</v>
      </c>
      <c r="D201" s="142">
        <v>182</v>
      </c>
      <c r="E201" s="143">
        <f t="shared" si="76"/>
        <v>0</v>
      </c>
      <c r="F201" s="144">
        <f t="shared" si="64"/>
        <v>0</v>
      </c>
      <c r="G201" s="144">
        <f t="shared" si="65"/>
        <v>0</v>
      </c>
      <c r="H201" s="169">
        <f t="shared" si="82"/>
        <v>0</v>
      </c>
      <c r="I201" s="143">
        <f t="shared" si="77"/>
        <v>0</v>
      </c>
      <c r="J201" s="144">
        <f t="shared" si="66"/>
        <v>0</v>
      </c>
      <c r="K201" s="144">
        <f t="shared" si="67"/>
        <v>0</v>
      </c>
      <c r="L201" s="169">
        <f t="shared" si="81"/>
        <v>0</v>
      </c>
      <c r="M201" s="143">
        <f t="shared" si="78"/>
        <v>0</v>
      </c>
      <c r="N201" s="144">
        <f t="shared" si="68"/>
        <v>0</v>
      </c>
      <c r="O201" s="144">
        <f t="shared" si="69"/>
        <v>0</v>
      </c>
      <c r="P201" s="169">
        <f t="shared" si="83"/>
        <v>0</v>
      </c>
      <c r="R201" s="143">
        <f t="shared" si="79"/>
        <v>0</v>
      </c>
      <c r="S201" s="144">
        <f t="shared" si="70"/>
        <v>0</v>
      </c>
      <c r="T201" s="144">
        <f t="shared" si="71"/>
        <v>0</v>
      </c>
      <c r="U201" s="169">
        <f t="shared" si="72"/>
        <v>0</v>
      </c>
      <c r="V201" s="143">
        <f t="shared" si="80"/>
        <v>0</v>
      </c>
      <c r="W201" s="144">
        <f t="shared" si="73"/>
        <v>0</v>
      </c>
      <c r="X201" s="144">
        <f t="shared" si="74"/>
        <v>0</v>
      </c>
      <c r="Y201" s="169">
        <f t="shared" si="75"/>
        <v>0</v>
      </c>
      <c r="Z201" s="151">
        <v>0</v>
      </c>
      <c r="AA201" s="151">
        <v>0</v>
      </c>
      <c r="AB201" s="151">
        <v>0</v>
      </c>
      <c r="AC201" s="151">
        <v>0</v>
      </c>
    </row>
    <row r="202" spans="1:29" s="61" customFormat="1" ht="11.25">
      <c r="A202" s="147">
        <f t="shared" si="61"/>
        <v>0</v>
      </c>
      <c r="B202" s="152">
        <f t="shared" si="62"/>
        <v>0</v>
      </c>
      <c r="C202" s="141">
        <f t="shared" si="63"/>
        <v>16</v>
      </c>
      <c r="D202" s="142">
        <v>183</v>
      </c>
      <c r="E202" s="143">
        <f t="shared" si="76"/>
        <v>0</v>
      </c>
      <c r="F202" s="144">
        <f t="shared" si="64"/>
        <v>0</v>
      </c>
      <c r="G202" s="144">
        <f t="shared" si="65"/>
        <v>0</v>
      </c>
      <c r="H202" s="169">
        <f t="shared" si="82"/>
        <v>0</v>
      </c>
      <c r="I202" s="143">
        <f t="shared" si="77"/>
        <v>0</v>
      </c>
      <c r="J202" s="144">
        <f t="shared" si="66"/>
        <v>0</v>
      </c>
      <c r="K202" s="144">
        <f t="shared" si="67"/>
        <v>0</v>
      </c>
      <c r="L202" s="169">
        <f t="shared" si="81"/>
        <v>0</v>
      </c>
      <c r="M202" s="143">
        <f t="shared" si="78"/>
        <v>0</v>
      </c>
      <c r="N202" s="144">
        <f t="shared" si="68"/>
        <v>0</v>
      </c>
      <c r="O202" s="144">
        <f t="shared" si="69"/>
        <v>0</v>
      </c>
      <c r="P202" s="169">
        <f t="shared" si="83"/>
        <v>0</v>
      </c>
      <c r="R202" s="143">
        <f t="shared" si="79"/>
        <v>0</v>
      </c>
      <c r="S202" s="144">
        <f t="shared" si="70"/>
        <v>0</v>
      </c>
      <c r="T202" s="144">
        <f t="shared" si="71"/>
        <v>0</v>
      </c>
      <c r="U202" s="169">
        <f t="shared" si="72"/>
        <v>0</v>
      </c>
      <c r="V202" s="143">
        <f t="shared" si="80"/>
        <v>0</v>
      </c>
      <c r="W202" s="144">
        <f t="shared" si="73"/>
        <v>0</v>
      </c>
      <c r="X202" s="144">
        <f t="shared" si="74"/>
        <v>0</v>
      </c>
      <c r="Y202" s="169">
        <f t="shared" si="75"/>
        <v>0</v>
      </c>
      <c r="Z202" s="151">
        <v>0</v>
      </c>
      <c r="AA202" s="151">
        <v>0</v>
      </c>
      <c r="AB202" s="151">
        <v>0</v>
      </c>
      <c r="AC202" s="151">
        <v>0</v>
      </c>
    </row>
    <row r="203" spans="1:29" s="61" customFormat="1" ht="11.25">
      <c r="A203" s="147">
        <f t="shared" si="61"/>
        <v>0</v>
      </c>
      <c r="B203" s="152">
        <f t="shared" si="62"/>
        <v>0</v>
      </c>
      <c r="C203" s="141">
        <f t="shared" si="63"/>
        <v>16</v>
      </c>
      <c r="D203" s="142">
        <v>184</v>
      </c>
      <c r="E203" s="143">
        <f t="shared" si="76"/>
        <v>0</v>
      </c>
      <c r="F203" s="144">
        <f t="shared" si="64"/>
        <v>0</v>
      </c>
      <c r="G203" s="144">
        <f t="shared" si="65"/>
        <v>0</v>
      </c>
      <c r="H203" s="169">
        <f t="shared" si="82"/>
        <v>0</v>
      </c>
      <c r="I203" s="143">
        <f t="shared" si="77"/>
        <v>0</v>
      </c>
      <c r="J203" s="144">
        <f t="shared" si="66"/>
        <v>0</v>
      </c>
      <c r="K203" s="144">
        <f t="shared" si="67"/>
        <v>0</v>
      </c>
      <c r="L203" s="169">
        <f t="shared" si="81"/>
        <v>0</v>
      </c>
      <c r="M203" s="143">
        <f t="shared" si="78"/>
        <v>0</v>
      </c>
      <c r="N203" s="144">
        <f t="shared" si="68"/>
        <v>0</v>
      </c>
      <c r="O203" s="144">
        <f t="shared" si="69"/>
        <v>0</v>
      </c>
      <c r="P203" s="169">
        <f t="shared" si="83"/>
        <v>0</v>
      </c>
      <c r="R203" s="143">
        <f t="shared" si="79"/>
        <v>0</v>
      </c>
      <c r="S203" s="144">
        <f t="shared" si="70"/>
        <v>0</v>
      </c>
      <c r="T203" s="144">
        <f t="shared" si="71"/>
        <v>0</v>
      </c>
      <c r="U203" s="169">
        <f t="shared" si="72"/>
        <v>0</v>
      </c>
      <c r="V203" s="143">
        <f t="shared" si="80"/>
        <v>0</v>
      </c>
      <c r="W203" s="144">
        <f t="shared" si="73"/>
        <v>0</v>
      </c>
      <c r="X203" s="144">
        <f t="shared" si="74"/>
        <v>0</v>
      </c>
      <c r="Y203" s="169">
        <f t="shared" si="75"/>
        <v>0</v>
      </c>
      <c r="Z203" s="151">
        <v>0</v>
      </c>
      <c r="AA203" s="151">
        <v>0</v>
      </c>
      <c r="AB203" s="151">
        <v>0</v>
      </c>
      <c r="AC203" s="151">
        <v>0</v>
      </c>
    </row>
    <row r="204" spans="1:29" s="61" customFormat="1" ht="11.25">
      <c r="A204" s="147">
        <f t="shared" si="61"/>
        <v>0</v>
      </c>
      <c r="B204" s="152">
        <f t="shared" si="62"/>
        <v>0</v>
      </c>
      <c r="C204" s="141">
        <f t="shared" si="63"/>
        <v>16</v>
      </c>
      <c r="D204" s="142">
        <v>185</v>
      </c>
      <c r="E204" s="143">
        <f t="shared" si="76"/>
        <v>0</v>
      </c>
      <c r="F204" s="144">
        <f t="shared" si="64"/>
        <v>0</v>
      </c>
      <c r="G204" s="144">
        <f t="shared" si="65"/>
        <v>0</v>
      </c>
      <c r="H204" s="169">
        <f t="shared" si="82"/>
        <v>0</v>
      </c>
      <c r="I204" s="143">
        <f t="shared" si="77"/>
        <v>0</v>
      </c>
      <c r="J204" s="144">
        <f t="shared" si="66"/>
        <v>0</v>
      </c>
      <c r="K204" s="144">
        <f t="shared" si="67"/>
        <v>0</v>
      </c>
      <c r="L204" s="169">
        <f t="shared" si="81"/>
        <v>0</v>
      </c>
      <c r="M204" s="143">
        <f t="shared" si="78"/>
        <v>0</v>
      </c>
      <c r="N204" s="144">
        <f t="shared" si="68"/>
        <v>0</v>
      </c>
      <c r="O204" s="144">
        <f t="shared" si="69"/>
        <v>0</v>
      </c>
      <c r="P204" s="169">
        <f t="shared" si="83"/>
        <v>0</v>
      </c>
      <c r="R204" s="143">
        <f t="shared" si="79"/>
        <v>0</v>
      </c>
      <c r="S204" s="144">
        <f t="shared" si="70"/>
        <v>0</v>
      </c>
      <c r="T204" s="144">
        <f t="shared" si="71"/>
        <v>0</v>
      </c>
      <c r="U204" s="169">
        <f t="shared" si="72"/>
        <v>0</v>
      </c>
      <c r="V204" s="143">
        <f t="shared" si="80"/>
        <v>0</v>
      </c>
      <c r="W204" s="144">
        <f t="shared" si="73"/>
        <v>0</v>
      </c>
      <c r="X204" s="144">
        <f t="shared" si="74"/>
        <v>0</v>
      </c>
      <c r="Y204" s="169">
        <f t="shared" si="75"/>
        <v>0</v>
      </c>
      <c r="Z204" s="151">
        <v>0</v>
      </c>
      <c r="AA204" s="151">
        <v>0</v>
      </c>
      <c r="AB204" s="151">
        <v>0</v>
      </c>
      <c r="AC204" s="151">
        <v>0</v>
      </c>
    </row>
    <row r="205" spans="1:29" s="61" customFormat="1" ht="11.25">
      <c r="A205" s="147">
        <f t="shared" si="61"/>
        <v>0</v>
      </c>
      <c r="B205" s="152">
        <f t="shared" si="62"/>
        <v>0</v>
      </c>
      <c r="C205" s="141">
        <f t="shared" si="63"/>
        <v>16</v>
      </c>
      <c r="D205" s="142">
        <v>186</v>
      </c>
      <c r="E205" s="143">
        <f t="shared" si="76"/>
        <v>0</v>
      </c>
      <c r="F205" s="144">
        <f t="shared" si="64"/>
        <v>0</v>
      </c>
      <c r="G205" s="144">
        <f t="shared" si="65"/>
        <v>0</v>
      </c>
      <c r="H205" s="169">
        <f t="shared" si="82"/>
        <v>0</v>
      </c>
      <c r="I205" s="143">
        <f t="shared" si="77"/>
        <v>0</v>
      </c>
      <c r="J205" s="144">
        <f t="shared" si="66"/>
        <v>0</v>
      </c>
      <c r="K205" s="144">
        <f t="shared" si="67"/>
        <v>0</v>
      </c>
      <c r="L205" s="169">
        <f t="shared" si="81"/>
        <v>0</v>
      </c>
      <c r="M205" s="143">
        <f t="shared" si="78"/>
        <v>0</v>
      </c>
      <c r="N205" s="144">
        <f t="shared" si="68"/>
        <v>0</v>
      </c>
      <c r="O205" s="144">
        <f t="shared" si="69"/>
        <v>0</v>
      </c>
      <c r="P205" s="169">
        <f t="shared" si="83"/>
        <v>0</v>
      </c>
      <c r="R205" s="143">
        <f t="shared" si="79"/>
        <v>0</v>
      </c>
      <c r="S205" s="144">
        <f t="shared" si="70"/>
        <v>0</v>
      </c>
      <c r="T205" s="144">
        <f t="shared" si="71"/>
        <v>0</v>
      </c>
      <c r="U205" s="169">
        <f t="shared" si="72"/>
        <v>0</v>
      </c>
      <c r="V205" s="143">
        <f t="shared" si="80"/>
        <v>0</v>
      </c>
      <c r="W205" s="144">
        <f t="shared" si="73"/>
        <v>0</v>
      </c>
      <c r="X205" s="144">
        <f t="shared" si="74"/>
        <v>0</v>
      </c>
      <c r="Y205" s="169">
        <f t="shared" si="75"/>
        <v>0</v>
      </c>
      <c r="Z205" s="151">
        <v>0</v>
      </c>
      <c r="AA205" s="151">
        <v>0</v>
      </c>
      <c r="AB205" s="151">
        <v>0</v>
      </c>
      <c r="AC205" s="151">
        <v>0</v>
      </c>
    </row>
    <row r="206" spans="1:29" s="61" customFormat="1" ht="11.25">
      <c r="A206" s="147">
        <f t="shared" si="61"/>
        <v>0</v>
      </c>
      <c r="B206" s="152">
        <f t="shared" si="62"/>
        <v>0</v>
      </c>
      <c r="C206" s="141">
        <f t="shared" si="63"/>
        <v>16</v>
      </c>
      <c r="D206" s="142">
        <v>187</v>
      </c>
      <c r="E206" s="143">
        <f t="shared" si="76"/>
        <v>0</v>
      </c>
      <c r="F206" s="144">
        <f t="shared" si="64"/>
        <v>0</v>
      </c>
      <c r="G206" s="144">
        <f t="shared" si="65"/>
        <v>0</v>
      </c>
      <c r="H206" s="169">
        <f t="shared" si="82"/>
        <v>0</v>
      </c>
      <c r="I206" s="143">
        <f t="shared" si="77"/>
        <v>0</v>
      </c>
      <c r="J206" s="144">
        <f t="shared" si="66"/>
        <v>0</v>
      </c>
      <c r="K206" s="144">
        <f t="shared" si="67"/>
        <v>0</v>
      </c>
      <c r="L206" s="169">
        <f t="shared" si="81"/>
        <v>0</v>
      </c>
      <c r="M206" s="143">
        <f t="shared" si="78"/>
        <v>0</v>
      </c>
      <c r="N206" s="144">
        <f t="shared" si="68"/>
        <v>0</v>
      </c>
      <c r="O206" s="144">
        <f t="shared" si="69"/>
        <v>0</v>
      </c>
      <c r="P206" s="169">
        <f t="shared" si="83"/>
        <v>0</v>
      </c>
      <c r="R206" s="143">
        <f t="shared" si="79"/>
        <v>0</v>
      </c>
      <c r="S206" s="144">
        <f t="shared" si="70"/>
        <v>0</v>
      </c>
      <c r="T206" s="144">
        <f t="shared" si="71"/>
        <v>0</v>
      </c>
      <c r="U206" s="169">
        <f t="shared" si="72"/>
        <v>0</v>
      </c>
      <c r="V206" s="143">
        <f t="shared" si="80"/>
        <v>0</v>
      </c>
      <c r="W206" s="144">
        <f t="shared" si="73"/>
        <v>0</v>
      </c>
      <c r="X206" s="144">
        <f t="shared" si="74"/>
        <v>0</v>
      </c>
      <c r="Y206" s="169">
        <f t="shared" si="75"/>
        <v>0</v>
      </c>
      <c r="Z206" s="151">
        <v>0</v>
      </c>
      <c r="AA206" s="151">
        <v>0</v>
      </c>
      <c r="AB206" s="151">
        <v>0</v>
      </c>
      <c r="AC206" s="151">
        <v>0</v>
      </c>
    </row>
    <row r="207" spans="1:29" s="61" customFormat="1" ht="11.25">
      <c r="A207" s="147">
        <f t="shared" si="61"/>
        <v>0</v>
      </c>
      <c r="B207" s="152">
        <f t="shared" si="62"/>
        <v>0</v>
      </c>
      <c r="C207" s="141">
        <f t="shared" si="63"/>
        <v>16</v>
      </c>
      <c r="D207" s="142">
        <v>188</v>
      </c>
      <c r="E207" s="143">
        <f t="shared" si="76"/>
        <v>0</v>
      </c>
      <c r="F207" s="144">
        <f t="shared" si="64"/>
        <v>0</v>
      </c>
      <c r="G207" s="144">
        <f t="shared" si="65"/>
        <v>0</v>
      </c>
      <c r="H207" s="169">
        <f t="shared" si="82"/>
        <v>0</v>
      </c>
      <c r="I207" s="143">
        <f t="shared" si="77"/>
        <v>0</v>
      </c>
      <c r="J207" s="144">
        <f t="shared" si="66"/>
        <v>0</v>
      </c>
      <c r="K207" s="144">
        <f t="shared" si="67"/>
        <v>0</v>
      </c>
      <c r="L207" s="169">
        <f t="shared" si="81"/>
        <v>0</v>
      </c>
      <c r="M207" s="143">
        <f t="shared" si="78"/>
        <v>0</v>
      </c>
      <c r="N207" s="144">
        <f t="shared" si="68"/>
        <v>0</v>
      </c>
      <c r="O207" s="144">
        <f t="shared" si="69"/>
        <v>0</v>
      </c>
      <c r="P207" s="169">
        <f t="shared" si="83"/>
        <v>0</v>
      </c>
      <c r="R207" s="143">
        <f t="shared" si="79"/>
        <v>0</v>
      </c>
      <c r="S207" s="144">
        <f t="shared" si="70"/>
        <v>0</v>
      </c>
      <c r="T207" s="144">
        <f t="shared" si="71"/>
        <v>0</v>
      </c>
      <c r="U207" s="169">
        <f t="shared" si="72"/>
        <v>0</v>
      </c>
      <c r="V207" s="143">
        <f t="shared" si="80"/>
        <v>0</v>
      </c>
      <c r="W207" s="144">
        <f t="shared" si="73"/>
        <v>0</v>
      </c>
      <c r="X207" s="144">
        <f t="shared" si="74"/>
        <v>0</v>
      </c>
      <c r="Y207" s="169">
        <f t="shared" si="75"/>
        <v>0</v>
      </c>
      <c r="Z207" s="151">
        <v>0</v>
      </c>
      <c r="AA207" s="151">
        <v>0</v>
      </c>
      <c r="AB207" s="151">
        <v>0</v>
      </c>
      <c r="AC207" s="151">
        <v>0</v>
      </c>
    </row>
    <row r="208" spans="1:29" s="61" customFormat="1" ht="11.25">
      <c r="A208" s="147">
        <f t="shared" si="61"/>
        <v>0</v>
      </c>
      <c r="B208" s="152">
        <f t="shared" si="62"/>
        <v>0</v>
      </c>
      <c r="C208" s="141">
        <f t="shared" si="63"/>
        <v>16</v>
      </c>
      <c r="D208" s="142">
        <v>189</v>
      </c>
      <c r="E208" s="143">
        <f t="shared" si="76"/>
        <v>0</v>
      </c>
      <c r="F208" s="144">
        <f t="shared" si="64"/>
        <v>0</v>
      </c>
      <c r="G208" s="144">
        <f t="shared" si="65"/>
        <v>0</v>
      </c>
      <c r="H208" s="169">
        <f t="shared" si="82"/>
        <v>0</v>
      </c>
      <c r="I208" s="143">
        <f t="shared" si="77"/>
        <v>0</v>
      </c>
      <c r="J208" s="144">
        <f t="shared" si="66"/>
        <v>0</v>
      </c>
      <c r="K208" s="144">
        <f t="shared" si="67"/>
        <v>0</v>
      </c>
      <c r="L208" s="169">
        <f t="shared" si="81"/>
        <v>0</v>
      </c>
      <c r="M208" s="143">
        <f t="shared" si="78"/>
        <v>0</v>
      </c>
      <c r="N208" s="144">
        <f t="shared" si="68"/>
        <v>0</v>
      </c>
      <c r="O208" s="144">
        <f t="shared" si="69"/>
        <v>0</v>
      </c>
      <c r="P208" s="169">
        <f t="shared" si="83"/>
        <v>0</v>
      </c>
      <c r="R208" s="143">
        <f t="shared" si="79"/>
        <v>0</v>
      </c>
      <c r="S208" s="144">
        <f t="shared" si="70"/>
        <v>0</v>
      </c>
      <c r="T208" s="144">
        <f t="shared" si="71"/>
        <v>0</v>
      </c>
      <c r="U208" s="169">
        <f t="shared" si="72"/>
        <v>0</v>
      </c>
      <c r="V208" s="143">
        <f t="shared" si="80"/>
        <v>0</v>
      </c>
      <c r="W208" s="144">
        <f t="shared" si="73"/>
        <v>0</v>
      </c>
      <c r="X208" s="144">
        <f t="shared" si="74"/>
        <v>0</v>
      </c>
      <c r="Y208" s="169">
        <f t="shared" si="75"/>
        <v>0</v>
      </c>
      <c r="Z208" s="151">
        <v>0</v>
      </c>
      <c r="AA208" s="151">
        <v>0</v>
      </c>
      <c r="AB208" s="151">
        <v>0</v>
      </c>
      <c r="AC208" s="151">
        <v>0</v>
      </c>
    </row>
    <row r="209" spans="1:29" s="61" customFormat="1" ht="11.25">
      <c r="A209" s="147">
        <f t="shared" si="61"/>
        <v>0</v>
      </c>
      <c r="B209" s="152">
        <f t="shared" si="62"/>
        <v>0</v>
      </c>
      <c r="C209" s="141">
        <f t="shared" si="63"/>
        <v>16</v>
      </c>
      <c r="D209" s="142">
        <v>190</v>
      </c>
      <c r="E209" s="143">
        <f t="shared" si="76"/>
        <v>0</v>
      </c>
      <c r="F209" s="144">
        <f t="shared" si="64"/>
        <v>0</v>
      </c>
      <c r="G209" s="144">
        <f t="shared" si="65"/>
        <v>0</v>
      </c>
      <c r="H209" s="169">
        <f t="shared" si="82"/>
        <v>0</v>
      </c>
      <c r="I209" s="143">
        <f t="shared" si="77"/>
        <v>0</v>
      </c>
      <c r="J209" s="144">
        <f t="shared" si="66"/>
        <v>0</v>
      </c>
      <c r="K209" s="144">
        <f t="shared" si="67"/>
        <v>0</v>
      </c>
      <c r="L209" s="169">
        <f t="shared" si="81"/>
        <v>0</v>
      </c>
      <c r="M209" s="143">
        <f t="shared" si="78"/>
        <v>0</v>
      </c>
      <c r="N209" s="144">
        <f t="shared" si="68"/>
        <v>0</v>
      </c>
      <c r="O209" s="144">
        <f t="shared" si="69"/>
        <v>0</v>
      </c>
      <c r="P209" s="169">
        <f t="shared" si="83"/>
        <v>0</v>
      </c>
      <c r="R209" s="143">
        <f t="shared" si="79"/>
        <v>0</v>
      </c>
      <c r="S209" s="144">
        <f t="shared" si="70"/>
        <v>0</v>
      </c>
      <c r="T209" s="144">
        <f t="shared" si="71"/>
        <v>0</v>
      </c>
      <c r="U209" s="169">
        <f t="shared" si="72"/>
        <v>0</v>
      </c>
      <c r="V209" s="143">
        <f t="shared" si="80"/>
        <v>0</v>
      </c>
      <c r="W209" s="144">
        <f t="shared" si="73"/>
        <v>0</v>
      </c>
      <c r="X209" s="144">
        <f t="shared" si="74"/>
        <v>0</v>
      </c>
      <c r="Y209" s="169">
        <f t="shared" si="75"/>
        <v>0</v>
      </c>
      <c r="Z209" s="151">
        <v>0</v>
      </c>
      <c r="AA209" s="151">
        <v>0</v>
      </c>
      <c r="AB209" s="151">
        <v>0</v>
      </c>
      <c r="AC209" s="151">
        <v>0</v>
      </c>
    </row>
    <row r="210" spans="1:29" s="61" customFormat="1" ht="11.25">
      <c r="A210" s="147">
        <f t="shared" si="61"/>
        <v>0</v>
      </c>
      <c r="B210" s="152">
        <f t="shared" si="62"/>
        <v>0</v>
      </c>
      <c r="C210" s="141">
        <f t="shared" si="63"/>
        <v>16</v>
      </c>
      <c r="D210" s="142">
        <v>191</v>
      </c>
      <c r="E210" s="143">
        <f t="shared" si="76"/>
        <v>0</v>
      </c>
      <c r="F210" s="144">
        <f t="shared" si="64"/>
        <v>0</v>
      </c>
      <c r="G210" s="144">
        <f t="shared" si="65"/>
        <v>0</v>
      </c>
      <c r="H210" s="169">
        <f t="shared" si="82"/>
        <v>0</v>
      </c>
      <c r="I210" s="143">
        <f t="shared" si="77"/>
        <v>0</v>
      </c>
      <c r="J210" s="144">
        <f t="shared" si="66"/>
        <v>0</v>
      </c>
      <c r="K210" s="144">
        <f t="shared" si="67"/>
        <v>0</v>
      </c>
      <c r="L210" s="169">
        <f t="shared" si="81"/>
        <v>0</v>
      </c>
      <c r="M210" s="143">
        <f t="shared" si="78"/>
        <v>0</v>
      </c>
      <c r="N210" s="144">
        <f t="shared" si="68"/>
        <v>0</v>
      </c>
      <c r="O210" s="144">
        <f t="shared" si="69"/>
        <v>0</v>
      </c>
      <c r="P210" s="169">
        <f t="shared" si="83"/>
        <v>0</v>
      </c>
      <c r="R210" s="143">
        <f t="shared" si="79"/>
        <v>0</v>
      </c>
      <c r="S210" s="144">
        <f t="shared" si="70"/>
        <v>0</v>
      </c>
      <c r="T210" s="144">
        <f t="shared" si="71"/>
        <v>0</v>
      </c>
      <c r="U210" s="169">
        <f t="shared" si="72"/>
        <v>0</v>
      </c>
      <c r="V210" s="143">
        <f t="shared" si="80"/>
        <v>0</v>
      </c>
      <c r="W210" s="144">
        <f t="shared" si="73"/>
        <v>0</v>
      </c>
      <c r="X210" s="144">
        <f t="shared" si="74"/>
        <v>0</v>
      </c>
      <c r="Y210" s="169">
        <f t="shared" si="75"/>
        <v>0</v>
      </c>
      <c r="Z210" s="151">
        <v>0</v>
      </c>
      <c r="AA210" s="151">
        <v>0</v>
      </c>
      <c r="AB210" s="151">
        <v>0</v>
      </c>
      <c r="AC210" s="151">
        <v>0</v>
      </c>
    </row>
    <row r="211" spans="1:29" s="61" customFormat="1" ht="12" thickBot="1">
      <c r="A211" s="153">
        <f t="shared" si="61"/>
        <v>0</v>
      </c>
      <c r="B211" s="154">
        <f t="shared" si="62"/>
        <v>0</v>
      </c>
      <c r="C211" s="155">
        <f t="shared" si="63"/>
        <v>16</v>
      </c>
      <c r="D211" s="156">
        <v>192</v>
      </c>
      <c r="E211" s="157">
        <f t="shared" si="76"/>
        <v>0</v>
      </c>
      <c r="F211" s="158">
        <f t="shared" si="64"/>
        <v>0</v>
      </c>
      <c r="G211" s="158">
        <f t="shared" si="65"/>
        <v>0</v>
      </c>
      <c r="H211" s="172">
        <f t="shared" si="82"/>
        <v>0</v>
      </c>
      <c r="I211" s="157">
        <f t="shared" si="77"/>
        <v>0</v>
      </c>
      <c r="J211" s="158">
        <f t="shared" si="66"/>
        <v>0</v>
      </c>
      <c r="K211" s="158">
        <f t="shared" si="67"/>
        <v>0</v>
      </c>
      <c r="L211" s="172">
        <f t="shared" si="81"/>
        <v>0</v>
      </c>
      <c r="M211" s="157">
        <f t="shared" si="78"/>
        <v>0</v>
      </c>
      <c r="N211" s="158">
        <f t="shared" si="68"/>
        <v>0</v>
      </c>
      <c r="O211" s="158">
        <f t="shared" si="69"/>
        <v>0</v>
      </c>
      <c r="P211" s="172">
        <f t="shared" si="83"/>
        <v>0</v>
      </c>
      <c r="R211" s="157">
        <f t="shared" si="79"/>
        <v>0</v>
      </c>
      <c r="S211" s="158">
        <f t="shared" si="70"/>
        <v>0</v>
      </c>
      <c r="T211" s="158">
        <f t="shared" si="71"/>
        <v>0</v>
      </c>
      <c r="U211" s="172">
        <f t="shared" si="72"/>
        <v>0</v>
      </c>
      <c r="V211" s="157">
        <f t="shared" si="80"/>
        <v>0</v>
      </c>
      <c r="W211" s="158">
        <f t="shared" si="73"/>
        <v>0</v>
      </c>
      <c r="X211" s="158">
        <f t="shared" si="74"/>
        <v>0</v>
      </c>
      <c r="Y211" s="172">
        <f t="shared" si="75"/>
        <v>0</v>
      </c>
      <c r="Z211" s="151">
        <v>0</v>
      </c>
      <c r="AA211" s="151">
        <v>0</v>
      </c>
      <c r="AB211" s="151">
        <v>0</v>
      </c>
      <c r="AC211" s="151">
        <v>0</v>
      </c>
    </row>
    <row r="212" spans="1:29" s="61" customFormat="1" ht="11.25">
      <c r="A212" s="147">
        <f t="shared" ref="A212:A275" si="84">VLOOKUP(D212,$A$10:$C$14,3)</f>
        <v>0</v>
      </c>
      <c r="B212" s="152">
        <f t="shared" ref="B212:B275" si="85">A212/12</f>
        <v>0</v>
      </c>
      <c r="C212" s="141">
        <f t="shared" ref="C212:C275" si="86">INT((D212+11)/12)</f>
        <v>17</v>
      </c>
      <c r="D212" s="142">
        <v>193</v>
      </c>
      <c r="E212" s="143">
        <f t="shared" si="76"/>
        <v>0</v>
      </c>
      <c r="F212" s="144">
        <f t="shared" ref="F212:F275" si="87">ROUND(E212*$B212,2)</f>
        <v>0</v>
      </c>
      <c r="G212" s="144">
        <f t="shared" ref="G212:G275" si="88">IF(E212&lt;H212,E212,H212-F212)</f>
        <v>0</v>
      </c>
      <c r="H212" s="169">
        <f t="shared" si="82"/>
        <v>0</v>
      </c>
      <c r="I212" s="143">
        <f t="shared" si="77"/>
        <v>0</v>
      </c>
      <c r="J212" s="144">
        <f t="shared" ref="J212:J275" si="89">ROUND(I212*$B212,2)</f>
        <v>0</v>
      </c>
      <c r="K212" s="144">
        <f t="shared" ref="K212:K275" si="90">IF(I212&lt;L212,I212,L212-J212)</f>
        <v>0</v>
      </c>
      <c r="L212" s="169">
        <f t="shared" si="81"/>
        <v>0</v>
      </c>
      <c r="M212" s="143">
        <f t="shared" si="78"/>
        <v>0</v>
      </c>
      <c r="N212" s="144">
        <f t="shared" ref="N212:N275" si="91">ROUND(M212*$B212,2)</f>
        <v>0</v>
      </c>
      <c r="O212" s="144">
        <f t="shared" ref="O212:O275" si="92">IF(M212&lt;P212,M212,P212-N212)</f>
        <v>0</v>
      </c>
      <c r="P212" s="169">
        <f t="shared" si="83"/>
        <v>0</v>
      </c>
      <c r="R212" s="143">
        <f t="shared" si="79"/>
        <v>0</v>
      </c>
      <c r="S212" s="144">
        <f t="shared" ref="S212:S275" si="93">ROUND(R212*$B212,2)</f>
        <v>0</v>
      </c>
      <c r="T212" s="144">
        <f t="shared" ref="T212:T275" si="94">IF(R212&lt;U212,R212,U212-S212)</f>
        <v>0</v>
      </c>
      <c r="U212" s="169">
        <f t="shared" ref="U212:U275" si="95">IF(R212&lt;=0,0,$Y$15)</f>
        <v>0</v>
      </c>
      <c r="V212" s="143">
        <f t="shared" si="80"/>
        <v>0</v>
      </c>
      <c r="W212" s="144">
        <f t="shared" ref="W212:W275" si="96">ROUND(V212*$B212,2)</f>
        <v>0</v>
      </c>
      <c r="X212" s="144">
        <f t="shared" ref="X212:X275" si="97">IF(V212&lt;Y212,V212,Y212-W212)</f>
        <v>0</v>
      </c>
      <c r="Y212" s="169">
        <f t="shared" ref="Y212:Y275" si="98">IF(V212&lt;=0,0,PMT(B212,($B$2-D212+1),V212*-1))</f>
        <v>0</v>
      </c>
      <c r="Z212" s="151">
        <v>0</v>
      </c>
      <c r="AA212" s="151">
        <v>0</v>
      </c>
      <c r="AB212" s="151">
        <v>0</v>
      </c>
      <c r="AC212" s="151">
        <v>0</v>
      </c>
    </row>
    <row r="213" spans="1:29" s="61" customFormat="1" ht="11.25">
      <c r="A213" s="147">
        <f t="shared" si="84"/>
        <v>0</v>
      </c>
      <c r="B213" s="152">
        <f t="shared" si="85"/>
        <v>0</v>
      </c>
      <c r="C213" s="141">
        <f t="shared" si="86"/>
        <v>17</v>
      </c>
      <c r="D213" s="142">
        <v>194</v>
      </c>
      <c r="E213" s="143">
        <f t="shared" ref="E213:E276" si="99">IF(E212&lt;H212,0,E212-G212)</f>
        <v>0</v>
      </c>
      <c r="F213" s="144">
        <f t="shared" si="87"/>
        <v>0</v>
      </c>
      <c r="G213" s="144">
        <f t="shared" si="88"/>
        <v>0</v>
      </c>
      <c r="H213" s="169">
        <f t="shared" si="82"/>
        <v>0</v>
      </c>
      <c r="I213" s="143">
        <f t="shared" ref="I213:I276" si="100">IF(I212&lt;L212,0,I212-K212)</f>
        <v>0</v>
      </c>
      <c r="J213" s="144">
        <f t="shared" si="89"/>
        <v>0</v>
      </c>
      <c r="K213" s="144">
        <f t="shared" si="90"/>
        <v>0</v>
      </c>
      <c r="L213" s="169">
        <f t="shared" si="81"/>
        <v>0</v>
      </c>
      <c r="M213" s="143">
        <f t="shared" ref="M213:M276" si="101">IF(M212&lt;P212,0,M212-O212)</f>
        <v>0</v>
      </c>
      <c r="N213" s="144">
        <f t="shared" si="91"/>
        <v>0</v>
      </c>
      <c r="O213" s="144">
        <f t="shared" si="92"/>
        <v>0</v>
      </c>
      <c r="P213" s="169">
        <f t="shared" si="83"/>
        <v>0</v>
      </c>
      <c r="R213" s="143">
        <f t="shared" ref="R213:R276" si="102">IF(R212&lt;U212,0,R212-T212)</f>
        <v>0</v>
      </c>
      <c r="S213" s="144">
        <f t="shared" si="93"/>
        <v>0</v>
      </c>
      <c r="T213" s="144">
        <f t="shared" si="94"/>
        <v>0</v>
      </c>
      <c r="U213" s="169">
        <f t="shared" si="95"/>
        <v>0</v>
      </c>
      <c r="V213" s="143">
        <f t="shared" ref="V213:V276" si="103">IF(V212&lt;Y212,0,V212-X212)</f>
        <v>0</v>
      </c>
      <c r="W213" s="144">
        <f t="shared" si="96"/>
        <v>0</v>
      </c>
      <c r="X213" s="144">
        <f t="shared" si="97"/>
        <v>0</v>
      </c>
      <c r="Y213" s="169">
        <f t="shared" si="98"/>
        <v>0</v>
      </c>
      <c r="Z213" s="151">
        <v>0</v>
      </c>
      <c r="AA213" s="151">
        <v>0</v>
      </c>
      <c r="AB213" s="151">
        <v>0</v>
      </c>
      <c r="AC213" s="151">
        <v>0</v>
      </c>
    </row>
    <row r="214" spans="1:29" s="61" customFormat="1" ht="11.25">
      <c r="A214" s="147">
        <f t="shared" si="84"/>
        <v>0</v>
      </c>
      <c r="B214" s="152">
        <f t="shared" si="85"/>
        <v>0</v>
      </c>
      <c r="C214" s="141">
        <f t="shared" si="86"/>
        <v>17</v>
      </c>
      <c r="D214" s="142">
        <v>195</v>
      </c>
      <c r="E214" s="143">
        <f t="shared" si="99"/>
        <v>0</v>
      </c>
      <c r="F214" s="144">
        <f t="shared" si="87"/>
        <v>0</v>
      </c>
      <c r="G214" s="144">
        <f t="shared" si="88"/>
        <v>0</v>
      </c>
      <c r="H214" s="169">
        <f t="shared" si="82"/>
        <v>0</v>
      </c>
      <c r="I214" s="143">
        <f t="shared" si="100"/>
        <v>0</v>
      </c>
      <c r="J214" s="144">
        <f t="shared" si="89"/>
        <v>0</v>
      </c>
      <c r="K214" s="144">
        <f t="shared" si="90"/>
        <v>0</v>
      </c>
      <c r="L214" s="169">
        <f t="shared" si="81"/>
        <v>0</v>
      </c>
      <c r="M214" s="143">
        <f t="shared" si="101"/>
        <v>0</v>
      </c>
      <c r="N214" s="144">
        <f t="shared" si="91"/>
        <v>0</v>
      </c>
      <c r="O214" s="144">
        <f t="shared" si="92"/>
        <v>0</v>
      </c>
      <c r="P214" s="169">
        <f t="shared" si="83"/>
        <v>0</v>
      </c>
      <c r="R214" s="143">
        <f t="shared" si="102"/>
        <v>0</v>
      </c>
      <c r="S214" s="144">
        <f t="shared" si="93"/>
        <v>0</v>
      </c>
      <c r="T214" s="144">
        <f t="shared" si="94"/>
        <v>0</v>
      </c>
      <c r="U214" s="169">
        <f t="shared" si="95"/>
        <v>0</v>
      </c>
      <c r="V214" s="143">
        <f t="shared" si="103"/>
        <v>0</v>
      </c>
      <c r="W214" s="144">
        <f t="shared" si="96"/>
        <v>0</v>
      </c>
      <c r="X214" s="144">
        <f t="shared" si="97"/>
        <v>0</v>
      </c>
      <c r="Y214" s="169">
        <f t="shared" si="98"/>
        <v>0</v>
      </c>
      <c r="Z214" s="151">
        <v>0</v>
      </c>
      <c r="AA214" s="151">
        <v>0</v>
      </c>
      <c r="AB214" s="151">
        <v>0</v>
      </c>
      <c r="AC214" s="151">
        <v>0</v>
      </c>
    </row>
    <row r="215" spans="1:29" s="61" customFormat="1" ht="11.25">
      <c r="A215" s="147">
        <f t="shared" si="84"/>
        <v>0</v>
      </c>
      <c r="B215" s="152">
        <f t="shared" si="85"/>
        <v>0</v>
      </c>
      <c r="C215" s="141">
        <f t="shared" si="86"/>
        <v>17</v>
      </c>
      <c r="D215" s="142">
        <v>196</v>
      </c>
      <c r="E215" s="143">
        <f t="shared" si="99"/>
        <v>0</v>
      </c>
      <c r="F215" s="144">
        <f t="shared" si="87"/>
        <v>0</v>
      </c>
      <c r="G215" s="144">
        <f t="shared" si="88"/>
        <v>0</v>
      </c>
      <c r="H215" s="169">
        <f t="shared" si="82"/>
        <v>0</v>
      </c>
      <c r="I215" s="143">
        <f t="shared" si="100"/>
        <v>0</v>
      </c>
      <c r="J215" s="144">
        <f t="shared" si="89"/>
        <v>0</v>
      </c>
      <c r="K215" s="144">
        <f t="shared" si="90"/>
        <v>0</v>
      </c>
      <c r="L215" s="169">
        <f t="shared" si="81"/>
        <v>0</v>
      </c>
      <c r="M215" s="143">
        <f t="shared" si="101"/>
        <v>0</v>
      </c>
      <c r="N215" s="144">
        <f t="shared" si="91"/>
        <v>0</v>
      </c>
      <c r="O215" s="144">
        <f t="shared" si="92"/>
        <v>0</v>
      </c>
      <c r="P215" s="169">
        <f t="shared" si="83"/>
        <v>0</v>
      </c>
      <c r="R215" s="143">
        <f t="shared" si="102"/>
        <v>0</v>
      </c>
      <c r="S215" s="144">
        <f t="shared" si="93"/>
        <v>0</v>
      </c>
      <c r="T215" s="144">
        <f t="shared" si="94"/>
        <v>0</v>
      </c>
      <c r="U215" s="169">
        <f t="shared" si="95"/>
        <v>0</v>
      </c>
      <c r="V215" s="143">
        <f t="shared" si="103"/>
        <v>0</v>
      </c>
      <c r="W215" s="144">
        <f t="shared" si="96"/>
        <v>0</v>
      </c>
      <c r="X215" s="144">
        <f t="shared" si="97"/>
        <v>0</v>
      </c>
      <c r="Y215" s="169">
        <f t="shared" si="98"/>
        <v>0</v>
      </c>
      <c r="Z215" s="151">
        <v>0</v>
      </c>
      <c r="AA215" s="151">
        <v>0</v>
      </c>
      <c r="AB215" s="151">
        <v>0</v>
      </c>
      <c r="AC215" s="151">
        <v>0</v>
      </c>
    </row>
    <row r="216" spans="1:29" s="61" customFormat="1" ht="11.25">
      <c r="A216" s="147">
        <f t="shared" si="84"/>
        <v>0</v>
      </c>
      <c r="B216" s="152">
        <f t="shared" si="85"/>
        <v>0</v>
      </c>
      <c r="C216" s="141">
        <f t="shared" si="86"/>
        <v>17</v>
      </c>
      <c r="D216" s="142">
        <v>197</v>
      </c>
      <c r="E216" s="143">
        <f t="shared" si="99"/>
        <v>0</v>
      </c>
      <c r="F216" s="144">
        <f t="shared" si="87"/>
        <v>0</v>
      </c>
      <c r="G216" s="144">
        <f t="shared" si="88"/>
        <v>0</v>
      </c>
      <c r="H216" s="169">
        <f t="shared" si="82"/>
        <v>0</v>
      </c>
      <c r="I216" s="143">
        <f t="shared" si="100"/>
        <v>0</v>
      </c>
      <c r="J216" s="144">
        <f t="shared" si="89"/>
        <v>0</v>
      </c>
      <c r="K216" s="144">
        <f t="shared" si="90"/>
        <v>0</v>
      </c>
      <c r="L216" s="169">
        <f t="shared" si="81"/>
        <v>0</v>
      </c>
      <c r="M216" s="143">
        <f t="shared" si="101"/>
        <v>0</v>
      </c>
      <c r="N216" s="144">
        <f t="shared" si="91"/>
        <v>0</v>
      </c>
      <c r="O216" s="144">
        <f t="shared" si="92"/>
        <v>0</v>
      </c>
      <c r="P216" s="169">
        <f t="shared" si="83"/>
        <v>0</v>
      </c>
      <c r="R216" s="143">
        <f t="shared" si="102"/>
        <v>0</v>
      </c>
      <c r="S216" s="144">
        <f t="shared" si="93"/>
        <v>0</v>
      </c>
      <c r="T216" s="144">
        <f t="shared" si="94"/>
        <v>0</v>
      </c>
      <c r="U216" s="169">
        <f t="shared" si="95"/>
        <v>0</v>
      </c>
      <c r="V216" s="143">
        <f t="shared" si="103"/>
        <v>0</v>
      </c>
      <c r="W216" s="144">
        <f t="shared" si="96"/>
        <v>0</v>
      </c>
      <c r="X216" s="144">
        <f t="shared" si="97"/>
        <v>0</v>
      </c>
      <c r="Y216" s="169">
        <f t="shared" si="98"/>
        <v>0</v>
      </c>
      <c r="Z216" s="151">
        <v>0</v>
      </c>
      <c r="AA216" s="151">
        <v>0</v>
      </c>
      <c r="AB216" s="151">
        <v>0</v>
      </c>
      <c r="AC216" s="151">
        <v>0</v>
      </c>
    </row>
    <row r="217" spans="1:29" s="61" customFormat="1" ht="11.25">
      <c r="A217" s="147">
        <f t="shared" si="84"/>
        <v>0</v>
      </c>
      <c r="B217" s="152">
        <f t="shared" si="85"/>
        <v>0</v>
      </c>
      <c r="C217" s="141">
        <f t="shared" si="86"/>
        <v>17</v>
      </c>
      <c r="D217" s="142">
        <v>198</v>
      </c>
      <c r="E217" s="143">
        <f t="shared" si="99"/>
        <v>0</v>
      </c>
      <c r="F217" s="144">
        <f t="shared" si="87"/>
        <v>0</v>
      </c>
      <c r="G217" s="144">
        <f t="shared" si="88"/>
        <v>0</v>
      </c>
      <c r="H217" s="169">
        <f t="shared" si="82"/>
        <v>0</v>
      </c>
      <c r="I217" s="143">
        <f t="shared" si="100"/>
        <v>0</v>
      </c>
      <c r="J217" s="144">
        <f t="shared" si="89"/>
        <v>0</v>
      </c>
      <c r="K217" s="144">
        <f t="shared" si="90"/>
        <v>0</v>
      </c>
      <c r="L217" s="169">
        <f t="shared" si="81"/>
        <v>0</v>
      </c>
      <c r="M217" s="143">
        <f t="shared" si="101"/>
        <v>0</v>
      </c>
      <c r="N217" s="144">
        <f t="shared" si="91"/>
        <v>0</v>
      </c>
      <c r="O217" s="144">
        <f t="shared" si="92"/>
        <v>0</v>
      </c>
      <c r="P217" s="169">
        <f t="shared" si="83"/>
        <v>0</v>
      </c>
      <c r="R217" s="143">
        <f t="shared" si="102"/>
        <v>0</v>
      </c>
      <c r="S217" s="144">
        <f t="shared" si="93"/>
        <v>0</v>
      </c>
      <c r="T217" s="144">
        <f t="shared" si="94"/>
        <v>0</v>
      </c>
      <c r="U217" s="169">
        <f t="shared" si="95"/>
        <v>0</v>
      </c>
      <c r="V217" s="143">
        <f t="shared" si="103"/>
        <v>0</v>
      </c>
      <c r="W217" s="144">
        <f t="shared" si="96"/>
        <v>0</v>
      </c>
      <c r="X217" s="144">
        <f t="shared" si="97"/>
        <v>0</v>
      </c>
      <c r="Y217" s="169">
        <f t="shared" si="98"/>
        <v>0</v>
      </c>
      <c r="Z217" s="151">
        <v>0</v>
      </c>
      <c r="AA217" s="151">
        <v>0</v>
      </c>
      <c r="AB217" s="151">
        <v>0</v>
      </c>
      <c r="AC217" s="151">
        <v>0</v>
      </c>
    </row>
    <row r="218" spans="1:29" s="61" customFormat="1" ht="11.25">
      <c r="A218" s="147">
        <f t="shared" si="84"/>
        <v>0</v>
      </c>
      <c r="B218" s="152">
        <f t="shared" si="85"/>
        <v>0</v>
      </c>
      <c r="C218" s="141">
        <f t="shared" si="86"/>
        <v>17</v>
      </c>
      <c r="D218" s="142">
        <v>199</v>
      </c>
      <c r="E218" s="143">
        <f t="shared" si="99"/>
        <v>0</v>
      </c>
      <c r="F218" s="144">
        <f t="shared" si="87"/>
        <v>0</v>
      </c>
      <c r="G218" s="144">
        <f t="shared" si="88"/>
        <v>0</v>
      </c>
      <c r="H218" s="169">
        <f t="shared" si="82"/>
        <v>0</v>
      </c>
      <c r="I218" s="143">
        <f t="shared" si="100"/>
        <v>0</v>
      </c>
      <c r="J218" s="144">
        <f t="shared" si="89"/>
        <v>0</v>
      </c>
      <c r="K218" s="144">
        <f t="shared" si="90"/>
        <v>0</v>
      </c>
      <c r="L218" s="169">
        <f t="shared" si="81"/>
        <v>0</v>
      </c>
      <c r="M218" s="143">
        <f t="shared" si="101"/>
        <v>0</v>
      </c>
      <c r="N218" s="144">
        <f t="shared" si="91"/>
        <v>0</v>
      </c>
      <c r="O218" s="144">
        <f t="shared" si="92"/>
        <v>0</v>
      </c>
      <c r="P218" s="169">
        <f t="shared" si="83"/>
        <v>0</v>
      </c>
      <c r="R218" s="143">
        <f t="shared" si="102"/>
        <v>0</v>
      </c>
      <c r="S218" s="144">
        <f t="shared" si="93"/>
        <v>0</v>
      </c>
      <c r="T218" s="144">
        <f t="shared" si="94"/>
        <v>0</v>
      </c>
      <c r="U218" s="169">
        <f t="shared" si="95"/>
        <v>0</v>
      </c>
      <c r="V218" s="143">
        <f t="shared" si="103"/>
        <v>0</v>
      </c>
      <c r="W218" s="144">
        <f t="shared" si="96"/>
        <v>0</v>
      </c>
      <c r="X218" s="144">
        <f t="shared" si="97"/>
        <v>0</v>
      </c>
      <c r="Y218" s="169">
        <f t="shared" si="98"/>
        <v>0</v>
      </c>
      <c r="Z218" s="151">
        <v>0</v>
      </c>
      <c r="AA218" s="151">
        <v>0</v>
      </c>
      <c r="AB218" s="151">
        <v>0</v>
      </c>
      <c r="AC218" s="151">
        <v>0</v>
      </c>
    </row>
    <row r="219" spans="1:29" s="61" customFormat="1" ht="11.25">
      <c r="A219" s="147">
        <f t="shared" si="84"/>
        <v>0</v>
      </c>
      <c r="B219" s="152">
        <f t="shared" si="85"/>
        <v>0</v>
      </c>
      <c r="C219" s="141">
        <f t="shared" si="86"/>
        <v>17</v>
      </c>
      <c r="D219" s="142">
        <v>200</v>
      </c>
      <c r="E219" s="143">
        <f t="shared" si="99"/>
        <v>0</v>
      </c>
      <c r="F219" s="144">
        <f t="shared" si="87"/>
        <v>0</v>
      </c>
      <c r="G219" s="144">
        <f t="shared" si="88"/>
        <v>0</v>
      </c>
      <c r="H219" s="169">
        <f t="shared" si="82"/>
        <v>0</v>
      </c>
      <c r="I219" s="143">
        <f t="shared" si="100"/>
        <v>0</v>
      </c>
      <c r="J219" s="144">
        <f t="shared" si="89"/>
        <v>0</v>
      </c>
      <c r="K219" s="144">
        <f t="shared" si="90"/>
        <v>0</v>
      </c>
      <c r="L219" s="169">
        <f t="shared" si="81"/>
        <v>0</v>
      </c>
      <c r="M219" s="143">
        <f t="shared" si="101"/>
        <v>0</v>
      </c>
      <c r="N219" s="144">
        <f t="shared" si="91"/>
        <v>0</v>
      </c>
      <c r="O219" s="144">
        <f t="shared" si="92"/>
        <v>0</v>
      </c>
      <c r="P219" s="169">
        <f t="shared" si="83"/>
        <v>0</v>
      </c>
      <c r="R219" s="143">
        <f t="shared" si="102"/>
        <v>0</v>
      </c>
      <c r="S219" s="144">
        <f t="shared" si="93"/>
        <v>0</v>
      </c>
      <c r="T219" s="144">
        <f t="shared" si="94"/>
        <v>0</v>
      </c>
      <c r="U219" s="169">
        <f t="shared" si="95"/>
        <v>0</v>
      </c>
      <c r="V219" s="143">
        <f t="shared" si="103"/>
        <v>0</v>
      </c>
      <c r="W219" s="144">
        <f t="shared" si="96"/>
        <v>0</v>
      </c>
      <c r="X219" s="144">
        <f t="shared" si="97"/>
        <v>0</v>
      </c>
      <c r="Y219" s="169">
        <f t="shared" si="98"/>
        <v>0</v>
      </c>
      <c r="Z219" s="151">
        <v>0</v>
      </c>
      <c r="AA219" s="151">
        <v>0</v>
      </c>
      <c r="AB219" s="151">
        <v>0</v>
      </c>
      <c r="AC219" s="151">
        <v>0</v>
      </c>
    </row>
    <row r="220" spans="1:29" s="61" customFormat="1" ht="11.25">
      <c r="A220" s="147">
        <f t="shared" si="84"/>
        <v>0</v>
      </c>
      <c r="B220" s="152">
        <f t="shared" si="85"/>
        <v>0</v>
      </c>
      <c r="C220" s="141">
        <f t="shared" si="86"/>
        <v>17</v>
      </c>
      <c r="D220" s="142">
        <v>201</v>
      </c>
      <c r="E220" s="143">
        <f t="shared" si="99"/>
        <v>0</v>
      </c>
      <c r="F220" s="144">
        <f t="shared" si="87"/>
        <v>0</v>
      </c>
      <c r="G220" s="144">
        <f t="shared" si="88"/>
        <v>0</v>
      </c>
      <c r="H220" s="169">
        <f t="shared" si="82"/>
        <v>0</v>
      </c>
      <c r="I220" s="143">
        <f t="shared" si="100"/>
        <v>0</v>
      </c>
      <c r="J220" s="144">
        <f t="shared" si="89"/>
        <v>0</v>
      </c>
      <c r="K220" s="144">
        <f t="shared" si="90"/>
        <v>0</v>
      </c>
      <c r="L220" s="169">
        <f t="shared" si="81"/>
        <v>0</v>
      </c>
      <c r="M220" s="143">
        <f t="shared" si="101"/>
        <v>0</v>
      </c>
      <c r="N220" s="144">
        <f t="shared" si="91"/>
        <v>0</v>
      </c>
      <c r="O220" s="144">
        <f t="shared" si="92"/>
        <v>0</v>
      </c>
      <c r="P220" s="169">
        <f t="shared" si="83"/>
        <v>0</v>
      </c>
      <c r="R220" s="143">
        <f t="shared" si="102"/>
        <v>0</v>
      </c>
      <c r="S220" s="144">
        <f t="shared" si="93"/>
        <v>0</v>
      </c>
      <c r="T220" s="144">
        <f t="shared" si="94"/>
        <v>0</v>
      </c>
      <c r="U220" s="169">
        <f t="shared" si="95"/>
        <v>0</v>
      </c>
      <c r="V220" s="143">
        <f t="shared" si="103"/>
        <v>0</v>
      </c>
      <c r="W220" s="144">
        <f t="shared" si="96"/>
        <v>0</v>
      </c>
      <c r="X220" s="144">
        <f t="shared" si="97"/>
        <v>0</v>
      </c>
      <c r="Y220" s="169">
        <f t="shared" si="98"/>
        <v>0</v>
      </c>
      <c r="Z220" s="151">
        <v>0</v>
      </c>
      <c r="AA220" s="151">
        <v>0</v>
      </c>
      <c r="AB220" s="151">
        <v>0</v>
      </c>
      <c r="AC220" s="151">
        <v>0</v>
      </c>
    </row>
    <row r="221" spans="1:29" s="61" customFormat="1" ht="11.25">
      <c r="A221" s="147">
        <f t="shared" si="84"/>
        <v>0</v>
      </c>
      <c r="B221" s="152">
        <f t="shared" si="85"/>
        <v>0</v>
      </c>
      <c r="C221" s="141">
        <f t="shared" si="86"/>
        <v>17</v>
      </c>
      <c r="D221" s="142">
        <v>202</v>
      </c>
      <c r="E221" s="143">
        <f t="shared" si="99"/>
        <v>0</v>
      </c>
      <c r="F221" s="144">
        <f t="shared" si="87"/>
        <v>0</v>
      </c>
      <c r="G221" s="144">
        <f t="shared" si="88"/>
        <v>0</v>
      </c>
      <c r="H221" s="169">
        <f t="shared" si="82"/>
        <v>0</v>
      </c>
      <c r="I221" s="143">
        <f t="shared" si="100"/>
        <v>0</v>
      </c>
      <c r="J221" s="144">
        <f t="shared" si="89"/>
        <v>0</v>
      </c>
      <c r="K221" s="144">
        <f t="shared" si="90"/>
        <v>0</v>
      </c>
      <c r="L221" s="169">
        <f t="shared" si="81"/>
        <v>0</v>
      </c>
      <c r="M221" s="143">
        <f t="shared" si="101"/>
        <v>0</v>
      </c>
      <c r="N221" s="144">
        <f t="shared" si="91"/>
        <v>0</v>
      </c>
      <c r="O221" s="144">
        <f t="shared" si="92"/>
        <v>0</v>
      </c>
      <c r="P221" s="169">
        <f t="shared" si="83"/>
        <v>0</v>
      </c>
      <c r="R221" s="143">
        <f t="shared" si="102"/>
        <v>0</v>
      </c>
      <c r="S221" s="144">
        <f t="shared" si="93"/>
        <v>0</v>
      </c>
      <c r="T221" s="144">
        <f t="shared" si="94"/>
        <v>0</v>
      </c>
      <c r="U221" s="169">
        <f t="shared" si="95"/>
        <v>0</v>
      </c>
      <c r="V221" s="143">
        <f t="shared" si="103"/>
        <v>0</v>
      </c>
      <c r="W221" s="144">
        <f t="shared" si="96"/>
        <v>0</v>
      </c>
      <c r="X221" s="144">
        <f t="shared" si="97"/>
        <v>0</v>
      </c>
      <c r="Y221" s="169">
        <f t="shared" si="98"/>
        <v>0</v>
      </c>
      <c r="Z221" s="151">
        <v>0</v>
      </c>
      <c r="AA221" s="151">
        <v>0</v>
      </c>
      <c r="AB221" s="151">
        <v>0</v>
      </c>
      <c r="AC221" s="151">
        <v>0</v>
      </c>
    </row>
    <row r="222" spans="1:29" s="61" customFormat="1" ht="11.25">
      <c r="A222" s="147">
        <f t="shared" si="84"/>
        <v>0</v>
      </c>
      <c r="B222" s="152">
        <f t="shared" si="85"/>
        <v>0</v>
      </c>
      <c r="C222" s="141">
        <f t="shared" si="86"/>
        <v>17</v>
      </c>
      <c r="D222" s="142">
        <v>203</v>
      </c>
      <c r="E222" s="143">
        <f t="shared" si="99"/>
        <v>0</v>
      </c>
      <c r="F222" s="144">
        <f t="shared" si="87"/>
        <v>0</v>
      </c>
      <c r="G222" s="144">
        <f t="shared" si="88"/>
        <v>0</v>
      </c>
      <c r="H222" s="169">
        <f t="shared" si="82"/>
        <v>0</v>
      </c>
      <c r="I222" s="143">
        <f t="shared" si="100"/>
        <v>0</v>
      </c>
      <c r="J222" s="144">
        <f t="shared" si="89"/>
        <v>0</v>
      </c>
      <c r="K222" s="144">
        <f t="shared" si="90"/>
        <v>0</v>
      </c>
      <c r="L222" s="169">
        <f t="shared" si="81"/>
        <v>0</v>
      </c>
      <c r="M222" s="143">
        <f t="shared" si="101"/>
        <v>0</v>
      </c>
      <c r="N222" s="144">
        <f t="shared" si="91"/>
        <v>0</v>
      </c>
      <c r="O222" s="144">
        <f t="shared" si="92"/>
        <v>0</v>
      </c>
      <c r="P222" s="169">
        <f t="shared" si="83"/>
        <v>0</v>
      </c>
      <c r="R222" s="143">
        <f t="shared" si="102"/>
        <v>0</v>
      </c>
      <c r="S222" s="144">
        <f t="shared" si="93"/>
        <v>0</v>
      </c>
      <c r="T222" s="144">
        <f t="shared" si="94"/>
        <v>0</v>
      </c>
      <c r="U222" s="169">
        <f t="shared" si="95"/>
        <v>0</v>
      </c>
      <c r="V222" s="143">
        <f t="shared" si="103"/>
        <v>0</v>
      </c>
      <c r="W222" s="144">
        <f t="shared" si="96"/>
        <v>0</v>
      </c>
      <c r="X222" s="144">
        <f t="shared" si="97"/>
        <v>0</v>
      </c>
      <c r="Y222" s="169">
        <f t="shared" si="98"/>
        <v>0</v>
      </c>
      <c r="Z222" s="151">
        <v>0</v>
      </c>
      <c r="AA222" s="151">
        <v>0</v>
      </c>
      <c r="AB222" s="151">
        <v>0</v>
      </c>
      <c r="AC222" s="151">
        <v>0</v>
      </c>
    </row>
    <row r="223" spans="1:29" s="61" customFormat="1" ht="12" thickBot="1">
      <c r="A223" s="153">
        <f t="shared" si="84"/>
        <v>0</v>
      </c>
      <c r="B223" s="154">
        <f t="shared" si="85"/>
        <v>0</v>
      </c>
      <c r="C223" s="155">
        <f t="shared" si="86"/>
        <v>17</v>
      </c>
      <c r="D223" s="156">
        <v>204</v>
      </c>
      <c r="E223" s="157">
        <f t="shared" si="99"/>
        <v>0</v>
      </c>
      <c r="F223" s="158">
        <f t="shared" si="87"/>
        <v>0</v>
      </c>
      <c r="G223" s="158">
        <f t="shared" si="88"/>
        <v>0</v>
      </c>
      <c r="H223" s="172">
        <f t="shared" si="82"/>
        <v>0</v>
      </c>
      <c r="I223" s="157">
        <f t="shared" si="100"/>
        <v>0</v>
      </c>
      <c r="J223" s="158">
        <f t="shared" si="89"/>
        <v>0</v>
      </c>
      <c r="K223" s="158">
        <f t="shared" si="90"/>
        <v>0</v>
      </c>
      <c r="L223" s="172">
        <f t="shared" si="81"/>
        <v>0</v>
      </c>
      <c r="M223" s="157">
        <f t="shared" si="101"/>
        <v>0</v>
      </c>
      <c r="N223" s="158">
        <f t="shared" si="91"/>
        <v>0</v>
      </c>
      <c r="O223" s="158">
        <f t="shared" si="92"/>
        <v>0</v>
      </c>
      <c r="P223" s="172">
        <f t="shared" si="83"/>
        <v>0</v>
      </c>
      <c r="R223" s="157">
        <f t="shared" si="102"/>
        <v>0</v>
      </c>
      <c r="S223" s="158">
        <f t="shared" si="93"/>
        <v>0</v>
      </c>
      <c r="T223" s="158">
        <f t="shared" si="94"/>
        <v>0</v>
      </c>
      <c r="U223" s="172">
        <f t="shared" si="95"/>
        <v>0</v>
      </c>
      <c r="V223" s="157">
        <f t="shared" si="103"/>
        <v>0</v>
      </c>
      <c r="W223" s="158">
        <f t="shared" si="96"/>
        <v>0</v>
      </c>
      <c r="X223" s="158">
        <f t="shared" si="97"/>
        <v>0</v>
      </c>
      <c r="Y223" s="172">
        <f t="shared" si="98"/>
        <v>0</v>
      </c>
      <c r="Z223" s="151">
        <v>0</v>
      </c>
      <c r="AA223" s="151">
        <v>0</v>
      </c>
      <c r="AB223" s="151">
        <v>0</v>
      </c>
      <c r="AC223" s="151">
        <v>0</v>
      </c>
    </row>
    <row r="224" spans="1:29" s="61" customFormat="1" ht="11.25">
      <c r="A224" s="147">
        <f t="shared" si="84"/>
        <v>0</v>
      </c>
      <c r="B224" s="152">
        <f t="shared" si="85"/>
        <v>0</v>
      </c>
      <c r="C224" s="141">
        <f t="shared" si="86"/>
        <v>18</v>
      </c>
      <c r="D224" s="142">
        <v>205</v>
      </c>
      <c r="E224" s="143">
        <f t="shared" si="99"/>
        <v>0</v>
      </c>
      <c r="F224" s="144">
        <f t="shared" si="87"/>
        <v>0</v>
      </c>
      <c r="G224" s="144">
        <f t="shared" si="88"/>
        <v>0</v>
      </c>
      <c r="H224" s="169">
        <f t="shared" si="82"/>
        <v>0</v>
      </c>
      <c r="I224" s="143">
        <f t="shared" si="100"/>
        <v>0</v>
      </c>
      <c r="J224" s="144">
        <f t="shared" si="89"/>
        <v>0</v>
      </c>
      <c r="K224" s="144">
        <f t="shared" si="90"/>
        <v>0</v>
      </c>
      <c r="L224" s="169">
        <f t="shared" si="81"/>
        <v>0</v>
      </c>
      <c r="M224" s="143">
        <f t="shared" si="101"/>
        <v>0</v>
      </c>
      <c r="N224" s="144">
        <f t="shared" si="91"/>
        <v>0</v>
      </c>
      <c r="O224" s="144">
        <f t="shared" si="92"/>
        <v>0</v>
      </c>
      <c r="P224" s="169">
        <f t="shared" si="83"/>
        <v>0</v>
      </c>
      <c r="R224" s="143">
        <f t="shared" si="102"/>
        <v>0</v>
      </c>
      <c r="S224" s="144">
        <f t="shared" si="93"/>
        <v>0</v>
      </c>
      <c r="T224" s="144">
        <f t="shared" si="94"/>
        <v>0</v>
      </c>
      <c r="U224" s="170">
        <f t="shared" si="95"/>
        <v>0</v>
      </c>
      <c r="V224" s="143">
        <f t="shared" si="103"/>
        <v>0</v>
      </c>
      <c r="W224" s="144">
        <f t="shared" si="96"/>
        <v>0</v>
      </c>
      <c r="X224" s="144">
        <f t="shared" si="97"/>
        <v>0</v>
      </c>
      <c r="Y224" s="170">
        <f t="shared" si="98"/>
        <v>0</v>
      </c>
      <c r="Z224" s="151">
        <v>0</v>
      </c>
      <c r="AA224" s="151">
        <v>0</v>
      </c>
      <c r="AB224" s="151">
        <v>0</v>
      </c>
      <c r="AC224" s="151">
        <v>0</v>
      </c>
    </row>
    <row r="225" spans="1:29" s="61" customFormat="1" ht="11.25">
      <c r="A225" s="147">
        <f t="shared" si="84"/>
        <v>0</v>
      </c>
      <c r="B225" s="152">
        <f t="shared" si="85"/>
        <v>0</v>
      </c>
      <c r="C225" s="141">
        <f t="shared" si="86"/>
        <v>18</v>
      </c>
      <c r="D225" s="142">
        <v>206</v>
      </c>
      <c r="E225" s="143">
        <f t="shared" si="99"/>
        <v>0</v>
      </c>
      <c r="F225" s="144">
        <f t="shared" si="87"/>
        <v>0</v>
      </c>
      <c r="G225" s="144">
        <f t="shared" si="88"/>
        <v>0</v>
      </c>
      <c r="H225" s="169">
        <f t="shared" si="82"/>
        <v>0</v>
      </c>
      <c r="I225" s="143">
        <f t="shared" si="100"/>
        <v>0</v>
      </c>
      <c r="J225" s="144">
        <f t="shared" si="89"/>
        <v>0</v>
      </c>
      <c r="K225" s="144">
        <f t="shared" si="90"/>
        <v>0</v>
      </c>
      <c r="L225" s="169">
        <f t="shared" si="81"/>
        <v>0</v>
      </c>
      <c r="M225" s="143">
        <f t="shared" si="101"/>
        <v>0</v>
      </c>
      <c r="N225" s="144">
        <f t="shared" si="91"/>
        <v>0</v>
      </c>
      <c r="O225" s="144">
        <f t="shared" si="92"/>
        <v>0</v>
      </c>
      <c r="P225" s="169">
        <f t="shared" si="83"/>
        <v>0</v>
      </c>
      <c r="R225" s="143">
        <f t="shared" si="102"/>
        <v>0</v>
      </c>
      <c r="S225" s="144">
        <f t="shared" si="93"/>
        <v>0</v>
      </c>
      <c r="T225" s="144">
        <f t="shared" si="94"/>
        <v>0</v>
      </c>
      <c r="U225" s="170">
        <f t="shared" si="95"/>
        <v>0</v>
      </c>
      <c r="V225" s="143">
        <f t="shared" si="103"/>
        <v>0</v>
      </c>
      <c r="W225" s="144">
        <f t="shared" si="96"/>
        <v>0</v>
      </c>
      <c r="X225" s="144">
        <f t="shared" si="97"/>
        <v>0</v>
      </c>
      <c r="Y225" s="170">
        <f t="shared" si="98"/>
        <v>0</v>
      </c>
      <c r="Z225" s="151">
        <v>0</v>
      </c>
      <c r="AA225" s="151">
        <v>0</v>
      </c>
      <c r="AB225" s="151">
        <v>0</v>
      </c>
      <c r="AC225" s="151">
        <v>0</v>
      </c>
    </row>
    <row r="226" spans="1:29" s="61" customFormat="1" ht="11.25">
      <c r="A226" s="147">
        <f t="shared" si="84"/>
        <v>0</v>
      </c>
      <c r="B226" s="152">
        <f t="shared" si="85"/>
        <v>0</v>
      </c>
      <c r="C226" s="141">
        <f t="shared" si="86"/>
        <v>18</v>
      </c>
      <c r="D226" s="142">
        <v>207</v>
      </c>
      <c r="E226" s="143">
        <f t="shared" si="99"/>
        <v>0</v>
      </c>
      <c r="F226" s="144">
        <f t="shared" si="87"/>
        <v>0</v>
      </c>
      <c r="G226" s="144">
        <f t="shared" si="88"/>
        <v>0</v>
      </c>
      <c r="H226" s="169">
        <f t="shared" si="82"/>
        <v>0</v>
      </c>
      <c r="I226" s="143">
        <f t="shared" si="100"/>
        <v>0</v>
      </c>
      <c r="J226" s="144">
        <f t="shared" si="89"/>
        <v>0</v>
      </c>
      <c r="K226" s="144">
        <f t="shared" si="90"/>
        <v>0</v>
      </c>
      <c r="L226" s="169">
        <f t="shared" si="81"/>
        <v>0</v>
      </c>
      <c r="M226" s="143">
        <f t="shared" si="101"/>
        <v>0</v>
      </c>
      <c r="N226" s="144">
        <f t="shared" si="91"/>
        <v>0</v>
      </c>
      <c r="O226" s="144">
        <f t="shared" si="92"/>
        <v>0</v>
      </c>
      <c r="P226" s="169">
        <f t="shared" si="83"/>
        <v>0</v>
      </c>
      <c r="R226" s="143">
        <f t="shared" si="102"/>
        <v>0</v>
      </c>
      <c r="S226" s="144">
        <f t="shared" si="93"/>
        <v>0</v>
      </c>
      <c r="T226" s="144">
        <f t="shared" si="94"/>
        <v>0</v>
      </c>
      <c r="U226" s="170">
        <f t="shared" si="95"/>
        <v>0</v>
      </c>
      <c r="V226" s="143">
        <f t="shared" si="103"/>
        <v>0</v>
      </c>
      <c r="W226" s="144">
        <f t="shared" si="96"/>
        <v>0</v>
      </c>
      <c r="X226" s="144">
        <f t="shared" si="97"/>
        <v>0</v>
      </c>
      <c r="Y226" s="170">
        <f t="shared" si="98"/>
        <v>0</v>
      </c>
      <c r="Z226" s="151">
        <v>0</v>
      </c>
      <c r="AA226" s="151">
        <v>0</v>
      </c>
      <c r="AB226" s="151">
        <v>0</v>
      </c>
      <c r="AC226" s="151">
        <v>0</v>
      </c>
    </row>
    <row r="227" spans="1:29" s="61" customFormat="1" ht="11.25">
      <c r="A227" s="147">
        <f t="shared" si="84"/>
        <v>0</v>
      </c>
      <c r="B227" s="152">
        <f t="shared" si="85"/>
        <v>0</v>
      </c>
      <c r="C227" s="141">
        <f t="shared" si="86"/>
        <v>18</v>
      </c>
      <c r="D227" s="142">
        <v>208</v>
      </c>
      <c r="E227" s="143">
        <f t="shared" si="99"/>
        <v>0</v>
      </c>
      <c r="F227" s="144">
        <f t="shared" si="87"/>
        <v>0</v>
      </c>
      <c r="G227" s="144">
        <f t="shared" si="88"/>
        <v>0</v>
      </c>
      <c r="H227" s="169">
        <f t="shared" si="82"/>
        <v>0</v>
      </c>
      <c r="I227" s="143">
        <f t="shared" si="100"/>
        <v>0</v>
      </c>
      <c r="J227" s="144">
        <f t="shared" si="89"/>
        <v>0</v>
      </c>
      <c r="K227" s="144">
        <f t="shared" si="90"/>
        <v>0</v>
      </c>
      <c r="L227" s="169">
        <f t="shared" si="81"/>
        <v>0</v>
      </c>
      <c r="M227" s="143">
        <f t="shared" si="101"/>
        <v>0</v>
      </c>
      <c r="N227" s="144">
        <f t="shared" si="91"/>
        <v>0</v>
      </c>
      <c r="O227" s="144">
        <f t="shared" si="92"/>
        <v>0</v>
      </c>
      <c r="P227" s="169">
        <f t="shared" si="83"/>
        <v>0</v>
      </c>
      <c r="R227" s="143">
        <f t="shared" si="102"/>
        <v>0</v>
      </c>
      <c r="S227" s="144">
        <f t="shared" si="93"/>
        <v>0</v>
      </c>
      <c r="T227" s="144">
        <f t="shared" si="94"/>
        <v>0</v>
      </c>
      <c r="U227" s="170">
        <f t="shared" si="95"/>
        <v>0</v>
      </c>
      <c r="V227" s="143">
        <f t="shared" si="103"/>
        <v>0</v>
      </c>
      <c r="W227" s="144">
        <f t="shared" si="96"/>
        <v>0</v>
      </c>
      <c r="X227" s="144">
        <f t="shared" si="97"/>
        <v>0</v>
      </c>
      <c r="Y227" s="170">
        <f t="shared" si="98"/>
        <v>0</v>
      </c>
      <c r="Z227" s="151">
        <v>0</v>
      </c>
      <c r="AA227" s="151">
        <v>0</v>
      </c>
      <c r="AB227" s="151">
        <v>0</v>
      </c>
      <c r="AC227" s="151">
        <v>0</v>
      </c>
    </row>
    <row r="228" spans="1:29" s="61" customFormat="1" ht="11.25">
      <c r="A228" s="147">
        <f t="shared" si="84"/>
        <v>0</v>
      </c>
      <c r="B228" s="152">
        <f t="shared" si="85"/>
        <v>0</v>
      </c>
      <c r="C228" s="141">
        <f t="shared" si="86"/>
        <v>18</v>
      </c>
      <c r="D228" s="142">
        <v>209</v>
      </c>
      <c r="E228" s="143">
        <f t="shared" si="99"/>
        <v>0</v>
      </c>
      <c r="F228" s="144">
        <f t="shared" si="87"/>
        <v>0</v>
      </c>
      <c r="G228" s="144">
        <f t="shared" si="88"/>
        <v>0</v>
      </c>
      <c r="H228" s="169">
        <f t="shared" si="82"/>
        <v>0</v>
      </c>
      <c r="I228" s="143">
        <f t="shared" si="100"/>
        <v>0</v>
      </c>
      <c r="J228" s="144">
        <f t="shared" si="89"/>
        <v>0</v>
      </c>
      <c r="K228" s="144">
        <f t="shared" si="90"/>
        <v>0</v>
      </c>
      <c r="L228" s="169">
        <f t="shared" si="81"/>
        <v>0</v>
      </c>
      <c r="M228" s="143">
        <f t="shared" si="101"/>
        <v>0</v>
      </c>
      <c r="N228" s="144">
        <f t="shared" si="91"/>
        <v>0</v>
      </c>
      <c r="O228" s="144">
        <f t="shared" si="92"/>
        <v>0</v>
      </c>
      <c r="P228" s="169">
        <f t="shared" si="83"/>
        <v>0</v>
      </c>
      <c r="R228" s="143">
        <f t="shared" si="102"/>
        <v>0</v>
      </c>
      <c r="S228" s="144">
        <f t="shared" si="93"/>
        <v>0</v>
      </c>
      <c r="T228" s="144">
        <f t="shared" si="94"/>
        <v>0</v>
      </c>
      <c r="U228" s="170">
        <f t="shared" si="95"/>
        <v>0</v>
      </c>
      <c r="V228" s="143">
        <f t="shared" si="103"/>
        <v>0</v>
      </c>
      <c r="W228" s="144">
        <f t="shared" si="96"/>
        <v>0</v>
      </c>
      <c r="X228" s="144">
        <f t="shared" si="97"/>
        <v>0</v>
      </c>
      <c r="Y228" s="170">
        <f t="shared" si="98"/>
        <v>0</v>
      </c>
      <c r="Z228" s="151">
        <v>0</v>
      </c>
      <c r="AA228" s="151">
        <v>0</v>
      </c>
      <c r="AB228" s="151">
        <v>0</v>
      </c>
      <c r="AC228" s="151">
        <v>0</v>
      </c>
    </row>
    <row r="229" spans="1:29" s="61" customFormat="1" ht="11.25">
      <c r="A229" s="147">
        <f t="shared" si="84"/>
        <v>0</v>
      </c>
      <c r="B229" s="152">
        <f t="shared" si="85"/>
        <v>0</v>
      </c>
      <c r="C229" s="141">
        <f t="shared" si="86"/>
        <v>18</v>
      </c>
      <c r="D229" s="142">
        <v>210</v>
      </c>
      <c r="E229" s="143">
        <f t="shared" si="99"/>
        <v>0</v>
      </c>
      <c r="F229" s="144">
        <f t="shared" si="87"/>
        <v>0</v>
      </c>
      <c r="G229" s="144">
        <f t="shared" si="88"/>
        <v>0</v>
      </c>
      <c r="H229" s="169">
        <f t="shared" si="82"/>
        <v>0</v>
      </c>
      <c r="I229" s="143">
        <f t="shared" si="100"/>
        <v>0</v>
      </c>
      <c r="J229" s="144">
        <f t="shared" si="89"/>
        <v>0</v>
      </c>
      <c r="K229" s="144">
        <f t="shared" si="90"/>
        <v>0</v>
      </c>
      <c r="L229" s="169">
        <f t="shared" si="81"/>
        <v>0</v>
      </c>
      <c r="M229" s="143">
        <f t="shared" si="101"/>
        <v>0</v>
      </c>
      <c r="N229" s="144">
        <f t="shared" si="91"/>
        <v>0</v>
      </c>
      <c r="O229" s="144">
        <f t="shared" si="92"/>
        <v>0</v>
      </c>
      <c r="P229" s="169">
        <f t="shared" si="83"/>
        <v>0</v>
      </c>
      <c r="R229" s="143">
        <f t="shared" si="102"/>
        <v>0</v>
      </c>
      <c r="S229" s="144">
        <f t="shared" si="93"/>
        <v>0</v>
      </c>
      <c r="T229" s="144">
        <f t="shared" si="94"/>
        <v>0</v>
      </c>
      <c r="U229" s="170">
        <f t="shared" si="95"/>
        <v>0</v>
      </c>
      <c r="V229" s="143">
        <f t="shared" si="103"/>
        <v>0</v>
      </c>
      <c r="W229" s="144">
        <f t="shared" si="96"/>
        <v>0</v>
      </c>
      <c r="X229" s="144">
        <f t="shared" si="97"/>
        <v>0</v>
      </c>
      <c r="Y229" s="170">
        <f t="shared" si="98"/>
        <v>0</v>
      </c>
      <c r="Z229" s="151">
        <v>0</v>
      </c>
      <c r="AA229" s="151">
        <v>0</v>
      </c>
      <c r="AB229" s="151">
        <v>0</v>
      </c>
      <c r="AC229" s="151">
        <v>0</v>
      </c>
    </row>
    <row r="230" spans="1:29" s="61" customFormat="1" ht="11.25">
      <c r="A230" s="147">
        <f t="shared" si="84"/>
        <v>0</v>
      </c>
      <c r="B230" s="152">
        <f t="shared" si="85"/>
        <v>0</v>
      </c>
      <c r="C230" s="141">
        <f t="shared" si="86"/>
        <v>18</v>
      </c>
      <c r="D230" s="142">
        <v>211</v>
      </c>
      <c r="E230" s="143">
        <f t="shared" si="99"/>
        <v>0</v>
      </c>
      <c r="F230" s="144">
        <f t="shared" si="87"/>
        <v>0</v>
      </c>
      <c r="G230" s="144">
        <f t="shared" si="88"/>
        <v>0</v>
      </c>
      <c r="H230" s="169">
        <f t="shared" si="82"/>
        <v>0</v>
      </c>
      <c r="I230" s="143">
        <f t="shared" si="100"/>
        <v>0</v>
      </c>
      <c r="J230" s="144">
        <f t="shared" si="89"/>
        <v>0</v>
      </c>
      <c r="K230" s="144">
        <f t="shared" si="90"/>
        <v>0</v>
      </c>
      <c r="L230" s="169">
        <f t="shared" si="81"/>
        <v>0</v>
      </c>
      <c r="M230" s="143">
        <f t="shared" si="101"/>
        <v>0</v>
      </c>
      <c r="N230" s="144">
        <f t="shared" si="91"/>
        <v>0</v>
      </c>
      <c r="O230" s="144">
        <f t="shared" si="92"/>
        <v>0</v>
      </c>
      <c r="P230" s="169">
        <f t="shared" si="83"/>
        <v>0</v>
      </c>
      <c r="R230" s="143">
        <f t="shared" si="102"/>
        <v>0</v>
      </c>
      <c r="S230" s="144">
        <f t="shared" si="93"/>
        <v>0</v>
      </c>
      <c r="T230" s="144">
        <f t="shared" si="94"/>
        <v>0</v>
      </c>
      <c r="U230" s="170">
        <f t="shared" si="95"/>
        <v>0</v>
      </c>
      <c r="V230" s="143">
        <f t="shared" si="103"/>
        <v>0</v>
      </c>
      <c r="W230" s="144">
        <f t="shared" si="96"/>
        <v>0</v>
      </c>
      <c r="X230" s="144">
        <f t="shared" si="97"/>
        <v>0</v>
      </c>
      <c r="Y230" s="170">
        <f t="shared" si="98"/>
        <v>0</v>
      </c>
      <c r="Z230" s="151">
        <v>0</v>
      </c>
      <c r="AA230" s="151">
        <v>0</v>
      </c>
      <c r="AB230" s="151">
        <v>0</v>
      </c>
      <c r="AC230" s="151">
        <v>0</v>
      </c>
    </row>
    <row r="231" spans="1:29" s="61" customFormat="1" ht="11.25">
      <c r="A231" s="147">
        <f t="shared" si="84"/>
        <v>0</v>
      </c>
      <c r="B231" s="152">
        <f t="shared" si="85"/>
        <v>0</v>
      </c>
      <c r="C231" s="141">
        <f t="shared" si="86"/>
        <v>18</v>
      </c>
      <c r="D231" s="142">
        <v>212</v>
      </c>
      <c r="E231" s="143">
        <f t="shared" si="99"/>
        <v>0</v>
      </c>
      <c r="F231" s="144">
        <f t="shared" si="87"/>
        <v>0</v>
      </c>
      <c r="G231" s="144">
        <f t="shared" si="88"/>
        <v>0</v>
      </c>
      <c r="H231" s="169">
        <f t="shared" si="82"/>
        <v>0</v>
      </c>
      <c r="I231" s="143">
        <f t="shared" si="100"/>
        <v>0</v>
      </c>
      <c r="J231" s="144">
        <f t="shared" si="89"/>
        <v>0</v>
      </c>
      <c r="K231" s="144">
        <f t="shared" si="90"/>
        <v>0</v>
      </c>
      <c r="L231" s="169">
        <f t="shared" si="81"/>
        <v>0</v>
      </c>
      <c r="M231" s="143">
        <f t="shared" si="101"/>
        <v>0</v>
      </c>
      <c r="N231" s="144">
        <f t="shared" si="91"/>
        <v>0</v>
      </c>
      <c r="O231" s="144">
        <f t="shared" si="92"/>
        <v>0</v>
      </c>
      <c r="P231" s="169">
        <f t="shared" si="83"/>
        <v>0</v>
      </c>
      <c r="R231" s="143">
        <f t="shared" si="102"/>
        <v>0</v>
      </c>
      <c r="S231" s="144">
        <f t="shared" si="93"/>
        <v>0</v>
      </c>
      <c r="T231" s="144">
        <f t="shared" si="94"/>
        <v>0</v>
      </c>
      <c r="U231" s="170">
        <f t="shared" si="95"/>
        <v>0</v>
      </c>
      <c r="V231" s="143">
        <f t="shared" si="103"/>
        <v>0</v>
      </c>
      <c r="W231" s="144">
        <f t="shared" si="96"/>
        <v>0</v>
      </c>
      <c r="X231" s="144">
        <f t="shared" si="97"/>
        <v>0</v>
      </c>
      <c r="Y231" s="170">
        <f t="shared" si="98"/>
        <v>0</v>
      </c>
      <c r="Z231" s="151">
        <v>0</v>
      </c>
      <c r="AA231" s="151">
        <v>0</v>
      </c>
      <c r="AB231" s="151">
        <v>0</v>
      </c>
      <c r="AC231" s="151">
        <v>0</v>
      </c>
    </row>
    <row r="232" spans="1:29" s="61" customFormat="1" ht="11.25">
      <c r="A232" s="147">
        <f t="shared" si="84"/>
        <v>0</v>
      </c>
      <c r="B232" s="152">
        <f t="shared" si="85"/>
        <v>0</v>
      </c>
      <c r="C232" s="141">
        <f t="shared" si="86"/>
        <v>18</v>
      </c>
      <c r="D232" s="142">
        <v>213</v>
      </c>
      <c r="E232" s="143">
        <f t="shared" si="99"/>
        <v>0</v>
      </c>
      <c r="F232" s="144">
        <f t="shared" si="87"/>
        <v>0</v>
      </c>
      <c r="G232" s="144">
        <f t="shared" si="88"/>
        <v>0</v>
      </c>
      <c r="H232" s="169">
        <f t="shared" si="82"/>
        <v>0</v>
      </c>
      <c r="I232" s="143">
        <f t="shared" si="100"/>
        <v>0</v>
      </c>
      <c r="J232" s="144">
        <f t="shared" si="89"/>
        <v>0</v>
      </c>
      <c r="K232" s="144">
        <f t="shared" si="90"/>
        <v>0</v>
      </c>
      <c r="L232" s="169">
        <f t="shared" si="81"/>
        <v>0</v>
      </c>
      <c r="M232" s="143">
        <f t="shared" si="101"/>
        <v>0</v>
      </c>
      <c r="N232" s="144">
        <f t="shared" si="91"/>
        <v>0</v>
      </c>
      <c r="O232" s="144">
        <f t="shared" si="92"/>
        <v>0</v>
      </c>
      <c r="P232" s="169">
        <f t="shared" si="83"/>
        <v>0</v>
      </c>
      <c r="R232" s="143">
        <f t="shared" si="102"/>
        <v>0</v>
      </c>
      <c r="S232" s="144">
        <f t="shared" si="93"/>
        <v>0</v>
      </c>
      <c r="T232" s="144">
        <f t="shared" si="94"/>
        <v>0</v>
      </c>
      <c r="U232" s="170">
        <f t="shared" si="95"/>
        <v>0</v>
      </c>
      <c r="V232" s="143">
        <f t="shared" si="103"/>
        <v>0</v>
      </c>
      <c r="W232" s="144">
        <f t="shared" si="96"/>
        <v>0</v>
      </c>
      <c r="X232" s="144">
        <f t="shared" si="97"/>
        <v>0</v>
      </c>
      <c r="Y232" s="170">
        <f t="shared" si="98"/>
        <v>0</v>
      </c>
      <c r="Z232" s="151">
        <v>0</v>
      </c>
      <c r="AA232" s="151">
        <v>0</v>
      </c>
      <c r="AB232" s="151">
        <v>0</v>
      </c>
      <c r="AC232" s="151">
        <v>0</v>
      </c>
    </row>
    <row r="233" spans="1:29" s="61" customFormat="1" ht="11.25">
      <c r="A233" s="147">
        <f t="shared" si="84"/>
        <v>0</v>
      </c>
      <c r="B233" s="152">
        <f t="shared" si="85"/>
        <v>0</v>
      </c>
      <c r="C233" s="141">
        <f t="shared" si="86"/>
        <v>18</v>
      </c>
      <c r="D233" s="142">
        <v>214</v>
      </c>
      <c r="E233" s="143">
        <f t="shared" si="99"/>
        <v>0</v>
      </c>
      <c r="F233" s="144">
        <f t="shared" si="87"/>
        <v>0</v>
      </c>
      <c r="G233" s="144">
        <f t="shared" si="88"/>
        <v>0</v>
      </c>
      <c r="H233" s="169">
        <f t="shared" si="82"/>
        <v>0</v>
      </c>
      <c r="I233" s="143">
        <f t="shared" si="100"/>
        <v>0</v>
      </c>
      <c r="J233" s="144">
        <f t="shared" si="89"/>
        <v>0</v>
      </c>
      <c r="K233" s="144">
        <f t="shared" si="90"/>
        <v>0</v>
      </c>
      <c r="L233" s="169">
        <f t="shared" si="81"/>
        <v>0</v>
      </c>
      <c r="M233" s="143">
        <f t="shared" si="101"/>
        <v>0</v>
      </c>
      <c r="N233" s="144">
        <f t="shared" si="91"/>
        <v>0</v>
      </c>
      <c r="O233" s="144">
        <f t="shared" si="92"/>
        <v>0</v>
      </c>
      <c r="P233" s="169">
        <f t="shared" si="83"/>
        <v>0</v>
      </c>
      <c r="R233" s="143">
        <f t="shared" si="102"/>
        <v>0</v>
      </c>
      <c r="S233" s="144">
        <f t="shared" si="93"/>
        <v>0</v>
      </c>
      <c r="T233" s="144">
        <f t="shared" si="94"/>
        <v>0</v>
      </c>
      <c r="U233" s="170">
        <f t="shared" si="95"/>
        <v>0</v>
      </c>
      <c r="V233" s="143">
        <f t="shared" si="103"/>
        <v>0</v>
      </c>
      <c r="W233" s="144">
        <f t="shared" si="96"/>
        <v>0</v>
      </c>
      <c r="X233" s="144">
        <f t="shared" si="97"/>
        <v>0</v>
      </c>
      <c r="Y233" s="170">
        <f t="shared" si="98"/>
        <v>0</v>
      </c>
      <c r="Z233" s="151">
        <v>0</v>
      </c>
      <c r="AA233" s="151">
        <v>0</v>
      </c>
      <c r="AB233" s="151">
        <v>0</v>
      </c>
      <c r="AC233" s="151">
        <v>0</v>
      </c>
    </row>
    <row r="234" spans="1:29" s="61" customFormat="1" ht="11.25">
      <c r="A234" s="147">
        <f t="shared" si="84"/>
        <v>0</v>
      </c>
      <c r="B234" s="152">
        <f t="shared" si="85"/>
        <v>0</v>
      </c>
      <c r="C234" s="141">
        <f t="shared" si="86"/>
        <v>18</v>
      </c>
      <c r="D234" s="142">
        <v>215</v>
      </c>
      <c r="E234" s="143">
        <f t="shared" si="99"/>
        <v>0</v>
      </c>
      <c r="F234" s="144">
        <f t="shared" si="87"/>
        <v>0</v>
      </c>
      <c r="G234" s="144">
        <f t="shared" si="88"/>
        <v>0</v>
      </c>
      <c r="H234" s="169">
        <f t="shared" si="82"/>
        <v>0</v>
      </c>
      <c r="I234" s="143">
        <f t="shared" si="100"/>
        <v>0</v>
      </c>
      <c r="J234" s="144">
        <f t="shared" si="89"/>
        <v>0</v>
      </c>
      <c r="K234" s="144">
        <f t="shared" si="90"/>
        <v>0</v>
      </c>
      <c r="L234" s="169">
        <f t="shared" si="81"/>
        <v>0</v>
      </c>
      <c r="M234" s="143">
        <f t="shared" si="101"/>
        <v>0</v>
      </c>
      <c r="N234" s="144">
        <f t="shared" si="91"/>
        <v>0</v>
      </c>
      <c r="O234" s="144">
        <f t="shared" si="92"/>
        <v>0</v>
      </c>
      <c r="P234" s="169">
        <f t="shared" si="83"/>
        <v>0</v>
      </c>
      <c r="R234" s="143">
        <f t="shared" si="102"/>
        <v>0</v>
      </c>
      <c r="S234" s="144">
        <f t="shared" si="93"/>
        <v>0</v>
      </c>
      <c r="T234" s="144">
        <f t="shared" si="94"/>
        <v>0</v>
      </c>
      <c r="U234" s="170">
        <f t="shared" si="95"/>
        <v>0</v>
      </c>
      <c r="V234" s="143">
        <f t="shared" si="103"/>
        <v>0</v>
      </c>
      <c r="W234" s="144">
        <f t="shared" si="96"/>
        <v>0</v>
      </c>
      <c r="X234" s="144">
        <f t="shared" si="97"/>
        <v>0</v>
      </c>
      <c r="Y234" s="170">
        <f t="shared" si="98"/>
        <v>0</v>
      </c>
      <c r="Z234" s="151">
        <v>0</v>
      </c>
      <c r="AA234" s="151">
        <v>0</v>
      </c>
      <c r="AB234" s="151">
        <v>0</v>
      </c>
      <c r="AC234" s="151">
        <v>0</v>
      </c>
    </row>
    <row r="235" spans="1:29" s="61" customFormat="1" ht="12" thickBot="1">
      <c r="A235" s="153">
        <f t="shared" si="84"/>
        <v>0</v>
      </c>
      <c r="B235" s="154">
        <f t="shared" si="85"/>
        <v>0</v>
      </c>
      <c r="C235" s="155">
        <f t="shared" si="86"/>
        <v>18</v>
      </c>
      <c r="D235" s="156">
        <v>216</v>
      </c>
      <c r="E235" s="157">
        <f t="shared" si="99"/>
        <v>0</v>
      </c>
      <c r="F235" s="158">
        <f t="shared" si="87"/>
        <v>0</v>
      </c>
      <c r="G235" s="158">
        <f t="shared" si="88"/>
        <v>0</v>
      </c>
      <c r="H235" s="172">
        <f t="shared" si="82"/>
        <v>0</v>
      </c>
      <c r="I235" s="157">
        <f t="shared" si="100"/>
        <v>0</v>
      </c>
      <c r="J235" s="158">
        <f t="shared" si="89"/>
        <v>0</v>
      </c>
      <c r="K235" s="158">
        <f t="shared" si="90"/>
        <v>0</v>
      </c>
      <c r="L235" s="172">
        <f t="shared" si="81"/>
        <v>0</v>
      </c>
      <c r="M235" s="157">
        <f t="shared" si="101"/>
        <v>0</v>
      </c>
      <c r="N235" s="158">
        <f t="shared" si="91"/>
        <v>0</v>
      </c>
      <c r="O235" s="158">
        <f t="shared" si="92"/>
        <v>0</v>
      </c>
      <c r="P235" s="172">
        <f t="shared" si="83"/>
        <v>0</v>
      </c>
      <c r="R235" s="157">
        <f t="shared" si="102"/>
        <v>0</v>
      </c>
      <c r="S235" s="158">
        <f t="shared" si="93"/>
        <v>0</v>
      </c>
      <c r="T235" s="158">
        <f t="shared" si="94"/>
        <v>0</v>
      </c>
      <c r="U235" s="173">
        <f t="shared" si="95"/>
        <v>0</v>
      </c>
      <c r="V235" s="157">
        <f t="shared" si="103"/>
        <v>0</v>
      </c>
      <c r="W235" s="158">
        <f t="shared" si="96"/>
        <v>0</v>
      </c>
      <c r="X235" s="158">
        <f t="shared" si="97"/>
        <v>0</v>
      </c>
      <c r="Y235" s="173">
        <f t="shared" si="98"/>
        <v>0</v>
      </c>
      <c r="Z235" s="151">
        <v>0</v>
      </c>
      <c r="AA235" s="151">
        <v>0</v>
      </c>
      <c r="AB235" s="151">
        <v>0</v>
      </c>
      <c r="AC235" s="151">
        <v>0</v>
      </c>
    </row>
    <row r="236" spans="1:29" s="61" customFormat="1" ht="11.25">
      <c r="A236" s="147">
        <f t="shared" si="84"/>
        <v>0</v>
      </c>
      <c r="B236" s="152">
        <f t="shared" si="85"/>
        <v>0</v>
      </c>
      <c r="C236" s="141">
        <f t="shared" si="86"/>
        <v>19</v>
      </c>
      <c r="D236" s="142">
        <v>217</v>
      </c>
      <c r="E236" s="143">
        <f t="shared" si="99"/>
        <v>0</v>
      </c>
      <c r="F236" s="144">
        <f t="shared" si="87"/>
        <v>0</v>
      </c>
      <c r="G236" s="144">
        <f t="shared" si="88"/>
        <v>0</v>
      </c>
      <c r="H236" s="169">
        <f t="shared" si="82"/>
        <v>0</v>
      </c>
      <c r="I236" s="143">
        <f t="shared" si="100"/>
        <v>0</v>
      </c>
      <c r="J236" s="144">
        <f t="shared" si="89"/>
        <v>0</v>
      </c>
      <c r="K236" s="144">
        <f t="shared" si="90"/>
        <v>0</v>
      </c>
      <c r="L236" s="169">
        <f t="shared" si="81"/>
        <v>0</v>
      </c>
      <c r="M236" s="143">
        <f t="shared" si="101"/>
        <v>0</v>
      </c>
      <c r="N236" s="144">
        <f t="shared" si="91"/>
        <v>0</v>
      </c>
      <c r="O236" s="144">
        <f t="shared" si="92"/>
        <v>0</v>
      </c>
      <c r="P236" s="169">
        <f t="shared" si="83"/>
        <v>0</v>
      </c>
      <c r="R236" s="143">
        <f t="shared" si="102"/>
        <v>0</v>
      </c>
      <c r="S236" s="144">
        <f t="shared" si="93"/>
        <v>0</v>
      </c>
      <c r="T236" s="144">
        <f t="shared" si="94"/>
        <v>0</v>
      </c>
      <c r="U236" s="169">
        <f t="shared" si="95"/>
        <v>0</v>
      </c>
      <c r="V236" s="143">
        <f t="shared" si="103"/>
        <v>0</v>
      </c>
      <c r="W236" s="144">
        <f t="shared" si="96"/>
        <v>0</v>
      </c>
      <c r="X236" s="144">
        <f t="shared" si="97"/>
        <v>0</v>
      </c>
      <c r="Y236" s="169">
        <f t="shared" si="98"/>
        <v>0</v>
      </c>
      <c r="Z236" s="151">
        <v>0</v>
      </c>
      <c r="AA236" s="151">
        <v>0</v>
      </c>
      <c r="AB236" s="151">
        <v>0</v>
      </c>
      <c r="AC236" s="151">
        <v>0</v>
      </c>
    </row>
    <row r="237" spans="1:29" s="61" customFormat="1" ht="11.25">
      <c r="A237" s="147">
        <f t="shared" si="84"/>
        <v>0</v>
      </c>
      <c r="B237" s="152">
        <f t="shared" si="85"/>
        <v>0</v>
      </c>
      <c r="C237" s="141">
        <f t="shared" si="86"/>
        <v>19</v>
      </c>
      <c r="D237" s="142">
        <v>218</v>
      </c>
      <c r="E237" s="143">
        <f t="shared" si="99"/>
        <v>0</v>
      </c>
      <c r="F237" s="144">
        <f t="shared" si="87"/>
        <v>0</v>
      </c>
      <c r="G237" s="144">
        <f t="shared" si="88"/>
        <v>0</v>
      </c>
      <c r="H237" s="169">
        <f t="shared" si="82"/>
        <v>0</v>
      </c>
      <c r="I237" s="143">
        <f t="shared" si="100"/>
        <v>0</v>
      </c>
      <c r="J237" s="144">
        <f t="shared" si="89"/>
        <v>0</v>
      </c>
      <c r="K237" s="144">
        <f t="shared" si="90"/>
        <v>0</v>
      </c>
      <c r="L237" s="169">
        <f t="shared" si="81"/>
        <v>0</v>
      </c>
      <c r="M237" s="143">
        <f t="shared" si="101"/>
        <v>0</v>
      </c>
      <c r="N237" s="144">
        <f t="shared" si="91"/>
        <v>0</v>
      </c>
      <c r="O237" s="144">
        <f t="shared" si="92"/>
        <v>0</v>
      </c>
      <c r="P237" s="169">
        <f t="shared" si="83"/>
        <v>0</v>
      </c>
      <c r="R237" s="143">
        <f t="shared" si="102"/>
        <v>0</v>
      </c>
      <c r="S237" s="144">
        <f t="shared" si="93"/>
        <v>0</v>
      </c>
      <c r="T237" s="144">
        <f t="shared" si="94"/>
        <v>0</v>
      </c>
      <c r="U237" s="169">
        <f t="shared" si="95"/>
        <v>0</v>
      </c>
      <c r="V237" s="143">
        <f t="shared" si="103"/>
        <v>0</v>
      </c>
      <c r="W237" s="144">
        <f t="shared" si="96"/>
        <v>0</v>
      </c>
      <c r="X237" s="144">
        <f t="shared" si="97"/>
        <v>0</v>
      </c>
      <c r="Y237" s="169">
        <f t="shared" si="98"/>
        <v>0</v>
      </c>
      <c r="Z237" s="151">
        <v>0</v>
      </c>
      <c r="AA237" s="151">
        <v>0</v>
      </c>
      <c r="AB237" s="151">
        <v>0</v>
      </c>
      <c r="AC237" s="151">
        <v>0</v>
      </c>
    </row>
    <row r="238" spans="1:29" s="61" customFormat="1" ht="11.25">
      <c r="A238" s="147">
        <f t="shared" si="84"/>
        <v>0</v>
      </c>
      <c r="B238" s="152">
        <f t="shared" si="85"/>
        <v>0</v>
      </c>
      <c r="C238" s="141">
        <f t="shared" si="86"/>
        <v>19</v>
      </c>
      <c r="D238" s="142">
        <v>219</v>
      </c>
      <c r="E238" s="143">
        <f t="shared" si="99"/>
        <v>0</v>
      </c>
      <c r="F238" s="144">
        <f t="shared" si="87"/>
        <v>0</v>
      </c>
      <c r="G238" s="144">
        <f t="shared" si="88"/>
        <v>0</v>
      </c>
      <c r="H238" s="169">
        <f t="shared" si="82"/>
        <v>0</v>
      </c>
      <c r="I238" s="143">
        <f t="shared" si="100"/>
        <v>0</v>
      </c>
      <c r="J238" s="144">
        <f t="shared" si="89"/>
        <v>0</v>
      </c>
      <c r="K238" s="144">
        <f t="shared" si="90"/>
        <v>0</v>
      </c>
      <c r="L238" s="169">
        <f t="shared" si="81"/>
        <v>0</v>
      </c>
      <c r="M238" s="143">
        <f t="shared" si="101"/>
        <v>0</v>
      </c>
      <c r="N238" s="144">
        <f t="shared" si="91"/>
        <v>0</v>
      </c>
      <c r="O238" s="144">
        <f t="shared" si="92"/>
        <v>0</v>
      </c>
      <c r="P238" s="169">
        <f t="shared" si="83"/>
        <v>0</v>
      </c>
      <c r="R238" s="143">
        <f t="shared" si="102"/>
        <v>0</v>
      </c>
      <c r="S238" s="144">
        <f t="shared" si="93"/>
        <v>0</v>
      </c>
      <c r="T238" s="144">
        <f t="shared" si="94"/>
        <v>0</v>
      </c>
      <c r="U238" s="169">
        <f t="shared" si="95"/>
        <v>0</v>
      </c>
      <c r="V238" s="143">
        <f t="shared" si="103"/>
        <v>0</v>
      </c>
      <c r="W238" s="144">
        <f t="shared" si="96"/>
        <v>0</v>
      </c>
      <c r="X238" s="144">
        <f t="shared" si="97"/>
        <v>0</v>
      </c>
      <c r="Y238" s="169">
        <f t="shared" si="98"/>
        <v>0</v>
      </c>
      <c r="Z238" s="151">
        <v>0</v>
      </c>
      <c r="AA238" s="151">
        <v>0</v>
      </c>
      <c r="AB238" s="151">
        <v>0</v>
      </c>
      <c r="AC238" s="151">
        <v>0</v>
      </c>
    </row>
    <row r="239" spans="1:29" s="61" customFormat="1" ht="11.25">
      <c r="A239" s="147">
        <f t="shared" si="84"/>
        <v>0</v>
      </c>
      <c r="B239" s="152">
        <f t="shared" si="85"/>
        <v>0</v>
      </c>
      <c r="C239" s="141">
        <f t="shared" si="86"/>
        <v>19</v>
      </c>
      <c r="D239" s="142">
        <v>220</v>
      </c>
      <c r="E239" s="143">
        <f t="shared" si="99"/>
        <v>0</v>
      </c>
      <c r="F239" s="144">
        <f t="shared" si="87"/>
        <v>0</v>
      </c>
      <c r="G239" s="144">
        <f t="shared" si="88"/>
        <v>0</v>
      </c>
      <c r="H239" s="169">
        <f t="shared" si="82"/>
        <v>0</v>
      </c>
      <c r="I239" s="143">
        <f t="shared" si="100"/>
        <v>0</v>
      </c>
      <c r="J239" s="144">
        <f t="shared" si="89"/>
        <v>0</v>
      </c>
      <c r="K239" s="144">
        <f t="shared" si="90"/>
        <v>0</v>
      </c>
      <c r="L239" s="169">
        <f t="shared" si="81"/>
        <v>0</v>
      </c>
      <c r="M239" s="143">
        <f t="shared" si="101"/>
        <v>0</v>
      </c>
      <c r="N239" s="144">
        <f t="shared" si="91"/>
        <v>0</v>
      </c>
      <c r="O239" s="144">
        <f t="shared" si="92"/>
        <v>0</v>
      </c>
      <c r="P239" s="169">
        <f t="shared" si="83"/>
        <v>0</v>
      </c>
      <c r="R239" s="143">
        <f t="shared" si="102"/>
        <v>0</v>
      </c>
      <c r="S239" s="144">
        <f t="shared" si="93"/>
        <v>0</v>
      </c>
      <c r="T239" s="144">
        <f t="shared" si="94"/>
        <v>0</v>
      </c>
      <c r="U239" s="169">
        <f t="shared" si="95"/>
        <v>0</v>
      </c>
      <c r="V239" s="143">
        <f t="shared" si="103"/>
        <v>0</v>
      </c>
      <c r="W239" s="144">
        <f t="shared" si="96"/>
        <v>0</v>
      </c>
      <c r="X239" s="144">
        <f t="shared" si="97"/>
        <v>0</v>
      </c>
      <c r="Y239" s="169">
        <f t="shared" si="98"/>
        <v>0</v>
      </c>
      <c r="Z239" s="151">
        <v>0</v>
      </c>
      <c r="AA239" s="151">
        <v>0</v>
      </c>
      <c r="AB239" s="151">
        <v>0</v>
      </c>
      <c r="AC239" s="151">
        <v>0</v>
      </c>
    </row>
    <row r="240" spans="1:29" s="61" customFormat="1" ht="11.25">
      <c r="A240" s="147">
        <f t="shared" si="84"/>
        <v>0</v>
      </c>
      <c r="B240" s="152">
        <f t="shared" si="85"/>
        <v>0</v>
      </c>
      <c r="C240" s="141">
        <f t="shared" si="86"/>
        <v>19</v>
      </c>
      <c r="D240" s="142">
        <v>221</v>
      </c>
      <c r="E240" s="143">
        <f t="shared" si="99"/>
        <v>0</v>
      </c>
      <c r="F240" s="144">
        <f t="shared" si="87"/>
        <v>0</v>
      </c>
      <c r="G240" s="144">
        <f t="shared" si="88"/>
        <v>0</v>
      </c>
      <c r="H240" s="169">
        <f t="shared" si="82"/>
        <v>0</v>
      </c>
      <c r="I240" s="143">
        <f t="shared" si="100"/>
        <v>0</v>
      </c>
      <c r="J240" s="144">
        <f t="shared" si="89"/>
        <v>0</v>
      </c>
      <c r="K240" s="144">
        <f t="shared" si="90"/>
        <v>0</v>
      </c>
      <c r="L240" s="169">
        <f t="shared" si="81"/>
        <v>0</v>
      </c>
      <c r="M240" s="143">
        <f t="shared" si="101"/>
        <v>0</v>
      </c>
      <c r="N240" s="144">
        <f t="shared" si="91"/>
        <v>0</v>
      </c>
      <c r="O240" s="144">
        <f t="shared" si="92"/>
        <v>0</v>
      </c>
      <c r="P240" s="169">
        <f t="shared" si="83"/>
        <v>0</v>
      </c>
      <c r="R240" s="143">
        <f t="shared" si="102"/>
        <v>0</v>
      </c>
      <c r="S240" s="144">
        <f t="shared" si="93"/>
        <v>0</v>
      </c>
      <c r="T240" s="144">
        <f t="shared" si="94"/>
        <v>0</v>
      </c>
      <c r="U240" s="169">
        <f t="shared" si="95"/>
        <v>0</v>
      </c>
      <c r="V240" s="143">
        <f t="shared" si="103"/>
        <v>0</v>
      </c>
      <c r="W240" s="144">
        <f t="shared" si="96"/>
        <v>0</v>
      </c>
      <c r="X240" s="144">
        <f t="shared" si="97"/>
        <v>0</v>
      </c>
      <c r="Y240" s="169">
        <f t="shared" si="98"/>
        <v>0</v>
      </c>
      <c r="Z240" s="151">
        <v>0</v>
      </c>
      <c r="AA240" s="151">
        <v>0</v>
      </c>
      <c r="AB240" s="151">
        <v>0</v>
      </c>
      <c r="AC240" s="151">
        <v>0</v>
      </c>
    </row>
    <row r="241" spans="1:29" s="61" customFormat="1" ht="11.25">
      <c r="A241" s="147">
        <f t="shared" si="84"/>
        <v>0</v>
      </c>
      <c r="B241" s="152">
        <f t="shared" si="85"/>
        <v>0</v>
      </c>
      <c r="C241" s="141">
        <f t="shared" si="86"/>
        <v>19</v>
      </c>
      <c r="D241" s="142">
        <v>222</v>
      </c>
      <c r="E241" s="143">
        <f t="shared" si="99"/>
        <v>0</v>
      </c>
      <c r="F241" s="144">
        <f t="shared" si="87"/>
        <v>0</v>
      </c>
      <c r="G241" s="144">
        <f t="shared" si="88"/>
        <v>0</v>
      </c>
      <c r="H241" s="169">
        <f t="shared" si="82"/>
        <v>0</v>
      </c>
      <c r="I241" s="143">
        <f t="shared" si="100"/>
        <v>0</v>
      </c>
      <c r="J241" s="144">
        <f t="shared" si="89"/>
        <v>0</v>
      </c>
      <c r="K241" s="144">
        <f t="shared" si="90"/>
        <v>0</v>
      </c>
      <c r="L241" s="169">
        <f t="shared" si="81"/>
        <v>0</v>
      </c>
      <c r="M241" s="143">
        <f t="shared" si="101"/>
        <v>0</v>
      </c>
      <c r="N241" s="144">
        <f t="shared" si="91"/>
        <v>0</v>
      </c>
      <c r="O241" s="144">
        <f t="shared" si="92"/>
        <v>0</v>
      </c>
      <c r="P241" s="169">
        <f t="shared" si="83"/>
        <v>0</v>
      </c>
      <c r="R241" s="143">
        <f t="shared" si="102"/>
        <v>0</v>
      </c>
      <c r="S241" s="144">
        <f t="shared" si="93"/>
        <v>0</v>
      </c>
      <c r="T241" s="144">
        <f t="shared" si="94"/>
        <v>0</v>
      </c>
      <c r="U241" s="169">
        <f t="shared" si="95"/>
        <v>0</v>
      </c>
      <c r="V241" s="143">
        <f t="shared" si="103"/>
        <v>0</v>
      </c>
      <c r="W241" s="144">
        <f t="shared" si="96"/>
        <v>0</v>
      </c>
      <c r="X241" s="144">
        <f t="shared" si="97"/>
        <v>0</v>
      </c>
      <c r="Y241" s="169">
        <f t="shared" si="98"/>
        <v>0</v>
      </c>
      <c r="Z241" s="151">
        <v>0</v>
      </c>
      <c r="AA241" s="151">
        <v>0</v>
      </c>
      <c r="AB241" s="151">
        <v>0</v>
      </c>
      <c r="AC241" s="151">
        <v>0</v>
      </c>
    </row>
    <row r="242" spans="1:29" s="61" customFormat="1" ht="11.25">
      <c r="A242" s="147">
        <f t="shared" si="84"/>
        <v>0</v>
      </c>
      <c r="B242" s="152">
        <f t="shared" si="85"/>
        <v>0</v>
      </c>
      <c r="C242" s="141">
        <f t="shared" si="86"/>
        <v>19</v>
      </c>
      <c r="D242" s="142">
        <v>223</v>
      </c>
      <c r="E242" s="143">
        <f t="shared" si="99"/>
        <v>0</v>
      </c>
      <c r="F242" s="144">
        <f t="shared" si="87"/>
        <v>0</v>
      </c>
      <c r="G242" s="144">
        <f t="shared" si="88"/>
        <v>0</v>
      </c>
      <c r="H242" s="169">
        <f t="shared" si="82"/>
        <v>0</v>
      </c>
      <c r="I242" s="143">
        <f t="shared" si="100"/>
        <v>0</v>
      </c>
      <c r="J242" s="144">
        <f t="shared" si="89"/>
        <v>0</v>
      </c>
      <c r="K242" s="144">
        <f t="shared" si="90"/>
        <v>0</v>
      </c>
      <c r="L242" s="169">
        <f t="shared" si="81"/>
        <v>0</v>
      </c>
      <c r="M242" s="143">
        <f t="shared" si="101"/>
        <v>0</v>
      </c>
      <c r="N242" s="144">
        <f t="shared" si="91"/>
        <v>0</v>
      </c>
      <c r="O242" s="144">
        <f t="shared" si="92"/>
        <v>0</v>
      </c>
      <c r="P242" s="169">
        <f t="shared" si="83"/>
        <v>0</v>
      </c>
      <c r="R242" s="143">
        <f t="shared" si="102"/>
        <v>0</v>
      </c>
      <c r="S242" s="144">
        <f t="shared" si="93"/>
        <v>0</v>
      </c>
      <c r="T242" s="144">
        <f t="shared" si="94"/>
        <v>0</v>
      </c>
      <c r="U242" s="169">
        <f t="shared" si="95"/>
        <v>0</v>
      </c>
      <c r="V242" s="143">
        <f t="shared" si="103"/>
        <v>0</v>
      </c>
      <c r="W242" s="144">
        <f t="shared" si="96"/>
        <v>0</v>
      </c>
      <c r="X242" s="144">
        <f t="shared" si="97"/>
        <v>0</v>
      </c>
      <c r="Y242" s="169">
        <f t="shared" si="98"/>
        <v>0</v>
      </c>
      <c r="Z242" s="151">
        <v>0</v>
      </c>
      <c r="AA242" s="151">
        <v>0</v>
      </c>
      <c r="AB242" s="151">
        <v>0</v>
      </c>
      <c r="AC242" s="151">
        <v>0</v>
      </c>
    </row>
    <row r="243" spans="1:29" s="61" customFormat="1" ht="11.25">
      <c r="A243" s="147">
        <f t="shared" si="84"/>
        <v>0</v>
      </c>
      <c r="B243" s="152">
        <f t="shared" si="85"/>
        <v>0</v>
      </c>
      <c r="C243" s="141">
        <f t="shared" si="86"/>
        <v>19</v>
      </c>
      <c r="D243" s="142">
        <v>224</v>
      </c>
      <c r="E243" s="143">
        <f t="shared" si="99"/>
        <v>0</v>
      </c>
      <c r="F243" s="144">
        <f t="shared" si="87"/>
        <v>0</v>
      </c>
      <c r="G243" s="144">
        <f t="shared" si="88"/>
        <v>0</v>
      </c>
      <c r="H243" s="169">
        <f t="shared" si="82"/>
        <v>0</v>
      </c>
      <c r="I243" s="143">
        <f t="shared" si="100"/>
        <v>0</v>
      </c>
      <c r="J243" s="144">
        <f t="shared" si="89"/>
        <v>0</v>
      </c>
      <c r="K243" s="144">
        <f t="shared" si="90"/>
        <v>0</v>
      </c>
      <c r="L243" s="169">
        <f t="shared" si="81"/>
        <v>0</v>
      </c>
      <c r="M243" s="143">
        <f t="shared" si="101"/>
        <v>0</v>
      </c>
      <c r="N243" s="144">
        <f t="shared" si="91"/>
        <v>0</v>
      </c>
      <c r="O243" s="144">
        <f t="shared" si="92"/>
        <v>0</v>
      </c>
      <c r="P243" s="169">
        <f t="shared" si="83"/>
        <v>0</v>
      </c>
      <c r="R243" s="143">
        <f t="shared" si="102"/>
        <v>0</v>
      </c>
      <c r="S243" s="144">
        <f t="shared" si="93"/>
        <v>0</v>
      </c>
      <c r="T243" s="144">
        <f t="shared" si="94"/>
        <v>0</v>
      </c>
      <c r="U243" s="169">
        <f t="shared" si="95"/>
        <v>0</v>
      </c>
      <c r="V243" s="143">
        <f t="shared" si="103"/>
        <v>0</v>
      </c>
      <c r="W243" s="144">
        <f t="shared" si="96"/>
        <v>0</v>
      </c>
      <c r="X243" s="144">
        <f t="shared" si="97"/>
        <v>0</v>
      </c>
      <c r="Y243" s="169">
        <f t="shared" si="98"/>
        <v>0</v>
      </c>
      <c r="Z243" s="151">
        <v>0</v>
      </c>
      <c r="AA243" s="151">
        <v>0</v>
      </c>
      <c r="AB243" s="151">
        <v>0</v>
      </c>
      <c r="AC243" s="151">
        <v>0</v>
      </c>
    </row>
    <row r="244" spans="1:29" s="61" customFormat="1" ht="11.25">
      <c r="A244" s="147">
        <f t="shared" si="84"/>
        <v>0</v>
      </c>
      <c r="B244" s="152">
        <f t="shared" si="85"/>
        <v>0</v>
      </c>
      <c r="C244" s="141">
        <f t="shared" si="86"/>
        <v>19</v>
      </c>
      <c r="D244" s="142">
        <v>225</v>
      </c>
      <c r="E244" s="143">
        <f t="shared" si="99"/>
        <v>0</v>
      </c>
      <c r="F244" s="144">
        <f t="shared" si="87"/>
        <v>0</v>
      </c>
      <c r="G244" s="144">
        <f t="shared" si="88"/>
        <v>0</v>
      </c>
      <c r="H244" s="169">
        <f t="shared" si="82"/>
        <v>0</v>
      </c>
      <c r="I244" s="143">
        <f t="shared" si="100"/>
        <v>0</v>
      </c>
      <c r="J244" s="144">
        <f t="shared" si="89"/>
        <v>0</v>
      </c>
      <c r="K244" s="144">
        <f t="shared" si="90"/>
        <v>0</v>
      </c>
      <c r="L244" s="169">
        <f t="shared" si="81"/>
        <v>0</v>
      </c>
      <c r="M244" s="143">
        <f t="shared" si="101"/>
        <v>0</v>
      </c>
      <c r="N244" s="144">
        <f t="shared" si="91"/>
        <v>0</v>
      </c>
      <c r="O244" s="144">
        <f t="shared" si="92"/>
        <v>0</v>
      </c>
      <c r="P244" s="169">
        <f t="shared" si="83"/>
        <v>0</v>
      </c>
      <c r="R244" s="143">
        <f t="shared" si="102"/>
        <v>0</v>
      </c>
      <c r="S244" s="144">
        <f t="shared" si="93"/>
        <v>0</v>
      </c>
      <c r="T244" s="144">
        <f t="shared" si="94"/>
        <v>0</v>
      </c>
      <c r="U244" s="169">
        <f t="shared" si="95"/>
        <v>0</v>
      </c>
      <c r="V244" s="143">
        <f t="shared" si="103"/>
        <v>0</v>
      </c>
      <c r="W244" s="144">
        <f t="shared" si="96"/>
        <v>0</v>
      </c>
      <c r="X244" s="144">
        <f t="shared" si="97"/>
        <v>0</v>
      </c>
      <c r="Y244" s="169">
        <f t="shared" si="98"/>
        <v>0</v>
      </c>
      <c r="Z244" s="151">
        <v>0</v>
      </c>
      <c r="AA244" s="151">
        <v>0</v>
      </c>
      <c r="AB244" s="151">
        <v>0</v>
      </c>
      <c r="AC244" s="151">
        <v>0</v>
      </c>
    </row>
    <row r="245" spans="1:29" s="61" customFormat="1" ht="11.25">
      <c r="A245" s="147">
        <f t="shared" si="84"/>
        <v>0</v>
      </c>
      <c r="B245" s="152">
        <f t="shared" si="85"/>
        <v>0</v>
      </c>
      <c r="C245" s="141">
        <f t="shared" si="86"/>
        <v>19</v>
      </c>
      <c r="D245" s="142">
        <v>226</v>
      </c>
      <c r="E245" s="143">
        <f t="shared" si="99"/>
        <v>0</v>
      </c>
      <c r="F245" s="144">
        <f t="shared" si="87"/>
        <v>0</v>
      </c>
      <c r="G245" s="144">
        <f t="shared" si="88"/>
        <v>0</v>
      </c>
      <c r="H245" s="169">
        <f t="shared" si="82"/>
        <v>0</v>
      </c>
      <c r="I245" s="143">
        <f t="shared" si="100"/>
        <v>0</v>
      </c>
      <c r="J245" s="144">
        <f t="shared" si="89"/>
        <v>0</v>
      </c>
      <c r="K245" s="144">
        <f t="shared" si="90"/>
        <v>0</v>
      </c>
      <c r="L245" s="169">
        <f t="shared" si="81"/>
        <v>0</v>
      </c>
      <c r="M245" s="143">
        <f t="shared" si="101"/>
        <v>0</v>
      </c>
      <c r="N245" s="144">
        <f t="shared" si="91"/>
        <v>0</v>
      </c>
      <c r="O245" s="144">
        <f t="shared" si="92"/>
        <v>0</v>
      </c>
      <c r="P245" s="169">
        <f t="shared" si="83"/>
        <v>0</v>
      </c>
      <c r="R245" s="143">
        <f t="shared" si="102"/>
        <v>0</v>
      </c>
      <c r="S245" s="144">
        <f t="shared" si="93"/>
        <v>0</v>
      </c>
      <c r="T245" s="144">
        <f t="shared" si="94"/>
        <v>0</v>
      </c>
      <c r="U245" s="169">
        <f t="shared" si="95"/>
        <v>0</v>
      </c>
      <c r="V245" s="143">
        <f t="shared" si="103"/>
        <v>0</v>
      </c>
      <c r="W245" s="144">
        <f t="shared" si="96"/>
        <v>0</v>
      </c>
      <c r="X245" s="144">
        <f t="shared" si="97"/>
        <v>0</v>
      </c>
      <c r="Y245" s="169">
        <f t="shared" si="98"/>
        <v>0</v>
      </c>
      <c r="Z245" s="151">
        <v>0</v>
      </c>
      <c r="AA245" s="151">
        <v>0</v>
      </c>
      <c r="AB245" s="151">
        <v>0</v>
      </c>
      <c r="AC245" s="151">
        <v>0</v>
      </c>
    </row>
    <row r="246" spans="1:29" s="61" customFormat="1" ht="11.25">
      <c r="A246" s="147">
        <f t="shared" si="84"/>
        <v>0</v>
      </c>
      <c r="B246" s="152">
        <f t="shared" si="85"/>
        <v>0</v>
      </c>
      <c r="C246" s="141">
        <f t="shared" si="86"/>
        <v>19</v>
      </c>
      <c r="D246" s="142">
        <v>227</v>
      </c>
      <c r="E246" s="143">
        <f t="shared" si="99"/>
        <v>0</v>
      </c>
      <c r="F246" s="144">
        <f t="shared" si="87"/>
        <v>0</v>
      </c>
      <c r="G246" s="144">
        <f t="shared" si="88"/>
        <v>0</v>
      </c>
      <c r="H246" s="169">
        <f t="shared" si="82"/>
        <v>0</v>
      </c>
      <c r="I246" s="143">
        <f t="shared" si="100"/>
        <v>0</v>
      </c>
      <c r="J246" s="144">
        <f t="shared" si="89"/>
        <v>0</v>
      </c>
      <c r="K246" s="144">
        <f t="shared" si="90"/>
        <v>0</v>
      </c>
      <c r="L246" s="169">
        <f t="shared" si="81"/>
        <v>0</v>
      </c>
      <c r="M246" s="143">
        <f t="shared" si="101"/>
        <v>0</v>
      </c>
      <c r="N246" s="144">
        <f t="shared" si="91"/>
        <v>0</v>
      </c>
      <c r="O246" s="144">
        <f t="shared" si="92"/>
        <v>0</v>
      </c>
      <c r="P246" s="169">
        <f t="shared" si="83"/>
        <v>0</v>
      </c>
      <c r="R246" s="143">
        <f t="shared" si="102"/>
        <v>0</v>
      </c>
      <c r="S246" s="144">
        <f t="shared" si="93"/>
        <v>0</v>
      </c>
      <c r="T246" s="144">
        <f t="shared" si="94"/>
        <v>0</v>
      </c>
      <c r="U246" s="169">
        <f t="shared" si="95"/>
        <v>0</v>
      </c>
      <c r="V246" s="143">
        <f t="shared" si="103"/>
        <v>0</v>
      </c>
      <c r="W246" s="144">
        <f t="shared" si="96"/>
        <v>0</v>
      </c>
      <c r="X246" s="144">
        <f t="shared" si="97"/>
        <v>0</v>
      </c>
      <c r="Y246" s="169">
        <f t="shared" si="98"/>
        <v>0</v>
      </c>
      <c r="Z246" s="151">
        <v>0</v>
      </c>
      <c r="AA246" s="151">
        <v>0</v>
      </c>
      <c r="AB246" s="151">
        <v>0</v>
      </c>
      <c r="AC246" s="151">
        <v>0</v>
      </c>
    </row>
    <row r="247" spans="1:29" s="61" customFormat="1" ht="12" thickBot="1">
      <c r="A247" s="153">
        <f t="shared" si="84"/>
        <v>0</v>
      </c>
      <c r="B247" s="154">
        <f t="shared" si="85"/>
        <v>0</v>
      </c>
      <c r="C247" s="155">
        <f t="shared" si="86"/>
        <v>19</v>
      </c>
      <c r="D247" s="156">
        <v>228</v>
      </c>
      <c r="E247" s="157">
        <f t="shared" si="99"/>
        <v>0</v>
      </c>
      <c r="F247" s="158">
        <f t="shared" si="87"/>
        <v>0</v>
      </c>
      <c r="G247" s="158">
        <f t="shared" si="88"/>
        <v>0</v>
      </c>
      <c r="H247" s="172">
        <f t="shared" si="82"/>
        <v>0</v>
      </c>
      <c r="I247" s="157">
        <f t="shared" si="100"/>
        <v>0</v>
      </c>
      <c r="J247" s="158">
        <f t="shared" si="89"/>
        <v>0</v>
      </c>
      <c r="K247" s="158">
        <f t="shared" si="90"/>
        <v>0</v>
      </c>
      <c r="L247" s="172">
        <f t="shared" si="81"/>
        <v>0</v>
      </c>
      <c r="M247" s="157">
        <f t="shared" si="101"/>
        <v>0</v>
      </c>
      <c r="N247" s="158">
        <f t="shared" si="91"/>
        <v>0</v>
      </c>
      <c r="O247" s="158">
        <f t="shared" si="92"/>
        <v>0</v>
      </c>
      <c r="P247" s="172">
        <f t="shared" si="83"/>
        <v>0</v>
      </c>
      <c r="R247" s="157">
        <f t="shared" si="102"/>
        <v>0</v>
      </c>
      <c r="S247" s="158">
        <f t="shared" si="93"/>
        <v>0</v>
      </c>
      <c r="T247" s="158">
        <f t="shared" si="94"/>
        <v>0</v>
      </c>
      <c r="U247" s="172">
        <f t="shared" si="95"/>
        <v>0</v>
      </c>
      <c r="V247" s="157">
        <f t="shared" si="103"/>
        <v>0</v>
      </c>
      <c r="W247" s="158">
        <f t="shared" si="96"/>
        <v>0</v>
      </c>
      <c r="X247" s="158">
        <f t="shared" si="97"/>
        <v>0</v>
      </c>
      <c r="Y247" s="172">
        <f t="shared" si="98"/>
        <v>0</v>
      </c>
      <c r="Z247" s="151">
        <v>0</v>
      </c>
      <c r="AA247" s="151">
        <v>0</v>
      </c>
      <c r="AB247" s="151">
        <v>0</v>
      </c>
      <c r="AC247" s="151">
        <v>0</v>
      </c>
    </row>
    <row r="248" spans="1:29" s="61" customFormat="1" ht="11.25">
      <c r="A248" s="147">
        <f t="shared" si="84"/>
        <v>0</v>
      </c>
      <c r="B248" s="152">
        <f t="shared" si="85"/>
        <v>0</v>
      </c>
      <c r="C248" s="141">
        <f t="shared" si="86"/>
        <v>20</v>
      </c>
      <c r="D248" s="142">
        <v>229</v>
      </c>
      <c r="E248" s="143">
        <f t="shared" si="99"/>
        <v>0</v>
      </c>
      <c r="F248" s="144">
        <f t="shared" si="87"/>
        <v>0</v>
      </c>
      <c r="G248" s="144">
        <f t="shared" si="88"/>
        <v>0</v>
      </c>
      <c r="H248" s="169">
        <f t="shared" si="82"/>
        <v>0</v>
      </c>
      <c r="I248" s="143">
        <f t="shared" si="100"/>
        <v>0</v>
      </c>
      <c r="J248" s="144">
        <f t="shared" si="89"/>
        <v>0</v>
      </c>
      <c r="K248" s="144">
        <f t="shared" si="90"/>
        <v>0</v>
      </c>
      <c r="L248" s="169">
        <f t="shared" si="81"/>
        <v>0</v>
      </c>
      <c r="M248" s="143">
        <f t="shared" si="101"/>
        <v>0</v>
      </c>
      <c r="N248" s="144">
        <f t="shared" si="91"/>
        <v>0</v>
      </c>
      <c r="O248" s="144">
        <f t="shared" si="92"/>
        <v>0</v>
      </c>
      <c r="P248" s="169">
        <f t="shared" si="83"/>
        <v>0</v>
      </c>
      <c r="R248" s="143">
        <f t="shared" si="102"/>
        <v>0</v>
      </c>
      <c r="S248" s="144">
        <f t="shared" si="93"/>
        <v>0</v>
      </c>
      <c r="T248" s="144">
        <f t="shared" si="94"/>
        <v>0</v>
      </c>
      <c r="U248" s="169">
        <f t="shared" si="95"/>
        <v>0</v>
      </c>
      <c r="V248" s="143">
        <f t="shared" si="103"/>
        <v>0</v>
      </c>
      <c r="W248" s="144">
        <f t="shared" si="96"/>
        <v>0</v>
      </c>
      <c r="X248" s="144">
        <f t="shared" si="97"/>
        <v>0</v>
      </c>
      <c r="Y248" s="169">
        <f t="shared" si="98"/>
        <v>0</v>
      </c>
      <c r="Z248" s="151">
        <v>0</v>
      </c>
      <c r="AA248" s="151">
        <v>0</v>
      </c>
      <c r="AB248" s="151">
        <v>0</v>
      </c>
      <c r="AC248" s="151">
        <v>0</v>
      </c>
    </row>
    <row r="249" spans="1:29" s="61" customFormat="1" ht="11.25">
      <c r="A249" s="147">
        <f t="shared" si="84"/>
        <v>0</v>
      </c>
      <c r="B249" s="152">
        <f t="shared" si="85"/>
        <v>0</v>
      </c>
      <c r="C249" s="141">
        <f t="shared" si="86"/>
        <v>20</v>
      </c>
      <c r="D249" s="142">
        <v>230</v>
      </c>
      <c r="E249" s="143">
        <f t="shared" si="99"/>
        <v>0</v>
      </c>
      <c r="F249" s="144">
        <f t="shared" si="87"/>
        <v>0</v>
      </c>
      <c r="G249" s="144">
        <f t="shared" si="88"/>
        <v>0</v>
      </c>
      <c r="H249" s="169">
        <f t="shared" si="82"/>
        <v>0</v>
      </c>
      <c r="I249" s="143">
        <f t="shared" si="100"/>
        <v>0</v>
      </c>
      <c r="J249" s="144">
        <f t="shared" si="89"/>
        <v>0</v>
      </c>
      <c r="K249" s="144">
        <f t="shared" si="90"/>
        <v>0</v>
      </c>
      <c r="L249" s="169">
        <f t="shared" ref="L249:L312" si="104">IF(I249&lt;=0,0,L$13)</f>
        <v>0</v>
      </c>
      <c r="M249" s="143">
        <f t="shared" si="101"/>
        <v>0</v>
      </c>
      <c r="N249" s="144">
        <f t="shared" si="91"/>
        <v>0</v>
      </c>
      <c r="O249" s="144">
        <f t="shared" si="92"/>
        <v>0</v>
      </c>
      <c r="P249" s="169">
        <f t="shared" si="83"/>
        <v>0</v>
      </c>
      <c r="R249" s="143">
        <f t="shared" si="102"/>
        <v>0</v>
      </c>
      <c r="S249" s="144">
        <f t="shared" si="93"/>
        <v>0</v>
      </c>
      <c r="T249" s="144">
        <f t="shared" si="94"/>
        <v>0</v>
      </c>
      <c r="U249" s="169">
        <f t="shared" si="95"/>
        <v>0</v>
      </c>
      <c r="V249" s="143">
        <f t="shared" si="103"/>
        <v>0</v>
      </c>
      <c r="W249" s="144">
        <f t="shared" si="96"/>
        <v>0</v>
      </c>
      <c r="X249" s="144">
        <f t="shared" si="97"/>
        <v>0</v>
      </c>
      <c r="Y249" s="169">
        <f t="shared" si="98"/>
        <v>0</v>
      </c>
      <c r="Z249" s="151">
        <v>0</v>
      </c>
      <c r="AA249" s="151">
        <v>0</v>
      </c>
      <c r="AB249" s="151">
        <v>0</v>
      </c>
      <c r="AC249" s="151">
        <v>0</v>
      </c>
    </row>
    <row r="250" spans="1:29" s="61" customFormat="1" ht="11.25">
      <c r="A250" s="147">
        <f t="shared" si="84"/>
        <v>0</v>
      </c>
      <c r="B250" s="152">
        <f t="shared" si="85"/>
        <v>0</v>
      </c>
      <c r="C250" s="141">
        <f t="shared" si="86"/>
        <v>20</v>
      </c>
      <c r="D250" s="142">
        <v>231</v>
      </c>
      <c r="E250" s="143">
        <f t="shared" si="99"/>
        <v>0</v>
      </c>
      <c r="F250" s="144">
        <f t="shared" si="87"/>
        <v>0</v>
      </c>
      <c r="G250" s="144">
        <f t="shared" si="88"/>
        <v>0</v>
      </c>
      <c r="H250" s="169">
        <f t="shared" si="82"/>
        <v>0</v>
      </c>
      <c r="I250" s="143">
        <f t="shared" si="100"/>
        <v>0</v>
      </c>
      <c r="J250" s="144">
        <f t="shared" si="89"/>
        <v>0</v>
      </c>
      <c r="K250" s="144">
        <f t="shared" si="90"/>
        <v>0</v>
      </c>
      <c r="L250" s="169">
        <f t="shared" si="104"/>
        <v>0</v>
      </c>
      <c r="M250" s="143">
        <f t="shared" si="101"/>
        <v>0</v>
      </c>
      <c r="N250" s="144">
        <f t="shared" si="91"/>
        <v>0</v>
      </c>
      <c r="O250" s="144">
        <f t="shared" si="92"/>
        <v>0</v>
      </c>
      <c r="P250" s="169">
        <f t="shared" si="83"/>
        <v>0</v>
      </c>
      <c r="R250" s="143">
        <f t="shared" si="102"/>
        <v>0</v>
      </c>
      <c r="S250" s="144">
        <f t="shared" si="93"/>
        <v>0</v>
      </c>
      <c r="T250" s="144">
        <f t="shared" si="94"/>
        <v>0</v>
      </c>
      <c r="U250" s="169">
        <f t="shared" si="95"/>
        <v>0</v>
      </c>
      <c r="V250" s="143">
        <f t="shared" si="103"/>
        <v>0</v>
      </c>
      <c r="W250" s="144">
        <f t="shared" si="96"/>
        <v>0</v>
      </c>
      <c r="X250" s="144">
        <f t="shared" si="97"/>
        <v>0</v>
      </c>
      <c r="Y250" s="169">
        <f t="shared" si="98"/>
        <v>0</v>
      </c>
      <c r="Z250" s="151">
        <v>0</v>
      </c>
      <c r="AA250" s="151">
        <v>0</v>
      </c>
      <c r="AB250" s="151">
        <v>0</v>
      </c>
      <c r="AC250" s="151">
        <v>0</v>
      </c>
    </row>
    <row r="251" spans="1:29" s="61" customFormat="1" ht="11.25">
      <c r="A251" s="147">
        <f t="shared" si="84"/>
        <v>0</v>
      </c>
      <c r="B251" s="152">
        <f t="shared" si="85"/>
        <v>0</v>
      </c>
      <c r="C251" s="141">
        <f t="shared" si="86"/>
        <v>20</v>
      </c>
      <c r="D251" s="142">
        <v>232</v>
      </c>
      <c r="E251" s="143">
        <f t="shared" si="99"/>
        <v>0</v>
      </c>
      <c r="F251" s="144">
        <f t="shared" si="87"/>
        <v>0</v>
      </c>
      <c r="G251" s="144">
        <f t="shared" si="88"/>
        <v>0</v>
      </c>
      <c r="H251" s="169">
        <f t="shared" si="82"/>
        <v>0</v>
      </c>
      <c r="I251" s="143">
        <f t="shared" si="100"/>
        <v>0</v>
      </c>
      <c r="J251" s="144">
        <f t="shared" si="89"/>
        <v>0</v>
      </c>
      <c r="K251" s="144">
        <f t="shared" si="90"/>
        <v>0</v>
      </c>
      <c r="L251" s="169">
        <f t="shared" si="104"/>
        <v>0</v>
      </c>
      <c r="M251" s="143">
        <f t="shared" si="101"/>
        <v>0</v>
      </c>
      <c r="N251" s="144">
        <f t="shared" si="91"/>
        <v>0</v>
      </c>
      <c r="O251" s="144">
        <f t="shared" si="92"/>
        <v>0</v>
      </c>
      <c r="P251" s="169">
        <f t="shared" si="83"/>
        <v>0</v>
      </c>
      <c r="R251" s="143">
        <f t="shared" si="102"/>
        <v>0</v>
      </c>
      <c r="S251" s="144">
        <f t="shared" si="93"/>
        <v>0</v>
      </c>
      <c r="T251" s="144">
        <f t="shared" si="94"/>
        <v>0</v>
      </c>
      <c r="U251" s="169">
        <f t="shared" si="95"/>
        <v>0</v>
      </c>
      <c r="V251" s="143">
        <f t="shared" si="103"/>
        <v>0</v>
      </c>
      <c r="W251" s="144">
        <f t="shared" si="96"/>
        <v>0</v>
      </c>
      <c r="X251" s="144">
        <f t="shared" si="97"/>
        <v>0</v>
      </c>
      <c r="Y251" s="169">
        <f t="shared" si="98"/>
        <v>0</v>
      </c>
      <c r="Z251" s="151">
        <v>0</v>
      </c>
      <c r="AA251" s="151">
        <v>0</v>
      </c>
      <c r="AB251" s="151">
        <v>0</v>
      </c>
      <c r="AC251" s="151">
        <v>0</v>
      </c>
    </row>
    <row r="252" spans="1:29" s="61" customFormat="1" ht="11.25">
      <c r="A252" s="147">
        <f t="shared" si="84"/>
        <v>0</v>
      </c>
      <c r="B252" s="152">
        <f t="shared" si="85"/>
        <v>0</v>
      </c>
      <c r="C252" s="141">
        <f t="shared" si="86"/>
        <v>20</v>
      </c>
      <c r="D252" s="142">
        <v>233</v>
      </c>
      <c r="E252" s="143">
        <f t="shared" si="99"/>
        <v>0</v>
      </c>
      <c r="F252" s="144">
        <f t="shared" si="87"/>
        <v>0</v>
      </c>
      <c r="G252" s="144">
        <f t="shared" si="88"/>
        <v>0</v>
      </c>
      <c r="H252" s="169">
        <f t="shared" si="82"/>
        <v>0</v>
      </c>
      <c r="I252" s="143">
        <f t="shared" si="100"/>
        <v>0</v>
      </c>
      <c r="J252" s="144">
        <f t="shared" si="89"/>
        <v>0</v>
      </c>
      <c r="K252" s="144">
        <f t="shared" si="90"/>
        <v>0</v>
      </c>
      <c r="L252" s="169">
        <f t="shared" si="104"/>
        <v>0</v>
      </c>
      <c r="M252" s="143">
        <f t="shared" si="101"/>
        <v>0</v>
      </c>
      <c r="N252" s="144">
        <f t="shared" si="91"/>
        <v>0</v>
      </c>
      <c r="O252" s="144">
        <f t="shared" si="92"/>
        <v>0</v>
      </c>
      <c r="P252" s="169">
        <f t="shared" si="83"/>
        <v>0</v>
      </c>
      <c r="R252" s="143">
        <f t="shared" si="102"/>
        <v>0</v>
      </c>
      <c r="S252" s="144">
        <f t="shared" si="93"/>
        <v>0</v>
      </c>
      <c r="T252" s="144">
        <f t="shared" si="94"/>
        <v>0</v>
      </c>
      <c r="U252" s="169">
        <f t="shared" si="95"/>
        <v>0</v>
      </c>
      <c r="V252" s="143">
        <f t="shared" si="103"/>
        <v>0</v>
      </c>
      <c r="W252" s="144">
        <f t="shared" si="96"/>
        <v>0</v>
      </c>
      <c r="X252" s="144">
        <f t="shared" si="97"/>
        <v>0</v>
      </c>
      <c r="Y252" s="169">
        <f t="shared" si="98"/>
        <v>0</v>
      </c>
      <c r="Z252" s="151">
        <v>0</v>
      </c>
      <c r="AA252" s="151">
        <v>0</v>
      </c>
      <c r="AB252" s="151">
        <v>0</v>
      </c>
      <c r="AC252" s="151">
        <v>0</v>
      </c>
    </row>
    <row r="253" spans="1:29" s="61" customFormat="1" ht="11.25">
      <c r="A253" s="147">
        <f t="shared" si="84"/>
        <v>0</v>
      </c>
      <c r="B253" s="152">
        <f t="shared" si="85"/>
        <v>0</v>
      </c>
      <c r="C253" s="141">
        <f t="shared" si="86"/>
        <v>20</v>
      </c>
      <c r="D253" s="142">
        <v>234</v>
      </c>
      <c r="E253" s="143">
        <f t="shared" si="99"/>
        <v>0</v>
      </c>
      <c r="F253" s="144">
        <f t="shared" si="87"/>
        <v>0</v>
      </c>
      <c r="G253" s="144">
        <f t="shared" si="88"/>
        <v>0</v>
      </c>
      <c r="H253" s="169">
        <f t="shared" si="82"/>
        <v>0</v>
      </c>
      <c r="I253" s="143">
        <f t="shared" si="100"/>
        <v>0</v>
      </c>
      <c r="J253" s="144">
        <f t="shared" si="89"/>
        <v>0</v>
      </c>
      <c r="K253" s="144">
        <f t="shared" si="90"/>
        <v>0</v>
      </c>
      <c r="L253" s="169">
        <f t="shared" si="104"/>
        <v>0</v>
      </c>
      <c r="M253" s="143">
        <f t="shared" si="101"/>
        <v>0</v>
      </c>
      <c r="N253" s="144">
        <f t="shared" si="91"/>
        <v>0</v>
      </c>
      <c r="O253" s="144">
        <f t="shared" si="92"/>
        <v>0</v>
      </c>
      <c r="P253" s="169">
        <f t="shared" si="83"/>
        <v>0</v>
      </c>
      <c r="R253" s="143">
        <f t="shared" si="102"/>
        <v>0</v>
      </c>
      <c r="S253" s="144">
        <f t="shared" si="93"/>
        <v>0</v>
      </c>
      <c r="T253" s="144">
        <f t="shared" si="94"/>
        <v>0</v>
      </c>
      <c r="U253" s="169">
        <f t="shared" si="95"/>
        <v>0</v>
      </c>
      <c r="V253" s="143">
        <f t="shared" si="103"/>
        <v>0</v>
      </c>
      <c r="W253" s="144">
        <f t="shared" si="96"/>
        <v>0</v>
      </c>
      <c r="X253" s="144">
        <f t="shared" si="97"/>
        <v>0</v>
      </c>
      <c r="Y253" s="169">
        <f t="shared" si="98"/>
        <v>0</v>
      </c>
      <c r="Z253" s="151">
        <v>0</v>
      </c>
      <c r="AA253" s="151">
        <v>0</v>
      </c>
      <c r="AB253" s="151">
        <v>0</v>
      </c>
      <c r="AC253" s="151">
        <v>0</v>
      </c>
    </row>
    <row r="254" spans="1:29" s="61" customFormat="1" ht="11.25">
      <c r="A254" s="147">
        <f t="shared" si="84"/>
        <v>0</v>
      </c>
      <c r="B254" s="152">
        <f t="shared" si="85"/>
        <v>0</v>
      </c>
      <c r="C254" s="141">
        <f t="shared" si="86"/>
        <v>20</v>
      </c>
      <c r="D254" s="142">
        <v>235</v>
      </c>
      <c r="E254" s="143">
        <f t="shared" si="99"/>
        <v>0</v>
      </c>
      <c r="F254" s="144">
        <f t="shared" si="87"/>
        <v>0</v>
      </c>
      <c r="G254" s="144">
        <f t="shared" si="88"/>
        <v>0</v>
      </c>
      <c r="H254" s="169">
        <f t="shared" si="82"/>
        <v>0</v>
      </c>
      <c r="I254" s="143">
        <f t="shared" si="100"/>
        <v>0</v>
      </c>
      <c r="J254" s="144">
        <f t="shared" si="89"/>
        <v>0</v>
      </c>
      <c r="K254" s="144">
        <f t="shared" si="90"/>
        <v>0</v>
      </c>
      <c r="L254" s="169">
        <f t="shared" si="104"/>
        <v>0</v>
      </c>
      <c r="M254" s="143">
        <f t="shared" si="101"/>
        <v>0</v>
      </c>
      <c r="N254" s="144">
        <f t="shared" si="91"/>
        <v>0</v>
      </c>
      <c r="O254" s="144">
        <f t="shared" si="92"/>
        <v>0</v>
      </c>
      <c r="P254" s="169">
        <f t="shared" si="83"/>
        <v>0</v>
      </c>
      <c r="R254" s="143">
        <f t="shared" si="102"/>
        <v>0</v>
      </c>
      <c r="S254" s="144">
        <f t="shared" si="93"/>
        <v>0</v>
      </c>
      <c r="T254" s="144">
        <f t="shared" si="94"/>
        <v>0</v>
      </c>
      <c r="U254" s="169">
        <f t="shared" si="95"/>
        <v>0</v>
      </c>
      <c r="V254" s="143">
        <f t="shared" si="103"/>
        <v>0</v>
      </c>
      <c r="W254" s="144">
        <f t="shared" si="96"/>
        <v>0</v>
      </c>
      <c r="X254" s="144">
        <f t="shared" si="97"/>
        <v>0</v>
      </c>
      <c r="Y254" s="169">
        <f t="shared" si="98"/>
        <v>0</v>
      </c>
      <c r="Z254" s="151">
        <v>0</v>
      </c>
      <c r="AA254" s="151">
        <v>0</v>
      </c>
      <c r="AB254" s="151">
        <v>0</v>
      </c>
      <c r="AC254" s="151">
        <v>0</v>
      </c>
    </row>
    <row r="255" spans="1:29" s="61" customFormat="1" ht="11.25">
      <c r="A255" s="147">
        <f t="shared" si="84"/>
        <v>0</v>
      </c>
      <c r="B255" s="152">
        <f t="shared" si="85"/>
        <v>0</v>
      </c>
      <c r="C255" s="141">
        <f t="shared" si="86"/>
        <v>20</v>
      </c>
      <c r="D255" s="142">
        <v>236</v>
      </c>
      <c r="E255" s="143">
        <f t="shared" si="99"/>
        <v>0</v>
      </c>
      <c r="F255" s="144">
        <f t="shared" si="87"/>
        <v>0</v>
      </c>
      <c r="G255" s="144">
        <f t="shared" si="88"/>
        <v>0</v>
      </c>
      <c r="H255" s="169">
        <f t="shared" si="82"/>
        <v>0</v>
      </c>
      <c r="I255" s="143">
        <f t="shared" si="100"/>
        <v>0</v>
      </c>
      <c r="J255" s="144">
        <f t="shared" si="89"/>
        <v>0</v>
      </c>
      <c r="K255" s="144">
        <f t="shared" si="90"/>
        <v>0</v>
      </c>
      <c r="L255" s="169">
        <f t="shared" si="104"/>
        <v>0</v>
      </c>
      <c r="M255" s="143">
        <f t="shared" si="101"/>
        <v>0</v>
      </c>
      <c r="N255" s="144">
        <f t="shared" si="91"/>
        <v>0</v>
      </c>
      <c r="O255" s="144">
        <f t="shared" si="92"/>
        <v>0</v>
      </c>
      <c r="P255" s="169">
        <f t="shared" si="83"/>
        <v>0</v>
      </c>
      <c r="R255" s="143">
        <f t="shared" si="102"/>
        <v>0</v>
      </c>
      <c r="S255" s="144">
        <f t="shared" si="93"/>
        <v>0</v>
      </c>
      <c r="T255" s="144">
        <f t="shared" si="94"/>
        <v>0</v>
      </c>
      <c r="U255" s="169">
        <f t="shared" si="95"/>
        <v>0</v>
      </c>
      <c r="V255" s="143">
        <f t="shared" si="103"/>
        <v>0</v>
      </c>
      <c r="W255" s="144">
        <f t="shared" si="96"/>
        <v>0</v>
      </c>
      <c r="X255" s="144">
        <f t="shared" si="97"/>
        <v>0</v>
      </c>
      <c r="Y255" s="169">
        <f t="shared" si="98"/>
        <v>0</v>
      </c>
      <c r="Z255" s="151">
        <v>0</v>
      </c>
      <c r="AA255" s="151">
        <v>0</v>
      </c>
      <c r="AB255" s="151">
        <v>0</v>
      </c>
      <c r="AC255" s="151">
        <v>0</v>
      </c>
    </row>
    <row r="256" spans="1:29" s="61" customFormat="1" ht="11.25">
      <c r="A256" s="147">
        <f t="shared" si="84"/>
        <v>0</v>
      </c>
      <c r="B256" s="152">
        <f t="shared" si="85"/>
        <v>0</v>
      </c>
      <c r="C256" s="141">
        <f t="shared" si="86"/>
        <v>20</v>
      </c>
      <c r="D256" s="142">
        <v>237</v>
      </c>
      <c r="E256" s="143">
        <f t="shared" si="99"/>
        <v>0</v>
      </c>
      <c r="F256" s="144">
        <f t="shared" si="87"/>
        <v>0</v>
      </c>
      <c r="G256" s="144">
        <f t="shared" si="88"/>
        <v>0</v>
      </c>
      <c r="H256" s="169">
        <f t="shared" si="82"/>
        <v>0</v>
      </c>
      <c r="I256" s="143">
        <f t="shared" si="100"/>
        <v>0</v>
      </c>
      <c r="J256" s="144">
        <f t="shared" si="89"/>
        <v>0</v>
      </c>
      <c r="K256" s="144">
        <f t="shared" si="90"/>
        <v>0</v>
      </c>
      <c r="L256" s="169">
        <f t="shared" si="104"/>
        <v>0</v>
      </c>
      <c r="M256" s="143">
        <f t="shared" si="101"/>
        <v>0</v>
      </c>
      <c r="N256" s="144">
        <f t="shared" si="91"/>
        <v>0</v>
      </c>
      <c r="O256" s="144">
        <f t="shared" si="92"/>
        <v>0</v>
      </c>
      <c r="P256" s="169">
        <f t="shared" si="83"/>
        <v>0</v>
      </c>
      <c r="R256" s="143">
        <f t="shared" si="102"/>
        <v>0</v>
      </c>
      <c r="S256" s="144">
        <f t="shared" si="93"/>
        <v>0</v>
      </c>
      <c r="T256" s="144">
        <f t="shared" si="94"/>
        <v>0</v>
      </c>
      <c r="U256" s="169">
        <f t="shared" si="95"/>
        <v>0</v>
      </c>
      <c r="V256" s="143">
        <f t="shared" si="103"/>
        <v>0</v>
      </c>
      <c r="W256" s="144">
        <f t="shared" si="96"/>
        <v>0</v>
      </c>
      <c r="X256" s="144">
        <f t="shared" si="97"/>
        <v>0</v>
      </c>
      <c r="Y256" s="169">
        <f t="shared" si="98"/>
        <v>0</v>
      </c>
      <c r="Z256" s="151">
        <v>0</v>
      </c>
      <c r="AA256" s="151">
        <v>0</v>
      </c>
      <c r="AB256" s="151">
        <v>0</v>
      </c>
      <c r="AC256" s="151">
        <v>0</v>
      </c>
    </row>
    <row r="257" spans="1:29" s="61" customFormat="1" ht="11.25">
      <c r="A257" s="147">
        <f t="shared" si="84"/>
        <v>0</v>
      </c>
      <c r="B257" s="152">
        <f t="shared" si="85"/>
        <v>0</v>
      </c>
      <c r="C257" s="141">
        <f t="shared" si="86"/>
        <v>20</v>
      </c>
      <c r="D257" s="142">
        <v>238</v>
      </c>
      <c r="E257" s="143">
        <f t="shared" si="99"/>
        <v>0</v>
      </c>
      <c r="F257" s="144">
        <f t="shared" si="87"/>
        <v>0</v>
      </c>
      <c r="G257" s="144">
        <f t="shared" si="88"/>
        <v>0</v>
      </c>
      <c r="H257" s="169">
        <f t="shared" si="82"/>
        <v>0</v>
      </c>
      <c r="I257" s="143">
        <f t="shared" si="100"/>
        <v>0</v>
      </c>
      <c r="J257" s="144">
        <f t="shared" si="89"/>
        <v>0</v>
      </c>
      <c r="K257" s="144">
        <f t="shared" si="90"/>
        <v>0</v>
      </c>
      <c r="L257" s="169">
        <f t="shared" si="104"/>
        <v>0</v>
      </c>
      <c r="M257" s="143">
        <f t="shared" si="101"/>
        <v>0</v>
      </c>
      <c r="N257" s="144">
        <f t="shared" si="91"/>
        <v>0</v>
      </c>
      <c r="O257" s="144">
        <f t="shared" si="92"/>
        <v>0</v>
      </c>
      <c r="P257" s="169">
        <f t="shared" si="83"/>
        <v>0</v>
      </c>
      <c r="R257" s="143">
        <f t="shared" si="102"/>
        <v>0</v>
      </c>
      <c r="S257" s="144">
        <f t="shared" si="93"/>
        <v>0</v>
      </c>
      <c r="T257" s="144">
        <f t="shared" si="94"/>
        <v>0</v>
      </c>
      <c r="U257" s="169">
        <f t="shared" si="95"/>
        <v>0</v>
      </c>
      <c r="V257" s="143">
        <f t="shared" si="103"/>
        <v>0</v>
      </c>
      <c r="W257" s="144">
        <f t="shared" si="96"/>
        <v>0</v>
      </c>
      <c r="X257" s="144">
        <f t="shared" si="97"/>
        <v>0</v>
      </c>
      <c r="Y257" s="169">
        <f t="shared" si="98"/>
        <v>0</v>
      </c>
      <c r="Z257" s="151">
        <v>0</v>
      </c>
      <c r="AA257" s="151">
        <v>0</v>
      </c>
      <c r="AB257" s="151">
        <v>0</v>
      </c>
      <c r="AC257" s="151">
        <v>0</v>
      </c>
    </row>
    <row r="258" spans="1:29" s="61" customFormat="1" ht="11.25">
      <c r="A258" s="147">
        <f t="shared" si="84"/>
        <v>0</v>
      </c>
      <c r="B258" s="152">
        <f t="shared" si="85"/>
        <v>0</v>
      </c>
      <c r="C258" s="141">
        <f t="shared" si="86"/>
        <v>20</v>
      </c>
      <c r="D258" s="142">
        <v>239</v>
      </c>
      <c r="E258" s="143">
        <f t="shared" si="99"/>
        <v>0</v>
      </c>
      <c r="F258" s="144">
        <f t="shared" si="87"/>
        <v>0</v>
      </c>
      <c r="G258" s="144">
        <f t="shared" si="88"/>
        <v>0</v>
      </c>
      <c r="H258" s="169">
        <f t="shared" si="82"/>
        <v>0</v>
      </c>
      <c r="I258" s="143">
        <f t="shared" si="100"/>
        <v>0</v>
      </c>
      <c r="J258" s="144">
        <f t="shared" si="89"/>
        <v>0</v>
      </c>
      <c r="K258" s="144">
        <f t="shared" si="90"/>
        <v>0</v>
      </c>
      <c r="L258" s="169">
        <f t="shared" si="104"/>
        <v>0</v>
      </c>
      <c r="M258" s="143">
        <f t="shared" si="101"/>
        <v>0</v>
      </c>
      <c r="N258" s="144">
        <f t="shared" si="91"/>
        <v>0</v>
      </c>
      <c r="O258" s="144">
        <f t="shared" si="92"/>
        <v>0</v>
      </c>
      <c r="P258" s="169">
        <f t="shared" si="83"/>
        <v>0</v>
      </c>
      <c r="R258" s="143">
        <f t="shared" si="102"/>
        <v>0</v>
      </c>
      <c r="S258" s="144">
        <f t="shared" si="93"/>
        <v>0</v>
      </c>
      <c r="T258" s="144">
        <f t="shared" si="94"/>
        <v>0</v>
      </c>
      <c r="U258" s="169">
        <f t="shared" si="95"/>
        <v>0</v>
      </c>
      <c r="V258" s="143">
        <f t="shared" si="103"/>
        <v>0</v>
      </c>
      <c r="W258" s="144">
        <f t="shared" si="96"/>
        <v>0</v>
      </c>
      <c r="X258" s="144">
        <f t="shared" si="97"/>
        <v>0</v>
      </c>
      <c r="Y258" s="169">
        <f t="shared" si="98"/>
        <v>0</v>
      </c>
      <c r="Z258" s="151">
        <v>0</v>
      </c>
      <c r="AA258" s="151">
        <v>0</v>
      </c>
      <c r="AB258" s="151">
        <v>0</v>
      </c>
      <c r="AC258" s="151">
        <v>0</v>
      </c>
    </row>
    <row r="259" spans="1:29" s="61" customFormat="1" ht="12" thickBot="1">
      <c r="A259" s="153">
        <f t="shared" si="84"/>
        <v>0</v>
      </c>
      <c r="B259" s="154">
        <f t="shared" si="85"/>
        <v>0</v>
      </c>
      <c r="C259" s="155">
        <f t="shared" si="86"/>
        <v>20</v>
      </c>
      <c r="D259" s="156">
        <v>240</v>
      </c>
      <c r="E259" s="157">
        <f t="shared" si="99"/>
        <v>0</v>
      </c>
      <c r="F259" s="158">
        <f t="shared" si="87"/>
        <v>0</v>
      </c>
      <c r="G259" s="158">
        <f t="shared" si="88"/>
        <v>0</v>
      </c>
      <c r="H259" s="172">
        <f t="shared" si="82"/>
        <v>0</v>
      </c>
      <c r="I259" s="157">
        <f t="shared" si="100"/>
        <v>0</v>
      </c>
      <c r="J259" s="158">
        <f t="shared" si="89"/>
        <v>0</v>
      </c>
      <c r="K259" s="158">
        <f t="shared" si="90"/>
        <v>0</v>
      </c>
      <c r="L259" s="172">
        <f t="shared" si="104"/>
        <v>0</v>
      </c>
      <c r="M259" s="157">
        <f t="shared" si="101"/>
        <v>0</v>
      </c>
      <c r="N259" s="158">
        <f t="shared" si="91"/>
        <v>0</v>
      </c>
      <c r="O259" s="158">
        <f t="shared" si="92"/>
        <v>0</v>
      </c>
      <c r="P259" s="172">
        <f t="shared" si="83"/>
        <v>0</v>
      </c>
      <c r="R259" s="157">
        <f t="shared" si="102"/>
        <v>0</v>
      </c>
      <c r="S259" s="158">
        <f t="shared" si="93"/>
        <v>0</v>
      </c>
      <c r="T259" s="158">
        <f t="shared" si="94"/>
        <v>0</v>
      </c>
      <c r="U259" s="172">
        <f t="shared" si="95"/>
        <v>0</v>
      </c>
      <c r="V259" s="157">
        <f t="shared" si="103"/>
        <v>0</v>
      </c>
      <c r="W259" s="158">
        <f t="shared" si="96"/>
        <v>0</v>
      </c>
      <c r="X259" s="158">
        <f t="shared" si="97"/>
        <v>0</v>
      </c>
      <c r="Y259" s="172">
        <f t="shared" si="98"/>
        <v>0</v>
      </c>
      <c r="Z259" s="151">
        <v>0</v>
      </c>
      <c r="AA259" s="151">
        <v>0</v>
      </c>
      <c r="AB259" s="151">
        <v>0</v>
      </c>
      <c r="AC259" s="151">
        <v>0</v>
      </c>
    </row>
    <row r="260" spans="1:29" s="61" customFormat="1" ht="11.25">
      <c r="A260" s="147">
        <f t="shared" si="84"/>
        <v>0</v>
      </c>
      <c r="B260" s="152">
        <f t="shared" si="85"/>
        <v>0</v>
      </c>
      <c r="C260" s="141">
        <f t="shared" si="86"/>
        <v>21</v>
      </c>
      <c r="D260" s="142">
        <v>241</v>
      </c>
      <c r="E260" s="143">
        <f t="shared" si="99"/>
        <v>0</v>
      </c>
      <c r="F260" s="144">
        <f t="shared" si="87"/>
        <v>0</v>
      </c>
      <c r="G260" s="144">
        <f t="shared" si="88"/>
        <v>0</v>
      </c>
      <c r="H260" s="169">
        <f t="shared" si="82"/>
        <v>0</v>
      </c>
      <c r="I260" s="143">
        <f t="shared" si="100"/>
        <v>0</v>
      </c>
      <c r="J260" s="144">
        <f t="shared" si="89"/>
        <v>0</v>
      </c>
      <c r="K260" s="144">
        <f t="shared" si="90"/>
        <v>0</v>
      </c>
      <c r="L260" s="169">
        <f t="shared" si="104"/>
        <v>0</v>
      </c>
      <c r="M260" s="143">
        <f t="shared" si="101"/>
        <v>0</v>
      </c>
      <c r="N260" s="144">
        <f t="shared" si="91"/>
        <v>0</v>
      </c>
      <c r="O260" s="144">
        <f t="shared" si="92"/>
        <v>0</v>
      </c>
      <c r="P260" s="169">
        <f t="shared" si="83"/>
        <v>0</v>
      </c>
      <c r="R260" s="143">
        <f t="shared" si="102"/>
        <v>0</v>
      </c>
      <c r="S260" s="144">
        <f t="shared" si="93"/>
        <v>0</v>
      </c>
      <c r="T260" s="144">
        <f t="shared" si="94"/>
        <v>0</v>
      </c>
      <c r="U260" s="169">
        <f t="shared" si="95"/>
        <v>0</v>
      </c>
      <c r="V260" s="143">
        <f t="shared" si="103"/>
        <v>0</v>
      </c>
      <c r="W260" s="144">
        <f t="shared" si="96"/>
        <v>0</v>
      </c>
      <c r="X260" s="144">
        <f t="shared" si="97"/>
        <v>0</v>
      </c>
      <c r="Y260" s="169">
        <f t="shared" si="98"/>
        <v>0</v>
      </c>
      <c r="Z260" s="151">
        <v>0</v>
      </c>
      <c r="AA260" s="151">
        <v>0</v>
      </c>
      <c r="AB260" s="151">
        <v>0</v>
      </c>
      <c r="AC260" s="151">
        <v>0</v>
      </c>
    </row>
    <row r="261" spans="1:29" s="61" customFormat="1" ht="11.25">
      <c r="A261" s="147">
        <f t="shared" si="84"/>
        <v>0</v>
      </c>
      <c r="B261" s="152">
        <f t="shared" si="85"/>
        <v>0</v>
      </c>
      <c r="C261" s="141">
        <f t="shared" si="86"/>
        <v>21</v>
      </c>
      <c r="D261" s="142">
        <v>242</v>
      </c>
      <c r="E261" s="143">
        <f t="shared" si="99"/>
        <v>0</v>
      </c>
      <c r="F261" s="144">
        <f t="shared" si="87"/>
        <v>0</v>
      </c>
      <c r="G261" s="144">
        <f t="shared" si="88"/>
        <v>0</v>
      </c>
      <c r="H261" s="169">
        <f t="shared" ref="H261:H324" si="105">IF(E261&lt;=0,0,H$14)</f>
        <v>0</v>
      </c>
      <c r="I261" s="143">
        <f t="shared" si="100"/>
        <v>0</v>
      </c>
      <c r="J261" s="144">
        <f t="shared" si="89"/>
        <v>0</v>
      </c>
      <c r="K261" s="144">
        <f t="shared" si="90"/>
        <v>0</v>
      </c>
      <c r="L261" s="169">
        <f t="shared" si="104"/>
        <v>0</v>
      </c>
      <c r="M261" s="143">
        <f t="shared" si="101"/>
        <v>0</v>
      </c>
      <c r="N261" s="144">
        <f t="shared" si="91"/>
        <v>0</v>
      </c>
      <c r="O261" s="144">
        <f t="shared" si="92"/>
        <v>0</v>
      </c>
      <c r="P261" s="169">
        <f t="shared" ref="P261:P324" si="106">IF(M261&lt;=0,0,P$14)</f>
        <v>0</v>
      </c>
      <c r="R261" s="143">
        <f t="shared" si="102"/>
        <v>0</v>
      </c>
      <c r="S261" s="144">
        <f t="shared" si="93"/>
        <v>0</v>
      </c>
      <c r="T261" s="144">
        <f t="shared" si="94"/>
        <v>0</v>
      </c>
      <c r="U261" s="169">
        <f t="shared" si="95"/>
        <v>0</v>
      </c>
      <c r="V261" s="143">
        <f t="shared" si="103"/>
        <v>0</v>
      </c>
      <c r="W261" s="144">
        <f t="shared" si="96"/>
        <v>0</v>
      </c>
      <c r="X261" s="144">
        <f t="shared" si="97"/>
        <v>0</v>
      </c>
      <c r="Y261" s="169">
        <f t="shared" si="98"/>
        <v>0</v>
      </c>
      <c r="Z261" s="151">
        <v>0</v>
      </c>
      <c r="AA261" s="151">
        <v>0</v>
      </c>
      <c r="AB261" s="151">
        <v>0</v>
      </c>
      <c r="AC261" s="151">
        <v>0</v>
      </c>
    </row>
    <row r="262" spans="1:29" s="61" customFormat="1" ht="11.25">
      <c r="A262" s="147">
        <f t="shared" si="84"/>
        <v>0</v>
      </c>
      <c r="B262" s="152">
        <f t="shared" si="85"/>
        <v>0</v>
      </c>
      <c r="C262" s="141">
        <f t="shared" si="86"/>
        <v>21</v>
      </c>
      <c r="D262" s="142">
        <v>243</v>
      </c>
      <c r="E262" s="143">
        <f t="shared" si="99"/>
        <v>0</v>
      </c>
      <c r="F262" s="144">
        <f t="shared" si="87"/>
        <v>0</v>
      </c>
      <c r="G262" s="144">
        <f t="shared" si="88"/>
        <v>0</v>
      </c>
      <c r="H262" s="169">
        <f t="shared" si="105"/>
        <v>0</v>
      </c>
      <c r="I262" s="143">
        <f t="shared" si="100"/>
        <v>0</v>
      </c>
      <c r="J262" s="144">
        <f t="shared" si="89"/>
        <v>0</v>
      </c>
      <c r="K262" s="144">
        <f t="shared" si="90"/>
        <v>0</v>
      </c>
      <c r="L262" s="169">
        <f t="shared" si="104"/>
        <v>0</v>
      </c>
      <c r="M262" s="143">
        <f t="shared" si="101"/>
        <v>0</v>
      </c>
      <c r="N262" s="144">
        <f t="shared" si="91"/>
        <v>0</v>
      </c>
      <c r="O262" s="144">
        <f t="shared" si="92"/>
        <v>0</v>
      </c>
      <c r="P262" s="169">
        <f t="shared" si="106"/>
        <v>0</v>
      </c>
      <c r="R262" s="143">
        <f t="shared" si="102"/>
        <v>0</v>
      </c>
      <c r="S262" s="144">
        <f t="shared" si="93"/>
        <v>0</v>
      </c>
      <c r="T262" s="144">
        <f t="shared" si="94"/>
        <v>0</v>
      </c>
      <c r="U262" s="169">
        <f t="shared" si="95"/>
        <v>0</v>
      </c>
      <c r="V262" s="143">
        <f t="shared" si="103"/>
        <v>0</v>
      </c>
      <c r="W262" s="144">
        <f t="shared" si="96"/>
        <v>0</v>
      </c>
      <c r="X262" s="144">
        <f t="shared" si="97"/>
        <v>0</v>
      </c>
      <c r="Y262" s="169">
        <f t="shared" si="98"/>
        <v>0</v>
      </c>
      <c r="Z262" s="151">
        <v>0</v>
      </c>
      <c r="AA262" s="151">
        <v>0</v>
      </c>
      <c r="AB262" s="151">
        <v>0</v>
      </c>
      <c r="AC262" s="151">
        <v>0</v>
      </c>
    </row>
    <row r="263" spans="1:29" s="61" customFormat="1" ht="11.25">
      <c r="A263" s="147">
        <f t="shared" si="84"/>
        <v>0</v>
      </c>
      <c r="B263" s="152">
        <f t="shared" si="85"/>
        <v>0</v>
      </c>
      <c r="C263" s="141">
        <f t="shared" si="86"/>
        <v>21</v>
      </c>
      <c r="D263" s="142">
        <v>244</v>
      </c>
      <c r="E263" s="143">
        <f t="shared" si="99"/>
        <v>0</v>
      </c>
      <c r="F263" s="144">
        <f t="shared" si="87"/>
        <v>0</v>
      </c>
      <c r="G263" s="144">
        <f t="shared" si="88"/>
        <v>0</v>
      </c>
      <c r="H263" s="169">
        <f t="shared" si="105"/>
        <v>0</v>
      </c>
      <c r="I263" s="143">
        <f t="shared" si="100"/>
        <v>0</v>
      </c>
      <c r="J263" s="144">
        <f t="shared" si="89"/>
        <v>0</v>
      </c>
      <c r="K263" s="144">
        <f t="shared" si="90"/>
        <v>0</v>
      </c>
      <c r="L263" s="169">
        <f t="shared" si="104"/>
        <v>0</v>
      </c>
      <c r="M263" s="143">
        <f t="shared" si="101"/>
        <v>0</v>
      </c>
      <c r="N263" s="144">
        <f t="shared" si="91"/>
        <v>0</v>
      </c>
      <c r="O263" s="144">
        <f t="shared" si="92"/>
        <v>0</v>
      </c>
      <c r="P263" s="169">
        <f t="shared" si="106"/>
        <v>0</v>
      </c>
      <c r="R263" s="143">
        <f t="shared" si="102"/>
        <v>0</v>
      </c>
      <c r="S263" s="144">
        <f t="shared" si="93"/>
        <v>0</v>
      </c>
      <c r="T263" s="144">
        <f t="shared" si="94"/>
        <v>0</v>
      </c>
      <c r="U263" s="169">
        <f t="shared" si="95"/>
        <v>0</v>
      </c>
      <c r="V263" s="143">
        <f t="shared" si="103"/>
        <v>0</v>
      </c>
      <c r="W263" s="144">
        <f t="shared" si="96"/>
        <v>0</v>
      </c>
      <c r="X263" s="144">
        <f t="shared" si="97"/>
        <v>0</v>
      </c>
      <c r="Y263" s="169">
        <f t="shared" si="98"/>
        <v>0</v>
      </c>
      <c r="Z263" s="151">
        <v>0</v>
      </c>
      <c r="AA263" s="151">
        <v>0</v>
      </c>
      <c r="AB263" s="151">
        <v>0</v>
      </c>
      <c r="AC263" s="151">
        <v>0</v>
      </c>
    </row>
    <row r="264" spans="1:29" s="61" customFormat="1" ht="11.25">
      <c r="A264" s="147">
        <f t="shared" si="84"/>
        <v>0</v>
      </c>
      <c r="B264" s="152">
        <f t="shared" si="85"/>
        <v>0</v>
      </c>
      <c r="C264" s="141">
        <f t="shared" si="86"/>
        <v>21</v>
      </c>
      <c r="D264" s="142">
        <v>245</v>
      </c>
      <c r="E264" s="143">
        <f t="shared" si="99"/>
        <v>0</v>
      </c>
      <c r="F264" s="144">
        <f t="shared" si="87"/>
        <v>0</v>
      </c>
      <c r="G264" s="144">
        <f t="shared" si="88"/>
        <v>0</v>
      </c>
      <c r="H264" s="169">
        <f t="shared" si="105"/>
        <v>0</v>
      </c>
      <c r="I264" s="143">
        <f t="shared" si="100"/>
        <v>0</v>
      </c>
      <c r="J264" s="144">
        <f t="shared" si="89"/>
        <v>0</v>
      </c>
      <c r="K264" s="144">
        <f t="shared" si="90"/>
        <v>0</v>
      </c>
      <c r="L264" s="169">
        <f t="shared" si="104"/>
        <v>0</v>
      </c>
      <c r="M264" s="143">
        <f t="shared" si="101"/>
        <v>0</v>
      </c>
      <c r="N264" s="144">
        <f t="shared" si="91"/>
        <v>0</v>
      </c>
      <c r="O264" s="144">
        <f t="shared" si="92"/>
        <v>0</v>
      </c>
      <c r="P264" s="169">
        <f t="shared" si="106"/>
        <v>0</v>
      </c>
      <c r="R264" s="143">
        <f t="shared" si="102"/>
        <v>0</v>
      </c>
      <c r="S264" s="144">
        <f t="shared" si="93"/>
        <v>0</v>
      </c>
      <c r="T264" s="144">
        <f t="shared" si="94"/>
        <v>0</v>
      </c>
      <c r="U264" s="169">
        <f t="shared" si="95"/>
        <v>0</v>
      </c>
      <c r="V264" s="143">
        <f t="shared" si="103"/>
        <v>0</v>
      </c>
      <c r="W264" s="144">
        <f t="shared" si="96"/>
        <v>0</v>
      </c>
      <c r="X264" s="144">
        <f t="shared" si="97"/>
        <v>0</v>
      </c>
      <c r="Y264" s="169">
        <f t="shared" si="98"/>
        <v>0</v>
      </c>
      <c r="Z264" s="151">
        <v>0</v>
      </c>
      <c r="AA264" s="151">
        <v>0</v>
      </c>
      <c r="AB264" s="151">
        <v>0</v>
      </c>
      <c r="AC264" s="151">
        <v>0</v>
      </c>
    </row>
    <row r="265" spans="1:29" s="61" customFormat="1" ht="11.25">
      <c r="A265" s="147">
        <f t="shared" si="84"/>
        <v>0</v>
      </c>
      <c r="B265" s="152">
        <f t="shared" si="85"/>
        <v>0</v>
      </c>
      <c r="C265" s="141">
        <f t="shared" si="86"/>
        <v>21</v>
      </c>
      <c r="D265" s="142">
        <v>246</v>
      </c>
      <c r="E265" s="143">
        <f t="shared" si="99"/>
        <v>0</v>
      </c>
      <c r="F265" s="144">
        <f t="shared" si="87"/>
        <v>0</v>
      </c>
      <c r="G265" s="144">
        <f t="shared" si="88"/>
        <v>0</v>
      </c>
      <c r="H265" s="169">
        <f t="shared" si="105"/>
        <v>0</v>
      </c>
      <c r="I265" s="143">
        <f t="shared" si="100"/>
        <v>0</v>
      </c>
      <c r="J265" s="144">
        <f t="shared" si="89"/>
        <v>0</v>
      </c>
      <c r="K265" s="144">
        <f t="shared" si="90"/>
        <v>0</v>
      </c>
      <c r="L265" s="169">
        <f t="shared" si="104"/>
        <v>0</v>
      </c>
      <c r="M265" s="143">
        <f t="shared" si="101"/>
        <v>0</v>
      </c>
      <c r="N265" s="144">
        <f t="shared" si="91"/>
        <v>0</v>
      </c>
      <c r="O265" s="144">
        <f t="shared" si="92"/>
        <v>0</v>
      </c>
      <c r="P265" s="169">
        <f t="shared" si="106"/>
        <v>0</v>
      </c>
      <c r="R265" s="143">
        <f t="shared" si="102"/>
        <v>0</v>
      </c>
      <c r="S265" s="144">
        <f t="shared" si="93"/>
        <v>0</v>
      </c>
      <c r="T265" s="144">
        <f t="shared" si="94"/>
        <v>0</v>
      </c>
      <c r="U265" s="169">
        <f t="shared" si="95"/>
        <v>0</v>
      </c>
      <c r="V265" s="143">
        <f t="shared" si="103"/>
        <v>0</v>
      </c>
      <c r="W265" s="144">
        <f t="shared" si="96"/>
        <v>0</v>
      </c>
      <c r="X265" s="144">
        <f t="shared" si="97"/>
        <v>0</v>
      </c>
      <c r="Y265" s="169">
        <f t="shared" si="98"/>
        <v>0</v>
      </c>
      <c r="Z265" s="151">
        <v>0</v>
      </c>
      <c r="AA265" s="151">
        <v>0</v>
      </c>
      <c r="AB265" s="151">
        <v>0</v>
      </c>
      <c r="AC265" s="151">
        <v>0</v>
      </c>
    </row>
    <row r="266" spans="1:29" s="61" customFormat="1" ht="11.25">
      <c r="A266" s="147">
        <f t="shared" si="84"/>
        <v>0</v>
      </c>
      <c r="B266" s="152">
        <f t="shared" si="85"/>
        <v>0</v>
      </c>
      <c r="C266" s="141">
        <f t="shared" si="86"/>
        <v>21</v>
      </c>
      <c r="D266" s="142">
        <v>247</v>
      </c>
      <c r="E266" s="143">
        <f t="shared" si="99"/>
        <v>0</v>
      </c>
      <c r="F266" s="144">
        <f t="shared" si="87"/>
        <v>0</v>
      </c>
      <c r="G266" s="144">
        <f t="shared" si="88"/>
        <v>0</v>
      </c>
      <c r="H266" s="169">
        <f t="shared" si="105"/>
        <v>0</v>
      </c>
      <c r="I266" s="143">
        <f t="shared" si="100"/>
        <v>0</v>
      </c>
      <c r="J266" s="144">
        <f t="shared" si="89"/>
        <v>0</v>
      </c>
      <c r="K266" s="144">
        <f t="shared" si="90"/>
        <v>0</v>
      </c>
      <c r="L266" s="169">
        <f t="shared" si="104"/>
        <v>0</v>
      </c>
      <c r="M266" s="143">
        <f t="shared" si="101"/>
        <v>0</v>
      </c>
      <c r="N266" s="144">
        <f t="shared" si="91"/>
        <v>0</v>
      </c>
      <c r="O266" s="144">
        <f t="shared" si="92"/>
        <v>0</v>
      </c>
      <c r="P266" s="169">
        <f t="shared" si="106"/>
        <v>0</v>
      </c>
      <c r="R266" s="143">
        <f t="shared" si="102"/>
        <v>0</v>
      </c>
      <c r="S266" s="144">
        <f t="shared" si="93"/>
        <v>0</v>
      </c>
      <c r="T266" s="144">
        <f t="shared" si="94"/>
        <v>0</v>
      </c>
      <c r="U266" s="169">
        <f t="shared" si="95"/>
        <v>0</v>
      </c>
      <c r="V266" s="143">
        <f t="shared" si="103"/>
        <v>0</v>
      </c>
      <c r="W266" s="144">
        <f t="shared" si="96"/>
        <v>0</v>
      </c>
      <c r="X266" s="144">
        <f t="shared" si="97"/>
        <v>0</v>
      </c>
      <c r="Y266" s="169">
        <f t="shared" si="98"/>
        <v>0</v>
      </c>
      <c r="Z266" s="151">
        <v>0</v>
      </c>
      <c r="AA266" s="151">
        <v>0</v>
      </c>
      <c r="AB266" s="151">
        <v>0</v>
      </c>
      <c r="AC266" s="151">
        <v>0</v>
      </c>
    </row>
    <row r="267" spans="1:29" s="61" customFormat="1" ht="11.25">
      <c r="A267" s="147">
        <f t="shared" si="84"/>
        <v>0</v>
      </c>
      <c r="B267" s="152">
        <f t="shared" si="85"/>
        <v>0</v>
      </c>
      <c r="C267" s="141">
        <f t="shared" si="86"/>
        <v>21</v>
      </c>
      <c r="D267" s="142">
        <v>248</v>
      </c>
      <c r="E267" s="143">
        <f t="shared" si="99"/>
        <v>0</v>
      </c>
      <c r="F267" s="144">
        <f t="shared" si="87"/>
        <v>0</v>
      </c>
      <c r="G267" s="144">
        <f t="shared" si="88"/>
        <v>0</v>
      </c>
      <c r="H267" s="169">
        <f t="shared" si="105"/>
        <v>0</v>
      </c>
      <c r="I267" s="143">
        <f t="shared" si="100"/>
        <v>0</v>
      </c>
      <c r="J267" s="144">
        <f t="shared" si="89"/>
        <v>0</v>
      </c>
      <c r="K267" s="144">
        <f t="shared" si="90"/>
        <v>0</v>
      </c>
      <c r="L267" s="169">
        <f t="shared" si="104"/>
        <v>0</v>
      </c>
      <c r="M267" s="143">
        <f t="shared" si="101"/>
        <v>0</v>
      </c>
      <c r="N267" s="144">
        <f t="shared" si="91"/>
        <v>0</v>
      </c>
      <c r="O267" s="144">
        <f t="shared" si="92"/>
        <v>0</v>
      </c>
      <c r="P267" s="169">
        <f t="shared" si="106"/>
        <v>0</v>
      </c>
      <c r="R267" s="143">
        <f t="shared" si="102"/>
        <v>0</v>
      </c>
      <c r="S267" s="144">
        <f t="shared" si="93"/>
        <v>0</v>
      </c>
      <c r="T267" s="144">
        <f t="shared" si="94"/>
        <v>0</v>
      </c>
      <c r="U267" s="169">
        <f t="shared" si="95"/>
        <v>0</v>
      </c>
      <c r="V267" s="143">
        <f t="shared" si="103"/>
        <v>0</v>
      </c>
      <c r="W267" s="144">
        <f t="shared" si="96"/>
        <v>0</v>
      </c>
      <c r="X267" s="144">
        <f t="shared" si="97"/>
        <v>0</v>
      </c>
      <c r="Y267" s="169">
        <f t="shared" si="98"/>
        <v>0</v>
      </c>
      <c r="Z267" s="151">
        <v>0</v>
      </c>
      <c r="AA267" s="151">
        <v>0</v>
      </c>
      <c r="AB267" s="151">
        <v>0</v>
      </c>
      <c r="AC267" s="151">
        <v>0</v>
      </c>
    </row>
    <row r="268" spans="1:29" s="61" customFormat="1" ht="11.25">
      <c r="A268" s="147">
        <f t="shared" si="84"/>
        <v>0</v>
      </c>
      <c r="B268" s="152">
        <f t="shared" si="85"/>
        <v>0</v>
      </c>
      <c r="C268" s="141">
        <f t="shared" si="86"/>
        <v>21</v>
      </c>
      <c r="D268" s="142">
        <v>249</v>
      </c>
      <c r="E268" s="143">
        <f t="shared" si="99"/>
        <v>0</v>
      </c>
      <c r="F268" s="144">
        <f t="shared" si="87"/>
        <v>0</v>
      </c>
      <c r="G268" s="144">
        <f t="shared" si="88"/>
        <v>0</v>
      </c>
      <c r="H268" s="169">
        <f t="shared" si="105"/>
        <v>0</v>
      </c>
      <c r="I268" s="143">
        <f t="shared" si="100"/>
        <v>0</v>
      </c>
      <c r="J268" s="144">
        <f t="shared" si="89"/>
        <v>0</v>
      </c>
      <c r="K268" s="144">
        <f t="shared" si="90"/>
        <v>0</v>
      </c>
      <c r="L268" s="169">
        <f t="shared" si="104"/>
        <v>0</v>
      </c>
      <c r="M268" s="143">
        <f t="shared" si="101"/>
        <v>0</v>
      </c>
      <c r="N268" s="144">
        <f t="shared" si="91"/>
        <v>0</v>
      </c>
      <c r="O268" s="144">
        <f t="shared" si="92"/>
        <v>0</v>
      </c>
      <c r="P268" s="169">
        <f t="shared" si="106"/>
        <v>0</v>
      </c>
      <c r="R268" s="143">
        <f t="shared" si="102"/>
        <v>0</v>
      </c>
      <c r="S268" s="144">
        <f t="shared" si="93"/>
        <v>0</v>
      </c>
      <c r="T268" s="144">
        <f t="shared" si="94"/>
        <v>0</v>
      </c>
      <c r="U268" s="169">
        <f t="shared" si="95"/>
        <v>0</v>
      </c>
      <c r="V268" s="143">
        <f t="shared" si="103"/>
        <v>0</v>
      </c>
      <c r="W268" s="144">
        <f t="shared" si="96"/>
        <v>0</v>
      </c>
      <c r="X268" s="144">
        <f t="shared" si="97"/>
        <v>0</v>
      </c>
      <c r="Y268" s="169">
        <f t="shared" si="98"/>
        <v>0</v>
      </c>
      <c r="Z268" s="151">
        <v>0</v>
      </c>
      <c r="AA268" s="151">
        <v>0</v>
      </c>
      <c r="AB268" s="151">
        <v>0</v>
      </c>
      <c r="AC268" s="151">
        <v>0</v>
      </c>
    </row>
    <row r="269" spans="1:29" s="61" customFormat="1" ht="11.25">
      <c r="A269" s="147">
        <f t="shared" si="84"/>
        <v>0</v>
      </c>
      <c r="B269" s="152">
        <f t="shared" si="85"/>
        <v>0</v>
      </c>
      <c r="C269" s="141">
        <f t="shared" si="86"/>
        <v>21</v>
      </c>
      <c r="D269" s="142">
        <v>250</v>
      </c>
      <c r="E269" s="143">
        <f t="shared" si="99"/>
        <v>0</v>
      </c>
      <c r="F269" s="144">
        <f t="shared" si="87"/>
        <v>0</v>
      </c>
      <c r="G269" s="144">
        <f t="shared" si="88"/>
        <v>0</v>
      </c>
      <c r="H269" s="169">
        <f t="shared" si="105"/>
        <v>0</v>
      </c>
      <c r="I269" s="143">
        <f t="shared" si="100"/>
        <v>0</v>
      </c>
      <c r="J269" s="144">
        <f t="shared" si="89"/>
        <v>0</v>
      </c>
      <c r="K269" s="144">
        <f t="shared" si="90"/>
        <v>0</v>
      </c>
      <c r="L269" s="169">
        <f t="shared" si="104"/>
        <v>0</v>
      </c>
      <c r="M269" s="143">
        <f t="shared" si="101"/>
        <v>0</v>
      </c>
      <c r="N269" s="144">
        <f t="shared" si="91"/>
        <v>0</v>
      </c>
      <c r="O269" s="144">
        <f t="shared" si="92"/>
        <v>0</v>
      </c>
      <c r="P269" s="169">
        <f t="shared" si="106"/>
        <v>0</v>
      </c>
      <c r="R269" s="143">
        <f t="shared" si="102"/>
        <v>0</v>
      </c>
      <c r="S269" s="144">
        <f t="shared" si="93"/>
        <v>0</v>
      </c>
      <c r="T269" s="144">
        <f t="shared" si="94"/>
        <v>0</v>
      </c>
      <c r="U269" s="169">
        <f t="shared" si="95"/>
        <v>0</v>
      </c>
      <c r="V269" s="143">
        <f t="shared" si="103"/>
        <v>0</v>
      </c>
      <c r="W269" s="144">
        <f t="shared" si="96"/>
        <v>0</v>
      </c>
      <c r="X269" s="144">
        <f t="shared" si="97"/>
        <v>0</v>
      </c>
      <c r="Y269" s="169">
        <f t="shared" si="98"/>
        <v>0</v>
      </c>
      <c r="Z269" s="151">
        <v>0</v>
      </c>
      <c r="AA269" s="151">
        <v>0</v>
      </c>
      <c r="AB269" s="151">
        <v>0</v>
      </c>
      <c r="AC269" s="151">
        <v>0</v>
      </c>
    </row>
    <row r="270" spans="1:29" s="61" customFormat="1" ht="11.25">
      <c r="A270" s="147">
        <f t="shared" si="84"/>
        <v>0</v>
      </c>
      <c r="B270" s="152">
        <f t="shared" si="85"/>
        <v>0</v>
      </c>
      <c r="C270" s="141">
        <f t="shared" si="86"/>
        <v>21</v>
      </c>
      <c r="D270" s="142">
        <v>251</v>
      </c>
      <c r="E270" s="143">
        <f t="shared" si="99"/>
        <v>0</v>
      </c>
      <c r="F270" s="144">
        <f t="shared" si="87"/>
        <v>0</v>
      </c>
      <c r="G270" s="144">
        <f t="shared" si="88"/>
        <v>0</v>
      </c>
      <c r="H270" s="169">
        <f t="shared" si="105"/>
        <v>0</v>
      </c>
      <c r="I270" s="143">
        <f t="shared" si="100"/>
        <v>0</v>
      </c>
      <c r="J270" s="144">
        <f t="shared" si="89"/>
        <v>0</v>
      </c>
      <c r="K270" s="144">
        <f t="shared" si="90"/>
        <v>0</v>
      </c>
      <c r="L270" s="169">
        <f t="shared" si="104"/>
        <v>0</v>
      </c>
      <c r="M270" s="143">
        <f t="shared" si="101"/>
        <v>0</v>
      </c>
      <c r="N270" s="144">
        <f t="shared" si="91"/>
        <v>0</v>
      </c>
      <c r="O270" s="144">
        <f t="shared" si="92"/>
        <v>0</v>
      </c>
      <c r="P270" s="169">
        <f t="shared" si="106"/>
        <v>0</v>
      </c>
      <c r="R270" s="143">
        <f t="shared" si="102"/>
        <v>0</v>
      </c>
      <c r="S270" s="144">
        <f t="shared" si="93"/>
        <v>0</v>
      </c>
      <c r="T270" s="144">
        <f t="shared" si="94"/>
        <v>0</v>
      </c>
      <c r="U270" s="169">
        <f t="shared" si="95"/>
        <v>0</v>
      </c>
      <c r="V270" s="143">
        <f t="shared" si="103"/>
        <v>0</v>
      </c>
      <c r="W270" s="144">
        <f t="shared" si="96"/>
        <v>0</v>
      </c>
      <c r="X270" s="144">
        <f t="shared" si="97"/>
        <v>0</v>
      </c>
      <c r="Y270" s="169">
        <f t="shared" si="98"/>
        <v>0</v>
      </c>
      <c r="Z270" s="151">
        <v>0</v>
      </c>
      <c r="AA270" s="151">
        <v>0</v>
      </c>
      <c r="AB270" s="151">
        <v>0</v>
      </c>
      <c r="AC270" s="151">
        <v>0</v>
      </c>
    </row>
    <row r="271" spans="1:29" s="61" customFormat="1" ht="12" thickBot="1">
      <c r="A271" s="153">
        <f t="shared" si="84"/>
        <v>0</v>
      </c>
      <c r="B271" s="154">
        <f t="shared" si="85"/>
        <v>0</v>
      </c>
      <c r="C271" s="155">
        <f t="shared" si="86"/>
        <v>21</v>
      </c>
      <c r="D271" s="156">
        <v>252</v>
      </c>
      <c r="E271" s="157">
        <f t="shared" si="99"/>
        <v>0</v>
      </c>
      <c r="F271" s="158">
        <f t="shared" si="87"/>
        <v>0</v>
      </c>
      <c r="G271" s="158">
        <f t="shared" si="88"/>
        <v>0</v>
      </c>
      <c r="H271" s="172">
        <f t="shared" si="105"/>
        <v>0</v>
      </c>
      <c r="I271" s="157">
        <f t="shared" si="100"/>
        <v>0</v>
      </c>
      <c r="J271" s="158">
        <f t="shared" si="89"/>
        <v>0</v>
      </c>
      <c r="K271" s="158">
        <f t="shared" si="90"/>
        <v>0</v>
      </c>
      <c r="L271" s="172">
        <f t="shared" si="104"/>
        <v>0</v>
      </c>
      <c r="M271" s="157">
        <f t="shared" si="101"/>
        <v>0</v>
      </c>
      <c r="N271" s="158">
        <f t="shared" si="91"/>
        <v>0</v>
      </c>
      <c r="O271" s="158">
        <f t="shared" si="92"/>
        <v>0</v>
      </c>
      <c r="P271" s="172">
        <f t="shared" si="106"/>
        <v>0</v>
      </c>
      <c r="R271" s="157">
        <f t="shared" si="102"/>
        <v>0</v>
      </c>
      <c r="S271" s="158">
        <f t="shared" si="93"/>
        <v>0</v>
      </c>
      <c r="T271" s="158">
        <f t="shared" si="94"/>
        <v>0</v>
      </c>
      <c r="U271" s="172">
        <f t="shared" si="95"/>
        <v>0</v>
      </c>
      <c r="V271" s="157">
        <f t="shared" si="103"/>
        <v>0</v>
      </c>
      <c r="W271" s="158">
        <f t="shared" si="96"/>
        <v>0</v>
      </c>
      <c r="X271" s="158">
        <f t="shared" si="97"/>
        <v>0</v>
      </c>
      <c r="Y271" s="172">
        <f t="shared" si="98"/>
        <v>0</v>
      </c>
      <c r="Z271" s="151">
        <v>0</v>
      </c>
      <c r="AA271" s="151">
        <v>0</v>
      </c>
      <c r="AB271" s="151">
        <v>0</v>
      </c>
      <c r="AC271" s="151">
        <v>0</v>
      </c>
    </row>
    <row r="272" spans="1:29" s="61" customFormat="1" ht="11.25">
      <c r="A272" s="147">
        <f t="shared" si="84"/>
        <v>0</v>
      </c>
      <c r="B272" s="152">
        <f t="shared" si="85"/>
        <v>0</v>
      </c>
      <c r="C272" s="141">
        <f t="shared" si="86"/>
        <v>22</v>
      </c>
      <c r="D272" s="142">
        <v>253</v>
      </c>
      <c r="E272" s="143">
        <f t="shared" si="99"/>
        <v>0</v>
      </c>
      <c r="F272" s="144">
        <f t="shared" si="87"/>
        <v>0</v>
      </c>
      <c r="G272" s="144">
        <f t="shared" si="88"/>
        <v>0</v>
      </c>
      <c r="H272" s="169">
        <f t="shared" si="105"/>
        <v>0</v>
      </c>
      <c r="I272" s="143">
        <f t="shared" si="100"/>
        <v>0</v>
      </c>
      <c r="J272" s="144">
        <f t="shared" si="89"/>
        <v>0</v>
      </c>
      <c r="K272" s="144">
        <f t="shared" si="90"/>
        <v>0</v>
      </c>
      <c r="L272" s="169">
        <f t="shared" si="104"/>
        <v>0</v>
      </c>
      <c r="M272" s="143">
        <f t="shared" si="101"/>
        <v>0</v>
      </c>
      <c r="N272" s="144">
        <f t="shared" si="91"/>
        <v>0</v>
      </c>
      <c r="O272" s="144">
        <f t="shared" si="92"/>
        <v>0</v>
      </c>
      <c r="P272" s="169">
        <f t="shared" si="106"/>
        <v>0</v>
      </c>
      <c r="R272" s="143">
        <f t="shared" si="102"/>
        <v>0</v>
      </c>
      <c r="S272" s="144">
        <f t="shared" si="93"/>
        <v>0</v>
      </c>
      <c r="T272" s="144">
        <f t="shared" si="94"/>
        <v>0</v>
      </c>
      <c r="U272" s="169">
        <f t="shared" si="95"/>
        <v>0</v>
      </c>
      <c r="V272" s="143">
        <f t="shared" si="103"/>
        <v>0</v>
      </c>
      <c r="W272" s="144">
        <f t="shared" si="96"/>
        <v>0</v>
      </c>
      <c r="X272" s="144">
        <f t="shared" si="97"/>
        <v>0</v>
      </c>
      <c r="Y272" s="169">
        <f t="shared" si="98"/>
        <v>0</v>
      </c>
      <c r="Z272" s="151">
        <v>0</v>
      </c>
      <c r="AA272" s="151">
        <v>0</v>
      </c>
      <c r="AB272" s="151">
        <v>0</v>
      </c>
      <c r="AC272" s="151">
        <v>0</v>
      </c>
    </row>
    <row r="273" spans="1:29" s="61" customFormat="1" ht="11.25">
      <c r="A273" s="147">
        <f t="shared" si="84"/>
        <v>0</v>
      </c>
      <c r="B273" s="152">
        <f t="shared" si="85"/>
        <v>0</v>
      </c>
      <c r="C273" s="141">
        <f t="shared" si="86"/>
        <v>22</v>
      </c>
      <c r="D273" s="142">
        <v>254</v>
      </c>
      <c r="E273" s="143">
        <f t="shared" si="99"/>
        <v>0</v>
      </c>
      <c r="F273" s="144">
        <f t="shared" si="87"/>
        <v>0</v>
      </c>
      <c r="G273" s="144">
        <f t="shared" si="88"/>
        <v>0</v>
      </c>
      <c r="H273" s="169">
        <f t="shared" si="105"/>
        <v>0</v>
      </c>
      <c r="I273" s="143">
        <f t="shared" si="100"/>
        <v>0</v>
      </c>
      <c r="J273" s="144">
        <f t="shared" si="89"/>
        <v>0</v>
      </c>
      <c r="K273" s="144">
        <f t="shared" si="90"/>
        <v>0</v>
      </c>
      <c r="L273" s="169">
        <f t="shared" si="104"/>
        <v>0</v>
      </c>
      <c r="M273" s="143">
        <f t="shared" si="101"/>
        <v>0</v>
      </c>
      <c r="N273" s="144">
        <f t="shared" si="91"/>
        <v>0</v>
      </c>
      <c r="O273" s="144">
        <f t="shared" si="92"/>
        <v>0</v>
      </c>
      <c r="P273" s="169">
        <f t="shared" si="106"/>
        <v>0</v>
      </c>
      <c r="R273" s="143">
        <f t="shared" si="102"/>
        <v>0</v>
      </c>
      <c r="S273" s="144">
        <f t="shared" si="93"/>
        <v>0</v>
      </c>
      <c r="T273" s="144">
        <f t="shared" si="94"/>
        <v>0</v>
      </c>
      <c r="U273" s="169">
        <f t="shared" si="95"/>
        <v>0</v>
      </c>
      <c r="V273" s="143">
        <f t="shared" si="103"/>
        <v>0</v>
      </c>
      <c r="W273" s="144">
        <f t="shared" si="96"/>
        <v>0</v>
      </c>
      <c r="X273" s="144">
        <f t="shared" si="97"/>
        <v>0</v>
      </c>
      <c r="Y273" s="169">
        <f t="shared" si="98"/>
        <v>0</v>
      </c>
      <c r="Z273" s="151">
        <v>0</v>
      </c>
      <c r="AA273" s="151">
        <v>0</v>
      </c>
      <c r="AB273" s="151">
        <v>0</v>
      </c>
      <c r="AC273" s="151">
        <v>0</v>
      </c>
    </row>
    <row r="274" spans="1:29" s="61" customFormat="1" ht="11.25">
      <c r="A274" s="147">
        <f t="shared" si="84"/>
        <v>0</v>
      </c>
      <c r="B274" s="152">
        <f t="shared" si="85"/>
        <v>0</v>
      </c>
      <c r="C274" s="141">
        <f t="shared" si="86"/>
        <v>22</v>
      </c>
      <c r="D274" s="142">
        <v>255</v>
      </c>
      <c r="E274" s="143">
        <f t="shared" si="99"/>
        <v>0</v>
      </c>
      <c r="F274" s="144">
        <f t="shared" si="87"/>
        <v>0</v>
      </c>
      <c r="G274" s="144">
        <f t="shared" si="88"/>
        <v>0</v>
      </c>
      <c r="H274" s="169">
        <f t="shared" si="105"/>
        <v>0</v>
      </c>
      <c r="I274" s="143">
        <f t="shared" si="100"/>
        <v>0</v>
      </c>
      <c r="J274" s="144">
        <f t="shared" si="89"/>
        <v>0</v>
      </c>
      <c r="K274" s="144">
        <f t="shared" si="90"/>
        <v>0</v>
      </c>
      <c r="L274" s="169">
        <f t="shared" si="104"/>
        <v>0</v>
      </c>
      <c r="M274" s="143">
        <f t="shared" si="101"/>
        <v>0</v>
      </c>
      <c r="N274" s="144">
        <f t="shared" si="91"/>
        <v>0</v>
      </c>
      <c r="O274" s="144">
        <f t="shared" si="92"/>
        <v>0</v>
      </c>
      <c r="P274" s="169">
        <f t="shared" si="106"/>
        <v>0</v>
      </c>
      <c r="R274" s="143">
        <f t="shared" si="102"/>
        <v>0</v>
      </c>
      <c r="S274" s="144">
        <f t="shared" si="93"/>
        <v>0</v>
      </c>
      <c r="T274" s="144">
        <f t="shared" si="94"/>
        <v>0</v>
      </c>
      <c r="U274" s="169">
        <f t="shared" si="95"/>
        <v>0</v>
      </c>
      <c r="V274" s="143">
        <f t="shared" si="103"/>
        <v>0</v>
      </c>
      <c r="W274" s="144">
        <f t="shared" si="96"/>
        <v>0</v>
      </c>
      <c r="X274" s="144">
        <f t="shared" si="97"/>
        <v>0</v>
      </c>
      <c r="Y274" s="169">
        <f t="shared" si="98"/>
        <v>0</v>
      </c>
      <c r="Z274" s="151">
        <v>0</v>
      </c>
      <c r="AA274" s="151">
        <v>0</v>
      </c>
      <c r="AB274" s="151">
        <v>0</v>
      </c>
      <c r="AC274" s="151">
        <v>0</v>
      </c>
    </row>
    <row r="275" spans="1:29" s="61" customFormat="1" ht="11.25">
      <c r="A275" s="147">
        <f t="shared" si="84"/>
        <v>0</v>
      </c>
      <c r="B275" s="152">
        <f t="shared" si="85"/>
        <v>0</v>
      </c>
      <c r="C275" s="141">
        <f t="shared" si="86"/>
        <v>22</v>
      </c>
      <c r="D275" s="142">
        <v>256</v>
      </c>
      <c r="E275" s="143">
        <f t="shared" si="99"/>
        <v>0</v>
      </c>
      <c r="F275" s="144">
        <f t="shared" si="87"/>
        <v>0</v>
      </c>
      <c r="G275" s="144">
        <f t="shared" si="88"/>
        <v>0</v>
      </c>
      <c r="H275" s="169">
        <f t="shared" si="105"/>
        <v>0</v>
      </c>
      <c r="I275" s="143">
        <f t="shared" si="100"/>
        <v>0</v>
      </c>
      <c r="J275" s="144">
        <f t="shared" si="89"/>
        <v>0</v>
      </c>
      <c r="K275" s="144">
        <f t="shared" si="90"/>
        <v>0</v>
      </c>
      <c r="L275" s="169">
        <f t="shared" si="104"/>
        <v>0</v>
      </c>
      <c r="M275" s="143">
        <f t="shared" si="101"/>
        <v>0</v>
      </c>
      <c r="N275" s="144">
        <f t="shared" si="91"/>
        <v>0</v>
      </c>
      <c r="O275" s="144">
        <f t="shared" si="92"/>
        <v>0</v>
      </c>
      <c r="P275" s="169">
        <f t="shared" si="106"/>
        <v>0</v>
      </c>
      <c r="R275" s="143">
        <f t="shared" si="102"/>
        <v>0</v>
      </c>
      <c r="S275" s="144">
        <f t="shared" si="93"/>
        <v>0</v>
      </c>
      <c r="T275" s="144">
        <f t="shared" si="94"/>
        <v>0</v>
      </c>
      <c r="U275" s="169">
        <f t="shared" si="95"/>
        <v>0</v>
      </c>
      <c r="V275" s="143">
        <f t="shared" si="103"/>
        <v>0</v>
      </c>
      <c r="W275" s="144">
        <f t="shared" si="96"/>
        <v>0</v>
      </c>
      <c r="X275" s="144">
        <f t="shared" si="97"/>
        <v>0</v>
      </c>
      <c r="Y275" s="169">
        <f t="shared" si="98"/>
        <v>0</v>
      </c>
      <c r="Z275" s="151">
        <v>0</v>
      </c>
      <c r="AA275" s="151">
        <v>0</v>
      </c>
      <c r="AB275" s="151">
        <v>0</v>
      </c>
      <c r="AC275" s="151">
        <v>0</v>
      </c>
    </row>
    <row r="276" spans="1:29" s="61" customFormat="1" ht="11.25">
      <c r="A276" s="147">
        <f t="shared" ref="A276:A339" si="107">VLOOKUP(D276,$A$10:$C$14,3)</f>
        <v>0</v>
      </c>
      <c r="B276" s="152">
        <f t="shared" ref="B276:B339" si="108">A276/12</f>
        <v>0</v>
      </c>
      <c r="C276" s="141">
        <f t="shared" ref="C276:C339" si="109">INT((D276+11)/12)</f>
        <v>22</v>
      </c>
      <c r="D276" s="142">
        <v>257</v>
      </c>
      <c r="E276" s="143">
        <f t="shared" si="99"/>
        <v>0</v>
      </c>
      <c r="F276" s="144">
        <f t="shared" ref="F276:F339" si="110">ROUND(E276*$B276,2)</f>
        <v>0</v>
      </c>
      <c r="G276" s="144">
        <f t="shared" ref="G276:G339" si="111">IF(E276&lt;H276,E276,H276-F276)</f>
        <v>0</v>
      </c>
      <c r="H276" s="169">
        <f t="shared" si="105"/>
        <v>0</v>
      </c>
      <c r="I276" s="143">
        <f t="shared" si="100"/>
        <v>0</v>
      </c>
      <c r="J276" s="144">
        <f t="shared" ref="J276:J339" si="112">ROUND(I276*$B276,2)</f>
        <v>0</v>
      </c>
      <c r="K276" s="144">
        <f t="shared" ref="K276:K339" si="113">IF(I276&lt;L276,I276,L276-J276)</f>
        <v>0</v>
      </c>
      <c r="L276" s="169">
        <f t="shared" si="104"/>
        <v>0</v>
      </c>
      <c r="M276" s="143">
        <f t="shared" si="101"/>
        <v>0</v>
      </c>
      <c r="N276" s="144">
        <f t="shared" ref="N276:N339" si="114">ROUND(M276*$B276,2)</f>
        <v>0</v>
      </c>
      <c r="O276" s="144">
        <f t="shared" ref="O276:O339" si="115">IF(M276&lt;P276,M276,P276-N276)</f>
        <v>0</v>
      </c>
      <c r="P276" s="169">
        <f t="shared" si="106"/>
        <v>0</v>
      </c>
      <c r="R276" s="143">
        <f t="shared" si="102"/>
        <v>0</v>
      </c>
      <c r="S276" s="144">
        <f t="shared" ref="S276:S339" si="116">ROUND(R276*$B276,2)</f>
        <v>0</v>
      </c>
      <c r="T276" s="144">
        <f t="shared" ref="T276:T339" si="117">IF(R276&lt;U276,R276,U276-S276)</f>
        <v>0</v>
      </c>
      <c r="U276" s="169">
        <f t="shared" ref="U276:U339" si="118">IF(R276&lt;=0,0,$Y$15)</f>
        <v>0</v>
      </c>
      <c r="V276" s="143">
        <f t="shared" si="103"/>
        <v>0</v>
      </c>
      <c r="W276" s="144">
        <f t="shared" ref="W276:W339" si="119">ROUND(V276*$B276,2)</f>
        <v>0</v>
      </c>
      <c r="X276" s="144">
        <f t="shared" ref="X276:X339" si="120">IF(V276&lt;Y276,V276,Y276-W276)</f>
        <v>0</v>
      </c>
      <c r="Y276" s="169">
        <f t="shared" ref="Y276:Y339" si="121">IF(V276&lt;=0,0,PMT(B276,($B$2-D276+1),V276*-1))</f>
        <v>0</v>
      </c>
      <c r="Z276" s="151">
        <v>0</v>
      </c>
      <c r="AA276" s="151">
        <v>0</v>
      </c>
      <c r="AB276" s="151">
        <v>0</v>
      </c>
      <c r="AC276" s="151">
        <v>0</v>
      </c>
    </row>
    <row r="277" spans="1:29" s="61" customFormat="1" ht="11.25">
      <c r="A277" s="147">
        <f t="shared" si="107"/>
        <v>0</v>
      </c>
      <c r="B277" s="152">
        <f t="shared" si="108"/>
        <v>0</v>
      </c>
      <c r="C277" s="141">
        <f t="shared" si="109"/>
        <v>22</v>
      </c>
      <c r="D277" s="142">
        <v>258</v>
      </c>
      <c r="E277" s="143">
        <f t="shared" ref="E277:E340" si="122">IF(E276&lt;H276,0,E276-G276)</f>
        <v>0</v>
      </c>
      <c r="F277" s="144">
        <f t="shared" si="110"/>
        <v>0</v>
      </c>
      <c r="G277" s="144">
        <f t="shared" si="111"/>
        <v>0</v>
      </c>
      <c r="H277" s="169">
        <f t="shared" si="105"/>
        <v>0</v>
      </c>
      <c r="I277" s="143">
        <f t="shared" ref="I277:I340" si="123">IF(I276&lt;L276,0,I276-K276)</f>
        <v>0</v>
      </c>
      <c r="J277" s="144">
        <f t="shared" si="112"/>
        <v>0</v>
      </c>
      <c r="K277" s="144">
        <f t="shared" si="113"/>
        <v>0</v>
      </c>
      <c r="L277" s="169">
        <f t="shared" si="104"/>
        <v>0</v>
      </c>
      <c r="M277" s="143">
        <f t="shared" ref="M277:M340" si="124">IF(M276&lt;P276,0,M276-O276)</f>
        <v>0</v>
      </c>
      <c r="N277" s="144">
        <f t="shared" si="114"/>
        <v>0</v>
      </c>
      <c r="O277" s="144">
        <f t="shared" si="115"/>
        <v>0</v>
      </c>
      <c r="P277" s="169">
        <f t="shared" si="106"/>
        <v>0</v>
      </c>
      <c r="R277" s="143">
        <f t="shared" ref="R277:R340" si="125">IF(R276&lt;U276,0,R276-T276)</f>
        <v>0</v>
      </c>
      <c r="S277" s="144">
        <f t="shared" si="116"/>
        <v>0</v>
      </c>
      <c r="T277" s="144">
        <f t="shared" si="117"/>
        <v>0</v>
      </c>
      <c r="U277" s="169">
        <f t="shared" si="118"/>
        <v>0</v>
      </c>
      <c r="V277" s="143">
        <f t="shared" ref="V277:V340" si="126">IF(V276&lt;Y276,0,V276-X276)</f>
        <v>0</v>
      </c>
      <c r="W277" s="144">
        <f t="shared" si="119"/>
        <v>0</v>
      </c>
      <c r="X277" s="144">
        <f t="shared" si="120"/>
        <v>0</v>
      </c>
      <c r="Y277" s="169">
        <f t="shared" si="121"/>
        <v>0</v>
      </c>
      <c r="Z277" s="151">
        <v>0</v>
      </c>
      <c r="AA277" s="151">
        <v>0</v>
      </c>
      <c r="AB277" s="151">
        <v>0</v>
      </c>
      <c r="AC277" s="151">
        <v>0</v>
      </c>
    </row>
    <row r="278" spans="1:29" s="61" customFormat="1" ht="11.25">
      <c r="A278" s="147">
        <f t="shared" si="107"/>
        <v>0</v>
      </c>
      <c r="B278" s="152">
        <f t="shared" si="108"/>
        <v>0</v>
      </c>
      <c r="C278" s="141">
        <f t="shared" si="109"/>
        <v>22</v>
      </c>
      <c r="D278" s="142">
        <v>259</v>
      </c>
      <c r="E278" s="143">
        <f t="shared" si="122"/>
        <v>0</v>
      </c>
      <c r="F278" s="144">
        <f t="shared" si="110"/>
        <v>0</v>
      </c>
      <c r="G278" s="144">
        <f t="shared" si="111"/>
        <v>0</v>
      </c>
      <c r="H278" s="169">
        <f t="shared" si="105"/>
        <v>0</v>
      </c>
      <c r="I278" s="143">
        <f t="shared" si="123"/>
        <v>0</v>
      </c>
      <c r="J278" s="144">
        <f t="shared" si="112"/>
        <v>0</v>
      </c>
      <c r="K278" s="144">
        <f t="shared" si="113"/>
        <v>0</v>
      </c>
      <c r="L278" s="169">
        <f t="shared" si="104"/>
        <v>0</v>
      </c>
      <c r="M278" s="143">
        <f t="shared" si="124"/>
        <v>0</v>
      </c>
      <c r="N278" s="144">
        <f t="shared" si="114"/>
        <v>0</v>
      </c>
      <c r="O278" s="144">
        <f t="shared" si="115"/>
        <v>0</v>
      </c>
      <c r="P278" s="169">
        <f t="shared" si="106"/>
        <v>0</v>
      </c>
      <c r="R278" s="143">
        <f t="shared" si="125"/>
        <v>0</v>
      </c>
      <c r="S278" s="144">
        <f t="shared" si="116"/>
        <v>0</v>
      </c>
      <c r="T278" s="144">
        <f t="shared" si="117"/>
        <v>0</v>
      </c>
      <c r="U278" s="169">
        <f t="shared" si="118"/>
        <v>0</v>
      </c>
      <c r="V278" s="143">
        <f t="shared" si="126"/>
        <v>0</v>
      </c>
      <c r="W278" s="144">
        <f t="shared" si="119"/>
        <v>0</v>
      </c>
      <c r="X278" s="144">
        <f t="shared" si="120"/>
        <v>0</v>
      </c>
      <c r="Y278" s="169">
        <f t="shared" si="121"/>
        <v>0</v>
      </c>
      <c r="Z278" s="151">
        <v>0</v>
      </c>
      <c r="AA278" s="151">
        <v>0</v>
      </c>
      <c r="AB278" s="151">
        <v>0</v>
      </c>
      <c r="AC278" s="151">
        <v>0</v>
      </c>
    </row>
    <row r="279" spans="1:29" s="61" customFormat="1" ht="11.25">
      <c r="A279" s="147">
        <f t="shared" si="107"/>
        <v>0</v>
      </c>
      <c r="B279" s="152">
        <f t="shared" si="108"/>
        <v>0</v>
      </c>
      <c r="C279" s="141">
        <f t="shared" si="109"/>
        <v>22</v>
      </c>
      <c r="D279" s="142">
        <v>260</v>
      </c>
      <c r="E279" s="143">
        <f t="shared" si="122"/>
        <v>0</v>
      </c>
      <c r="F279" s="144">
        <f t="shared" si="110"/>
        <v>0</v>
      </c>
      <c r="G279" s="144">
        <f t="shared" si="111"/>
        <v>0</v>
      </c>
      <c r="H279" s="169">
        <f t="shared" si="105"/>
        <v>0</v>
      </c>
      <c r="I279" s="143">
        <f t="shared" si="123"/>
        <v>0</v>
      </c>
      <c r="J279" s="144">
        <f t="shared" si="112"/>
        <v>0</v>
      </c>
      <c r="K279" s="144">
        <f t="shared" si="113"/>
        <v>0</v>
      </c>
      <c r="L279" s="169">
        <f t="shared" si="104"/>
        <v>0</v>
      </c>
      <c r="M279" s="143">
        <f t="shared" si="124"/>
        <v>0</v>
      </c>
      <c r="N279" s="144">
        <f t="shared" si="114"/>
        <v>0</v>
      </c>
      <c r="O279" s="144">
        <f t="shared" si="115"/>
        <v>0</v>
      </c>
      <c r="P279" s="169">
        <f t="shared" si="106"/>
        <v>0</v>
      </c>
      <c r="R279" s="143">
        <f t="shared" si="125"/>
        <v>0</v>
      </c>
      <c r="S279" s="144">
        <f t="shared" si="116"/>
        <v>0</v>
      </c>
      <c r="T279" s="144">
        <f t="shared" si="117"/>
        <v>0</v>
      </c>
      <c r="U279" s="169">
        <f t="shared" si="118"/>
        <v>0</v>
      </c>
      <c r="V279" s="143">
        <f t="shared" si="126"/>
        <v>0</v>
      </c>
      <c r="W279" s="144">
        <f t="shared" si="119"/>
        <v>0</v>
      </c>
      <c r="X279" s="144">
        <f t="shared" si="120"/>
        <v>0</v>
      </c>
      <c r="Y279" s="169">
        <f t="shared" si="121"/>
        <v>0</v>
      </c>
      <c r="Z279" s="151">
        <v>0</v>
      </c>
      <c r="AA279" s="151">
        <v>0</v>
      </c>
      <c r="AB279" s="151">
        <v>0</v>
      </c>
      <c r="AC279" s="151">
        <v>0</v>
      </c>
    </row>
    <row r="280" spans="1:29" s="61" customFormat="1" ht="11.25">
      <c r="A280" s="147">
        <f t="shared" si="107"/>
        <v>0</v>
      </c>
      <c r="B280" s="152">
        <f t="shared" si="108"/>
        <v>0</v>
      </c>
      <c r="C280" s="141">
        <f t="shared" si="109"/>
        <v>22</v>
      </c>
      <c r="D280" s="142">
        <v>261</v>
      </c>
      <c r="E280" s="143">
        <f t="shared" si="122"/>
        <v>0</v>
      </c>
      <c r="F280" s="144">
        <f t="shared" si="110"/>
        <v>0</v>
      </c>
      <c r="G280" s="144">
        <f t="shared" si="111"/>
        <v>0</v>
      </c>
      <c r="H280" s="169">
        <f t="shared" si="105"/>
        <v>0</v>
      </c>
      <c r="I280" s="143">
        <f t="shared" si="123"/>
        <v>0</v>
      </c>
      <c r="J280" s="144">
        <f t="shared" si="112"/>
        <v>0</v>
      </c>
      <c r="K280" s="144">
        <f t="shared" si="113"/>
        <v>0</v>
      </c>
      <c r="L280" s="169">
        <f t="shared" si="104"/>
        <v>0</v>
      </c>
      <c r="M280" s="143">
        <f t="shared" si="124"/>
        <v>0</v>
      </c>
      <c r="N280" s="144">
        <f t="shared" si="114"/>
        <v>0</v>
      </c>
      <c r="O280" s="144">
        <f t="shared" si="115"/>
        <v>0</v>
      </c>
      <c r="P280" s="169">
        <f t="shared" si="106"/>
        <v>0</v>
      </c>
      <c r="R280" s="143">
        <f t="shared" si="125"/>
        <v>0</v>
      </c>
      <c r="S280" s="144">
        <f t="shared" si="116"/>
        <v>0</v>
      </c>
      <c r="T280" s="144">
        <f t="shared" si="117"/>
        <v>0</v>
      </c>
      <c r="U280" s="169">
        <f t="shared" si="118"/>
        <v>0</v>
      </c>
      <c r="V280" s="143">
        <f t="shared" si="126"/>
        <v>0</v>
      </c>
      <c r="W280" s="144">
        <f t="shared" si="119"/>
        <v>0</v>
      </c>
      <c r="X280" s="144">
        <f t="shared" si="120"/>
        <v>0</v>
      </c>
      <c r="Y280" s="169">
        <f t="shared" si="121"/>
        <v>0</v>
      </c>
      <c r="Z280" s="151">
        <v>0</v>
      </c>
      <c r="AA280" s="151">
        <v>0</v>
      </c>
      <c r="AB280" s="151">
        <v>0</v>
      </c>
      <c r="AC280" s="151">
        <v>0</v>
      </c>
    </row>
    <row r="281" spans="1:29" s="61" customFormat="1" ht="11.25">
      <c r="A281" s="147">
        <f t="shared" si="107"/>
        <v>0</v>
      </c>
      <c r="B281" s="152">
        <f t="shared" si="108"/>
        <v>0</v>
      </c>
      <c r="C281" s="141">
        <f t="shared" si="109"/>
        <v>22</v>
      </c>
      <c r="D281" s="142">
        <v>262</v>
      </c>
      <c r="E281" s="143">
        <f t="shared" si="122"/>
        <v>0</v>
      </c>
      <c r="F281" s="144">
        <f t="shared" si="110"/>
        <v>0</v>
      </c>
      <c r="G281" s="144">
        <f t="shared" si="111"/>
        <v>0</v>
      </c>
      <c r="H281" s="169">
        <f t="shared" si="105"/>
        <v>0</v>
      </c>
      <c r="I281" s="143">
        <f t="shared" si="123"/>
        <v>0</v>
      </c>
      <c r="J281" s="144">
        <f t="shared" si="112"/>
        <v>0</v>
      </c>
      <c r="K281" s="144">
        <f t="shared" si="113"/>
        <v>0</v>
      </c>
      <c r="L281" s="169">
        <f t="shared" si="104"/>
        <v>0</v>
      </c>
      <c r="M281" s="143">
        <f t="shared" si="124"/>
        <v>0</v>
      </c>
      <c r="N281" s="144">
        <f t="shared" si="114"/>
        <v>0</v>
      </c>
      <c r="O281" s="144">
        <f t="shared" si="115"/>
        <v>0</v>
      </c>
      <c r="P281" s="169">
        <f t="shared" si="106"/>
        <v>0</v>
      </c>
      <c r="R281" s="143">
        <f t="shared" si="125"/>
        <v>0</v>
      </c>
      <c r="S281" s="144">
        <f t="shared" si="116"/>
        <v>0</v>
      </c>
      <c r="T281" s="144">
        <f t="shared" si="117"/>
        <v>0</v>
      </c>
      <c r="U281" s="169">
        <f t="shared" si="118"/>
        <v>0</v>
      </c>
      <c r="V281" s="143">
        <f t="shared" si="126"/>
        <v>0</v>
      </c>
      <c r="W281" s="144">
        <f t="shared" si="119"/>
        <v>0</v>
      </c>
      <c r="X281" s="144">
        <f t="shared" si="120"/>
        <v>0</v>
      </c>
      <c r="Y281" s="169">
        <f t="shared" si="121"/>
        <v>0</v>
      </c>
      <c r="Z281" s="151">
        <v>0</v>
      </c>
      <c r="AA281" s="151">
        <v>0</v>
      </c>
      <c r="AB281" s="151">
        <v>0</v>
      </c>
      <c r="AC281" s="151">
        <v>0</v>
      </c>
    </row>
    <row r="282" spans="1:29" s="61" customFormat="1" ht="11.25">
      <c r="A282" s="147">
        <f t="shared" si="107"/>
        <v>0</v>
      </c>
      <c r="B282" s="152">
        <f t="shared" si="108"/>
        <v>0</v>
      </c>
      <c r="C282" s="141">
        <f t="shared" si="109"/>
        <v>22</v>
      </c>
      <c r="D282" s="142">
        <v>263</v>
      </c>
      <c r="E282" s="143">
        <f t="shared" si="122"/>
        <v>0</v>
      </c>
      <c r="F282" s="144">
        <f t="shared" si="110"/>
        <v>0</v>
      </c>
      <c r="G282" s="144">
        <f t="shared" si="111"/>
        <v>0</v>
      </c>
      <c r="H282" s="169">
        <f t="shared" si="105"/>
        <v>0</v>
      </c>
      <c r="I282" s="143">
        <f t="shared" si="123"/>
        <v>0</v>
      </c>
      <c r="J282" s="144">
        <f t="shared" si="112"/>
        <v>0</v>
      </c>
      <c r="K282" s="144">
        <f t="shared" si="113"/>
        <v>0</v>
      </c>
      <c r="L282" s="169">
        <f t="shared" si="104"/>
        <v>0</v>
      </c>
      <c r="M282" s="143">
        <f t="shared" si="124"/>
        <v>0</v>
      </c>
      <c r="N282" s="144">
        <f t="shared" si="114"/>
        <v>0</v>
      </c>
      <c r="O282" s="144">
        <f t="shared" si="115"/>
        <v>0</v>
      </c>
      <c r="P282" s="169">
        <f t="shared" si="106"/>
        <v>0</v>
      </c>
      <c r="R282" s="143">
        <f t="shared" si="125"/>
        <v>0</v>
      </c>
      <c r="S282" s="144">
        <f t="shared" si="116"/>
        <v>0</v>
      </c>
      <c r="T282" s="144">
        <f t="shared" si="117"/>
        <v>0</v>
      </c>
      <c r="U282" s="169">
        <f t="shared" si="118"/>
        <v>0</v>
      </c>
      <c r="V282" s="143">
        <f t="shared" si="126"/>
        <v>0</v>
      </c>
      <c r="W282" s="144">
        <f t="shared" si="119"/>
        <v>0</v>
      </c>
      <c r="X282" s="144">
        <f t="shared" si="120"/>
        <v>0</v>
      </c>
      <c r="Y282" s="169">
        <f t="shared" si="121"/>
        <v>0</v>
      </c>
      <c r="Z282" s="151">
        <v>0</v>
      </c>
      <c r="AA282" s="151">
        <v>0</v>
      </c>
      <c r="AB282" s="151">
        <v>0</v>
      </c>
      <c r="AC282" s="151">
        <v>0</v>
      </c>
    </row>
    <row r="283" spans="1:29" s="61" customFormat="1" ht="12" thickBot="1">
      <c r="A283" s="153">
        <f t="shared" si="107"/>
        <v>0</v>
      </c>
      <c r="B283" s="154">
        <f t="shared" si="108"/>
        <v>0</v>
      </c>
      <c r="C283" s="155">
        <f t="shared" si="109"/>
        <v>22</v>
      </c>
      <c r="D283" s="156">
        <v>264</v>
      </c>
      <c r="E283" s="157">
        <f t="shared" si="122"/>
        <v>0</v>
      </c>
      <c r="F283" s="158">
        <f t="shared" si="110"/>
        <v>0</v>
      </c>
      <c r="G283" s="158">
        <f t="shared" si="111"/>
        <v>0</v>
      </c>
      <c r="H283" s="172">
        <f t="shared" si="105"/>
        <v>0</v>
      </c>
      <c r="I283" s="157">
        <f t="shared" si="123"/>
        <v>0</v>
      </c>
      <c r="J283" s="158">
        <f t="shared" si="112"/>
        <v>0</v>
      </c>
      <c r="K283" s="158">
        <f t="shared" si="113"/>
        <v>0</v>
      </c>
      <c r="L283" s="172">
        <f t="shared" si="104"/>
        <v>0</v>
      </c>
      <c r="M283" s="157">
        <f t="shared" si="124"/>
        <v>0</v>
      </c>
      <c r="N283" s="158">
        <f t="shared" si="114"/>
        <v>0</v>
      </c>
      <c r="O283" s="158">
        <f t="shared" si="115"/>
        <v>0</v>
      </c>
      <c r="P283" s="172">
        <f t="shared" si="106"/>
        <v>0</v>
      </c>
      <c r="R283" s="157">
        <f t="shared" si="125"/>
        <v>0</v>
      </c>
      <c r="S283" s="158">
        <f t="shared" si="116"/>
        <v>0</v>
      </c>
      <c r="T283" s="158">
        <f t="shared" si="117"/>
        <v>0</v>
      </c>
      <c r="U283" s="172">
        <f t="shared" si="118"/>
        <v>0</v>
      </c>
      <c r="V283" s="157">
        <f t="shared" si="126"/>
        <v>0</v>
      </c>
      <c r="W283" s="158">
        <f t="shared" si="119"/>
        <v>0</v>
      </c>
      <c r="X283" s="158">
        <f t="shared" si="120"/>
        <v>0</v>
      </c>
      <c r="Y283" s="172">
        <f t="shared" si="121"/>
        <v>0</v>
      </c>
      <c r="Z283" s="151">
        <v>0</v>
      </c>
      <c r="AA283" s="151">
        <v>0</v>
      </c>
      <c r="AB283" s="151">
        <v>0</v>
      </c>
      <c r="AC283" s="151">
        <v>0</v>
      </c>
    </row>
    <row r="284" spans="1:29" s="61" customFormat="1" ht="11.25">
      <c r="A284" s="147">
        <f t="shared" si="107"/>
        <v>0</v>
      </c>
      <c r="B284" s="152">
        <f t="shared" si="108"/>
        <v>0</v>
      </c>
      <c r="C284" s="141">
        <f t="shared" si="109"/>
        <v>23</v>
      </c>
      <c r="D284" s="142">
        <v>265</v>
      </c>
      <c r="E284" s="143">
        <f t="shared" si="122"/>
        <v>0</v>
      </c>
      <c r="F284" s="144">
        <f t="shared" si="110"/>
        <v>0</v>
      </c>
      <c r="G284" s="144">
        <f t="shared" si="111"/>
        <v>0</v>
      </c>
      <c r="H284" s="169">
        <f t="shared" si="105"/>
        <v>0</v>
      </c>
      <c r="I284" s="143">
        <f t="shared" si="123"/>
        <v>0</v>
      </c>
      <c r="J284" s="144">
        <f t="shared" si="112"/>
        <v>0</v>
      </c>
      <c r="K284" s="144">
        <f t="shared" si="113"/>
        <v>0</v>
      </c>
      <c r="L284" s="169">
        <f t="shared" si="104"/>
        <v>0</v>
      </c>
      <c r="M284" s="143">
        <f t="shared" si="124"/>
        <v>0</v>
      </c>
      <c r="N284" s="144">
        <f t="shared" si="114"/>
        <v>0</v>
      </c>
      <c r="O284" s="144">
        <f t="shared" si="115"/>
        <v>0</v>
      </c>
      <c r="P284" s="169">
        <f t="shared" si="106"/>
        <v>0</v>
      </c>
      <c r="R284" s="143">
        <f t="shared" si="125"/>
        <v>0</v>
      </c>
      <c r="S284" s="144">
        <f t="shared" si="116"/>
        <v>0</v>
      </c>
      <c r="T284" s="144">
        <f t="shared" si="117"/>
        <v>0</v>
      </c>
      <c r="U284" s="169">
        <f t="shared" si="118"/>
        <v>0</v>
      </c>
      <c r="V284" s="143">
        <f t="shared" si="126"/>
        <v>0</v>
      </c>
      <c r="W284" s="144">
        <f t="shared" si="119"/>
        <v>0</v>
      </c>
      <c r="X284" s="144">
        <f t="shared" si="120"/>
        <v>0</v>
      </c>
      <c r="Y284" s="169">
        <f t="shared" si="121"/>
        <v>0</v>
      </c>
      <c r="Z284" s="151">
        <v>0</v>
      </c>
      <c r="AA284" s="151">
        <v>0</v>
      </c>
      <c r="AB284" s="151">
        <v>0</v>
      </c>
      <c r="AC284" s="151">
        <v>0</v>
      </c>
    </row>
    <row r="285" spans="1:29" s="61" customFormat="1" ht="11.25">
      <c r="A285" s="147">
        <f t="shared" si="107"/>
        <v>0</v>
      </c>
      <c r="B285" s="152">
        <f t="shared" si="108"/>
        <v>0</v>
      </c>
      <c r="C285" s="141">
        <f t="shared" si="109"/>
        <v>23</v>
      </c>
      <c r="D285" s="142">
        <v>266</v>
      </c>
      <c r="E285" s="143">
        <f t="shared" si="122"/>
        <v>0</v>
      </c>
      <c r="F285" s="144">
        <f t="shared" si="110"/>
        <v>0</v>
      </c>
      <c r="G285" s="144">
        <f t="shared" si="111"/>
        <v>0</v>
      </c>
      <c r="H285" s="169">
        <f t="shared" si="105"/>
        <v>0</v>
      </c>
      <c r="I285" s="143">
        <f t="shared" si="123"/>
        <v>0</v>
      </c>
      <c r="J285" s="144">
        <f t="shared" si="112"/>
        <v>0</v>
      </c>
      <c r="K285" s="144">
        <f t="shared" si="113"/>
        <v>0</v>
      </c>
      <c r="L285" s="169">
        <f t="shared" si="104"/>
        <v>0</v>
      </c>
      <c r="M285" s="143">
        <f t="shared" si="124"/>
        <v>0</v>
      </c>
      <c r="N285" s="144">
        <f t="shared" si="114"/>
        <v>0</v>
      </c>
      <c r="O285" s="144">
        <f t="shared" si="115"/>
        <v>0</v>
      </c>
      <c r="P285" s="169">
        <f t="shared" si="106"/>
        <v>0</v>
      </c>
      <c r="R285" s="143">
        <f t="shared" si="125"/>
        <v>0</v>
      </c>
      <c r="S285" s="144">
        <f t="shared" si="116"/>
        <v>0</v>
      </c>
      <c r="T285" s="144">
        <f t="shared" si="117"/>
        <v>0</v>
      </c>
      <c r="U285" s="169">
        <f t="shared" si="118"/>
        <v>0</v>
      </c>
      <c r="V285" s="143">
        <f t="shared" si="126"/>
        <v>0</v>
      </c>
      <c r="W285" s="144">
        <f t="shared" si="119"/>
        <v>0</v>
      </c>
      <c r="X285" s="144">
        <f t="shared" si="120"/>
        <v>0</v>
      </c>
      <c r="Y285" s="169">
        <f t="shared" si="121"/>
        <v>0</v>
      </c>
      <c r="Z285" s="151">
        <v>0</v>
      </c>
      <c r="AA285" s="151">
        <v>0</v>
      </c>
      <c r="AB285" s="151">
        <v>0</v>
      </c>
      <c r="AC285" s="151">
        <v>0</v>
      </c>
    </row>
    <row r="286" spans="1:29" s="61" customFormat="1" ht="11.25">
      <c r="A286" s="147">
        <f t="shared" si="107"/>
        <v>0</v>
      </c>
      <c r="B286" s="152">
        <f t="shared" si="108"/>
        <v>0</v>
      </c>
      <c r="C286" s="141">
        <f t="shared" si="109"/>
        <v>23</v>
      </c>
      <c r="D286" s="142">
        <v>267</v>
      </c>
      <c r="E286" s="143">
        <f t="shared" si="122"/>
        <v>0</v>
      </c>
      <c r="F286" s="144">
        <f t="shared" si="110"/>
        <v>0</v>
      </c>
      <c r="G286" s="144">
        <f t="shared" si="111"/>
        <v>0</v>
      </c>
      <c r="H286" s="169">
        <f t="shared" si="105"/>
        <v>0</v>
      </c>
      <c r="I286" s="143">
        <f t="shared" si="123"/>
        <v>0</v>
      </c>
      <c r="J286" s="144">
        <f t="shared" si="112"/>
        <v>0</v>
      </c>
      <c r="K286" s="144">
        <f t="shared" si="113"/>
        <v>0</v>
      </c>
      <c r="L286" s="169">
        <f t="shared" si="104"/>
        <v>0</v>
      </c>
      <c r="M286" s="143">
        <f t="shared" si="124"/>
        <v>0</v>
      </c>
      <c r="N286" s="144">
        <f t="shared" si="114"/>
        <v>0</v>
      </c>
      <c r="O286" s="144">
        <f t="shared" si="115"/>
        <v>0</v>
      </c>
      <c r="P286" s="169">
        <f t="shared" si="106"/>
        <v>0</v>
      </c>
      <c r="R286" s="143">
        <f t="shared" si="125"/>
        <v>0</v>
      </c>
      <c r="S286" s="144">
        <f t="shared" si="116"/>
        <v>0</v>
      </c>
      <c r="T286" s="144">
        <f t="shared" si="117"/>
        <v>0</v>
      </c>
      <c r="U286" s="169">
        <f t="shared" si="118"/>
        <v>0</v>
      </c>
      <c r="V286" s="143">
        <f t="shared" si="126"/>
        <v>0</v>
      </c>
      <c r="W286" s="144">
        <f t="shared" si="119"/>
        <v>0</v>
      </c>
      <c r="X286" s="144">
        <f t="shared" si="120"/>
        <v>0</v>
      </c>
      <c r="Y286" s="169">
        <f t="shared" si="121"/>
        <v>0</v>
      </c>
      <c r="Z286" s="151">
        <v>0</v>
      </c>
      <c r="AA286" s="151">
        <v>0</v>
      </c>
      <c r="AB286" s="151">
        <v>0</v>
      </c>
      <c r="AC286" s="151">
        <v>0</v>
      </c>
    </row>
    <row r="287" spans="1:29" s="61" customFormat="1" ht="11.25">
      <c r="A287" s="147">
        <f t="shared" si="107"/>
        <v>0</v>
      </c>
      <c r="B287" s="152">
        <f t="shared" si="108"/>
        <v>0</v>
      </c>
      <c r="C287" s="141">
        <f t="shared" si="109"/>
        <v>23</v>
      </c>
      <c r="D287" s="142">
        <v>268</v>
      </c>
      <c r="E287" s="143">
        <f t="shared" si="122"/>
        <v>0</v>
      </c>
      <c r="F287" s="144">
        <f t="shared" si="110"/>
        <v>0</v>
      </c>
      <c r="G287" s="144">
        <f t="shared" si="111"/>
        <v>0</v>
      </c>
      <c r="H287" s="169">
        <f t="shared" si="105"/>
        <v>0</v>
      </c>
      <c r="I287" s="143">
        <f t="shared" si="123"/>
        <v>0</v>
      </c>
      <c r="J287" s="144">
        <f t="shared" si="112"/>
        <v>0</v>
      </c>
      <c r="K287" s="144">
        <f t="shared" si="113"/>
        <v>0</v>
      </c>
      <c r="L287" s="169">
        <f t="shared" si="104"/>
        <v>0</v>
      </c>
      <c r="M287" s="143">
        <f t="shared" si="124"/>
        <v>0</v>
      </c>
      <c r="N287" s="144">
        <f t="shared" si="114"/>
        <v>0</v>
      </c>
      <c r="O287" s="144">
        <f t="shared" si="115"/>
        <v>0</v>
      </c>
      <c r="P287" s="169">
        <f t="shared" si="106"/>
        <v>0</v>
      </c>
      <c r="R287" s="143">
        <f t="shared" si="125"/>
        <v>0</v>
      </c>
      <c r="S287" s="144">
        <f t="shared" si="116"/>
        <v>0</v>
      </c>
      <c r="T287" s="144">
        <f t="shared" si="117"/>
        <v>0</v>
      </c>
      <c r="U287" s="169">
        <f t="shared" si="118"/>
        <v>0</v>
      </c>
      <c r="V287" s="143">
        <f t="shared" si="126"/>
        <v>0</v>
      </c>
      <c r="W287" s="144">
        <f t="shared" si="119"/>
        <v>0</v>
      </c>
      <c r="X287" s="144">
        <f t="shared" si="120"/>
        <v>0</v>
      </c>
      <c r="Y287" s="169">
        <f t="shared" si="121"/>
        <v>0</v>
      </c>
      <c r="Z287" s="151">
        <v>0</v>
      </c>
      <c r="AA287" s="151">
        <v>0</v>
      </c>
      <c r="AB287" s="151">
        <v>0</v>
      </c>
      <c r="AC287" s="151">
        <v>0</v>
      </c>
    </row>
    <row r="288" spans="1:29" s="61" customFormat="1" ht="11.25">
      <c r="A288" s="147">
        <f t="shared" si="107"/>
        <v>0</v>
      </c>
      <c r="B288" s="152">
        <f t="shared" si="108"/>
        <v>0</v>
      </c>
      <c r="C288" s="141">
        <f t="shared" si="109"/>
        <v>23</v>
      </c>
      <c r="D288" s="142">
        <v>269</v>
      </c>
      <c r="E288" s="143">
        <f t="shared" si="122"/>
        <v>0</v>
      </c>
      <c r="F288" s="144">
        <f t="shared" si="110"/>
        <v>0</v>
      </c>
      <c r="G288" s="144">
        <f t="shared" si="111"/>
        <v>0</v>
      </c>
      <c r="H288" s="169">
        <f t="shared" si="105"/>
        <v>0</v>
      </c>
      <c r="I288" s="143">
        <f t="shared" si="123"/>
        <v>0</v>
      </c>
      <c r="J288" s="144">
        <f t="shared" si="112"/>
        <v>0</v>
      </c>
      <c r="K288" s="144">
        <f t="shared" si="113"/>
        <v>0</v>
      </c>
      <c r="L288" s="169">
        <f t="shared" si="104"/>
        <v>0</v>
      </c>
      <c r="M288" s="143">
        <f t="shared" si="124"/>
        <v>0</v>
      </c>
      <c r="N288" s="144">
        <f t="shared" si="114"/>
        <v>0</v>
      </c>
      <c r="O288" s="144">
        <f t="shared" si="115"/>
        <v>0</v>
      </c>
      <c r="P288" s="169">
        <f t="shared" si="106"/>
        <v>0</v>
      </c>
      <c r="R288" s="143">
        <f t="shared" si="125"/>
        <v>0</v>
      </c>
      <c r="S288" s="144">
        <f t="shared" si="116"/>
        <v>0</v>
      </c>
      <c r="T288" s="144">
        <f t="shared" si="117"/>
        <v>0</v>
      </c>
      <c r="U288" s="169">
        <f t="shared" si="118"/>
        <v>0</v>
      </c>
      <c r="V288" s="143">
        <f t="shared" si="126"/>
        <v>0</v>
      </c>
      <c r="W288" s="144">
        <f t="shared" si="119"/>
        <v>0</v>
      </c>
      <c r="X288" s="144">
        <f t="shared" si="120"/>
        <v>0</v>
      </c>
      <c r="Y288" s="169">
        <f t="shared" si="121"/>
        <v>0</v>
      </c>
      <c r="Z288" s="151">
        <v>0</v>
      </c>
      <c r="AA288" s="151">
        <v>0</v>
      </c>
      <c r="AB288" s="151">
        <v>0</v>
      </c>
      <c r="AC288" s="151">
        <v>0</v>
      </c>
    </row>
    <row r="289" spans="1:29" s="61" customFormat="1" ht="11.25">
      <c r="A289" s="147">
        <f t="shared" si="107"/>
        <v>0</v>
      </c>
      <c r="B289" s="152">
        <f t="shared" si="108"/>
        <v>0</v>
      </c>
      <c r="C289" s="141">
        <f t="shared" si="109"/>
        <v>23</v>
      </c>
      <c r="D289" s="142">
        <v>270</v>
      </c>
      <c r="E289" s="143">
        <f t="shared" si="122"/>
        <v>0</v>
      </c>
      <c r="F289" s="144">
        <f t="shared" si="110"/>
        <v>0</v>
      </c>
      <c r="G289" s="144">
        <f t="shared" si="111"/>
        <v>0</v>
      </c>
      <c r="H289" s="169">
        <f t="shared" si="105"/>
        <v>0</v>
      </c>
      <c r="I289" s="143">
        <f t="shared" si="123"/>
        <v>0</v>
      </c>
      <c r="J289" s="144">
        <f t="shared" si="112"/>
        <v>0</v>
      </c>
      <c r="K289" s="144">
        <f t="shared" si="113"/>
        <v>0</v>
      </c>
      <c r="L289" s="169">
        <f t="shared" si="104"/>
        <v>0</v>
      </c>
      <c r="M289" s="143">
        <f t="shared" si="124"/>
        <v>0</v>
      </c>
      <c r="N289" s="144">
        <f t="shared" si="114"/>
        <v>0</v>
      </c>
      <c r="O289" s="144">
        <f t="shared" si="115"/>
        <v>0</v>
      </c>
      <c r="P289" s="169">
        <f t="shared" si="106"/>
        <v>0</v>
      </c>
      <c r="R289" s="143">
        <f t="shared" si="125"/>
        <v>0</v>
      </c>
      <c r="S289" s="144">
        <f t="shared" si="116"/>
        <v>0</v>
      </c>
      <c r="T289" s="144">
        <f t="shared" si="117"/>
        <v>0</v>
      </c>
      <c r="U289" s="169">
        <f t="shared" si="118"/>
        <v>0</v>
      </c>
      <c r="V289" s="143">
        <f t="shared" si="126"/>
        <v>0</v>
      </c>
      <c r="W289" s="144">
        <f t="shared" si="119"/>
        <v>0</v>
      </c>
      <c r="X289" s="144">
        <f t="shared" si="120"/>
        <v>0</v>
      </c>
      <c r="Y289" s="169">
        <f t="shared" si="121"/>
        <v>0</v>
      </c>
      <c r="Z289" s="151">
        <v>0</v>
      </c>
      <c r="AA289" s="151">
        <v>0</v>
      </c>
      <c r="AB289" s="151">
        <v>0</v>
      </c>
      <c r="AC289" s="151">
        <v>0</v>
      </c>
    </row>
    <row r="290" spans="1:29" s="61" customFormat="1" ht="11.25">
      <c r="A290" s="147">
        <f t="shared" si="107"/>
        <v>0</v>
      </c>
      <c r="B290" s="152">
        <f t="shared" si="108"/>
        <v>0</v>
      </c>
      <c r="C290" s="141">
        <f t="shared" si="109"/>
        <v>23</v>
      </c>
      <c r="D290" s="142">
        <v>271</v>
      </c>
      <c r="E290" s="143">
        <f t="shared" si="122"/>
        <v>0</v>
      </c>
      <c r="F290" s="144">
        <f t="shared" si="110"/>
        <v>0</v>
      </c>
      <c r="G290" s="144">
        <f t="shared" si="111"/>
        <v>0</v>
      </c>
      <c r="H290" s="169">
        <f t="shared" si="105"/>
        <v>0</v>
      </c>
      <c r="I290" s="143">
        <f t="shared" si="123"/>
        <v>0</v>
      </c>
      <c r="J290" s="144">
        <f t="shared" si="112"/>
        <v>0</v>
      </c>
      <c r="K290" s="144">
        <f t="shared" si="113"/>
        <v>0</v>
      </c>
      <c r="L290" s="169">
        <f t="shared" si="104"/>
        <v>0</v>
      </c>
      <c r="M290" s="143">
        <f t="shared" si="124"/>
        <v>0</v>
      </c>
      <c r="N290" s="144">
        <f t="shared" si="114"/>
        <v>0</v>
      </c>
      <c r="O290" s="144">
        <f t="shared" si="115"/>
        <v>0</v>
      </c>
      <c r="P290" s="169">
        <f t="shared" si="106"/>
        <v>0</v>
      </c>
      <c r="R290" s="143">
        <f t="shared" si="125"/>
        <v>0</v>
      </c>
      <c r="S290" s="144">
        <f t="shared" si="116"/>
        <v>0</v>
      </c>
      <c r="T290" s="144">
        <f t="shared" si="117"/>
        <v>0</v>
      </c>
      <c r="U290" s="169">
        <f t="shared" si="118"/>
        <v>0</v>
      </c>
      <c r="V290" s="143">
        <f t="shared" si="126"/>
        <v>0</v>
      </c>
      <c r="W290" s="144">
        <f t="shared" si="119"/>
        <v>0</v>
      </c>
      <c r="X290" s="144">
        <f t="shared" si="120"/>
        <v>0</v>
      </c>
      <c r="Y290" s="169">
        <f t="shared" si="121"/>
        <v>0</v>
      </c>
      <c r="Z290" s="151">
        <v>0</v>
      </c>
      <c r="AA290" s="151">
        <v>0</v>
      </c>
      <c r="AB290" s="151">
        <v>0</v>
      </c>
      <c r="AC290" s="151">
        <v>0</v>
      </c>
    </row>
    <row r="291" spans="1:29" s="61" customFormat="1" ht="11.25">
      <c r="A291" s="147">
        <f t="shared" si="107"/>
        <v>0</v>
      </c>
      <c r="B291" s="152">
        <f t="shared" si="108"/>
        <v>0</v>
      </c>
      <c r="C291" s="141">
        <f t="shared" si="109"/>
        <v>23</v>
      </c>
      <c r="D291" s="142">
        <v>272</v>
      </c>
      <c r="E291" s="143">
        <f t="shared" si="122"/>
        <v>0</v>
      </c>
      <c r="F291" s="144">
        <f t="shared" si="110"/>
        <v>0</v>
      </c>
      <c r="G291" s="144">
        <f t="shared" si="111"/>
        <v>0</v>
      </c>
      <c r="H291" s="169">
        <f t="shared" si="105"/>
        <v>0</v>
      </c>
      <c r="I291" s="143">
        <f t="shared" si="123"/>
        <v>0</v>
      </c>
      <c r="J291" s="144">
        <f t="shared" si="112"/>
        <v>0</v>
      </c>
      <c r="K291" s="144">
        <f t="shared" si="113"/>
        <v>0</v>
      </c>
      <c r="L291" s="169">
        <f t="shared" si="104"/>
        <v>0</v>
      </c>
      <c r="M291" s="143">
        <f t="shared" si="124"/>
        <v>0</v>
      </c>
      <c r="N291" s="144">
        <f t="shared" si="114"/>
        <v>0</v>
      </c>
      <c r="O291" s="144">
        <f t="shared" si="115"/>
        <v>0</v>
      </c>
      <c r="P291" s="169">
        <f t="shared" si="106"/>
        <v>0</v>
      </c>
      <c r="R291" s="143">
        <f t="shared" si="125"/>
        <v>0</v>
      </c>
      <c r="S291" s="144">
        <f t="shared" si="116"/>
        <v>0</v>
      </c>
      <c r="T291" s="144">
        <f t="shared" si="117"/>
        <v>0</v>
      </c>
      <c r="U291" s="169">
        <f t="shared" si="118"/>
        <v>0</v>
      </c>
      <c r="V291" s="143">
        <f t="shared" si="126"/>
        <v>0</v>
      </c>
      <c r="W291" s="144">
        <f t="shared" si="119"/>
        <v>0</v>
      </c>
      <c r="X291" s="144">
        <f t="shared" si="120"/>
        <v>0</v>
      </c>
      <c r="Y291" s="169">
        <f t="shared" si="121"/>
        <v>0</v>
      </c>
      <c r="Z291" s="151">
        <v>0</v>
      </c>
      <c r="AA291" s="151">
        <v>0</v>
      </c>
      <c r="AB291" s="151">
        <v>0</v>
      </c>
      <c r="AC291" s="151">
        <v>0</v>
      </c>
    </row>
    <row r="292" spans="1:29" s="61" customFormat="1" ht="11.25">
      <c r="A292" s="147">
        <f t="shared" si="107"/>
        <v>0</v>
      </c>
      <c r="B292" s="152">
        <f t="shared" si="108"/>
        <v>0</v>
      </c>
      <c r="C292" s="141">
        <f t="shared" si="109"/>
        <v>23</v>
      </c>
      <c r="D292" s="142">
        <v>273</v>
      </c>
      <c r="E292" s="143">
        <f t="shared" si="122"/>
        <v>0</v>
      </c>
      <c r="F292" s="144">
        <f t="shared" si="110"/>
        <v>0</v>
      </c>
      <c r="G292" s="144">
        <f t="shared" si="111"/>
        <v>0</v>
      </c>
      <c r="H292" s="169">
        <f t="shared" si="105"/>
        <v>0</v>
      </c>
      <c r="I292" s="143">
        <f t="shared" si="123"/>
        <v>0</v>
      </c>
      <c r="J292" s="144">
        <f t="shared" si="112"/>
        <v>0</v>
      </c>
      <c r="K292" s="144">
        <f t="shared" si="113"/>
        <v>0</v>
      </c>
      <c r="L292" s="169">
        <f t="shared" si="104"/>
        <v>0</v>
      </c>
      <c r="M292" s="143">
        <f t="shared" si="124"/>
        <v>0</v>
      </c>
      <c r="N292" s="144">
        <f t="shared" si="114"/>
        <v>0</v>
      </c>
      <c r="O292" s="144">
        <f t="shared" si="115"/>
        <v>0</v>
      </c>
      <c r="P292" s="169">
        <f t="shared" si="106"/>
        <v>0</v>
      </c>
      <c r="R292" s="143">
        <f t="shared" si="125"/>
        <v>0</v>
      </c>
      <c r="S292" s="144">
        <f t="shared" si="116"/>
        <v>0</v>
      </c>
      <c r="T292" s="144">
        <f t="shared" si="117"/>
        <v>0</v>
      </c>
      <c r="U292" s="169">
        <f t="shared" si="118"/>
        <v>0</v>
      </c>
      <c r="V292" s="143">
        <f t="shared" si="126"/>
        <v>0</v>
      </c>
      <c r="W292" s="144">
        <f t="shared" si="119"/>
        <v>0</v>
      </c>
      <c r="X292" s="144">
        <f t="shared" si="120"/>
        <v>0</v>
      </c>
      <c r="Y292" s="169">
        <f t="shared" si="121"/>
        <v>0</v>
      </c>
      <c r="Z292" s="151">
        <v>0</v>
      </c>
      <c r="AA292" s="151">
        <v>0</v>
      </c>
      <c r="AB292" s="151">
        <v>0</v>
      </c>
      <c r="AC292" s="151">
        <v>0</v>
      </c>
    </row>
    <row r="293" spans="1:29" s="61" customFormat="1" ht="11.25">
      <c r="A293" s="147">
        <f t="shared" si="107"/>
        <v>0</v>
      </c>
      <c r="B293" s="152">
        <f t="shared" si="108"/>
        <v>0</v>
      </c>
      <c r="C293" s="141">
        <f t="shared" si="109"/>
        <v>23</v>
      </c>
      <c r="D293" s="142">
        <v>274</v>
      </c>
      <c r="E293" s="143">
        <f t="shared" si="122"/>
        <v>0</v>
      </c>
      <c r="F293" s="144">
        <f t="shared" si="110"/>
        <v>0</v>
      </c>
      <c r="G293" s="144">
        <f t="shared" si="111"/>
        <v>0</v>
      </c>
      <c r="H293" s="169">
        <f t="shared" si="105"/>
        <v>0</v>
      </c>
      <c r="I293" s="143">
        <f t="shared" si="123"/>
        <v>0</v>
      </c>
      <c r="J293" s="144">
        <f t="shared" si="112"/>
        <v>0</v>
      </c>
      <c r="K293" s="144">
        <f t="shared" si="113"/>
        <v>0</v>
      </c>
      <c r="L293" s="169">
        <f t="shared" si="104"/>
        <v>0</v>
      </c>
      <c r="M293" s="143">
        <f t="shared" si="124"/>
        <v>0</v>
      </c>
      <c r="N293" s="144">
        <f t="shared" si="114"/>
        <v>0</v>
      </c>
      <c r="O293" s="144">
        <f t="shared" si="115"/>
        <v>0</v>
      </c>
      <c r="P293" s="169">
        <f t="shared" si="106"/>
        <v>0</v>
      </c>
      <c r="R293" s="143">
        <f t="shared" si="125"/>
        <v>0</v>
      </c>
      <c r="S293" s="144">
        <f t="shared" si="116"/>
        <v>0</v>
      </c>
      <c r="T293" s="144">
        <f t="shared" si="117"/>
        <v>0</v>
      </c>
      <c r="U293" s="169">
        <f t="shared" si="118"/>
        <v>0</v>
      </c>
      <c r="V293" s="143">
        <f t="shared" si="126"/>
        <v>0</v>
      </c>
      <c r="W293" s="144">
        <f t="shared" si="119"/>
        <v>0</v>
      </c>
      <c r="X293" s="144">
        <f t="shared" si="120"/>
        <v>0</v>
      </c>
      <c r="Y293" s="169">
        <f t="shared" si="121"/>
        <v>0</v>
      </c>
      <c r="Z293" s="151">
        <v>0</v>
      </c>
      <c r="AA293" s="151">
        <v>0</v>
      </c>
      <c r="AB293" s="151">
        <v>0</v>
      </c>
      <c r="AC293" s="151">
        <v>0</v>
      </c>
    </row>
    <row r="294" spans="1:29" s="61" customFormat="1" ht="11.25">
      <c r="A294" s="147">
        <f t="shared" si="107"/>
        <v>0</v>
      </c>
      <c r="B294" s="152">
        <f t="shared" si="108"/>
        <v>0</v>
      </c>
      <c r="C294" s="141">
        <f t="shared" si="109"/>
        <v>23</v>
      </c>
      <c r="D294" s="142">
        <v>275</v>
      </c>
      <c r="E294" s="143">
        <f t="shared" si="122"/>
        <v>0</v>
      </c>
      <c r="F294" s="144">
        <f t="shared" si="110"/>
        <v>0</v>
      </c>
      <c r="G294" s="144">
        <f t="shared" si="111"/>
        <v>0</v>
      </c>
      <c r="H294" s="169">
        <f t="shared" si="105"/>
        <v>0</v>
      </c>
      <c r="I294" s="143">
        <f t="shared" si="123"/>
        <v>0</v>
      </c>
      <c r="J294" s="144">
        <f t="shared" si="112"/>
        <v>0</v>
      </c>
      <c r="K294" s="144">
        <f t="shared" si="113"/>
        <v>0</v>
      </c>
      <c r="L294" s="169">
        <f t="shared" si="104"/>
        <v>0</v>
      </c>
      <c r="M294" s="143">
        <f t="shared" si="124"/>
        <v>0</v>
      </c>
      <c r="N294" s="144">
        <f t="shared" si="114"/>
        <v>0</v>
      </c>
      <c r="O294" s="144">
        <f t="shared" si="115"/>
        <v>0</v>
      </c>
      <c r="P294" s="169">
        <f t="shared" si="106"/>
        <v>0</v>
      </c>
      <c r="R294" s="143">
        <f t="shared" si="125"/>
        <v>0</v>
      </c>
      <c r="S294" s="144">
        <f t="shared" si="116"/>
        <v>0</v>
      </c>
      <c r="T294" s="144">
        <f t="shared" si="117"/>
        <v>0</v>
      </c>
      <c r="U294" s="169">
        <f t="shared" si="118"/>
        <v>0</v>
      </c>
      <c r="V294" s="143">
        <f t="shared" si="126"/>
        <v>0</v>
      </c>
      <c r="W294" s="144">
        <f t="shared" si="119"/>
        <v>0</v>
      </c>
      <c r="X294" s="144">
        <f t="shared" si="120"/>
        <v>0</v>
      </c>
      <c r="Y294" s="169">
        <f t="shared" si="121"/>
        <v>0</v>
      </c>
      <c r="Z294" s="151">
        <v>0</v>
      </c>
      <c r="AA294" s="151">
        <v>0</v>
      </c>
      <c r="AB294" s="151">
        <v>0</v>
      </c>
      <c r="AC294" s="151">
        <v>0</v>
      </c>
    </row>
    <row r="295" spans="1:29" s="61" customFormat="1" ht="12" thickBot="1">
      <c r="A295" s="153">
        <f t="shared" si="107"/>
        <v>0</v>
      </c>
      <c r="B295" s="154">
        <f t="shared" si="108"/>
        <v>0</v>
      </c>
      <c r="C295" s="155">
        <f t="shared" si="109"/>
        <v>23</v>
      </c>
      <c r="D295" s="156">
        <v>276</v>
      </c>
      <c r="E295" s="157">
        <f t="shared" si="122"/>
        <v>0</v>
      </c>
      <c r="F295" s="158">
        <f t="shared" si="110"/>
        <v>0</v>
      </c>
      <c r="G295" s="158">
        <f t="shared" si="111"/>
        <v>0</v>
      </c>
      <c r="H295" s="172">
        <f t="shared" si="105"/>
        <v>0</v>
      </c>
      <c r="I295" s="157">
        <f t="shared" si="123"/>
        <v>0</v>
      </c>
      <c r="J295" s="158">
        <f t="shared" si="112"/>
        <v>0</v>
      </c>
      <c r="K295" s="158">
        <f t="shared" si="113"/>
        <v>0</v>
      </c>
      <c r="L295" s="172">
        <f t="shared" si="104"/>
        <v>0</v>
      </c>
      <c r="M295" s="157">
        <f t="shared" si="124"/>
        <v>0</v>
      </c>
      <c r="N295" s="158">
        <f t="shared" si="114"/>
        <v>0</v>
      </c>
      <c r="O295" s="158">
        <f t="shared" si="115"/>
        <v>0</v>
      </c>
      <c r="P295" s="172">
        <f t="shared" si="106"/>
        <v>0</v>
      </c>
      <c r="R295" s="157">
        <f t="shared" si="125"/>
        <v>0</v>
      </c>
      <c r="S295" s="158">
        <f t="shared" si="116"/>
        <v>0</v>
      </c>
      <c r="T295" s="158">
        <f t="shared" si="117"/>
        <v>0</v>
      </c>
      <c r="U295" s="172">
        <f t="shared" si="118"/>
        <v>0</v>
      </c>
      <c r="V295" s="157">
        <f t="shared" si="126"/>
        <v>0</v>
      </c>
      <c r="W295" s="158">
        <f t="shared" si="119"/>
        <v>0</v>
      </c>
      <c r="X295" s="158">
        <f t="shared" si="120"/>
        <v>0</v>
      </c>
      <c r="Y295" s="172">
        <f t="shared" si="121"/>
        <v>0</v>
      </c>
      <c r="Z295" s="151">
        <v>0</v>
      </c>
      <c r="AA295" s="151">
        <v>0</v>
      </c>
      <c r="AB295" s="151">
        <v>0</v>
      </c>
      <c r="AC295" s="151">
        <v>0</v>
      </c>
    </row>
    <row r="296" spans="1:29" s="61" customFormat="1" ht="11.25">
      <c r="A296" s="147">
        <f t="shared" si="107"/>
        <v>0</v>
      </c>
      <c r="B296" s="152">
        <f t="shared" si="108"/>
        <v>0</v>
      </c>
      <c r="C296" s="141">
        <f t="shared" si="109"/>
        <v>24</v>
      </c>
      <c r="D296" s="142">
        <v>277</v>
      </c>
      <c r="E296" s="143">
        <f t="shared" si="122"/>
        <v>0</v>
      </c>
      <c r="F296" s="144">
        <f t="shared" si="110"/>
        <v>0</v>
      </c>
      <c r="G296" s="144">
        <f t="shared" si="111"/>
        <v>0</v>
      </c>
      <c r="H296" s="169">
        <f t="shared" si="105"/>
        <v>0</v>
      </c>
      <c r="I296" s="143">
        <f t="shared" si="123"/>
        <v>0</v>
      </c>
      <c r="J296" s="144">
        <f t="shared" si="112"/>
        <v>0</v>
      </c>
      <c r="K296" s="144">
        <f t="shared" si="113"/>
        <v>0</v>
      </c>
      <c r="L296" s="169">
        <f t="shared" si="104"/>
        <v>0</v>
      </c>
      <c r="M296" s="143">
        <f t="shared" si="124"/>
        <v>0</v>
      </c>
      <c r="N296" s="144">
        <f t="shared" si="114"/>
        <v>0</v>
      </c>
      <c r="O296" s="144">
        <f t="shared" si="115"/>
        <v>0</v>
      </c>
      <c r="P296" s="169">
        <f t="shared" si="106"/>
        <v>0</v>
      </c>
      <c r="R296" s="143">
        <f t="shared" si="125"/>
        <v>0</v>
      </c>
      <c r="S296" s="144">
        <f t="shared" si="116"/>
        <v>0</v>
      </c>
      <c r="T296" s="144">
        <f t="shared" si="117"/>
        <v>0</v>
      </c>
      <c r="U296" s="169">
        <f t="shared" si="118"/>
        <v>0</v>
      </c>
      <c r="V296" s="143">
        <f t="shared" si="126"/>
        <v>0</v>
      </c>
      <c r="W296" s="144">
        <f t="shared" si="119"/>
        <v>0</v>
      </c>
      <c r="X296" s="144">
        <f t="shared" si="120"/>
        <v>0</v>
      </c>
      <c r="Y296" s="169">
        <f t="shared" si="121"/>
        <v>0</v>
      </c>
      <c r="Z296" s="151">
        <v>0</v>
      </c>
      <c r="AA296" s="151">
        <v>0</v>
      </c>
      <c r="AB296" s="151">
        <v>0</v>
      </c>
      <c r="AC296" s="151">
        <v>0</v>
      </c>
    </row>
    <row r="297" spans="1:29" s="61" customFormat="1" ht="11.25">
      <c r="A297" s="147">
        <f t="shared" si="107"/>
        <v>0</v>
      </c>
      <c r="B297" s="152">
        <f t="shared" si="108"/>
        <v>0</v>
      </c>
      <c r="C297" s="141">
        <f t="shared" si="109"/>
        <v>24</v>
      </c>
      <c r="D297" s="142">
        <v>278</v>
      </c>
      <c r="E297" s="143">
        <f t="shared" si="122"/>
        <v>0</v>
      </c>
      <c r="F297" s="144">
        <f t="shared" si="110"/>
        <v>0</v>
      </c>
      <c r="G297" s="144">
        <f t="shared" si="111"/>
        <v>0</v>
      </c>
      <c r="H297" s="169">
        <f t="shared" si="105"/>
        <v>0</v>
      </c>
      <c r="I297" s="143">
        <f t="shared" si="123"/>
        <v>0</v>
      </c>
      <c r="J297" s="144">
        <f t="shared" si="112"/>
        <v>0</v>
      </c>
      <c r="K297" s="144">
        <f t="shared" si="113"/>
        <v>0</v>
      </c>
      <c r="L297" s="169">
        <f t="shared" si="104"/>
        <v>0</v>
      </c>
      <c r="M297" s="143">
        <f t="shared" si="124"/>
        <v>0</v>
      </c>
      <c r="N297" s="144">
        <f t="shared" si="114"/>
        <v>0</v>
      </c>
      <c r="O297" s="144">
        <f t="shared" si="115"/>
        <v>0</v>
      </c>
      <c r="P297" s="169">
        <f t="shared" si="106"/>
        <v>0</v>
      </c>
      <c r="R297" s="143">
        <f t="shared" si="125"/>
        <v>0</v>
      </c>
      <c r="S297" s="144">
        <f t="shared" si="116"/>
        <v>0</v>
      </c>
      <c r="T297" s="144">
        <f t="shared" si="117"/>
        <v>0</v>
      </c>
      <c r="U297" s="169">
        <f t="shared" si="118"/>
        <v>0</v>
      </c>
      <c r="V297" s="143">
        <f t="shared" si="126"/>
        <v>0</v>
      </c>
      <c r="W297" s="144">
        <f t="shared" si="119"/>
        <v>0</v>
      </c>
      <c r="X297" s="144">
        <f t="shared" si="120"/>
        <v>0</v>
      </c>
      <c r="Y297" s="169">
        <f t="shared" si="121"/>
        <v>0</v>
      </c>
      <c r="Z297" s="151">
        <v>0</v>
      </c>
      <c r="AA297" s="151">
        <v>0</v>
      </c>
      <c r="AB297" s="151">
        <v>0</v>
      </c>
      <c r="AC297" s="151">
        <v>0</v>
      </c>
    </row>
    <row r="298" spans="1:29" s="61" customFormat="1" ht="11.25">
      <c r="A298" s="147">
        <f t="shared" si="107"/>
        <v>0</v>
      </c>
      <c r="B298" s="152">
        <f t="shared" si="108"/>
        <v>0</v>
      </c>
      <c r="C298" s="141">
        <f t="shared" si="109"/>
        <v>24</v>
      </c>
      <c r="D298" s="142">
        <v>279</v>
      </c>
      <c r="E298" s="143">
        <f t="shared" si="122"/>
        <v>0</v>
      </c>
      <c r="F298" s="144">
        <f t="shared" si="110"/>
        <v>0</v>
      </c>
      <c r="G298" s="144">
        <f t="shared" si="111"/>
        <v>0</v>
      </c>
      <c r="H298" s="169">
        <f t="shared" si="105"/>
        <v>0</v>
      </c>
      <c r="I298" s="143">
        <f t="shared" si="123"/>
        <v>0</v>
      </c>
      <c r="J298" s="144">
        <f t="shared" si="112"/>
        <v>0</v>
      </c>
      <c r="K298" s="144">
        <f t="shared" si="113"/>
        <v>0</v>
      </c>
      <c r="L298" s="169">
        <f t="shared" si="104"/>
        <v>0</v>
      </c>
      <c r="M298" s="143">
        <f t="shared" si="124"/>
        <v>0</v>
      </c>
      <c r="N298" s="144">
        <f t="shared" si="114"/>
        <v>0</v>
      </c>
      <c r="O298" s="144">
        <f t="shared" si="115"/>
        <v>0</v>
      </c>
      <c r="P298" s="169">
        <f t="shared" si="106"/>
        <v>0</v>
      </c>
      <c r="R298" s="143">
        <f t="shared" si="125"/>
        <v>0</v>
      </c>
      <c r="S298" s="144">
        <f t="shared" si="116"/>
        <v>0</v>
      </c>
      <c r="T298" s="144">
        <f t="shared" si="117"/>
        <v>0</v>
      </c>
      <c r="U298" s="169">
        <f t="shared" si="118"/>
        <v>0</v>
      </c>
      <c r="V298" s="143">
        <f t="shared" si="126"/>
        <v>0</v>
      </c>
      <c r="W298" s="144">
        <f t="shared" si="119"/>
        <v>0</v>
      </c>
      <c r="X298" s="144">
        <f t="shared" si="120"/>
        <v>0</v>
      </c>
      <c r="Y298" s="169">
        <f t="shared" si="121"/>
        <v>0</v>
      </c>
      <c r="Z298" s="151">
        <v>0</v>
      </c>
      <c r="AA298" s="151">
        <v>0</v>
      </c>
      <c r="AB298" s="151">
        <v>0</v>
      </c>
      <c r="AC298" s="151">
        <v>0</v>
      </c>
    </row>
    <row r="299" spans="1:29" s="61" customFormat="1" ht="11.25">
      <c r="A299" s="147">
        <f t="shared" si="107"/>
        <v>0</v>
      </c>
      <c r="B299" s="152">
        <f t="shared" si="108"/>
        <v>0</v>
      </c>
      <c r="C299" s="141">
        <f t="shared" si="109"/>
        <v>24</v>
      </c>
      <c r="D299" s="142">
        <v>280</v>
      </c>
      <c r="E299" s="143">
        <f t="shared" si="122"/>
        <v>0</v>
      </c>
      <c r="F299" s="144">
        <f t="shared" si="110"/>
        <v>0</v>
      </c>
      <c r="G299" s="144">
        <f t="shared" si="111"/>
        <v>0</v>
      </c>
      <c r="H299" s="169">
        <f t="shared" si="105"/>
        <v>0</v>
      </c>
      <c r="I299" s="143">
        <f t="shared" si="123"/>
        <v>0</v>
      </c>
      <c r="J299" s="144">
        <f t="shared" si="112"/>
        <v>0</v>
      </c>
      <c r="K299" s="144">
        <f t="shared" si="113"/>
        <v>0</v>
      </c>
      <c r="L299" s="169">
        <f t="shared" si="104"/>
        <v>0</v>
      </c>
      <c r="M299" s="143">
        <f t="shared" si="124"/>
        <v>0</v>
      </c>
      <c r="N299" s="144">
        <f t="shared" si="114"/>
        <v>0</v>
      </c>
      <c r="O299" s="144">
        <f t="shared" si="115"/>
        <v>0</v>
      </c>
      <c r="P299" s="169">
        <f t="shared" si="106"/>
        <v>0</v>
      </c>
      <c r="R299" s="143">
        <f t="shared" si="125"/>
        <v>0</v>
      </c>
      <c r="S299" s="144">
        <f t="shared" si="116"/>
        <v>0</v>
      </c>
      <c r="T299" s="144">
        <f t="shared" si="117"/>
        <v>0</v>
      </c>
      <c r="U299" s="169">
        <f t="shared" si="118"/>
        <v>0</v>
      </c>
      <c r="V299" s="143">
        <f t="shared" si="126"/>
        <v>0</v>
      </c>
      <c r="W299" s="144">
        <f t="shared" si="119"/>
        <v>0</v>
      </c>
      <c r="X299" s="144">
        <f t="shared" si="120"/>
        <v>0</v>
      </c>
      <c r="Y299" s="169">
        <f t="shared" si="121"/>
        <v>0</v>
      </c>
      <c r="Z299" s="151">
        <v>0</v>
      </c>
      <c r="AA299" s="151">
        <v>0</v>
      </c>
      <c r="AB299" s="151">
        <v>0</v>
      </c>
      <c r="AC299" s="151">
        <v>0</v>
      </c>
    </row>
    <row r="300" spans="1:29" s="61" customFormat="1" ht="11.25">
      <c r="A300" s="147">
        <f t="shared" si="107"/>
        <v>0</v>
      </c>
      <c r="B300" s="152">
        <f t="shared" si="108"/>
        <v>0</v>
      </c>
      <c r="C300" s="141">
        <f t="shared" si="109"/>
        <v>24</v>
      </c>
      <c r="D300" s="142">
        <v>281</v>
      </c>
      <c r="E300" s="143">
        <f t="shared" si="122"/>
        <v>0</v>
      </c>
      <c r="F300" s="144">
        <f t="shared" si="110"/>
        <v>0</v>
      </c>
      <c r="G300" s="144">
        <f t="shared" si="111"/>
        <v>0</v>
      </c>
      <c r="H300" s="169">
        <f t="shared" si="105"/>
        <v>0</v>
      </c>
      <c r="I300" s="143">
        <f t="shared" si="123"/>
        <v>0</v>
      </c>
      <c r="J300" s="144">
        <f t="shared" si="112"/>
        <v>0</v>
      </c>
      <c r="K300" s="144">
        <f t="shared" si="113"/>
        <v>0</v>
      </c>
      <c r="L300" s="169">
        <f t="shared" si="104"/>
        <v>0</v>
      </c>
      <c r="M300" s="143">
        <f t="shared" si="124"/>
        <v>0</v>
      </c>
      <c r="N300" s="144">
        <f t="shared" si="114"/>
        <v>0</v>
      </c>
      <c r="O300" s="144">
        <f t="shared" si="115"/>
        <v>0</v>
      </c>
      <c r="P300" s="169">
        <f t="shared" si="106"/>
        <v>0</v>
      </c>
      <c r="R300" s="143">
        <f t="shared" si="125"/>
        <v>0</v>
      </c>
      <c r="S300" s="144">
        <f t="shared" si="116"/>
        <v>0</v>
      </c>
      <c r="T300" s="144">
        <f t="shared" si="117"/>
        <v>0</v>
      </c>
      <c r="U300" s="169">
        <f t="shared" si="118"/>
        <v>0</v>
      </c>
      <c r="V300" s="143">
        <f t="shared" si="126"/>
        <v>0</v>
      </c>
      <c r="W300" s="144">
        <f t="shared" si="119"/>
        <v>0</v>
      </c>
      <c r="X300" s="144">
        <f t="shared" si="120"/>
        <v>0</v>
      </c>
      <c r="Y300" s="169">
        <f t="shared" si="121"/>
        <v>0</v>
      </c>
      <c r="Z300" s="151">
        <v>0</v>
      </c>
      <c r="AA300" s="151">
        <v>0</v>
      </c>
      <c r="AB300" s="151">
        <v>0</v>
      </c>
      <c r="AC300" s="151">
        <v>0</v>
      </c>
    </row>
    <row r="301" spans="1:29" s="61" customFormat="1" ht="11.25">
      <c r="A301" s="147">
        <f t="shared" si="107"/>
        <v>0</v>
      </c>
      <c r="B301" s="152">
        <f t="shared" si="108"/>
        <v>0</v>
      </c>
      <c r="C301" s="141">
        <f t="shared" si="109"/>
        <v>24</v>
      </c>
      <c r="D301" s="142">
        <v>282</v>
      </c>
      <c r="E301" s="143">
        <f t="shared" si="122"/>
        <v>0</v>
      </c>
      <c r="F301" s="144">
        <f t="shared" si="110"/>
        <v>0</v>
      </c>
      <c r="G301" s="144">
        <f t="shared" si="111"/>
        <v>0</v>
      </c>
      <c r="H301" s="169">
        <f t="shared" si="105"/>
        <v>0</v>
      </c>
      <c r="I301" s="143">
        <f t="shared" si="123"/>
        <v>0</v>
      </c>
      <c r="J301" s="144">
        <f t="shared" si="112"/>
        <v>0</v>
      </c>
      <c r="K301" s="144">
        <f t="shared" si="113"/>
        <v>0</v>
      </c>
      <c r="L301" s="169">
        <f t="shared" si="104"/>
        <v>0</v>
      </c>
      <c r="M301" s="143">
        <f t="shared" si="124"/>
        <v>0</v>
      </c>
      <c r="N301" s="144">
        <f t="shared" si="114"/>
        <v>0</v>
      </c>
      <c r="O301" s="144">
        <f t="shared" si="115"/>
        <v>0</v>
      </c>
      <c r="P301" s="169">
        <f t="shared" si="106"/>
        <v>0</v>
      </c>
      <c r="R301" s="143">
        <f t="shared" si="125"/>
        <v>0</v>
      </c>
      <c r="S301" s="144">
        <f t="shared" si="116"/>
        <v>0</v>
      </c>
      <c r="T301" s="144">
        <f t="shared" si="117"/>
        <v>0</v>
      </c>
      <c r="U301" s="169">
        <f t="shared" si="118"/>
        <v>0</v>
      </c>
      <c r="V301" s="143">
        <f t="shared" si="126"/>
        <v>0</v>
      </c>
      <c r="W301" s="144">
        <f t="shared" si="119"/>
        <v>0</v>
      </c>
      <c r="X301" s="144">
        <f t="shared" si="120"/>
        <v>0</v>
      </c>
      <c r="Y301" s="169">
        <f t="shared" si="121"/>
        <v>0</v>
      </c>
      <c r="Z301" s="151">
        <v>0</v>
      </c>
      <c r="AA301" s="151">
        <v>0</v>
      </c>
      <c r="AB301" s="151">
        <v>0</v>
      </c>
      <c r="AC301" s="151">
        <v>0</v>
      </c>
    </row>
    <row r="302" spans="1:29" s="61" customFormat="1" ht="11.25">
      <c r="A302" s="147">
        <f t="shared" si="107"/>
        <v>0</v>
      </c>
      <c r="B302" s="152">
        <f t="shared" si="108"/>
        <v>0</v>
      </c>
      <c r="C302" s="141">
        <f t="shared" si="109"/>
        <v>24</v>
      </c>
      <c r="D302" s="142">
        <v>283</v>
      </c>
      <c r="E302" s="143">
        <f t="shared" si="122"/>
        <v>0</v>
      </c>
      <c r="F302" s="144">
        <f t="shared" si="110"/>
        <v>0</v>
      </c>
      <c r="G302" s="144">
        <f t="shared" si="111"/>
        <v>0</v>
      </c>
      <c r="H302" s="169">
        <f t="shared" si="105"/>
        <v>0</v>
      </c>
      <c r="I302" s="143">
        <f t="shared" si="123"/>
        <v>0</v>
      </c>
      <c r="J302" s="144">
        <f t="shared" si="112"/>
        <v>0</v>
      </c>
      <c r="K302" s="144">
        <f t="shared" si="113"/>
        <v>0</v>
      </c>
      <c r="L302" s="169">
        <f t="shared" si="104"/>
        <v>0</v>
      </c>
      <c r="M302" s="143">
        <f t="shared" si="124"/>
        <v>0</v>
      </c>
      <c r="N302" s="144">
        <f t="shared" si="114"/>
        <v>0</v>
      </c>
      <c r="O302" s="144">
        <f t="shared" si="115"/>
        <v>0</v>
      </c>
      <c r="P302" s="169">
        <f t="shared" si="106"/>
        <v>0</v>
      </c>
      <c r="R302" s="143">
        <f t="shared" si="125"/>
        <v>0</v>
      </c>
      <c r="S302" s="144">
        <f t="shared" si="116"/>
        <v>0</v>
      </c>
      <c r="T302" s="144">
        <f t="shared" si="117"/>
        <v>0</v>
      </c>
      <c r="U302" s="169">
        <f t="shared" si="118"/>
        <v>0</v>
      </c>
      <c r="V302" s="143">
        <f t="shared" si="126"/>
        <v>0</v>
      </c>
      <c r="W302" s="144">
        <f t="shared" si="119"/>
        <v>0</v>
      </c>
      <c r="X302" s="144">
        <f t="shared" si="120"/>
        <v>0</v>
      </c>
      <c r="Y302" s="169">
        <f t="shared" si="121"/>
        <v>0</v>
      </c>
      <c r="Z302" s="151">
        <v>0</v>
      </c>
      <c r="AA302" s="151">
        <v>0</v>
      </c>
      <c r="AB302" s="151">
        <v>0</v>
      </c>
      <c r="AC302" s="151">
        <v>0</v>
      </c>
    </row>
    <row r="303" spans="1:29" s="61" customFormat="1" ht="11.25">
      <c r="A303" s="147">
        <f t="shared" si="107"/>
        <v>0</v>
      </c>
      <c r="B303" s="152">
        <f t="shared" si="108"/>
        <v>0</v>
      </c>
      <c r="C303" s="141">
        <f t="shared" si="109"/>
        <v>24</v>
      </c>
      <c r="D303" s="142">
        <v>284</v>
      </c>
      <c r="E303" s="143">
        <f t="shared" si="122"/>
        <v>0</v>
      </c>
      <c r="F303" s="144">
        <f t="shared" si="110"/>
        <v>0</v>
      </c>
      <c r="G303" s="144">
        <f t="shared" si="111"/>
        <v>0</v>
      </c>
      <c r="H303" s="169">
        <f t="shared" si="105"/>
        <v>0</v>
      </c>
      <c r="I303" s="143">
        <f t="shared" si="123"/>
        <v>0</v>
      </c>
      <c r="J303" s="144">
        <f t="shared" si="112"/>
        <v>0</v>
      </c>
      <c r="K303" s="144">
        <f t="shared" si="113"/>
        <v>0</v>
      </c>
      <c r="L303" s="169">
        <f t="shared" si="104"/>
        <v>0</v>
      </c>
      <c r="M303" s="143">
        <f t="shared" si="124"/>
        <v>0</v>
      </c>
      <c r="N303" s="144">
        <f t="shared" si="114"/>
        <v>0</v>
      </c>
      <c r="O303" s="144">
        <f t="shared" si="115"/>
        <v>0</v>
      </c>
      <c r="P303" s="169">
        <f t="shared" si="106"/>
        <v>0</v>
      </c>
      <c r="R303" s="143">
        <f t="shared" si="125"/>
        <v>0</v>
      </c>
      <c r="S303" s="144">
        <f t="shared" si="116"/>
        <v>0</v>
      </c>
      <c r="T303" s="144">
        <f t="shared" si="117"/>
        <v>0</v>
      </c>
      <c r="U303" s="169">
        <f t="shared" si="118"/>
        <v>0</v>
      </c>
      <c r="V303" s="143">
        <f t="shared" si="126"/>
        <v>0</v>
      </c>
      <c r="W303" s="144">
        <f t="shared" si="119"/>
        <v>0</v>
      </c>
      <c r="X303" s="144">
        <f t="shared" si="120"/>
        <v>0</v>
      </c>
      <c r="Y303" s="169">
        <f t="shared" si="121"/>
        <v>0</v>
      </c>
      <c r="Z303" s="151">
        <v>0</v>
      </c>
      <c r="AA303" s="151">
        <v>0</v>
      </c>
      <c r="AB303" s="151">
        <v>0</v>
      </c>
      <c r="AC303" s="151">
        <v>0</v>
      </c>
    </row>
    <row r="304" spans="1:29" s="61" customFormat="1" ht="11.25">
      <c r="A304" s="147">
        <f t="shared" si="107"/>
        <v>0</v>
      </c>
      <c r="B304" s="152">
        <f t="shared" si="108"/>
        <v>0</v>
      </c>
      <c r="C304" s="141">
        <f t="shared" si="109"/>
        <v>24</v>
      </c>
      <c r="D304" s="142">
        <v>285</v>
      </c>
      <c r="E304" s="143">
        <f t="shared" si="122"/>
        <v>0</v>
      </c>
      <c r="F304" s="144">
        <f t="shared" si="110"/>
        <v>0</v>
      </c>
      <c r="G304" s="144">
        <f t="shared" si="111"/>
        <v>0</v>
      </c>
      <c r="H304" s="169">
        <f t="shared" si="105"/>
        <v>0</v>
      </c>
      <c r="I304" s="143">
        <f t="shared" si="123"/>
        <v>0</v>
      </c>
      <c r="J304" s="144">
        <f t="shared" si="112"/>
        <v>0</v>
      </c>
      <c r="K304" s="144">
        <f t="shared" si="113"/>
        <v>0</v>
      </c>
      <c r="L304" s="169">
        <f t="shared" si="104"/>
        <v>0</v>
      </c>
      <c r="M304" s="143">
        <f t="shared" si="124"/>
        <v>0</v>
      </c>
      <c r="N304" s="144">
        <f t="shared" si="114"/>
        <v>0</v>
      </c>
      <c r="O304" s="144">
        <f t="shared" si="115"/>
        <v>0</v>
      </c>
      <c r="P304" s="169">
        <f t="shared" si="106"/>
        <v>0</v>
      </c>
      <c r="R304" s="143">
        <f t="shared" si="125"/>
        <v>0</v>
      </c>
      <c r="S304" s="144">
        <f t="shared" si="116"/>
        <v>0</v>
      </c>
      <c r="T304" s="144">
        <f t="shared" si="117"/>
        <v>0</v>
      </c>
      <c r="U304" s="169">
        <f t="shared" si="118"/>
        <v>0</v>
      </c>
      <c r="V304" s="143">
        <f t="shared" si="126"/>
        <v>0</v>
      </c>
      <c r="W304" s="144">
        <f t="shared" si="119"/>
        <v>0</v>
      </c>
      <c r="X304" s="144">
        <f t="shared" si="120"/>
        <v>0</v>
      </c>
      <c r="Y304" s="169">
        <f t="shared" si="121"/>
        <v>0</v>
      </c>
      <c r="Z304" s="151">
        <v>0</v>
      </c>
      <c r="AA304" s="151">
        <v>0</v>
      </c>
      <c r="AB304" s="151">
        <v>0</v>
      </c>
      <c r="AC304" s="151">
        <v>0</v>
      </c>
    </row>
    <row r="305" spans="1:29" s="61" customFormat="1" ht="11.25">
      <c r="A305" s="147">
        <f t="shared" si="107"/>
        <v>0</v>
      </c>
      <c r="B305" s="152">
        <f t="shared" si="108"/>
        <v>0</v>
      </c>
      <c r="C305" s="141">
        <f t="shared" si="109"/>
        <v>24</v>
      </c>
      <c r="D305" s="142">
        <v>286</v>
      </c>
      <c r="E305" s="143">
        <f t="shared" si="122"/>
        <v>0</v>
      </c>
      <c r="F305" s="144">
        <f t="shared" si="110"/>
        <v>0</v>
      </c>
      <c r="G305" s="144">
        <f t="shared" si="111"/>
        <v>0</v>
      </c>
      <c r="H305" s="169">
        <f t="shared" si="105"/>
        <v>0</v>
      </c>
      <c r="I305" s="143">
        <f t="shared" si="123"/>
        <v>0</v>
      </c>
      <c r="J305" s="144">
        <f t="shared" si="112"/>
        <v>0</v>
      </c>
      <c r="K305" s="144">
        <f t="shared" si="113"/>
        <v>0</v>
      </c>
      <c r="L305" s="169">
        <f t="shared" si="104"/>
        <v>0</v>
      </c>
      <c r="M305" s="143">
        <f t="shared" si="124"/>
        <v>0</v>
      </c>
      <c r="N305" s="144">
        <f t="shared" si="114"/>
        <v>0</v>
      </c>
      <c r="O305" s="144">
        <f t="shared" si="115"/>
        <v>0</v>
      </c>
      <c r="P305" s="169">
        <f t="shared" si="106"/>
        <v>0</v>
      </c>
      <c r="R305" s="143">
        <f t="shared" si="125"/>
        <v>0</v>
      </c>
      <c r="S305" s="144">
        <f t="shared" si="116"/>
        <v>0</v>
      </c>
      <c r="T305" s="144">
        <f t="shared" si="117"/>
        <v>0</v>
      </c>
      <c r="U305" s="169">
        <f t="shared" si="118"/>
        <v>0</v>
      </c>
      <c r="V305" s="143">
        <f t="shared" si="126"/>
        <v>0</v>
      </c>
      <c r="W305" s="144">
        <f t="shared" si="119"/>
        <v>0</v>
      </c>
      <c r="X305" s="144">
        <f t="shared" si="120"/>
        <v>0</v>
      </c>
      <c r="Y305" s="169">
        <f t="shared" si="121"/>
        <v>0</v>
      </c>
      <c r="Z305" s="151">
        <v>0</v>
      </c>
      <c r="AA305" s="151">
        <v>0</v>
      </c>
      <c r="AB305" s="151">
        <v>0</v>
      </c>
      <c r="AC305" s="151">
        <v>0</v>
      </c>
    </row>
    <row r="306" spans="1:29" s="61" customFormat="1" ht="11.25">
      <c r="A306" s="147">
        <f t="shared" si="107"/>
        <v>0</v>
      </c>
      <c r="B306" s="152">
        <f t="shared" si="108"/>
        <v>0</v>
      </c>
      <c r="C306" s="141">
        <f t="shared" si="109"/>
        <v>24</v>
      </c>
      <c r="D306" s="142">
        <v>287</v>
      </c>
      <c r="E306" s="143">
        <f t="shared" si="122"/>
        <v>0</v>
      </c>
      <c r="F306" s="144">
        <f t="shared" si="110"/>
        <v>0</v>
      </c>
      <c r="G306" s="144">
        <f t="shared" si="111"/>
        <v>0</v>
      </c>
      <c r="H306" s="169">
        <f t="shared" si="105"/>
        <v>0</v>
      </c>
      <c r="I306" s="143">
        <f t="shared" si="123"/>
        <v>0</v>
      </c>
      <c r="J306" s="144">
        <f t="shared" si="112"/>
        <v>0</v>
      </c>
      <c r="K306" s="144">
        <f t="shared" si="113"/>
        <v>0</v>
      </c>
      <c r="L306" s="169">
        <f t="shared" si="104"/>
        <v>0</v>
      </c>
      <c r="M306" s="143">
        <f t="shared" si="124"/>
        <v>0</v>
      </c>
      <c r="N306" s="144">
        <f t="shared" si="114"/>
        <v>0</v>
      </c>
      <c r="O306" s="144">
        <f t="shared" si="115"/>
        <v>0</v>
      </c>
      <c r="P306" s="169">
        <f t="shared" si="106"/>
        <v>0</v>
      </c>
      <c r="R306" s="143">
        <f t="shared" si="125"/>
        <v>0</v>
      </c>
      <c r="S306" s="144">
        <f t="shared" si="116"/>
        <v>0</v>
      </c>
      <c r="T306" s="144">
        <f t="shared" si="117"/>
        <v>0</v>
      </c>
      <c r="U306" s="169">
        <f t="shared" si="118"/>
        <v>0</v>
      </c>
      <c r="V306" s="143">
        <f t="shared" si="126"/>
        <v>0</v>
      </c>
      <c r="W306" s="144">
        <f t="shared" si="119"/>
        <v>0</v>
      </c>
      <c r="X306" s="144">
        <f t="shared" si="120"/>
        <v>0</v>
      </c>
      <c r="Y306" s="169">
        <f t="shared" si="121"/>
        <v>0</v>
      </c>
      <c r="Z306" s="151">
        <v>0</v>
      </c>
      <c r="AA306" s="151">
        <v>0</v>
      </c>
      <c r="AB306" s="151">
        <v>0</v>
      </c>
      <c r="AC306" s="151">
        <v>0</v>
      </c>
    </row>
    <row r="307" spans="1:29" s="61" customFormat="1" ht="12" thickBot="1">
      <c r="A307" s="153">
        <f t="shared" si="107"/>
        <v>0</v>
      </c>
      <c r="B307" s="154">
        <f t="shared" si="108"/>
        <v>0</v>
      </c>
      <c r="C307" s="155">
        <f t="shared" si="109"/>
        <v>24</v>
      </c>
      <c r="D307" s="156">
        <v>288</v>
      </c>
      <c r="E307" s="157">
        <f t="shared" si="122"/>
        <v>0</v>
      </c>
      <c r="F307" s="158">
        <f t="shared" si="110"/>
        <v>0</v>
      </c>
      <c r="G307" s="158">
        <f t="shared" si="111"/>
        <v>0</v>
      </c>
      <c r="H307" s="172">
        <f t="shared" si="105"/>
        <v>0</v>
      </c>
      <c r="I307" s="157">
        <f t="shared" si="123"/>
        <v>0</v>
      </c>
      <c r="J307" s="158">
        <f t="shared" si="112"/>
        <v>0</v>
      </c>
      <c r="K307" s="158">
        <f t="shared" si="113"/>
        <v>0</v>
      </c>
      <c r="L307" s="172">
        <f t="shared" si="104"/>
        <v>0</v>
      </c>
      <c r="M307" s="157">
        <f t="shared" si="124"/>
        <v>0</v>
      </c>
      <c r="N307" s="158">
        <f t="shared" si="114"/>
        <v>0</v>
      </c>
      <c r="O307" s="158">
        <f t="shared" si="115"/>
        <v>0</v>
      </c>
      <c r="P307" s="172">
        <f t="shared" si="106"/>
        <v>0</v>
      </c>
      <c r="R307" s="157">
        <f t="shared" si="125"/>
        <v>0</v>
      </c>
      <c r="S307" s="158">
        <f t="shared" si="116"/>
        <v>0</v>
      </c>
      <c r="T307" s="158">
        <f t="shared" si="117"/>
        <v>0</v>
      </c>
      <c r="U307" s="172">
        <f t="shared" si="118"/>
        <v>0</v>
      </c>
      <c r="V307" s="157">
        <f t="shared" si="126"/>
        <v>0</v>
      </c>
      <c r="W307" s="158">
        <f t="shared" si="119"/>
        <v>0</v>
      </c>
      <c r="X307" s="158">
        <f t="shared" si="120"/>
        <v>0</v>
      </c>
      <c r="Y307" s="172">
        <f t="shared" si="121"/>
        <v>0</v>
      </c>
      <c r="Z307" s="151">
        <v>0</v>
      </c>
      <c r="AA307" s="151">
        <v>0</v>
      </c>
      <c r="AB307" s="151">
        <v>0</v>
      </c>
      <c r="AC307" s="151">
        <v>0</v>
      </c>
    </row>
    <row r="308" spans="1:29" s="61" customFormat="1" ht="11.25">
      <c r="A308" s="147">
        <f t="shared" si="107"/>
        <v>0</v>
      </c>
      <c r="B308" s="152">
        <f t="shared" si="108"/>
        <v>0</v>
      </c>
      <c r="C308" s="141">
        <f t="shared" si="109"/>
        <v>25</v>
      </c>
      <c r="D308" s="142">
        <v>289</v>
      </c>
      <c r="E308" s="143">
        <f t="shared" si="122"/>
        <v>0</v>
      </c>
      <c r="F308" s="144">
        <f t="shared" si="110"/>
        <v>0</v>
      </c>
      <c r="G308" s="144">
        <f t="shared" si="111"/>
        <v>0</v>
      </c>
      <c r="H308" s="169">
        <f t="shared" si="105"/>
        <v>0</v>
      </c>
      <c r="I308" s="143">
        <f t="shared" si="123"/>
        <v>0</v>
      </c>
      <c r="J308" s="144">
        <f t="shared" si="112"/>
        <v>0</v>
      </c>
      <c r="K308" s="144">
        <f t="shared" si="113"/>
        <v>0</v>
      </c>
      <c r="L308" s="169">
        <f t="shared" si="104"/>
        <v>0</v>
      </c>
      <c r="M308" s="143">
        <f t="shared" si="124"/>
        <v>0</v>
      </c>
      <c r="N308" s="144">
        <f t="shared" si="114"/>
        <v>0</v>
      </c>
      <c r="O308" s="144">
        <f t="shared" si="115"/>
        <v>0</v>
      </c>
      <c r="P308" s="169">
        <f t="shared" si="106"/>
        <v>0</v>
      </c>
      <c r="R308" s="143">
        <f t="shared" si="125"/>
        <v>0</v>
      </c>
      <c r="S308" s="144">
        <f t="shared" si="116"/>
        <v>0</v>
      </c>
      <c r="T308" s="144">
        <f t="shared" si="117"/>
        <v>0</v>
      </c>
      <c r="U308" s="169">
        <f t="shared" si="118"/>
        <v>0</v>
      </c>
      <c r="V308" s="143">
        <f t="shared" si="126"/>
        <v>0</v>
      </c>
      <c r="W308" s="144">
        <f t="shared" si="119"/>
        <v>0</v>
      </c>
      <c r="X308" s="144">
        <f t="shared" si="120"/>
        <v>0</v>
      </c>
      <c r="Y308" s="169">
        <f t="shared" si="121"/>
        <v>0</v>
      </c>
      <c r="Z308" s="151">
        <v>0</v>
      </c>
      <c r="AA308" s="151">
        <v>0</v>
      </c>
      <c r="AB308" s="151">
        <v>0</v>
      </c>
      <c r="AC308" s="151">
        <v>0</v>
      </c>
    </row>
    <row r="309" spans="1:29" s="61" customFormat="1" ht="11.25">
      <c r="A309" s="147">
        <f t="shared" si="107"/>
        <v>0</v>
      </c>
      <c r="B309" s="152">
        <f t="shared" si="108"/>
        <v>0</v>
      </c>
      <c r="C309" s="141">
        <f t="shared" si="109"/>
        <v>25</v>
      </c>
      <c r="D309" s="142">
        <v>290</v>
      </c>
      <c r="E309" s="143">
        <f t="shared" si="122"/>
        <v>0</v>
      </c>
      <c r="F309" s="144">
        <f t="shared" si="110"/>
        <v>0</v>
      </c>
      <c r="G309" s="144">
        <f t="shared" si="111"/>
        <v>0</v>
      </c>
      <c r="H309" s="169">
        <f t="shared" si="105"/>
        <v>0</v>
      </c>
      <c r="I309" s="143">
        <f t="shared" si="123"/>
        <v>0</v>
      </c>
      <c r="J309" s="144">
        <f t="shared" si="112"/>
        <v>0</v>
      </c>
      <c r="K309" s="144">
        <f t="shared" si="113"/>
        <v>0</v>
      </c>
      <c r="L309" s="169">
        <f t="shared" si="104"/>
        <v>0</v>
      </c>
      <c r="M309" s="143">
        <f t="shared" si="124"/>
        <v>0</v>
      </c>
      <c r="N309" s="144">
        <f t="shared" si="114"/>
        <v>0</v>
      </c>
      <c r="O309" s="144">
        <f t="shared" si="115"/>
        <v>0</v>
      </c>
      <c r="P309" s="169">
        <f t="shared" si="106"/>
        <v>0</v>
      </c>
      <c r="R309" s="143">
        <f t="shared" si="125"/>
        <v>0</v>
      </c>
      <c r="S309" s="144">
        <f t="shared" si="116"/>
        <v>0</v>
      </c>
      <c r="T309" s="144">
        <f t="shared" si="117"/>
        <v>0</v>
      </c>
      <c r="U309" s="169">
        <f t="shared" si="118"/>
        <v>0</v>
      </c>
      <c r="V309" s="143">
        <f t="shared" si="126"/>
        <v>0</v>
      </c>
      <c r="W309" s="144">
        <f t="shared" si="119"/>
        <v>0</v>
      </c>
      <c r="X309" s="144">
        <f t="shared" si="120"/>
        <v>0</v>
      </c>
      <c r="Y309" s="169">
        <f t="shared" si="121"/>
        <v>0</v>
      </c>
      <c r="Z309" s="151">
        <v>0</v>
      </c>
      <c r="AA309" s="151">
        <v>0</v>
      </c>
      <c r="AB309" s="151">
        <v>0</v>
      </c>
      <c r="AC309" s="151">
        <v>0</v>
      </c>
    </row>
    <row r="310" spans="1:29" s="61" customFormat="1" ht="11.25">
      <c r="A310" s="147">
        <f t="shared" si="107"/>
        <v>0</v>
      </c>
      <c r="B310" s="152">
        <f t="shared" si="108"/>
        <v>0</v>
      </c>
      <c r="C310" s="141">
        <f t="shared" si="109"/>
        <v>25</v>
      </c>
      <c r="D310" s="142">
        <v>291</v>
      </c>
      <c r="E310" s="143">
        <f t="shared" si="122"/>
        <v>0</v>
      </c>
      <c r="F310" s="144">
        <f t="shared" si="110"/>
        <v>0</v>
      </c>
      <c r="G310" s="144">
        <f t="shared" si="111"/>
        <v>0</v>
      </c>
      <c r="H310" s="169">
        <f t="shared" si="105"/>
        <v>0</v>
      </c>
      <c r="I310" s="143">
        <f t="shared" si="123"/>
        <v>0</v>
      </c>
      <c r="J310" s="144">
        <f t="shared" si="112"/>
        <v>0</v>
      </c>
      <c r="K310" s="144">
        <f t="shared" si="113"/>
        <v>0</v>
      </c>
      <c r="L310" s="169">
        <f t="shared" si="104"/>
        <v>0</v>
      </c>
      <c r="M310" s="143">
        <f t="shared" si="124"/>
        <v>0</v>
      </c>
      <c r="N310" s="144">
        <f t="shared" si="114"/>
        <v>0</v>
      </c>
      <c r="O310" s="144">
        <f t="shared" si="115"/>
        <v>0</v>
      </c>
      <c r="P310" s="169">
        <f t="shared" si="106"/>
        <v>0</v>
      </c>
      <c r="R310" s="143">
        <f t="shared" si="125"/>
        <v>0</v>
      </c>
      <c r="S310" s="144">
        <f t="shared" si="116"/>
        <v>0</v>
      </c>
      <c r="T310" s="144">
        <f t="shared" si="117"/>
        <v>0</v>
      </c>
      <c r="U310" s="169">
        <f t="shared" si="118"/>
        <v>0</v>
      </c>
      <c r="V310" s="143">
        <f t="shared" si="126"/>
        <v>0</v>
      </c>
      <c r="W310" s="144">
        <f t="shared" si="119"/>
        <v>0</v>
      </c>
      <c r="X310" s="144">
        <f t="shared" si="120"/>
        <v>0</v>
      </c>
      <c r="Y310" s="169">
        <f t="shared" si="121"/>
        <v>0</v>
      </c>
      <c r="Z310" s="151">
        <v>0</v>
      </c>
      <c r="AA310" s="151">
        <v>0</v>
      </c>
      <c r="AB310" s="151">
        <v>0</v>
      </c>
      <c r="AC310" s="151">
        <v>0</v>
      </c>
    </row>
    <row r="311" spans="1:29" s="61" customFormat="1" ht="11.25">
      <c r="A311" s="147">
        <f t="shared" si="107"/>
        <v>0</v>
      </c>
      <c r="B311" s="152">
        <f t="shared" si="108"/>
        <v>0</v>
      </c>
      <c r="C311" s="141">
        <f t="shared" si="109"/>
        <v>25</v>
      </c>
      <c r="D311" s="142">
        <v>292</v>
      </c>
      <c r="E311" s="143">
        <f t="shared" si="122"/>
        <v>0</v>
      </c>
      <c r="F311" s="144">
        <f t="shared" si="110"/>
        <v>0</v>
      </c>
      <c r="G311" s="144">
        <f t="shared" si="111"/>
        <v>0</v>
      </c>
      <c r="H311" s="169">
        <f t="shared" si="105"/>
        <v>0</v>
      </c>
      <c r="I311" s="143">
        <f t="shared" si="123"/>
        <v>0</v>
      </c>
      <c r="J311" s="144">
        <f t="shared" si="112"/>
        <v>0</v>
      </c>
      <c r="K311" s="144">
        <f t="shared" si="113"/>
        <v>0</v>
      </c>
      <c r="L311" s="169">
        <f t="shared" si="104"/>
        <v>0</v>
      </c>
      <c r="M311" s="143">
        <f t="shared" si="124"/>
        <v>0</v>
      </c>
      <c r="N311" s="144">
        <f t="shared" si="114"/>
        <v>0</v>
      </c>
      <c r="O311" s="144">
        <f t="shared" si="115"/>
        <v>0</v>
      </c>
      <c r="P311" s="169">
        <f t="shared" si="106"/>
        <v>0</v>
      </c>
      <c r="R311" s="143">
        <f t="shared" si="125"/>
        <v>0</v>
      </c>
      <c r="S311" s="144">
        <f t="shared" si="116"/>
        <v>0</v>
      </c>
      <c r="T311" s="144">
        <f t="shared" si="117"/>
        <v>0</v>
      </c>
      <c r="U311" s="169">
        <f t="shared" si="118"/>
        <v>0</v>
      </c>
      <c r="V311" s="143">
        <f t="shared" si="126"/>
        <v>0</v>
      </c>
      <c r="W311" s="144">
        <f t="shared" si="119"/>
        <v>0</v>
      </c>
      <c r="X311" s="144">
        <f t="shared" si="120"/>
        <v>0</v>
      </c>
      <c r="Y311" s="169">
        <f t="shared" si="121"/>
        <v>0</v>
      </c>
      <c r="Z311" s="151">
        <v>0</v>
      </c>
      <c r="AA311" s="151">
        <v>0</v>
      </c>
      <c r="AB311" s="151">
        <v>0</v>
      </c>
      <c r="AC311" s="151">
        <v>0</v>
      </c>
    </row>
    <row r="312" spans="1:29" s="61" customFormat="1" ht="11.25">
      <c r="A312" s="147">
        <f t="shared" si="107"/>
        <v>0</v>
      </c>
      <c r="B312" s="152">
        <f t="shared" si="108"/>
        <v>0</v>
      </c>
      <c r="C312" s="141">
        <f t="shared" si="109"/>
        <v>25</v>
      </c>
      <c r="D312" s="142">
        <v>293</v>
      </c>
      <c r="E312" s="143">
        <f t="shared" si="122"/>
        <v>0</v>
      </c>
      <c r="F312" s="144">
        <f t="shared" si="110"/>
        <v>0</v>
      </c>
      <c r="G312" s="144">
        <f t="shared" si="111"/>
        <v>0</v>
      </c>
      <c r="H312" s="169">
        <f t="shared" si="105"/>
        <v>0</v>
      </c>
      <c r="I312" s="143">
        <f t="shared" si="123"/>
        <v>0</v>
      </c>
      <c r="J312" s="144">
        <f t="shared" si="112"/>
        <v>0</v>
      </c>
      <c r="K312" s="144">
        <f t="shared" si="113"/>
        <v>0</v>
      </c>
      <c r="L312" s="169">
        <f t="shared" si="104"/>
        <v>0</v>
      </c>
      <c r="M312" s="143">
        <f t="shared" si="124"/>
        <v>0</v>
      </c>
      <c r="N312" s="144">
        <f t="shared" si="114"/>
        <v>0</v>
      </c>
      <c r="O312" s="144">
        <f t="shared" si="115"/>
        <v>0</v>
      </c>
      <c r="P312" s="169">
        <f t="shared" si="106"/>
        <v>0</v>
      </c>
      <c r="R312" s="143">
        <f t="shared" si="125"/>
        <v>0</v>
      </c>
      <c r="S312" s="144">
        <f t="shared" si="116"/>
        <v>0</v>
      </c>
      <c r="T312" s="144">
        <f t="shared" si="117"/>
        <v>0</v>
      </c>
      <c r="U312" s="169">
        <f t="shared" si="118"/>
        <v>0</v>
      </c>
      <c r="V312" s="143">
        <f t="shared" si="126"/>
        <v>0</v>
      </c>
      <c r="W312" s="144">
        <f t="shared" si="119"/>
        <v>0</v>
      </c>
      <c r="X312" s="144">
        <f t="shared" si="120"/>
        <v>0</v>
      </c>
      <c r="Y312" s="169">
        <f t="shared" si="121"/>
        <v>0</v>
      </c>
      <c r="Z312" s="151">
        <v>0</v>
      </c>
      <c r="AA312" s="151">
        <v>0</v>
      </c>
      <c r="AB312" s="151">
        <v>0</v>
      </c>
      <c r="AC312" s="151">
        <v>0</v>
      </c>
    </row>
    <row r="313" spans="1:29" s="61" customFormat="1" ht="11.25">
      <c r="A313" s="147">
        <f t="shared" si="107"/>
        <v>0</v>
      </c>
      <c r="B313" s="152">
        <f t="shared" si="108"/>
        <v>0</v>
      </c>
      <c r="C313" s="141">
        <f t="shared" si="109"/>
        <v>25</v>
      </c>
      <c r="D313" s="142">
        <v>294</v>
      </c>
      <c r="E313" s="143">
        <f t="shared" si="122"/>
        <v>0</v>
      </c>
      <c r="F313" s="144">
        <f t="shared" si="110"/>
        <v>0</v>
      </c>
      <c r="G313" s="144">
        <f t="shared" si="111"/>
        <v>0</v>
      </c>
      <c r="H313" s="169">
        <f t="shared" si="105"/>
        <v>0</v>
      </c>
      <c r="I313" s="143">
        <f t="shared" si="123"/>
        <v>0</v>
      </c>
      <c r="J313" s="144">
        <f t="shared" si="112"/>
        <v>0</v>
      </c>
      <c r="K313" s="144">
        <f t="shared" si="113"/>
        <v>0</v>
      </c>
      <c r="L313" s="169">
        <f t="shared" ref="L313:L376" si="127">IF(I313&lt;=0,0,L$13)</f>
        <v>0</v>
      </c>
      <c r="M313" s="143">
        <f t="shared" si="124"/>
        <v>0</v>
      </c>
      <c r="N313" s="144">
        <f t="shared" si="114"/>
        <v>0</v>
      </c>
      <c r="O313" s="144">
        <f t="shared" si="115"/>
        <v>0</v>
      </c>
      <c r="P313" s="169">
        <f t="shared" si="106"/>
        <v>0</v>
      </c>
      <c r="R313" s="143">
        <f t="shared" si="125"/>
        <v>0</v>
      </c>
      <c r="S313" s="144">
        <f t="shared" si="116"/>
        <v>0</v>
      </c>
      <c r="T313" s="144">
        <f t="shared" si="117"/>
        <v>0</v>
      </c>
      <c r="U313" s="169">
        <f t="shared" si="118"/>
        <v>0</v>
      </c>
      <c r="V313" s="143">
        <f t="shared" si="126"/>
        <v>0</v>
      </c>
      <c r="W313" s="144">
        <f t="shared" si="119"/>
        <v>0</v>
      </c>
      <c r="X313" s="144">
        <f t="shared" si="120"/>
        <v>0</v>
      </c>
      <c r="Y313" s="169">
        <f t="shared" si="121"/>
        <v>0</v>
      </c>
      <c r="Z313" s="151">
        <v>0</v>
      </c>
      <c r="AA313" s="151">
        <v>0</v>
      </c>
      <c r="AB313" s="151">
        <v>0</v>
      </c>
      <c r="AC313" s="151">
        <v>0</v>
      </c>
    </row>
    <row r="314" spans="1:29" s="61" customFormat="1" ht="11.25">
      <c r="A314" s="147">
        <f t="shared" si="107"/>
        <v>0</v>
      </c>
      <c r="B314" s="152">
        <f t="shared" si="108"/>
        <v>0</v>
      </c>
      <c r="C314" s="141">
        <f t="shared" si="109"/>
        <v>25</v>
      </c>
      <c r="D314" s="142">
        <v>295</v>
      </c>
      <c r="E314" s="143">
        <f t="shared" si="122"/>
        <v>0</v>
      </c>
      <c r="F314" s="144">
        <f t="shared" si="110"/>
        <v>0</v>
      </c>
      <c r="G314" s="144">
        <f t="shared" si="111"/>
        <v>0</v>
      </c>
      <c r="H314" s="169">
        <f t="shared" si="105"/>
        <v>0</v>
      </c>
      <c r="I314" s="143">
        <f t="shared" si="123"/>
        <v>0</v>
      </c>
      <c r="J314" s="144">
        <f t="shared" si="112"/>
        <v>0</v>
      </c>
      <c r="K314" s="144">
        <f t="shared" si="113"/>
        <v>0</v>
      </c>
      <c r="L314" s="169">
        <f t="shared" si="127"/>
        <v>0</v>
      </c>
      <c r="M314" s="143">
        <f t="shared" si="124"/>
        <v>0</v>
      </c>
      <c r="N314" s="144">
        <f t="shared" si="114"/>
        <v>0</v>
      </c>
      <c r="O314" s="144">
        <f t="shared" si="115"/>
        <v>0</v>
      </c>
      <c r="P314" s="169">
        <f t="shared" si="106"/>
        <v>0</v>
      </c>
      <c r="R314" s="143">
        <f t="shared" si="125"/>
        <v>0</v>
      </c>
      <c r="S314" s="144">
        <f t="shared" si="116"/>
        <v>0</v>
      </c>
      <c r="T314" s="144">
        <f t="shared" si="117"/>
        <v>0</v>
      </c>
      <c r="U314" s="169">
        <f t="shared" si="118"/>
        <v>0</v>
      </c>
      <c r="V314" s="143">
        <f t="shared" si="126"/>
        <v>0</v>
      </c>
      <c r="W314" s="144">
        <f t="shared" si="119"/>
        <v>0</v>
      </c>
      <c r="X314" s="144">
        <f t="shared" si="120"/>
        <v>0</v>
      </c>
      <c r="Y314" s="169">
        <f t="shared" si="121"/>
        <v>0</v>
      </c>
      <c r="Z314" s="151">
        <v>0</v>
      </c>
      <c r="AA314" s="151">
        <v>0</v>
      </c>
      <c r="AB314" s="151">
        <v>0</v>
      </c>
      <c r="AC314" s="151">
        <v>0</v>
      </c>
    </row>
    <row r="315" spans="1:29" s="61" customFormat="1" ht="11.25">
      <c r="A315" s="147">
        <f t="shared" si="107"/>
        <v>0</v>
      </c>
      <c r="B315" s="152">
        <f t="shared" si="108"/>
        <v>0</v>
      </c>
      <c r="C315" s="141">
        <f t="shared" si="109"/>
        <v>25</v>
      </c>
      <c r="D315" s="142">
        <v>296</v>
      </c>
      <c r="E315" s="143">
        <f t="shared" si="122"/>
        <v>0</v>
      </c>
      <c r="F315" s="144">
        <f t="shared" si="110"/>
        <v>0</v>
      </c>
      <c r="G315" s="144">
        <f t="shared" si="111"/>
        <v>0</v>
      </c>
      <c r="H315" s="169">
        <f t="shared" si="105"/>
        <v>0</v>
      </c>
      <c r="I315" s="143">
        <f t="shared" si="123"/>
        <v>0</v>
      </c>
      <c r="J315" s="144">
        <f t="shared" si="112"/>
        <v>0</v>
      </c>
      <c r="K315" s="144">
        <f t="shared" si="113"/>
        <v>0</v>
      </c>
      <c r="L315" s="169">
        <f t="shared" si="127"/>
        <v>0</v>
      </c>
      <c r="M315" s="143">
        <f t="shared" si="124"/>
        <v>0</v>
      </c>
      <c r="N315" s="144">
        <f t="shared" si="114"/>
        <v>0</v>
      </c>
      <c r="O315" s="144">
        <f t="shared" si="115"/>
        <v>0</v>
      </c>
      <c r="P315" s="169">
        <f t="shared" si="106"/>
        <v>0</v>
      </c>
      <c r="R315" s="143">
        <f t="shared" si="125"/>
        <v>0</v>
      </c>
      <c r="S315" s="144">
        <f t="shared" si="116"/>
        <v>0</v>
      </c>
      <c r="T315" s="144">
        <f t="shared" si="117"/>
        <v>0</v>
      </c>
      <c r="U315" s="169">
        <f t="shared" si="118"/>
        <v>0</v>
      </c>
      <c r="V315" s="143">
        <f t="shared" si="126"/>
        <v>0</v>
      </c>
      <c r="W315" s="144">
        <f t="shared" si="119"/>
        <v>0</v>
      </c>
      <c r="X315" s="144">
        <f t="shared" si="120"/>
        <v>0</v>
      </c>
      <c r="Y315" s="169">
        <f t="shared" si="121"/>
        <v>0</v>
      </c>
      <c r="Z315" s="151">
        <v>0</v>
      </c>
      <c r="AA315" s="151">
        <v>0</v>
      </c>
      <c r="AB315" s="151">
        <v>0</v>
      </c>
      <c r="AC315" s="151">
        <v>0</v>
      </c>
    </row>
    <row r="316" spans="1:29" s="61" customFormat="1" ht="11.25">
      <c r="A316" s="147">
        <f t="shared" si="107"/>
        <v>0</v>
      </c>
      <c r="B316" s="152">
        <f t="shared" si="108"/>
        <v>0</v>
      </c>
      <c r="C316" s="141">
        <f t="shared" si="109"/>
        <v>25</v>
      </c>
      <c r="D316" s="142">
        <v>297</v>
      </c>
      <c r="E316" s="143">
        <f t="shared" si="122"/>
        <v>0</v>
      </c>
      <c r="F316" s="144">
        <f t="shared" si="110"/>
        <v>0</v>
      </c>
      <c r="G316" s="144">
        <f t="shared" si="111"/>
        <v>0</v>
      </c>
      <c r="H316" s="169">
        <f t="shared" si="105"/>
        <v>0</v>
      </c>
      <c r="I316" s="143">
        <f t="shared" si="123"/>
        <v>0</v>
      </c>
      <c r="J316" s="144">
        <f t="shared" si="112"/>
        <v>0</v>
      </c>
      <c r="K316" s="144">
        <f t="shared" si="113"/>
        <v>0</v>
      </c>
      <c r="L316" s="169">
        <f t="shared" si="127"/>
        <v>0</v>
      </c>
      <c r="M316" s="143">
        <f t="shared" si="124"/>
        <v>0</v>
      </c>
      <c r="N316" s="144">
        <f t="shared" si="114"/>
        <v>0</v>
      </c>
      <c r="O316" s="144">
        <f t="shared" si="115"/>
        <v>0</v>
      </c>
      <c r="P316" s="169">
        <f t="shared" si="106"/>
        <v>0</v>
      </c>
      <c r="R316" s="143">
        <f t="shared" si="125"/>
        <v>0</v>
      </c>
      <c r="S316" s="144">
        <f t="shared" si="116"/>
        <v>0</v>
      </c>
      <c r="T316" s="144">
        <f t="shared" si="117"/>
        <v>0</v>
      </c>
      <c r="U316" s="169">
        <f t="shared" si="118"/>
        <v>0</v>
      </c>
      <c r="V316" s="143">
        <f t="shared" si="126"/>
        <v>0</v>
      </c>
      <c r="W316" s="144">
        <f t="shared" si="119"/>
        <v>0</v>
      </c>
      <c r="X316" s="144">
        <f t="shared" si="120"/>
        <v>0</v>
      </c>
      <c r="Y316" s="169">
        <f t="shared" si="121"/>
        <v>0</v>
      </c>
      <c r="Z316" s="151">
        <v>0</v>
      </c>
      <c r="AA316" s="151">
        <v>0</v>
      </c>
      <c r="AB316" s="151">
        <v>0</v>
      </c>
      <c r="AC316" s="151">
        <v>0</v>
      </c>
    </row>
    <row r="317" spans="1:29" s="61" customFormat="1" ht="11.25">
      <c r="A317" s="147">
        <f t="shared" si="107"/>
        <v>0</v>
      </c>
      <c r="B317" s="152">
        <f t="shared" si="108"/>
        <v>0</v>
      </c>
      <c r="C317" s="141">
        <f t="shared" si="109"/>
        <v>25</v>
      </c>
      <c r="D317" s="142">
        <v>298</v>
      </c>
      <c r="E317" s="143">
        <f t="shared" si="122"/>
        <v>0</v>
      </c>
      <c r="F317" s="144">
        <f t="shared" si="110"/>
        <v>0</v>
      </c>
      <c r="G317" s="144">
        <f t="shared" si="111"/>
        <v>0</v>
      </c>
      <c r="H317" s="169">
        <f t="shared" si="105"/>
        <v>0</v>
      </c>
      <c r="I317" s="143">
        <f t="shared" si="123"/>
        <v>0</v>
      </c>
      <c r="J317" s="144">
        <f t="shared" si="112"/>
        <v>0</v>
      </c>
      <c r="K317" s="144">
        <f t="shared" si="113"/>
        <v>0</v>
      </c>
      <c r="L317" s="169">
        <f t="shared" si="127"/>
        <v>0</v>
      </c>
      <c r="M317" s="143">
        <f t="shared" si="124"/>
        <v>0</v>
      </c>
      <c r="N317" s="144">
        <f t="shared" si="114"/>
        <v>0</v>
      </c>
      <c r="O317" s="144">
        <f t="shared" si="115"/>
        <v>0</v>
      </c>
      <c r="P317" s="169">
        <f t="shared" si="106"/>
        <v>0</v>
      </c>
      <c r="R317" s="143">
        <f t="shared" si="125"/>
        <v>0</v>
      </c>
      <c r="S317" s="144">
        <f t="shared" si="116"/>
        <v>0</v>
      </c>
      <c r="T317" s="144">
        <f t="shared" si="117"/>
        <v>0</v>
      </c>
      <c r="U317" s="169">
        <f t="shared" si="118"/>
        <v>0</v>
      </c>
      <c r="V317" s="143">
        <f t="shared" si="126"/>
        <v>0</v>
      </c>
      <c r="W317" s="144">
        <f t="shared" si="119"/>
        <v>0</v>
      </c>
      <c r="X317" s="144">
        <f t="shared" si="120"/>
        <v>0</v>
      </c>
      <c r="Y317" s="169">
        <f t="shared" si="121"/>
        <v>0</v>
      </c>
      <c r="Z317" s="151">
        <v>0</v>
      </c>
      <c r="AA317" s="151">
        <v>0</v>
      </c>
      <c r="AB317" s="151">
        <v>0</v>
      </c>
      <c r="AC317" s="151">
        <v>0</v>
      </c>
    </row>
    <row r="318" spans="1:29" s="61" customFormat="1" ht="11.25">
      <c r="A318" s="147">
        <f t="shared" si="107"/>
        <v>0</v>
      </c>
      <c r="B318" s="152">
        <f t="shared" si="108"/>
        <v>0</v>
      </c>
      <c r="C318" s="141">
        <f t="shared" si="109"/>
        <v>25</v>
      </c>
      <c r="D318" s="142">
        <v>299</v>
      </c>
      <c r="E318" s="143">
        <f t="shared" si="122"/>
        <v>0</v>
      </c>
      <c r="F318" s="144">
        <f t="shared" si="110"/>
        <v>0</v>
      </c>
      <c r="G318" s="144">
        <f t="shared" si="111"/>
        <v>0</v>
      </c>
      <c r="H318" s="169">
        <f t="shared" si="105"/>
        <v>0</v>
      </c>
      <c r="I318" s="143">
        <f t="shared" si="123"/>
        <v>0</v>
      </c>
      <c r="J318" s="144">
        <f t="shared" si="112"/>
        <v>0</v>
      </c>
      <c r="K318" s="144">
        <f t="shared" si="113"/>
        <v>0</v>
      </c>
      <c r="L318" s="169">
        <f t="shared" si="127"/>
        <v>0</v>
      </c>
      <c r="M318" s="143">
        <f t="shared" si="124"/>
        <v>0</v>
      </c>
      <c r="N318" s="144">
        <f t="shared" si="114"/>
        <v>0</v>
      </c>
      <c r="O318" s="144">
        <f t="shared" si="115"/>
        <v>0</v>
      </c>
      <c r="P318" s="169">
        <f t="shared" si="106"/>
        <v>0</v>
      </c>
      <c r="R318" s="143">
        <f t="shared" si="125"/>
        <v>0</v>
      </c>
      <c r="S318" s="144">
        <f t="shared" si="116"/>
        <v>0</v>
      </c>
      <c r="T318" s="144">
        <f t="shared" si="117"/>
        <v>0</v>
      </c>
      <c r="U318" s="169">
        <f t="shared" si="118"/>
        <v>0</v>
      </c>
      <c r="V318" s="143">
        <f t="shared" si="126"/>
        <v>0</v>
      </c>
      <c r="W318" s="144">
        <f t="shared" si="119"/>
        <v>0</v>
      </c>
      <c r="X318" s="144">
        <f t="shared" si="120"/>
        <v>0</v>
      </c>
      <c r="Y318" s="169">
        <f t="shared" si="121"/>
        <v>0</v>
      </c>
      <c r="Z318" s="151">
        <v>0</v>
      </c>
      <c r="AA318" s="151">
        <v>0</v>
      </c>
      <c r="AB318" s="151">
        <v>0</v>
      </c>
      <c r="AC318" s="151">
        <v>0</v>
      </c>
    </row>
    <row r="319" spans="1:29" s="61" customFormat="1" ht="12" thickBot="1">
      <c r="A319" s="153">
        <f t="shared" si="107"/>
        <v>0</v>
      </c>
      <c r="B319" s="154">
        <f t="shared" si="108"/>
        <v>0</v>
      </c>
      <c r="C319" s="155">
        <f t="shared" si="109"/>
        <v>25</v>
      </c>
      <c r="D319" s="156">
        <v>300</v>
      </c>
      <c r="E319" s="157">
        <f t="shared" si="122"/>
        <v>0</v>
      </c>
      <c r="F319" s="158">
        <f t="shared" si="110"/>
        <v>0</v>
      </c>
      <c r="G319" s="158">
        <f t="shared" si="111"/>
        <v>0</v>
      </c>
      <c r="H319" s="172">
        <f t="shared" si="105"/>
        <v>0</v>
      </c>
      <c r="I319" s="157">
        <f t="shared" si="123"/>
        <v>0</v>
      </c>
      <c r="J319" s="158">
        <f t="shared" si="112"/>
        <v>0</v>
      </c>
      <c r="K319" s="158">
        <f t="shared" si="113"/>
        <v>0</v>
      </c>
      <c r="L319" s="172">
        <f t="shared" si="127"/>
        <v>0</v>
      </c>
      <c r="M319" s="157">
        <f t="shared" si="124"/>
        <v>0</v>
      </c>
      <c r="N319" s="158">
        <f t="shared" si="114"/>
        <v>0</v>
      </c>
      <c r="O319" s="158">
        <f t="shared" si="115"/>
        <v>0</v>
      </c>
      <c r="P319" s="172">
        <f t="shared" si="106"/>
        <v>0</v>
      </c>
      <c r="R319" s="157">
        <f t="shared" si="125"/>
        <v>0</v>
      </c>
      <c r="S319" s="158">
        <f t="shared" si="116"/>
        <v>0</v>
      </c>
      <c r="T319" s="158">
        <f t="shared" si="117"/>
        <v>0</v>
      </c>
      <c r="U319" s="172">
        <f t="shared" si="118"/>
        <v>0</v>
      </c>
      <c r="V319" s="157">
        <f t="shared" si="126"/>
        <v>0</v>
      </c>
      <c r="W319" s="158">
        <f t="shared" si="119"/>
        <v>0</v>
      </c>
      <c r="X319" s="158">
        <f t="shared" si="120"/>
        <v>0</v>
      </c>
      <c r="Y319" s="172">
        <f t="shared" si="121"/>
        <v>0</v>
      </c>
      <c r="Z319" s="151">
        <v>0</v>
      </c>
      <c r="AA319" s="151">
        <v>0</v>
      </c>
      <c r="AB319" s="151">
        <v>0</v>
      </c>
      <c r="AC319" s="151">
        <v>0</v>
      </c>
    </row>
    <row r="320" spans="1:29" s="61" customFormat="1" ht="11.25">
      <c r="A320" s="147">
        <f t="shared" si="107"/>
        <v>0</v>
      </c>
      <c r="B320" s="152">
        <f t="shared" si="108"/>
        <v>0</v>
      </c>
      <c r="C320" s="141">
        <f t="shared" si="109"/>
        <v>26</v>
      </c>
      <c r="D320" s="142">
        <v>301</v>
      </c>
      <c r="E320" s="143">
        <f t="shared" si="122"/>
        <v>0</v>
      </c>
      <c r="F320" s="144">
        <f t="shared" si="110"/>
        <v>0</v>
      </c>
      <c r="G320" s="144">
        <f t="shared" si="111"/>
        <v>0</v>
      </c>
      <c r="H320" s="169">
        <f t="shared" si="105"/>
        <v>0</v>
      </c>
      <c r="I320" s="143">
        <f t="shared" si="123"/>
        <v>0</v>
      </c>
      <c r="J320" s="144">
        <f t="shared" si="112"/>
        <v>0</v>
      </c>
      <c r="K320" s="144">
        <f t="shared" si="113"/>
        <v>0</v>
      </c>
      <c r="L320" s="169">
        <f t="shared" si="127"/>
        <v>0</v>
      </c>
      <c r="M320" s="143">
        <f t="shared" si="124"/>
        <v>0</v>
      </c>
      <c r="N320" s="144">
        <f t="shared" si="114"/>
        <v>0</v>
      </c>
      <c r="O320" s="144">
        <f t="shared" si="115"/>
        <v>0</v>
      </c>
      <c r="P320" s="169">
        <f t="shared" si="106"/>
        <v>0</v>
      </c>
      <c r="R320" s="143">
        <f t="shared" si="125"/>
        <v>0</v>
      </c>
      <c r="S320" s="144">
        <f t="shared" si="116"/>
        <v>0</v>
      </c>
      <c r="T320" s="144">
        <f t="shared" si="117"/>
        <v>0</v>
      </c>
      <c r="U320" s="169">
        <f t="shared" si="118"/>
        <v>0</v>
      </c>
      <c r="V320" s="143">
        <f t="shared" si="126"/>
        <v>0</v>
      </c>
      <c r="W320" s="144">
        <f t="shared" si="119"/>
        <v>0</v>
      </c>
      <c r="X320" s="144">
        <f t="shared" si="120"/>
        <v>0</v>
      </c>
      <c r="Y320" s="169">
        <f t="shared" si="121"/>
        <v>0</v>
      </c>
      <c r="Z320" s="151">
        <v>0</v>
      </c>
      <c r="AA320" s="151">
        <v>0</v>
      </c>
      <c r="AB320" s="151">
        <v>0</v>
      </c>
      <c r="AC320" s="151">
        <v>0</v>
      </c>
    </row>
    <row r="321" spans="1:29" s="61" customFormat="1" ht="11.25">
      <c r="A321" s="147">
        <f t="shared" si="107"/>
        <v>0</v>
      </c>
      <c r="B321" s="152">
        <f t="shared" si="108"/>
        <v>0</v>
      </c>
      <c r="C321" s="141">
        <f t="shared" si="109"/>
        <v>26</v>
      </c>
      <c r="D321" s="142">
        <v>302</v>
      </c>
      <c r="E321" s="143">
        <f t="shared" si="122"/>
        <v>0</v>
      </c>
      <c r="F321" s="144">
        <f t="shared" si="110"/>
        <v>0</v>
      </c>
      <c r="G321" s="144">
        <f t="shared" si="111"/>
        <v>0</v>
      </c>
      <c r="H321" s="169">
        <f t="shared" si="105"/>
        <v>0</v>
      </c>
      <c r="I321" s="143">
        <f t="shared" si="123"/>
        <v>0</v>
      </c>
      <c r="J321" s="144">
        <f t="shared" si="112"/>
        <v>0</v>
      </c>
      <c r="K321" s="144">
        <f t="shared" si="113"/>
        <v>0</v>
      </c>
      <c r="L321" s="169">
        <f t="shared" si="127"/>
        <v>0</v>
      </c>
      <c r="M321" s="143">
        <f t="shared" si="124"/>
        <v>0</v>
      </c>
      <c r="N321" s="144">
        <f t="shared" si="114"/>
        <v>0</v>
      </c>
      <c r="O321" s="144">
        <f t="shared" si="115"/>
        <v>0</v>
      </c>
      <c r="P321" s="169">
        <f t="shared" si="106"/>
        <v>0</v>
      </c>
      <c r="R321" s="143">
        <f t="shared" si="125"/>
        <v>0</v>
      </c>
      <c r="S321" s="144">
        <f t="shared" si="116"/>
        <v>0</v>
      </c>
      <c r="T321" s="144">
        <f t="shared" si="117"/>
        <v>0</v>
      </c>
      <c r="U321" s="169">
        <f t="shared" si="118"/>
        <v>0</v>
      </c>
      <c r="V321" s="143">
        <f t="shared" si="126"/>
        <v>0</v>
      </c>
      <c r="W321" s="144">
        <f t="shared" si="119"/>
        <v>0</v>
      </c>
      <c r="X321" s="144">
        <f t="shared" si="120"/>
        <v>0</v>
      </c>
      <c r="Y321" s="169">
        <f t="shared" si="121"/>
        <v>0</v>
      </c>
      <c r="Z321" s="151">
        <v>0</v>
      </c>
      <c r="AA321" s="151">
        <v>0</v>
      </c>
      <c r="AB321" s="151">
        <v>0</v>
      </c>
      <c r="AC321" s="151">
        <v>0</v>
      </c>
    </row>
    <row r="322" spans="1:29" s="61" customFormat="1" ht="11.25">
      <c r="A322" s="147">
        <f t="shared" si="107"/>
        <v>0</v>
      </c>
      <c r="B322" s="152">
        <f t="shared" si="108"/>
        <v>0</v>
      </c>
      <c r="C322" s="141">
        <f t="shared" si="109"/>
        <v>26</v>
      </c>
      <c r="D322" s="142">
        <v>303</v>
      </c>
      <c r="E322" s="143">
        <f t="shared" si="122"/>
        <v>0</v>
      </c>
      <c r="F322" s="144">
        <f t="shared" si="110"/>
        <v>0</v>
      </c>
      <c r="G322" s="144">
        <f t="shared" si="111"/>
        <v>0</v>
      </c>
      <c r="H322" s="169">
        <f t="shared" si="105"/>
        <v>0</v>
      </c>
      <c r="I322" s="143">
        <f t="shared" si="123"/>
        <v>0</v>
      </c>
      <c r="J322" s="144">
        <f t="shared" si="112"/>
        <v>0</v>
      </c>
      <c r="K322" s="144">
        <f t="shared" si="113"/>
        <v>0</v>
      </c>
      <c r="L322" s="169">
        <f t="shared" si="127"/>
        <v>0</v>
      </c>
      <c r="M322" s="143">
        <f t="shared" si="124"/>
        <v>0</v>
      </c>
      <c r="N322" s="144">
        <f t="shared" si="114"/>
        <v>0</v>
      </c>
      <c r="O322" s="144">
        <f t="shared" si="115"/>
        <v>0</v>
      </c>
      <c r="P322" s="169">
        <f t="shared" si="106"/>
        <v>0</v>
      </c>
      <c r="R322" s="143">
        <f t="shared" si="125"/>
        <v>0</v>
      </c>
      <c r="S322" s="144">
        <f t="shared" si="116"/>
        <v>0</v>
      </c>
      <c r="T322" s="144">
        <f t="shared" si="117"/>
        <v>0</v>
      </c>
      <c r="U322" s="169">
        <f t="shared" si="118"/>
        <v>0</v>
      </c>
      <c r="V322" s="143">
        <f t="shared" si="126"/>
        <v>0</v>
      </c>
      <c r="W322" s="144">
        <f t="shared" si="119"/>
        <v>0</v>
      </c>
      <c r="X322" s="144">
        <f t="shared" si="120"/>
        <v>0</v>
      </c>
      <c r="Y322" s="169">
        <f t="shared" si="121"/>
        <v>0</v>
      </c>
      <c r="Z322" s="151">
        <v>0</v>
      </c>
      <c r="AA322" s="151">
        <v>0</v>
      </c>
      <c r="AB322" s="151">
        <v>0</v>
      </c>
      <c r="AC322" s="151">
        <v>0</v>
      </c>
    </row>
    <row r="323" spans="1:29" s="61" customFormat="1" ht="11.25">
      <c r="A323" s="147">
        <f t="shared" si="107"/>
        <v>0</v>
      </c>
      <c r="B323" s="152">
        <f t="shared" si="108"/>
        <v>0</v>
      </c>
      <c r="C323" s="141">
        <f t="shared" si="109"/>
        <v>26</v>
      </c>
      <c r="D323" s="142">
        <v>304</v>
      </c>
      <c r="E323" s="143">
        <f t="shared" si="122"/>
        <v>0</v>
      </c>
      <c r="F323" s="144">
        <f t="shared" si="110"/>
        <v>0</v>
      </c>
      <c r="G323" s="144">
        <f t="shared" si="111"/>
        <v>0</v>
      </c>
      <c r="H323" s="169">
        <f t="shared" si="105"/>
        <v>0</v>
      </c>
      <c r="I323" s="143">
        <f t="shared" si="123"/>
        <v>0</v>
      </c>
      <c r="J323" s="144">
        <f t="shared" si="112"/>
        <v>0</v>
      </c>
      <c r="K323" s="144">
        <f t="shared" si="113"/>
        <v>0</v>
      </c>
      <c r="L323" s="169">
        <f t="shared" si="127"/>
        <v>0</v>
      </c>
      <c r="M323" s="143">
        <f t="shared" si="124"/>
        <v>0</v>
      </c>
      <c r="N323" s="144">
        <f t="shared" si="114"/>
        <v>0</v>
      </c>
      <c r="O323" s="144">
        <f t="shared" si="115"/>
        <v>0</v>
      </c>
      <c r="P323" s="169">
        <f t="shared" si="106"/>
        <v>0</v>
      </c>
      <c r="R323" s="143">
        <f t="shared" si="125"/>
        <v>0</v>
      </c>
      <c r="S323" s="144">
        <f t="shared" si="116"/>
        <v>0</v>
      </c>
      <c r="T323" s="144">
        <f t="shared" si="117"/>
        <v>0</v>
      </c>
      <c r="U323" s="169">
        <f t="shared" si="118"/>
        <v>0</v>
      </c>
      <c r="V323" s="143">
        <f t="shared" si="126"/>
        <v>0</v>
      </c>
      <c r="W323" s="144">
        <f t="shared" si="119"/>
        <v>0</v>
      </c>
      <c r="X323" s="144">
        <f t="shared" si="120"/>
        <v>0</v>
      </c>
      <c r="Y323" s="169">
        <f t="shared" si="121"/>
        <v>0</v>
      </c>
      <c r="Z323" s="151">
        <v>0</v>
      </c>
      <c r="AA323" s="151">
        <v>0</v>
      </c>
      <c r="AB323" s="151">
        <v>0</v>
      </c>
      <c r="AC323" s="151">
        <v>0</v>
      </c>
    </row>
    <row r="324" spans="1:29" s="61" customFormat="1" ht="11.25">
      <c r="A324" s="147">
        <f t="shared" si="107"/>
        <v>0</v>
      </c>
      <c r="B324" s="152">
        <f t="shared" si="108"/>
        <v>0</v>
      </c>
      <c r="C324" s="141">
        <f t="shared" si="109"/>
        <v>26</v>
      </c>
      <c r="D324" s="142">
        <v>305</v>
      </c>
      <c r="E324" s="143">
        <f t="shared" si="122"/>
        <v>0</v>
      </c>
      <c r="F324" s="144">
        <f t="shared" si="110"/>
        <v>0</v>
      </c>
      <c r="G324" s="144">
        <f t="shared" si="111"/>
        <v>0</v>
      </c>
      <c r="H324" s="169">
        <f t="shared" si="105"/>
        <v>0</v>
      </c>
      <c r="I324" s="143">
        <f t="shared" si="123"/>
        <v>0</v>
      </c>
      <c r="J324" s="144">
        <f t="shared" si="112"/>
        <v>0</v>
      </c>
      <c r="K324" s="144">
        <f t="shared" si="113"/>
        <v>0</v>
      </c>
      <c r="L324" s="169">
        <f t="shared" si="127"/>
        <v>0</v>
      </c>
      <c r="M324" s="143">
        <f t="shared" si="124"/>
        <v>0</v>
      </c>
      <c r="N324" s="144">
        <f t="shared" si="114"/>
        <v>0</v>
      </c>
      <c r="O324" s="144">
        <f t="shared" si="115"/>
        <v>0</v>
      </c>
      <c r="P324" s="169">
        <f t="shared" si="106"/>
        <v>0</v>
      </c>
      <c r="R324" s="143">
        <f t="shared" si="125"/>
        <v>0</v>
      </c>
      <c r="S324" s="144">
        <f t="shared" si="116"/>
        <v>0</v>
      </c>
      <c r="T324" s="144">
        <f t="shared" si="117"/>
        <v>0</v>
      </c>
      <c r="U324" s="169">
        <f t="shared" si="118"/>
        <v>0</v>
      </c>
      <c r="V324" s="143">
        <f t="shared" si="126"/>
        <v>0</v>
      </c>
      <c r="W324" s="144">
        <f t="shared" si="119"/>
        <v>0</v>
      </c>
      <c r="X324" s="144">
        <f t="shared" si="120"/>
        <v>0</v>
      </c>
      <c r="Y324" s="169">
        <f t="shared" si="121"/>
        <v>0</v>
      </c>
      <c r="Z324" s="151">
        <v>0</v>
      </c>
      <c r="AA324" s="151">
        <v>0</v>
      </c>
      <c r="AB324" s="151">
        <v>0</v>
      </c>
      <c r="AC324" s="151">
        <v>0</v>
      </c>
    </row>
    <row r="325" spans="1:29" s="61" customFormat="1" ht="11.25">
      <c r="A325" s="147">
        <f t="shared" si="107"/>
        <v>0</v>
      </c>
      <c r="B325" s="152">
        <f t="shared" si="108"/>
        <v>0</v>
      </c>
      <c r="C325" s="141">
        <f t="shared" si="109"/>
        <v>26</v>
      </c>
      <c r="D325" s="142">
        <v>306</v>
      </c>
      <c r="E325" s="143">
        <f t="shared" si="122"/>
        <v>0</v>
      </c>
      <c r="F325" s="144">
        <f t="shared" si="110"/>
        <v>0</v>
      </c>
      <c r="G325" s="144">
        <f t="shared" si="111"/>
        <v>0</v>
      </c>
      <c r="H325" s="169">
        <f t="shared" ref="H325:H388" si="128">IF(E325&lt;=0,0,H$14)</f>
        <v>0</v>
      </c>
      <c r="I325" s="143">
        <f t="shared" si="123"/>
        <v>0</v>
      </c>
      <c r="J325" s="144">
        <f t="shared" si="112"/>
        <v>0</v>
      </c>
      <c r="K325" s="144">
        <f t="shared" si="113"/>
        <v>0</v>
      </c>
      <c r="L325" s="169">
        <f t="shared" si="127"/>
        <v>0</v>
      </c>
      <c r="M325" s="143">
        <f t="shared" si="124"/>
        <v>0</v>
      </c>
      <c r="N325" s="144">
        <f t="shared" si="114"/>
        <v>0</v>
      </c>
      <c r="O325" s="144">
        <f t="shared" si="115"/>
        <v>0</v>
      </c>
      <c r="P325" s="169">
        <f t="shared" ref="P325:P388" si="129">IF(M325&lt;=0,0,P$14)</f>
        <v>0</v>
      </c>
      <c r="R325" s="143">
        <f t="shared" si="125"/>
        <v>0</v>
      </c>
      <c r="S325" s="144">
        <f t="shared" si="116"/>
        <v>0</v>
      </c>
      <c r="T325" s="144">
        <f t="shared" si="117"/>
        <v>0</v>
      </c>
      <c r="U325" s="169">
        <f t="shared" si="118"/>
        <v>0</v>
      </c>
      <c r="V325" s="143">
        <f t="shared" si="126"/>
        <v>0</v>
      </c>
      <c r="W325" s="144">
        <f t="shared" si="119"/>
        <v>0</v>
      </c>
      <c r="X325" s="144">
        <f t="shared" si="120"/>
        <v>0</v>
      </c>
      <c r="Y325" s="169">
        <f t="shared" si="121"/>
        <v>0</v>
      </c>
      <c r="Z325" s="151">
        <v>0</v>
      </c>
      <c r="AA325" s="151">
        <v>0</v>
      </c>
      <c r="AB325" s="151">
        <v>0</v>
      </c>
      <c r="AC325" s="151">
        <v>0</v>
      </c>
    </row>
    <row r="326" spans="1:29" s="61" customFormat="1" ht="11.25">
      <c r="A326" s="147">
        <f t="shared" si="107"/>
        <v>0</v>
      </c>
      <c r="B326" s="152">
        <f t="shared" si="108"/>
        <v>0</v>
      </c>
      <c r="C326" s="141">
        <f t="shared" si="109"/>
        <v>26</v>
      </c>
      <c r="D326" s="142">
        <v>307</v>
      </c>
      <c r="E326" s="143">
        <f t="shared" si="122"/>
        <v>0</v>
      </c>
      <c r="F326" s="144">
        <f t="shared" si="110"/>
        <v>0</v>
      </c>
      <c r="G326" s="144">
        <f t="shared" si="111"/>
        <v>0</v>
      </c>
      <c r="H326" s="169">
        <f t="shared" si="128"/>
        <v>0</v>
      </c>
      <c r="I326" s="143">
        <f t="shared" si="123"/>
        <v>0</v>
      </c>
      <c r="J326" s="144">
        <f t="shared" si="112"/>
        <v>0</v>
      </c>
      <c r="K326" s="144">
        <f t="shared" si="113"/>
        <v>0</v>
      </c>
      <c r="L326" s="169">
        <f t="shared" si="127"/>
        <v>0</v>
      </c>
      <c r="M326" s="143">
        <f t="shared" si="124"/>
        <v>0</v>
      </c>
      <c r="N326" s="144">
        <f t="shared" si="114"/>
        <v>0</v>
      </c>
      <c r="O326" s="144">
        <f t="shared" si="115"/>
        <v>0</v>
      </c>
      <c r="P326" s="169">
        <f t="shared" si="129"/>
        <v>0</v>
      </c>
      <c r="R326" s="143">
        <f t="shared" si="125"/>
        <v>0</v>
      </c>
      <c r="S326" s="144">
        <f t="shared" si="116"/>
        <v>0</v>
      </c>
      <c r="T326" s="144">
        <f t="shared" si="117"/>
        <v>0</v>
      </c>
      <c r="U326" s="169">
        <f t="shared" si="118"/>
        <v>0</v>
      </c>
      <c r="V326" s="143">
        <f t="shared" si="126"/>
        <v>0</v>
      </c>
      <c r="W326" s="144">
        <f t="shared" si="119"/>
        <v>0</v>
      </c>
      <c r="X326" s="144">
        <f t="shared" si="120"/>
        <v>0</v>
      </c>
      <c r="Y326" s="169">
        <f t="shared" si="121"/>
        <v>0</v>
      </c>
      <c r="Z326" s="151">
        <v>0</v>
      </c>
      <c r="AA326" s="151">
        <v>0</v>
      </c>
      <c r="AB326" s="151">
        <v>0</v>
      </c>
      <c r="AC326" s="151">
        <v>0</v>
      </c>
    </row>
    <row r="327" spans="1:29" s="61" customFormat="1" ht="11.25">
      <c r="A327" s="147">
        <f t="shared" si="107"/>
        <v>0</v>
      </c>
      <c r="B327" s="152">
        <f t="shared" si="108"/>
        <v>0</v>
      </c>
      <c r="C327" s="141">
        <f t="shared" si="109"/>
        <v>26</v>
      </c>
      <c r="D327" s="142">
        <v>308</v>
      </c>
      <c r="E327" s="143">
        <f t="shared" si="122"/>
        <v>0</v>
      </c>
      <c r="F327" s="144">
        <f t="shared" si="110"/>
        <v>0</v>
      </c>
      <c r="G327" s="144">
        <f t="shared" si="111"/>
        <v>0</v>
      </c>
      <c r="H327" s="169">
        <f t="shared" si="128"/>
        <v>0</v>
      </c>
      <c r="I327" s="143">
        <f t="shared" si="123"/>
        <v>0</v>
      </c>
      <c r="J327" s="144">
        <f t="shared" si="112"/>
        <v>0</v>
      </c>
      <c r="K327" s="144">
        <f t="shared" si="113"/>
        <v>0</v>
      </c>
      <c r="L327" s="169">
        <f t="shared" si="127"/>
        <v>0</v>
      </c>
      <c r="M327" s="143">
        <f t="shared" si="124"/>
        <v>0</v>
      </c>
      <c r="N327" s="144">
        <f t="shared" si="114"/>
        <v>0</v>
      </c>
      <c r="O327" s="144">
        <f t="shared" si="115"/>
        <v>0</v>
      </c>
      <c r="P327" s="169">
        <f t="shared" si="129"/>
        <v>0</v>
      </c>
      <c r="R327" s="143">
        <f t="shared" si="125"/>
        <v>0</v>
      </c>
      <c r="S327" s="144">
        <f t="shared" si="116"/>
        <v>0</v>
      </c>
      <c r="T327" s="144">
        <f t="shared" si="117"/>
        <v>0</v>
      </c>
      <c r="U327" s="169">
        <f t="shared" si="118"/>
        <v>0</v>
      </c>
      <c r="V327" s="143">
        <f t="shared" si="126"/>
        <v>0</v>
      </c>
      <c r="W327" s="144">
        <f t="shared" si="119"/>
        <v>0</v>
      </c>
      <c r="X327" s="144">
        <f t="shared" si="120"/>
        <v>0</v>
      </c>
      <c r="Y327" s="169">
        <f t="shared" si="121"/>
        <v>0</v>
      </c>
      <c r="Z327" s="151">
        <v>0</v>
      </c>
      <c r="AA327" s="151">
        <v>0</v>
      </c>
      <c r="AB327" s="151">
        <v>0</v>
      </c>
      <c r="AC327" s="151">
        <v>0</v>
      </c>
    </row>
    <row r="328" spans="1:29" s="61" customFormat="1" ht="11.25">
      <c r="A328" s="147">
        <f t="shared" si="107"/>
        <v>0</v>
      </c>
      <c r="B328" s="152">
        <f t="shared" si="108"/>
        <v>0</v>
      </c>
      <c r="C328" s="141">
        <f t="shared" si="109"/>
        <v>26</v>
      </c>
      <c r="D328" s="142">
        <v>309</v>
      </c>
      <c r="E328" s="143">
        <f t="shared" si="122"/>
        <v>0</v>
      </c>
      <c r="F328" s="144">
        <f t="shared" si="110"/>
        <v>0</v>
      </c>
      <c r="G328" s="144">
        <f t="shared" si="111"/>
        <v>0</v>
      </c>
      <c r="H328" s="169">
        <f t="shared" si="128"/>
        <v>0</v>
      </c>
      <c r="I328" s="143">
        <f t="shared" si="123"/>
        <v>0</v>
      </c>
      <c r="J328" s="144">
        <f t="shared" si="112"/>
        <v>0</v>
      </c>
      <c r="K328" s="144">
        <f t="shared" si="113"/>
        <v>0</v>
      </c>
      <c r="L328" s="169">
        <f t="shared" si="127"/>
        <v>0</v>
      </c>
      <c r="M328" s="143">
        <f t="shared" si="124"/>
        <v>0</v>
      </c>
      <c r="N328" s="144">
        <f t="shared" si="114"/>
        <v>0</v>
      </c>
      <c r="O328" s="144">
        <f t="shared" si="115"/>
        <v>0</v>
      </c>
      <c r="P328" s="169">
        <f t="shared" si="129"/>
        <v>0</v>
      </c>
      <c r="R328" s="143">
        <f t="shared" si="125"/>
        <v>0</v>
      </c>
      <c r="S328" s="144">
        <f t="shared" si="116"/>
        <v>0</v>
      </c>
      <c r="T328" s="144">
        <f t="shared" si="117"/>
        <v>0</v>
      </c>
      <c r="U328" s="169">
        <f t="shared" si="118"/>
        <v>0</v>
      </c>
      <c r="V328" s="143">
        <f t="shared" si="126"/>
        <v>0</v>
      </c>
      <c r="W328" s="144">
        <f t="shared" si="119"/>
        <v>0</v>
      </c>
      <c r="X328" s="144">
        <f t="shared" si="120"/>
        <v>0</v>
      </c>
      <c r="Y328" s="169">
        <f t="shared" si="121"/>
        <v>0</v>
      </c>
      <c r="Z328" s="151">
        <v>0</v>
      </c>
      <c r="AA328" s="151">
        <v>0</v>
      </c>
      <c r="AB328" s="151">
        <v>0</v>
      </c>
      <c r="AC328" s="151">
        <v>0</v>
      </c>
    </row>
    <row r="329" spans="1:29" s="61" customFormat="1" ht="11.25">
      <c r="A329" s="147">
        <f t="shared" si="107"/>
        <v>0</v>
      </c>
      <c r="B329" s="152">
        <f t="shared" si="108"/>
        <v>0</v>
      </c>
      <c r="C329" s="141">
        <f t="shared" si="109"/>
        <v>26</v>
      </c>
      <c r="D329" s="142">
        <v>310</v>
      </c>
      <c r="E329" s="143">
        <f t="shared" si="122"/>
        <v>0</v>
      </c>
      <c r="F329" s="144">
        <f t="shared" si="110"/>
        <v>0</v>
      </c>
      <c r="G329" s="144">
        <f t="shared" si="111"/>
        <v>0</v>
      </c>
      <c r="H329" s="169">
        <f t="shared" si="128"/>
        <v>0</v>
      </c>
      <c r="I329" s="143">
        <f t="shared" si="123"/>
        <v>0</v>
      </c>
      <c r="J329" s="144">
        <f t="shared" si="112"/>
        <v>0</v>
      </c>
      <c r="K329" s="144">
        <f t="shared" si="113"/>
        <v>0</v>
      </c>
      <c r="L329" s="169">
        <f t="shared" si="127"/>
        <v>0</v>
      </c>
      <c r="M329" s="143">
        <f t="shared" si="124"/>
        <v>0</v>
      </c>
      <c r="N329" s="144">
        <f t="shared" si="114"/>
        <v>0</v>
      </c>
      <c r="O329" s="144">
        <f t="shared" si="115"/>
        <v>0</v>
      </c>
      <c r="P329" s="169">
        <f t="shared" si="129"/>
        <v>0</v>
      </c>
      <c r="R329" s="143">
        <f t="shared" si="125"/>
        <v>0</v>
      </c>
      <c r="S329" s="144">
        <f t="shared" si="116"/>
        <v>0</v>
      </c>
      <c r="T329" s="144">
        <f t="shared" si="117"/>
        <v>0</v>
      </c>
      <c r="U329" s="169">
        <f t="shared" si="118"/>
        <v>0</v>
      </c>
      <c r="V329" s="143">
        <f t="shared" si="126"/>
        <v>0</v>
      </c>
      <c r="W329" s="144">
        <f t="shared" si="119"/>
        <v>0</v>
      </c>
      <c r="X329" s="144">
        <f t="shared" si="120"/>
        <v>0</v>
      </c>
      <c r="Y329" s="169">
        <f t="shared" si="121"/>
        <v>0</v>
      </c>
      <c r="Z329" s="151">
        <v>0</v>
      </c>
      <c r="AA329" s="151">
        <v>0</v>
      </c>
      <c r="AB329" s="151">
        <v>0</v>
      </c>
      <c r="AC329" s="151">
        <v>0</v>
      </c>
    </row>
    <row r="330" spans="1:29" s="61" customFormat="1" ht="11.25">
      <c r="A330" s="147">
        <f t="shared" si="107"/>
        <v>0</v>
      </c>
      <c r="B330" s="152">
        <f t="shared" si="108"/>
        <v>0</v>
      </c>
      <c r="C330" s="141">
        <f t="shared" si="109"/>
        <v>26</v>
      </c>
      <c r="D330" s="142">
        <v>311</v>
      </c>
      <c r="E330" s="143">
        <f t="shared" si="122"/>
        <v>0</v>
      </c>
      <c r="F330" s="144">
        <f t="shared" si="110"/>
        <v>0</v>
      </c>
      <c r="G330" s="144">
        <f t="shared" si="111"/>
        <v>0</v>
      </c>
      <c r="H330" s="169">
        <f t="shared" si="128"/>
        <v>0</v>
      </c>
      <c r="I330" s="143">
        <f t="shared" si="123"/>
        <v>0</v>
      </c>
      <c r="J330" s="144">
        <f t="shared" si="112"/>
        <v>0</v>
      </c>
      <c r="K330" s="144">
        <f t="shared" si="113"/>
        <v>0</v>
      </c>
      <c r="L330" s="169">
        <f t="shared" si="127"/>
        <v>0</v>
      </c>
      <c r="M330" s="143">
        <f t="shared" si="124"/>
        <v>0</v>
      </c>
      <c r="N330" s="144">
        <f t="shared" si="114"/>
        <v>0</v>
      </c>
      <c r="O330" s="144">
        <f t="shared" si="115"/>
        <v>0</v>
      </c>
      <c r="P330" s="169">
        <f t="shared" si="129"/>
        <v>0</v>
      </c>
      <c r="R330" s="143">
        <f t="shared" si="125"/>
        <v>0</v>
      </c>
      <c r="S330" s="144">
        <f t="shared" si="116"/>
        <v>0</v>
      </c>
      <c r="T330" s="144">
        <f t="shared" si="117"/>
        <v>0</v>
      </c>
      <c r="U330" s="169">
        <f t="shared" si="118"/>
        <v>0</v>
      </c>
      <c r="V330" s="143">
        <f t="shared" si="126"/>
        <v>0</v>
      </c>
      <c r="W330" s="144">
        <f t="shared" si="119"/>
        <v>0</v>
      </c>
      <c r="X330" s="144">
        <f t="shared" si="120"/>
        <v>0</v>
      </c>
      <c r="Y330" s="169">
        <f t="shared" si="121"/>
        <v>0</v>
      </c>
      <c r="Z330" s="151">
        <v>0</v>
      </c>
      <c r="AA330" s="151">
        <v>0</v>
      </c>
      <c r="AB330" s="151">
        <v>0</v>
      </c>
      <c r="AC330" s="151">
        <v>0</v>
      </c>
    </row>
    <row r="331" spans="1:29" s="61" customFormat="1" ht="12" thickBot="1">
      <c r="A331" s="153">
        <f t="shared" si="107"/>
        <v>0</v>
      </c>
      <c r="B331" s="154">
        <f t="shared" si="108"/>
        <v>0</v>
      </c>
      <c r="C331" s="155">
        <f t="shared" si="109"/>
        <v>26</v>
      </c>
      <c r="D331" s="156">
        <v>312</v>
      </c>
      <c r="E331" s="157">
        <f t="shared" si="122"/>
        <v>0</v>
      </c>
      <c r="F331" s="158">
        <f t="shared" si="110"/>
        <v>0</v>
      </c>
      <c r="G331" s="158">
        <f t="shared" si="111"/>
        <v>0</v>
      </c>
      <c r="H331" s="172">
        <f t="shared" si="128"/>
        <v>0</v>
      </c>
      <c r="I331" s="157">
        <f t="shared" si="123"/>
        <v>0</v>
      </c>
      <c r="J331" s="158">
        <f t="shared" si="112"/>
        <v>0</v>
      </c>
      <c r="K331" s="158">
        <f t="shared" si="113"/>
        <v>0</v>
      </c>
      <c r="L331" s="172">
        <f t="shared" si="127"/>
        <v>0</v>
      </c>
      <c r="M331" s="157">
        <f t="shared" si="124"/>
        <v>0</v>
      </c>
      <c r="N331" s="158">
        <f t="shared" si="114"/>
        <v>0</v>
      </c>
      <c r="O331" s="158">
        <f t="shared" si="115"/>
        <v>0</v>
      </c>
      <c r="P331" s="172">
        <f t="shared" si="129"/>
        <v>0</v>
      </c>
      <c r="R331" s="157">
        <f t="shared" si="125"/>
        <v>0</v>
      </c>
      <c r="S331" s="158">
        <f t="shared" si="116"/>
        <v>0</v>
      </c>
      <c r="T331" s="158">
        <f t="shared" si="117"/>
        <v>0</v>
      </c>
      <c r="U331" s="172">
        <f t="shared" si="118"/>
        <v>0</v>
      </c>
      <c r="V331" s="157">
        <f t="shared" si="126"/>
        <v>0</v>
      </c>
      <c r="W331" s="158">
        <f t="shared" si="119"/>
        <v>0</v>
      </c>
      <c r="X331" s="158">
        <f t="shared" si="120"/>
        <v>0</v>
      </c>
      <c r="Y331" s="172">
        <f t="shared" si="121"/>
        <v>0</v>
      </c>
      <c r="Z331" s="151">
        <v>0</v>
      </c>
      <c r="AA331" s="151">
        <v>0</v>
      </c>
      <c r="AB331" s="151">
        <v>0</v>
      </c>
      <c r="AC331" s="151">
        <v>0</v>
      </c>
    </row>
    <row r="332" spans="1:29" s="61" customFormat="1" ht="11.25">
      <c r="A332" s="147">
        <f t="shared" si="107"/>
        <v>0</v>
      </c>
      <c r="B332" s="152">
        <f t="shared" si="108"/>
        <v>0</v>
      </c>
      <c r="C332" s="141">
        <f t="shared" si="109"/>
        <v>27</v>
      </c>
      <c r="D332" s="142">
        <v>313</v>
      </c>
      <c r="E332" s="143">
        <f t="shared" si="122"/>
        <v>0</v>
      </c>
      <c r="F332" s="144">
        <f t="shared" si="110"/>
        <v>0</v>
      </c>
      <c r="G332" s="144">
        <f t="shared" si="111"/>
        <v>0</v>
      </c>
      <c r="H332" s="169">
        <f t="shared" si="128"/>
        <v>0</v>
      </c>
      <c r="I332" s="143">
        <f t="shared" si="123"/>
        <v>0</v>
      </c>
      <c r="J332" s="144">
        <f t="shared" si="112"/>
        <v>0</v>
      </c>
      <c r="K332" s="144">
        <f t="shared" si="113"/>
        <v>0</v>
      </c>
      <c r="L332" s="169">
        <f t="shared" si="127"/>
        <v>0</v>
      </c>
      <c r="M332" s="143">
        <f t="shared" si="124"/>
        <v>0</v>
      </c>
      <c r="N332" s="144">
        <f t="shared" si="114"/>
        <v>0</v>
      </c>
      <c r="O332" s="144">
        <f t="shared" si="115"/>
        <v>0</v>
      </c>
      <c r="P332" s="169">
        <f t="shared" si="129"/>
        <v>0</v>
      </c>
      <c r="R332" s="143">
        <f t="shared" si="125"/>
        <v>0</v>
      </c>
      <c r="S332" s="144">
        <f t="shared" si="116"/>
        <v>0</v>
      </c>
      <c r="T332" s="144">
        <f t="shared" si="117"/>
        <v>0</v>
      </c>
      <c r="U332" s="169">
        <f t="shared" si="118"/>
        <v>0</v>
      </c>
      <c r="V332" s="143">
        <f t="shared" si="126"/>
        <v>0</v>
      </c>
      <c r="W332" s="144">
        <f t="shared" si="119"/>
        <v>0</v>
      </c>
      <c r="X332" s="144">
        <f t="shared" si="120"/>
        <v>0</v>
      </c>
      <c r="Y332" s="169">
        <f t="shared" si="121"/>
        <v>0</v>
      </c>
      <c r="Z332" s="151">
        <v>0</v>
      </c>
      <c r="AA332" s="151">
        <v>0</v>
      </c>
      <c r="AB332" s="151">
        <v>0</v>
      </c>
      <c r="AC332" s="151">
        <v>0</v>
      </c>
    </row>
    <row r="333" spans="1:29" s="61" customFormat="1" ht="11.25">
      <c r="A333" s="147">
        <f t="shared" si="107"/>
        <v>0</v>
      </c>
      <c r="B333" s="152">
        <f t="shared" si="108"/>
        <v>0</v>
      </c>
      <c r="C333" s="141">
        <f t="shared" si="109"/>
        <v>27</v>
      </c>
      <c r="D333" s="142">
        <v>314</v>
      </c>
      <c r="E333" s="143">
        <f t="shared" si="122"/>
        <v>0</v>
      </c>
      <c r="F333" s="144">
        <f t="shared" si="110"/>
        <v>0</v>
      </c>
      <c r="G333" s="144">
        <f t="shared" si="111"/>
        <v>0</v>
      </c>
      <c r="H333" s="169">
        <f t="shared" si="128"/>
        <v>0</v>
      </c>
      <c r="I333" s="143">
        <f t="shared" si="123"/>
        <v>0</v>
      </c>
      <c r="J333" s="144">
        <f t="shared" si="112"/>
        <v>0</v>
      </c>
      <c r="K333" s="144">
        <f t="shared" si="113"/>
        <v>0</v>
      </c>
      <c r="L333" s="169">
        <f t="shared" si="127"/>
        <v>0</v>
      </c>
      <c r="M333" s="143">
        <f t="shared" si="124"/>
        <v>0</v>
      </c>
      <c r="N333" s="144">
        <f t="shared" si="114"/>
        <v>0</v>
      </c>
      <c r="O333" s="144">
        <f t="shared" si="115"/>
        <v>0</v>
      </c>
      <c r="P333" s="169">
        <f t="shared" si="129"/>
        <v>0</v>
      </c>
      <c r="R333" s="143">
        <f t="shared" si="125"/>
        <v>0</v>
      </c>
      <c r="S333" s="144">
        <f t="shared" si="116"/>
        <v>0</v>
      </c>
      <c r="T333" s="144">
        <f t="shared" si="117"/>
        <v>0</v>
      </c>
      <c r="U333" s="169">
        <f t="shared" si="118"/>
        <v>0</v>
      </c>
      <c r="V333" s="143">
        <f t="shared" si="126"/>
        <v>0</v>
      </c>
      <c r="W333" s="144">
        <f t="shared" si="119"/>
        <v>0</v>
      </c>
      <c r="X333" s="144">
        <f t="shared" si="120"/>
        <v>0</v>
      </c>
      <c r="Y333" s="169">
        <f t="shared" si="121"/>
        <v>0</v>
      </c>
      <c r="Z333" s="151">
        <v>0</v>
      </c>
      <c r="AA333" s="151">
        <v>0</v>
      </c>
      <c r="AB333" s="151">
        <v>0</v>
      </c>
      <c r="AC333" s="151">
        <v>0</v>
      </c>
    </row>
    <row r="334" spans="1:29" s="61" customFormat="1" ht="11.25">
      <c r="A334" s="147">
        <f t="shared" si="107"/>
        <v>0</v>
      </c>
      <c r="B334" s="152">
        <f t="shared" si="108"/>
        <v>0</v>
      </c>
      <c r="C334" s="141">
        <f t="shared" si="109"/>
        <v>27</v>
      </c>
      <c r="D334" s="142">
        <v>315</v>
      </c>
      <c r="E334" s="143">
        <f t="shared" si="122"/>
        <v>0</v>
      </c>
      <c r="F334" s="144">
        <f t="shared" si="110"/>
        <v>0</v>
      </c>
      <c r="G334" s="144">
        <f t="shared" si="111"/>
        <v>0</v>
      </c>
      <c r="H334" s="169">
        <f t="shared" si="128"/>
        <v>0</v>
      </c>
      <c r="I334" s="143">
        <f t="shared" si="123"/>
        <v>0</v>
      </c>
      <c r="J334" s="144">
        <f t="shared" si="112"/>
        <v>0</v>
      </c>
      <c r="K334" s="144">
        <f t="shared" si="113"/>
        <v>0</v>
      </c>
      <c r="L334" s="169">
        <f t="shared" si="127"/>
        <v>0</v>
      </c>
      <c r="M334" s="143">
        <f t="shared" si="124"/>
        <v>0</v>
      </c>
      <c r="N334" s="144">
        <f t="shared" si="114"/>
        <v>0</v>
      </c>
      <c r="O334" s="144">
        <f t="shared" si="115"/>
        <v>0</v>
      </c>
      <c r="P334" s="169">
        <f t="shared" si="129"/>
        <v>0</v>
      </c>
      <c r="R334" s="143">
        <f t="shared" si="125"/>
        <v>0</v>
      </c>
      <c r="S334" s="144">
        <f t="shared" si="116"/>
        <v>0</v>
      </c>
      <c r="T334" s="144">
        <f t="shared" si="117"/>
        <v>0</v>
      </c>
      <c r="U334" s="169">
        <f t="shared" si="118"/>
        <v>0</v>
      </c>
      <c r="V334" s="143">
        <f t="shared" si="126"/>
        <v>0</v>
      </c>
      <c r="W334" s="144">
        <f t="shared" si="119"/>
        <v>0</v>
      </c>
      <c r="X334" s="144">
        <f t="shared" si="120"/>
        <v>0</v>
      </c>
      <c r="Y334" s="169">
        <f t="shared" si="121"/>
        <v>0</v>
      </c>
      <c r="Z334" s="151">
        <v>0</v>
      </c>
      <c r="AA334" s="151">
        <v>0</v>
      </c>
      <c r="AB334" s="151">
        <v>0</v>
      </c>
      <c r="AC334" s="151">
        <v>0</v>
      </c>
    </row>
    <row r="335" spans="1:29" s="61" customFormat="1" ht="11.25">
      <c r="A335" s="147">
        <f t="shared" si="107"/>
        <v>0</v>
      </c>
      <c r="B335" s="152">
        <f t="shared" si="108"/>
        <v>0</v>
      </c>
      <c r="C335" s="141">
        <f t="shared" si="109"/>
        <v>27</v>
      </c>
      <c r="D335" s="142">
        <v>316</v>
      </c>
      <c r="E335" s="143">
        <f t="shared" si="122"/>
        <v>0</v>
      </c>
      <c r="F335" s="144">
        <f t="shared" si="110"/>
        <v>0</v>
      </c>
      <c r="G335" s="144">
        <f t="shared" si="111"/>
        <v>0</v>
      </c>
      <c r="H335" s="169">
        <f t="shared" si="128"/>
        <v>0</v>
      </c>
      <c r="I335" s="143">
        <f t="shared" si="123"/>
        <v>0</v>
      </c>
      <c r="J335" s="144">
        <f t="shared" si="112"/>
        <v>0</v>
      </c>
      <c r="K335" s="144">
        <f t="shared" si="113"/>
        <v>0</v>
      </c>
      <c r="L335" s="169">
        <f t="shared" si="127"/>
        <v>0</v>
      </c>
      <c r="M335" s="143">
        <f t="shared" si="124"/>
        <v>0</v>
      </c>
      <c r="N335" s="144">
        <f t="shared" si="114"/>
        <v>0</v>
      </c>
      <c r="O335" s="144">
        <f t="shared" si="115"/>
        <v>0</v>
      </c>
      <c r="P335" s="169">
        <f t="shared" si="129"/>
        <v>0</v>
      </c>
      <c r="R335" s="143">
        <f t="shared" si="125"/>
        <v>0</v>
      </c>
      <c r="S335" s="144">
        <f t="shared" si="116"/>
        <v>0</v>
      </c>
      <c r="T335" s="144">
        <f t="shared" si="117"/>
        <v>0</v>
      </c>
      <c r="U335" s="169">
        <f t="shared" si="118"/>
        <v>0</v>
      </c>
      <c r="V335" s="143">
        <f t="shared" si="126"/>
        <v>0</v>
      </c>
      <c r="W335" s="144">
        <f t="shared" si="119"/>
        <v>0</v>
      </c>
      <c r="X335" s="144">
        <f t="shared" si="120"/>
        <v>0</v>
      </c>
      <c r="Y335" s="169">
        <f t="shared" si="121"/>
        <v>0</v>
      </c>
      <c r="Z335" s="151">
        <v>0</v>
      </c>
      <c r="AA335" s="151">
        <v>0</v>
      </c>
      <c r="AB335" s="151">
        <v>0</v>
      </c>
      <c r="AC335" s="151">
        <v>0</v>
      </c>
    </row>
    <row r="336" spans="1:29" s="61" customFormat="1" ht="11.25">
      <c r="A336" s="147">
        <f t="shared" si="107"/>
        <v>0</v>
      </c>
      <c r="B336" s="152">
        <f t="shared" si="108"/>
        <v>0</v>
      </c>
      <c r="C336" s="141">
        <f t="shared" si="109"/>
        <v>27</v>
      </c>
      <c r="D336" s="142">
        <v>317</v>
      </c>
      <c r="E336" s="143">
        <f t="shared" si="122"/>
        <v>0</v>
      </c>
      <c r="F336" s="144">
        <f t="shared" si="110"/>
        <v>0</v>
      </c>
      <c r="G336" s="144">
        <f t="shared" si="111"/>
        <v>0</v>
      </c>
      <c r="H336" s="169">
        <f t="shared" si="128"/>
        <v>0</v>
      </c>
      <c r="I336" s="143">
        <f t="shared" si="123"/>
        <v>0</v>
      </c>
      <c r="J336" s="144">
        <f t="shared" si="112"/>
        <v>0</v>
      </c>
      <c r="K336" s="144">
        <f t="shared" si="113"/>
        <v>0</v>
      </c>
      <c r="L336" s="169">
        <f t="shared" si="127"/>
        <v>0</v>
      </c>
      <c r="M336" s="143">
        <f t="shared" si="124"/>
        <v>0</v>
      </c>
      <c r="N336" s="144">
        <f t="shared" si="114"/>
        <v>0</v>
      </c>
      <c r="O336" s="144">
        <f t="shared" si="115"/>
        <v>0</v>
      </c>
      <c r="P336" s="169">
        <f t="shared" si="129"/>
        <v>0</v>
      </c>
      <c r="R336" s="143">
        <f t="shared" si="125"/>
        <v>0</v>
      </c>
      <c r="S336" s="144">
        <f t="shared" si="116"/>
        <v>0</v>
      </c>
      <c r="T336" s="144">
        <f t="shared" si="117"/>
        <v>0</v>
      </c>
      <c r="U336" s="169">
        <f t="shared" si="118"/>
        <v>0</v>
      </c>
      <c r="V336" s="143">
        <f t="shared" si="126"/>
        <v>0</v>
      </c>
      <c r="W336" s="144">
        <f t="shared" si="119"/>
        <v>0</v>
      </c>
      <c r="X336" s="144">
        <f t="shared" si="120"/>
        <v>0</v>
      </c>
      <c r="Y336" s="169">
        <f t="shared" si="121"/>
        <v>0</v>
      </c>
      <c r="Z336" s="151">
        <v>0</v>
      </c>
      <c r="AA336" s="151">
        <v>0</v>
      </c>
      <c r="AB336" s="151">
        <v>0</v>
      </c>
      <c r="AC336" s="151">
        <v>0</v>
      </c>
    </row>
    <row r="337" spans="1:29" s="61" customFormat="1" ht="11.25">
      <c r="A337" s="147">
        <f t="shared" si="107"/>
        <v>0</v>
      </c>
      <c r="B337" s="152">
        <f t="shared" si="108"/>
        <v>0</v>
      </c>
      <c r="C337" s="141">
        <f t="shared" si="109"/>
        <v>27</v>
      </c>
      <c r="D337" s="142">
        <v>318</v>
      </c>
      <c r="E337" s="143">
        <f t="shared" si="122"/>
        <v>0</v>
      </c>
      <c r="F337" s="144">
        <f t="shared" si="110"/>
        <v>0</v>
      </c>
      <c r="G337" s="144">
        <f t="shared" si="111"/>
        <v>0</v>
      </c>
      <c r="H337" s="169">
        <f t="shared" si="128"/>
        <v>0</v>
      </c>
      <c r="I337" s="143">
        <f t="shared" si="123"/>
        <v>0</v>
      </c>
      <c r="J337" s="144">
        <f t="shared" si="112"/>
        <v>0</v>
      </c>
      <c r="K337" s="144">
        <f t="shared" si="113"/>
        <v>0</v>
      </c>
      <c r="L337" s="169">
        <f t="shared" si="127"/>
        <v>0</v>
      </c>
      <c r="M337" s="143">
        <f t="shared" si="124"/>
        <v>0</v>
      </c>
      <c r="N337" s="144">
        <f t="shared" si="114"/>
        <v>0</v>
      </c>
      <c r="O337" s="144">
        <f t="shared" si="115"/>
        <v>0</v>
      </c>
      <c r="P337" s="169">
        <f t="shared" si="129"/>
        <v>0</v>
      </c>
      <c r="R337" s="143">
        <f t="shared" si="125"/>
        <v>0</v>
      </c>
      <c r="S337" s="144">
        <f t="shared" si="116"/>
        <v>0</v>
      </c>
      <c r="T337" s="144">
        <f t="shared" si="117"/>
        <v>0</v>
      </c>
      <c r="U337" s="169">
        <f t="shared" si="118"/>
        <v>0</v>
      </c>
      <c r="V337" s="143">
        <f t="shared" si="126"/>
        <v>0</v>
      </c>
      <c r="W337" s="144">
        <f t="shared" si="119"/>
        <v>0</v>
      </c>
      <c r="X337" s="144">
        <f t="shared" si="120"/>
        <v>0</v>
      </c>
      <c r="Y337" s="169">
        <f t="shared" si="121"/>
        <v>0</v>
      </c>
      <c r="Z337" s="151">
        <v>0</v>
      </c>
      <c r="AA337" s="151">
        <v>0</v>
      </c>
      <c r="AB337" s="151">
        <v>0</v>
      </c>
      <c r="AC337" s="151">
        <v>0</v>
      </c>
    </row>
    <row r="338" spans="1:29" s="61" customFormat="1" ht="11.25">
      <c r="A338" s="147">
        <f t="shared" si="107"/>
        <v>0</v>
      </c>
      <c r="B338" s="152">
        <f t="shared" si="108"/>
        <v>0</v>
      </c>
      <c r="C338" s="141">
        <f t="shared" si="109"/>
        <v>27</v>
      </c>
      <c r="D338" s="142">
        <v>319</v>
      </c>
      <c r="E338" s="143">
        <f t="shared" si="122"/>
        <v>0</v>
      </c>
      <c r="F338" s="144">
        <f t="shared" si="110"/>
        <v>0</v>
      </c>
      <c r="G338" s="144">
        <f t="shared" si="111"/>
        <v>0</v>
      </c>
      <c r="H338" s="169">
        <f t="shared" si="128"/>
        <v>0</v>
      </c>
      <c r="I338" s="143">
        <f t="shared" si="123"/>
        <v>0</v>
      </c>
      <c r="J338" s="144">
        <f t="shared" si="112"/>
        <v>0</v>
      </c>
      <c r="K338" s="144">
        <f t="shared" si="113"/>
        <v>0</v>
      </c>
      <c r="L338" s="169">
        <f t="shared" si="127"/>
        <v>0</v>
      </c>
      <c r="M338" s="143">
        <f t="shared" si="124"/>
        <v>0</v>
      </c>
      <c r="N338" s="144">
        <f t="shared" si="114"/>
        <v>0</v>
      </c>
      <c r="O338" s="144">
        <f t="shared" si="115"/>
        <v>0</v>
      </c>
      <c r="P338" s="169">
        <f t="shared" si="129"/>
        <v>0</v>
      </c>
      <c r="R338" s="143">
        <f t="shared" si="125"/>
        <v>0</v>
      </c>
      <c r="S338" s="144">
        <f t="shared" si="116"/>
        <v>0</v>
      </c>
      <c r="T338" s="144">
        <f t="shared" si="117"/>
        <v>0</v>
      </c>
      <c r="U338" s="169">
        <f t="shared" si="118"/>
        <v>0</v>
      </c>
      <c r="V338" s="143">
        <f t="shared" si="126"/>
        <v>0</v>
      </c>
      <c r="W338" s="144">
        <f t="shared" si="119"/>
        <v>0</v>
      </c>
      <c r="X338" s="144">
        <f t="shared" si="120"/>
        <v>0</v>
      </c>
      <c r="Y338" s="169">
        <f t="shared" si="121"/>
        <v>0</v>
      </c>
      <c r="Z338" s="151">
        <v>0</v>
      </c>
      <c r="AA338" s="151">
        <v>0</v>
      </c>
      <c r="AB338" s="151">
        <v>0</v>
      </c>
      <c r="AC338" s="151">
        <v>0</v>
      </c>
    </row>
    <row r="339" spans="1:29" s="61" customFormat="1" ht="11.25">
      <c r="A339" s="147">
        <f t="shared" si="107"/>
        <v>0</v>
      </c>
      <c r="B339" s="152">
        <f t="shared" si="108"/>
        <v>0</v>
      </c>
      <c r="C339" s="141">
        <f t="shared" si="109"/>
        <v>27</v>
      </c>
      <c r="D339" s="142">
        <v>320</v>
      </c>
      <c r="E339" s="143">
        <f t="shared" si="122"/>
        <v>0</v>
      </c>
      <c r="F339" s="144">
        <f t="shared" si="110"/>
        <v>0</v>
      </c>
      <c r="G339" s="144">
        <f t="shared" si="111"/>
        <v>0</v>
      </c>
      <c r="H339" s="169">
        <f t="shared" si="128"/>
        <v>0</v>
      </c>
      <c r="I339" s="143">
        <f t="shared" si="123"/>
        <v>0</v>
      </c>
      <c r="J339" s="144">
        <f t="shared" si="112"/>
        <v>0</v>
      </c>
      <c r="K339" s="144">
        <f t="shared" si="113"/>
        <v>0</v>
      </c>
      <c r="L339" s="169">
        <f t="shared" si="127"/>
        <v>0</v>
      </c>
      <c r="M339" s="143">
        <f t="shared" si="124"/>
        <v>0</v>
      </c>
      <c r="N339" s="144">
        <f t="shared" si="114"/>
        <v>0</v>
      </c>
      <c r="O339" s="144">
        <f t="shared" si="115"/>
        <v>0</v>
      </c>
      <c r="P339" s="169">
        <f t="shared" si="129"/>
        <v>0</v>
      </c>
      <c r="R339" s="143">
        <f t="shared" si="125"/>
        <v>0</v>
      </c>
      <c r="S339" s="144">
        <f t="shared" si="116"/>
        <v>0</v>
      </c>
      <c r="T339" s="144">
        <f t="shared" si="117"/>
        <v>0</v>
      </c>
      <c r="U339" s="169">
        <f t="shared" si="118"/>
        <v>0</v>
      </c>
      <c r="V339" s="143">
        <f t="shared" si="126"/>
        <v>0</v>
      </c>
      <c r="W339" s="144">
        <f t="shared" si="119"/>
        <v>0</v>
      </c>
      <c r="X339" s="144">
        <f t="shared" si="120"/>
        <v>0</v>
      </c>
      <c r="Y339" s="169">
        <f t="shared" si="121"/>
        <v>0</v>
      </c>
      <c r="Z339" s="151">
        <v>0</v>
      </c>
      <c r="AA339" s="151">
        <v>0</v>
      </c>
      <c r="AB339" s="151">
        <v>0</v>
      </c>
      <c r="AC339" s="151">
        <v>0</v>
      </c>
    </row>
    <row r="340" spans="1:29" s="61" customFormat="1" ht="11.25">
      <c r="A340" s="147">
        <f t="shared" ref="A340:A403" si="130">VLOOKUP(D340,$A$10:$C$14,3)</f>
        <v>0</v>
      </c>
      <c r="B340" s="152">
        <f t="shared" ref="B340:B403" si="131">A340/12</f>
        <v>0</v>
      </c>
      <c r="C340" s="141">
        <f t="shared" ref="C340:C403" si="132">INT((D340+11)/12)</f>
        <v>27</v>
      </c>
      <c r="D340" s="142">
        <v>321</v>
      </c>
      <c r="E340" s="143">
        <f t="shared" si="122"/>
        <v>0</v>
      </c>
      <c r="F340" s="144">
        <f t="shared" ref="F340:F403" si="133">ROUND(E340*$B340,2)</f>
        <v>0</v>
      </c>
      <c r="G340" s="144">
        <f t="shared" ref="G340:G403" si="134">IF(E340&lt;H340,E340,H340-F340)</f>
        <v>0</v>
      </c>
      <c r="H340" s="169">
        <f t="shared" si="128"/>
        <v>0</v>
      </c>
      <c r="I340" s="143">
        <f t="shared" si="123"/>
        <v>0</v>
      </c>
      <c r="J340" s="144">
        <f t="shared" ref="J340:J403" si="135">ROUND(I340*$B340,2)</f>
        <v>0</v>
      </c>
      <c r="K340" s="144">
        <f t="shared" ref="K340:K403" si="136">IF(I340&lt;L340,I340,L340-J340)</f>
        <v>0</v>
      </c>
      <c r="L340" s="169">
        <f t="shared" si="127"/>
        <v>0</v>
      </c>
      <c r="M340" s="143">
        <f t="shared" si="124"/>
        <v>0</v>
      </c>
      <c r="N340" s="144">
        <f t="shared" ref="N340:N403" si="137">ROUND(M340*$B340,2)</f>
        <v>0</v>
      </c>
      <c r="O340" s="144">
        <f t="shared" ref="O340:O403" si="138">IF(M340&lt;P340,M340,P340-N340)</f>
        <v>0</v>
      </c>
      <c r="P340" s="169">
        <f t="shared" si="129"/>
        <v>0</v>
      </c>
      <c r="R340" s="143">
        <f t="shared" si="125"/>
        <v>0</v>
      </c>
      <c r="S340" s="144">
        <f t="shared" ref="S340:S403" si="139">ROUND(R340*$B340,2)</f>
        <v>0</v>
      </c>
      <c r="T340" s="144">
        <f t="shared" ref="T340:T403" si="140">IF(R340&lt;U340,R340,U340-S340)</f>
        <v>0</v>
      </c>
      <c r="U340" s="169">
        <f t="shared" ref="U340:U403" si="141">IF(R340&lt;=0,0,$Y$15)</f>
        <v>0</v>
      </c>
      <c r="V340" s="143">
        <f t="shared" si="126"/>
        <v>0</v>
      </c>
      <c r="W340" s="144">
        <f t="shared" ref="W340:W403" si="142">ROUND(V340*$B340,2)</f>
        <v>0</v>
      </c>
      <c r="X340" s="144">
        <f t="shared" ref="X340:X403" si="143">IF(V340&lt;Y340,V340,Y340-W340)</f>
        <v>0</v>
      </c>
      <c r="Y340" s="169">
        <f t="shared" ref="Y340:Y403" si="144">IF(V340&lt;=0,0,PMT(B340,($B$2-D340+1),V340*-1))</f>
        <v>0</v>
      </c>
      <c r="Z340" s="151">
        <v>0</v>
      </c>
      <c r="AA340" s="151">
        <v>0</v>
      </c>
      <c r="AB340" s="151">
        <v>0</v>
      </c>
      <c r="AC340" s="151">
        <v>0</v>
      </c>
    </row>
    <row r="341" spans="1:29" s="61" customFormat="1" ht="11.25">
      <c r="A341" s="147">
        <f t="shared" si="130"/>
        <v>0</v>
      </c>
      <c r="B341" s="152">
        <f t="shared" si="131"/>
        <v>0</v>
      </c>
      <c r="C341" s="141">
        <f t="shared" si="132"/>
        <v>27</v>
      </c>
      <c r="D341" s="142">
        <v>322</v>
      </c>
      <c r="E341" s="143">
        <f t="shared" ref="E341:E404" si="145">IF(E340&lt;H340,0,E340-G340)</f>
        <v>0</v>
      </c>
      <c r="F341" s="144">
        <f t="shared" si="133"/>
        <v>0</v>
      </c>
      <c r="G341" s="144">
        <f t="shared" si="134"/>
        <v>0</v>
      </c>
      <c r="H341" s="169">
        <f t="shared" si="128"/>
        <v>0</v>
      </c>
      <c r="I341" s="143">
        <f t="shared" ref="I341:I404" si="146">IF(I340&lt;L340,0,I340-K340)</f>
        <v>0</v>
      </c>
      <c r="J341" s="144">
        <f t="shared" si="135"/>
        <v>0</v>
      </c>
      <c r="K341" s="144">
        <f t="shared" si="136"/>
        <v>0</v>
      </c>
      <c r="L341" s="169">
        <f t="shared" si="127"/>
        <v>0</v>
      </c>
      <c r="M341" s="143">
        <f t="shared" ref="M341:M404" si="147">IF(M340&lt;P340,0,M340-O340)</f>
        <v>0</v>
      </c>
      <c r="N341" s="144">
        <f t="shared" si="137"/>
        <v>0</v>
      </c>
      <c r="O341" s="144">
        <f t="shared" si="138"/>
        <v>0</v>
      </c>
      <c r="P341" s="169">
        <f t="shared" si="129"/>
        <v>0</v>
      </c>
      <c r="R341" s="143">
        <f t="shared" ref="R341:R404" si="148">IF(R340&lt;U340,0,R340-T340)</f>
        <v>0</v>
      </c>
      <c r="S341" s="144">
        <f t="shared" si="139"/>
        <v>0</v>
      </c>
      <c r="T341" s="144">
        <f t="shared" si="140"/>
        <v>0</v>
      </c>
      <c r="U341" s="169">
        <f t="shared" si="141"/>
        <v>0</v>
      </c>
      <c r="V341" s="143">
        <f t="shared" ref="V341:V404" si="149">IF(V340&lt;Y340,0,V340-X340)</f>
        <v>0</v>
      </c>
      <c r="W341" s="144">
        <f t="shared" si="142"/>
        <v>0</v>
      </c>
      <c r="X341" s="144">
        <f t="shared" si="143"/>
        <v>0</v>
      </c>
      <c r="Y341" s="169">
        <f t="shared" si="144"/>
        <v>0</v>
      </c>
      <c r="Z341" s="151">
        <v>0</v>
      </c>
      <c r="AA341" s="151">
        <v>0</v>
      </c>
      <c r="AB341" s="151">
        <v>0</v>
      </c>
      <c r="AC341" s="151">
        <v>0</v>
      </c>
    </row>
    <row r="342" spans="1:29" s="61" customFormat="1" ht="11.25">
      <c r="A342" s="147">
        <f t="shared" si="130"/>
        <v>0</v>
      </c>
      <c r="B342" s="152">
        <f t="shared" si="131"/>
        <v>0</v>
      </c>
      <c r="C342" s="141">
        <f t="shared" si="132"/>
        <v>27</v>
      </c>
      <c r="D342" s="142">
        <v>323</v>
      </c>
      <c r="E342" s="143">
        <f t="shared" si="145"/>
        <v>0</v>
      </c>
      <c r="F342" s="144">
        <f t="shared" si="133"/>
        <v>0</v>
      </c>
      <c r="G342" s="144">
        <f t="shared" si="134"/>
        <v>0</v>
      </c>
      <c r="H342" s="169">
        <f t="shared" si="128"/>
        <v>0</v>
      </c>
      <c r="I342" s="143">
        <f t="shared" si="146"/>
        <v>0</v>
      </c>
      <c r="J342" s="144">
        <f t="shared" si="135"/>
        <v>0</v>
      </c>
      <c r="K342" s="144">
        <f t="shared" si="136"/>
        <v>0</v>
      </c>
      <c r="L342" s="169">
        <f t="shared" si="127"/>
        <v>0</v>
      </c>
      <c r="M342" s="143">
        <f t="shared" si="147"/>
        <v>0</v>
      </c>
      <c r="N342" s="144">
        <f t="shared" si="137"/>
        <v>0</v>
      </c>
      <c r="O342" s="144">
        <f t="shared" si="138"/>
        <v>0</v>
      </c>
      <c r="P342" s="169">
        <f t="shared" si="129"/>
        <v>0</v>
      </c>
      <c r="R342" s="143">
        <f t="shared" si="148"/>
        <v>0</v>
      </c>
      <c r="S342" s="144">
        <f t="shared" si="139"/>
        <v>0</v>
      </c>
      <c r="T342" s="144">
        <f t="shared" si="140"/>
        <v>0</v>
      </c>
      <c r="U342" s="169">
        <f t="shared" si="141"/>
        <v>0</v>
      </c>
      <c r="V342" s="143">
        <f t="shared" si="149"/>
        <v>0</v>
      </c>
      <c r="W342" s="144">
        <f t="shared" si="142"/>
        <v>0</v>
      </c>
      <c r="X342" s="144">
        <f t="shared" si="143"/>
        <v>0</v>
      </c>
      <c r="Y342" s="169">
        <f t="shared" si="144"/>
        <v>0</v>
      </c>
      <c r="Z342" s="151">
        <v>0</v>
      </c>
      <c r="AA342" s="151">
        <v>0</v>
      </c>
      <c r="AB342" s="151">
        <v>0</v>
      </c>
      <c r="AC342" s="151">
        <v>0</v>
      </c>
    </row>
    <row r="343" spans="1:29" s="61" customFormat="1" ht="12" thickBot="1">
      <c r="A343" s="153">
        <f t="shared" si="130"/>
        <v>0</v>
      </c>
      <c r="B343" s="154">
        <f t="shared" si="131"/>
        <v>0</v>
      </c>
      <c r="C343" s="155">
        <f t="shared" si="132"/>
        <v>27</v>
      </c>
      <c r="D343" s="156">
        <v>324</v>
      </c>
      <c r="E343" s="157">
        <f t="shared" si="145"/>
        <v>0</v>
      </c>
      <c r="F343" s="158">
        <f t="shared" si="133"/>
        <v>0</v>
      </c>
      <c r="G343" s="158">
        <f t="shared" si="134"/>
        <v>0</v>
      </c>
      <c r="H343" s="172">
        <f t="shared" si="128"/>
        <v>0</v>
      </c>
      <c r="I343" s="157">
        <f t="shared" si="146"/>
        <v>0</v>
      </c>
      <c r="J343" s="158">
        <f t="shared" si="135"/>
        <v>0</v>
      </c>
      <c r="K343" s="158">
        <f t="shared" si="136"/>
        <v>0</v>
      </c>
      <c r="L343" s="172">
        <f t="shared" si="127"/>
        <v>0</v>
      </c>
      <c r="M343" s="157">
        <f t="shared" si="147"/>
        <v>0</v>
      </c>
      <c r="N343" s="158">
        <f t="shared" si="137"/>
        <v>0</v>
      </c>
      <c r="O343" s="158">
        <f t="shared" si="138"/>
        <v>0</v>
      </c>
      <c r="P343" s="172">
        <f t="shared" si="129"/>
        <v>0</v>
      </c>
      <c r="R343" s="157">
        <f t="shared" si="148"/>
        <v>0</v>
      </c>
      <c r="S343" s="158">
        <f t="shared" si="139"/>
        <v>0</v>
      </c>
      <c r="T343" s="158">
        <f t="shared" si="140"/>
        <v>0</v>
      </c>
      <c r="U343" s="172">
        <f t="shared" si="141"/>
        <v>0</v>
      </c>
      <c r="V343" s="157">
        <f t="shared" si="149"/>
        <v>0</v>
      </c>
      <c r="W343" s="158">
        <f t="shared" si="142"/>
        <v>0</v>
      </c>
      <c r="X343" s="158">
        <f t="shared" si="143"/>
        <v>0</v>
      </c>
      <c r="Y343" s="172">
        <f t="shared" si="144"/>
        <v>0</v>
      </c>
      <c r="Z343" s="151">
        <v>0</v>
      </c>
      <c r="AA343" s="151">
        <v>0</v>
      </c>
      <c r="AB343" s="151">
        <v>0</v>
      </c>
      <c r="AC343" s="151">
        <v>0</v>
      </c>
    </row>
    <row r="344" spans="1:29" s="61" customFormat="1" ht="11.25">
      <c r="A344" s="147">
        <f t="shared" si="130"/>
        <v>0</v>
      </c>
      <c r="B344" s="152">
        <f t="shared" si="131"/>
        <v>0</v>
      </c>
      <c r="C344" s="141">
        <f t="shared" si="132"/>
        <v>28</v>
      </c>
      <c r="D344" s="142">
        <v>325</v>
      </c>
      <c r="E344" s="143">
        <f t="shared" si="145"/>
        <v>0</v>
      </c>
      <c r="F344" s="144">
        <f t="shared" si="133"/>
        <v>0</v>
      </c>
      <c r="G344" s="144">
        <f t="shared" si="134"/>
        <v>0</v>
      </c>
      <c r="H344" s="169">
        <f t="shared" si="128"/>
        <v>0</v>
      </c>
      <c r="I344" s="143">
        <f t="shared" si="146"/>
        <v>0</v>
      </c>
      <c r="J344" s="144">
        <f t="shared" si="135"/>
        <v>0</v>
      </c>
      <c r="K344" s="144">
        <f t="shared" si="136"/>
        <v>0</v>
      </c>
      <c r="L344" s="169">
        <f t="shared" si="127"/>
        <v>0</v>
      </c>
      <c r="M344" s="143">
        <f t="shared" si="147"/>
        <v>0</v>
      </c>
      <c r="N344" s="144">
        <f t="shared" si="137"/>
        <v>0</v>
      </c>
      <c r="O344" s="144">
        <f t="shared" si="138"/>
        <v>0</v>
      </c>
      <c r="P344" s="169">
        <f t="shared" si="129"/>
        <v>0</v>
      </c>
      <c r="R344" s="143">
        <f t="shared" si="148"/>
        <v>0</v>
      </c>
      <c r="S344" s="144">
        <f t="shared" si="139"/>
        <v>0</v>
      </c>
      <c r="T344" s="144">
        <f t="shared" si="140"/>
        <v>0</v>
      </c>
      <c r="U344" s="169">
        <f t="shared" si="141"/>
        <v>0</v>
      </c>
      <c r="V344" s="143">
        <f t="shared" si="149"/>
        <v>0</v>
      </c>
      <c r="W344" s="144">
        <f t="shared" si="142"/>
        <v>0</v>
      </c>
      <c r="X344" s="144">
        <f t="shared" si="143"/>
        <v>0</v>
      </c>
      <c r="Y344" s="169">
        <f t="shared" si="144"/>
        <v>0</v>
      </c>
      <c r="Z344" s="151">
        <v>0</v>
      </c>
      <c r="AA344" s="151">
        <v>0</v>
      </c>
      <c r="AB344" s="151">
        <v>0</v>
      </c>
      <c r="AC344" s="151">
        <v>0</v>
      </c>
    </row>
    <row r="345" spans="1:29" s="61" customFormat="1" ht="11.25">
      <c r="A345" s="147">
        <f t="shared" si="130"/>
        <v>0</v>
      </c>
      <c r="B345" s="152">
        <f t="shared" si="131"/>
        <v>0</v>
      </c>
      <c r="C345" s="141">
        <f t="shared" si="132"/>
        <v>28</v>
      </c>
      <c r="D345" s="142">
        <v>326</v>
      </c>
      <c r="E345" s="143">
        <f t="shared" si="145"/>
        <v>0</v>
      </c>
      <c r="F345" s="144">
        <f t="shared" si="133"/>
        <v>0</v>
      </c>
      <c r="G345" s="144">
        <f t="shared" si="134"/>
        <v>0</v>
      </c>
      <c r="H345" s="169">
        <f t="shared" si="128"/>
        <v>0</v>
      </c>
      <c r="I345" s="143">
        <f t="shared" si="146"/>
        <v>0</v>
      </c>
      <c r="J345" s="144">
        <f t="shared" si="135"/>
        <v>0</v>
      </c>
      <c r="K345" s="144">
        <f t="shared" si="136"/>
        <v>0</v>
      </c>
      <c r="L345" s="169">
        <f t="shared" si="127"/>
        <v>0</v>
      </c>
      <c r="M345" s="143">
        <f t="shared" si="147"/>
        <v>0</v>
      </c>
      <c r="N345" s="144">
        <f t="shared" si="137"/>
        <v>0</v>
      </c>
      <c r="O345" s="144">
        <f t="shared" si="138"/>
        <v>0</v>
      </c>
      <c r="P345" s="169">
        <f t="shared" si="129"/>
        <v>0</v>
      </c>
      <c r="R345" s="143">
        <f t="shared" si="148"/>
        <v>0</v>
      </c>
      <c r="S345" s="144">
        <f t="shared" si="139"/>
        <v>0</v>
      </c>
      <c r="T345" s="144">
        <f t="shared" si="140"/>
        <v>0</v>
      </c>
      <c r="U345" s="169">
        <f t="shared" si="141"/>
        <v>0</v>
      </c>
      <c r="V345" s="143">
        <f t="shared" si="149"/>
        <v>0</v>
      </c>
      <c r="W345" s="144">
        <f t="shared" si="142"/>
        <v>0</v>
      </c>
      <c r="X345" s="144">
        <f t="shared" si="143"/>
        <v>0</v>
      </c>
      <c r="Y345" s="169">
        <f t="shared" si="144"/>
        <v>0</v>
      </c>
      <c r="Z345" s="151">
        <v>0</v>
      </c>
      <c r="AA345" s="151">
        <v>0</v>
      </c>
      <c r="AB345" s="151">
        <v>0</v>
      </c>
      <c r="AC345" s="151">
        <v>0</v>
      </c>
    </row>
    <row r="346" spans="1:29" s="61" customFormat="1" ht="11.25">
      <c r="A346" s="147">
        <f t="shared" si="130"/>
        <v>0</v>
      </c>
      <c r="B346" s="152">
        <f t="shared" si="131"/>
        <v>0</v>
      </c>
      <c r="C346" s="141">
        <f t="shared" si="132"/>
        <v>28</v>
      </c>
      <c r="D346" s="142">
        <v>327</v>
      </c>
      <c r="E346" s="143">
        <f t="shared" si="145"/>
        <v>0</v>
      </c>
      <c r="F346" s="144">
        <f t="shared" si="133"/>
        <v>0</v>
      </c>
      <c r="G346" s="144">
        <f t="shared" si="134"/>
        <v>0</v>
      </c>
      <c r="H346" s="169">
        <f t="shared" si="128"/>
        <v>0</v>
      </c>
      <c r="I346" s="143">
        <f t="shared" si="146"/>
        <v>0</v>
      </c>
      <c r="J346" s="144">
        <f t="shared" si="135"/>
        <v>0</v>
      </c>
      <c r="K346" s="144">
        <f t="shared" si="136"/>
        <v>0</v>
      </c>
      <c r="L346" s="169">
        <f t="shared" si="127"/>
        <v>0</v>
      </c>
      <c r="M346" s="143">
        <f t="shared" si="147"/>
        <v>0</v>
      </c>
      <c r="N346" s="144">
        <f t="shared" si="137"/>
        <v>0</v>
      </c>
      <c r="O346" s="144">
        <f t="shared" si="138"/>
        <v>0</v>
      </c>
      <c r="P346" s="169">
        <f t="shared" si="129"/>
        <v>0</v>
      </c>
      <c r="R346" s="143">
        <f t="shared" si="148"/>
        <v>0</v>
      </c>
      <c r="S346" s="144">
        <f t="shared" si="139"/>
        <v>0</v>
      </c>
      <c r="T346" s="144">
        <f t="shared" si="140"/>
        <v>0</v>
      </c>
      <c r="U346" s="169">
        <f t="shared" si="141"/>
        <v>0</v>
      </c>
      <c r="V346" s="143">
        <f t="shared" si="149"/>
        <v>0</v>
      </c>
      <c r="W346" s="144">
        <f t="shared" si="142"/>
        <v>0</v>
      </c>
      <c r="X346" s="144">
        <f t="shared" si="143"/>
        <v>0</v>
      </c>
      <c r="Y346" s="169">
        <f t="shared" si="144"/>
        <v>0</v>
      </c>
      <c r="Z346" s="151">
        <v>0</v>
      </c>
      <c r="AA346" s="151">
        <v>0</v>
      </c>
      <c r="AB346" s="151">
        <v>0</v>
      </c>
      <c r="AC346" s="151">
        <v>0</v>
      </c>
    </row>
    <row r="347" spans="1:29" s="61" customFormat="1" ht="11.25">
      <c r="A347" s="147">
        <f t="shared" si="130"/>
        <v>0</v>
      </c>
      <c r="B347" s="152">
        <f t="shared" si="131"/>
        <v>0</v>
      </c>
      <c r="C347" s="141">
        <f t="shared" si="132"/>
        <v>28</v>
      </c>
      <c r="D347" s="142">
        <v>328</v>
      </c>
      <c r="E347" s="143">
        <f t="shared" si="145"/>
        <v>0</v>
      </c>
      <c r="F347" s="144">
        <f t="shared" si="133"/>
        <v>0</v>
      </c>
      <c r="G347" s="144">
        <f t="shared" si="134"/>
        <v>0</v>
      </c>
      <c r="H347" s="169">
        <f t="shared" si="128"/>
        <v>0</v>
      </c>
      <c r="I347" s="143">
        <f t="shared" si="146"/>
        <v>0</v>
      </c>
      <c r="J347" s="144">
        <f t="shared" si="135"/>
        <v>0</v>
      </c>
      <c r="K347" s="144">
        <f t="shared" si="136"/>
        <v>0</v>
      </c>
      <c r="L347" s="169">
        <f t="shared" si="127"/>
        <v>0</v>
      </c>
      <c r="M347" s="143">
        <f t="shared" si="147"/>
        <v>0</v>
      </c>
      <c r="N347" s="144">
        <f t="shared" si="137"/>
        <v>0</v>
      </c>
      <c r="O347" s="144">
        <f t="shared" si="138"/>
        <v>0</v>
      </c>
      <c r="P347" s="169">
        <f t="shared" si="129"/>
        <v>0</v>
      </c>
      <c r="R347" s="143">
        <f t="shared" si="148"/>
        <v>0</v>
      </c>
      <c r="S347" s="144">
        <f t="shared" si="139"/>
        <v>0</v>
      </c>
      <c r="T347" s="144">
        <f t="shared" si="140"/>
        <v>0</v>
      </c>
      <c r="U347" s="169">
        <f t="shared" si="141"/>
        <v>0</v>
      </c>
      <c r="V347" s="143">
        <f t="shared" si="149"/>
        <v>0</v>
      </c>
      <c r="W347" s="144">
        <f t="shared" si="142"/>
        <v>0</v>
      </c>
      <c r="X347" s="144">
        <f t="shared" si="143"/>
        <v>0</v>
      </c>
      <c r="Y347" s="169">
        <f t="shared" si="144"/>
        <v>0</v>
      </c>
      <c r="Z347" s="151">
        <v>0</v>
      </c>
      <c r="AA347" s="151">
        <v>0</v>
      </c>
      <c r="AB347" s="151">
        <v>0</v>
      </c>
      <c r="AC347" s="151">
        <v>0</v>
      </c>
    </row>
    <row r="348" spans="1:29" s="61" customFormat="1" ht="11.25">
      <c r="A348" s="147">
        <f t="shared" si="130"/>
        <v>0</v>
      </c>
      <c r="B348" s="152">
        <f t="shared" si="131"/>
        <v>0</v>
      </c>
      <c r="C348" s="141">
        <f t="shared" si="132"/>
        <v>28</v>
      </c>
      <c r="D348" s="142">
        <v>329</v>
      </c>
      <c r="E348" s="143">
        <f t="shared" si="145"/>
        <v>0</v>
      </c>
      <c r="F348" s="144">
        <f t="shared" si="133"/>
        <v>0</v>
      </c>
      <c r="G348" s="144">
        <f t="shared" si="134"/>
        <v>0</v>
      </c>
      <c r="H348" s="169">
        <f t="shared" si="128"/>
        <v>0</v>
      </c>
      <c r="I348" s="143">
        <f t="shared" si="146"/>
        <v>0</v>
      </c>
      <c r="J348" s="144">
        <f t="shared" si="135"/>
        <v>0</v>
      </c>
      <c r="K348" s="144">
        <f t="shared" si="136"/>
        <v>0</v>
      </c>
      <c r="L348" s="169">
        <f t="shared" si="127"/>
        <v>0</v>
      </c>
      <c r="M348" s="143">
        <f t="shared" si="147"/>
        <v>0</v>
      </c>
      <c r="N348" s="144">
        <f t="shared" si="137"/>
        <v>0</v>
      </c>
      <c r="O348" s="144">
        <f t="shared" si="138"/>
        <v>0</v>
      </c>
      <c r="P348" s="169">
        <f t="shared" si="129"/>
        <v>0</v>
      </c>
      <c r="R348" s="143">
        <f t="shared" si="148"/>
        <v>0</v>
      </c>
      <c r="S348" s="144">
        <f t="shared" si="139"/>
        <v>0</v>
      </c>
      <c r="T348" s="144">
        <f t="shared" si="140"/>
        <v>0</v>
      </c>
      <c r="U348" s="169">
        <f t="shared" si="141"/>
        <v>0</v>
      </c>
      <c r="V348" s="143">
        <f t="shared" si="149"/>
        <v>0</v>
      </c>
      <c r="W348" s="144">
        <f t="shared" si="142"/>
        <v>0</v>
      </c>
      <c r="X348" s="144">
        <f t="shared" si="143"/>
        <v>0</v>
      </c>
      <c r="Y348" s="169">
        <f t="shared" si="144"/>
        <v>0</v>
      </c>
      <c r="Z348" s="151">
        <v>0</v>
      </c>
      <c r="AA348" s="151">
        <v>0</v>
      </c>
      <c r="AB348" s="151">
        <v>0</v>
      </c>
      <c r="AC348" s="151">
        <v>0</v>
      </c>
    </row>
    <row r="349" spans="1:29" s="61" customFormat="1" ht="11.25">
      <c r="A349" s="147">
        <f t="shared" si="130"/>
        <v>0</v>
      </c>
      <c r="B349" s="152">
        <f t="shared" si="131"/>
        <v>0</v>
      </c>
      <c r="C349" s="141">
        <f t="shared" si="132"/>
        <v>28</v>
      </c>
      <c r="D349" s="142">
        <v>330</v>
      </c>
      <c r="E349" s="143">
        <f t="shared" si="145"/>
        <v>0</v>
      </c>
      <c r="F349" s="144">
        <f t="shared" si="133"/>
        <v>0</v>
      </c>
      <c r="G349" s="144">
        <f t="shared" si="134"/>
        <v>0</v>
      </c>
      <c r="H349" s="169">
        <f t="shared" si="128"/>
        <v>0</v>
      </c>
      <c r="I349" s="143">
        <f t="shared" si="146"/>
        <v>0</v>
      </c>
      <c r="J349" s="144">
        <f t="shared" si="135"/>
        <v>0</v>
      </c>
      <c r="K349" s="144">
        <f t="shared" si="136"/>
        <v>0</v>
      </c>
      <c r="L349" s="169">
        <f t="shared" si="127"/>
        <v>0</v>
      </c>
      <c r="M349" s="143">
        <f t="shared" si="147"/>
        <v>0</v>
      </c>
      <c r="N349" s="144">
        <f t="shared" si="137"/>
        <v>0</v>
      </c>
      <c r="O349" s="144">
        <f t="shared" si="138"/>
        <v>0</v>
      </c>
      <c r="P349" s="169">
        <f t="shared" si="129"/>
        <v>0</v>
      </c>
      <c r="R349" s="143">
        <f t="shared" si="148"/>
        <v>0</v>
      </c>
      <c r="S349" s="144">
        <f t="shared" si="139"/>
        <v>0</v>
      </c>
      <c r="T349" s="144">
        <f t="shared" si="140"/>
        <v>0</v>
      </c>
      <c r="U349" s="169">
        <f t="shared" si="141"/>
        <v>0</v>
      </c>
      <c r="V349" s="143">
        <f t="shared" si="149"/>
        <v>0</v>
      </c>
      <c r="W349" s="144">
        <f t="shared" si="142"/>
        <v>0</v>
      </c>
      <c r="X349" s="144">
        <f t="shared" si="143"/>
        <v>0</v>
      </c>
      <c r="Y349" s="169">
        <f t="shared" si="144"/>
        <v>0</v>
      </c>
      <c r="Z349" s="151">
        <v>0</v>
      </c>
      <c r="AA349" s="151">
        <v>0</v>
      </c>
      <c r="AB349" s="151">
        <v>0</v>
      </c>
      <c r="AC349" s="151">
        <v>0</v>
      </c>
    </row>
    <row r="350" spans="1:29" s="61" customFormat="1" ht="11.25">
      <c r="A350" s="147">
        <f t="shared" si="130"/>
        <v>0</v>
      </c>
      <c r="B350" s="152">
        <f t="shared" si="131"/>
        <v>0</v>
      </c>
      <c r="C350" s="141">
        <f t="shared" si="132"/>
        <v>28</v>
      </c>
      <c r="D350" s="142">
        <v>331</v>
      </c>
      <c r="E350" s="143">
        <f t="shared" si="145"/>
        <v>0</v>
      </c>
      <c r="F350" s="144">
        <f t="shared" si="133"/>
        <v>0</v>
      </c>
      <c r="G350" s="144">
        <f t="shared" si="134"/>
        <v>0</v>
      </c>
      <c r="H350" s="169">
        <f t="shared" si="128"/>
        <v>0</v>
      </c>
      <c r="I350" s="143">
        <f t="shared" si="146"/>
        <v>0</v>
      </c>
      <c r="J350" s="144">
        <f t="shared" si="135"/>
        <v>0</v>
      </c>
      <c r="K350" s="144">
        <f t="shared" si="136"/>
        <v>0</v>
      </c>
      <c r="L350" s="169">
        <f t="shared" si="127"/>
        <v>0</v>
      </c>
      <c r="M350" s="143">
        <f t="shared" si="147"/>
        <v>0</v>
      </c>
      <c r="N350" s="144">
        <f t="shared" si="137"/>
        <v>0</v>
      </c>
      <c r="O350" s="144">
        <f t="shared" si="138"/>
        <v>0</v>
      </c>
      <c r="P350" s="169">
        <f t="shared" si="129"/>
        <v>0</v>
      </c>
      <c r="R350" s="143">
        <f t="shared" si="148"/>
        <v>0</v>
      </c>
      <c r="S350" s="144">
        <f t="shared" si="139"/>
        <v>0</v>
      </c>
      <c r="T350" s="144">
        <f t="shared" si="140"/>
        <v>0</v>
      </c>
      <c r="U350" s="169">
        <f t="shared" si="141"/>
        <v>0</v>
      </c>
      <c r="V350" s="143">
        <f t="shared" si="149"/>
        <v>0</v>
      </c>
      <c r="W350" s="144">
        <f t="shared" si="142"/>
        <v>0</v>
      </c>
      <c r="X350" s="144">
        <f t="shared" si="143"/>
        <v>0</v>
      </c>
      <c r="Y350" s="169">
        <f t="shared" si="144"/>
        <v>0</v>
      </c>
      <c r="Z350" s="151">
        <v>0</v>
      </c>
      <c r="AA350" s="151">
        <v>0</v>
      </c>
      <c r="AB350" s="151">
        <v>0</v>
      </c>
      <c r="AC350" s="151">
        <v>0</v>
      </c>
    </row>
    <row r="351" spans="1:29" s="61" customFormat="1" ht="11.25">
      <c r="A351" s="147">
        <f t="shared" si="130"/>
        <v>0</v>
      </c>
      <c r="B351" s="152">
        <f t="shared" si="131"/>
        <v>0</v>
      </c>
      <c r="C351" s="141">
        <f t="shared" si="132"/>
        <v>28</v>
      </c>
      <c r="D351" s="142">
        <v>332</v>
      </c>
      <c r="E351" s="143">
        <f t="shared" si="145"/>
        <v>0</v>
      </c>
      <c r="F351" s="144">
        <f t="shared" si="133"/>
        <v>0</v>
      </c>
      <c r="G351" s="144">
        <f t="shared" si="134"/>
        <v>0</v>
      </c>
      <c r="H351" s="169">
        <f t="shared" si="128"/>
        <v>0</v>
      </c>
      <c r="I351" s="143">
        <f t="shared" si="146"/>
        <v>0</v>
      </c>
      <c r="J351" s="144">
        <f t="shared" si="135"/>
        <v>0</v>
      </c>
      <c r="K351" s="144">
        <f t="shared" si="136"/>
        <v>0</v>
      </c>
      <c r="L351" s="169">
        <f t="shared" si="127"/>
        <v>0</v>
      </c>
      <c r="M351" s="143">
        <f t="shared" si="147"/>
        <v>0</v>
      </c>
      <c r="N351" s="144">
        <f t="shared" si="137"/>
        <v>0</v>
      </c>
      <c r="O351" s="144">
        <f t="shared" si="138"/>
        <v>0</v>
      </c>
      <c r="P351" s="169">
        <f t="shared" si="129"/>
        <v>0</v>
      </c>
      <c r="R351" s="143">
        <f t="shared" si="148"/>
        <v>0</v>
      </c>
      <c r="S351" s="144">
        <f t="shared" si="139"/>
        <v>0</v>
      </c>
      <c r="T351" s="144">
        <f t="shared" si="140"/>
        <v>0</v>
      </c>
      <c r="U351" s="169">
        <f t="shared" si="141"/>
        <v>0</v>
      </c>
      <c r="V351" s="143">
        <f t="shared" si="149"/>
        <v>0</v>
      </c>
      <c r="W351" s="144">
        <f t="shared" si="142"/>
        <v>0</v>
      </c>
      <c r="X351" s="144">
        <f t="shared" si="143"/>
        <v>0</v>
      </c>
      <c r="Y351" s="169">
        <f t="shared" si="144"/>
        <v>0</v>
      </c>
      <c r="Z351" s="151">
        <v>0</v>
      </c>
      <c r="AA351" s="151">
        <v>0</v>
      </c>
      <c r="AB351" s="151">
        <v>0</v>
      </c>
      <c r="AC351" s="151">
        <v>0</v>
      </c>
    </row>
    <row r="352" spans="1:29" s="61" customFormat="1" ht="11.25">
      <c r="A352" s="147">
        <f t="shared" si="130"/>
        <v>0</v>
      </c>
      <c r="B352" s="152">
        <f t="shared" si="131"/>
        <v>0</v>
      </c>
      <c r="C352" s="141">
        <f t="shared" si="132"/>
        <v>28</v>
      </c>
      <c r="D352" s="142">
        <v>333</v>
      </c>
      <c r="E352" s="143">
        <f t="shared" si="145"/>
        <v>0</v>
      </c>
      <c r="F352" s="144">
        <f t="shared" si="133"/>
        <v>0</v>
      </c>
      <c r="G352" s="144">
        <f t="shared" si="134"/>
        <v>0</v>
      </c>
      <c r="H352" s="169">
        <f t="shared" si="128"/>
        <v>0</v>
      </c>
      <c r="I352" s="143">
        <f t="shared" si="146"/>
        <v>0</v>
      </c>
      <c r="J352" s="144">
        <f t="shared" si="135"/>
        <v>0</v>
      </c>
      <c r="K352" s="144">
        <f t="shared" si="136"/>
        <v>0</v>
      </c>
      <c r="L352" s="169">
        <f t="shared" si="127"/>
        <v>0</v>
      </c>
      <c r="M352" s="143">
        <f t="shared" si="147"/>
        <v>0</v>
      </c>
      <c r="N352" s="144">
        <f t="shared" si="137"/>
        <v>0</v>
      </c>
      <c r="O352" s="144">
        <f t="shared" si="138"/>
        <v>0</v>
      </c>
      <c r="P352" s="169">
        <f t="shared" si="129"/>
        <v>0</v>
      </c>
      <c r="R352" s="143">
        <f t="shared" si="148"/>
        <v>0</v>
      </c>
      <c r="S352" s="144">
        <f t="shared" si="139"/>
        <v>0</v>
      </c>
      <c r="T352" s="144">
        <f t="shared" si="140"/>
        <v>0</v>
      </c>
      <c r="U352" s="169">
        <f t="shared" si="141"/>
        <v>0</v>
      </c>
      <c r="V352" s="143">
        <f t="shared" si="149"/>
        <v>0</v>
      </c>
      <c r="W352" s="144">
        <f t="shared" si="142"/>
        <v>0</v>
      </c>
      <c r="X352" s="144">
        <f t="shared" si="143"/>
        <v>0</v>
      </c>
      <c r="Y352" s="169">
        <f t="shared" si="144"/>
        <v>0</v>
      </c>
      <c r="Z352" s="151">
        <v>0</v>
      </c>
      <c r="AA352" s="151">
        <v>0</v>
      </c>
      <c r="AB352" s="151">
        <v>0</v>
      </c>
      <c r="AC352" s="151">
        <v>0</v>
      </c>
    </row>
    <row r="353" spans="1:29" s="61" customFormat="1" ht="11.25">
      <c r="A353" s="147">
        <f t="shared" si="130"/>
        <v>0</v>
      </c>
      <c r="B353" s="152">
        <f t="shared" si="131"/>
        <v>0</v>
      </c>
      <c r="C353" s="141">
        <f t="shared" si="132"/>
        <v>28</v>
      </c>
      <c r="D353" s="142">
        <v>334</v>
      </c>
      <c r="E353" s="143">
        <f t="shared" si="145"/>
        <v>0</v>
      </c>
      <c r="F353" s="144">
        <f t="shared" si="133"/>
        <v>0</v>
      </c>
      <c r="G353" s="144">
        <f t="shared" si="134"/>
        <v>0</v>
      </c>
      <c r="H353" s="169">
        <f t="shared" si="128"/>
        <v>0</v>
      </c>
      <c r="I353" s="143">
        <f t="shared" si="146"/>
        <v>0</v>
      </c>
      <c r="J353" s="144">
        <f t="shared" si="135"/>
        <v>0</v>
      </c>
      <c r="K353" s="144">
        <f t="shared" si="136"/>
        <v>0</v>
      </c>
      <c r="L353" s="169">
        <f t="shared" si="127"/>
        <v>0</v>
      </c>
      <c r="M353" s="143">
        <f t="shared" si="147"/>
        <v>0</v>
      </c>
      <c r="N353" s="144">
        <f t="shared" si="137"/>
        <v>0</v>
      </c>
      <c r="O353" s="144">
        <f t="shared" si="138"/>
        <v>0</v>
      </c>
      <c r="P353" s="169">
        <f t="shared" si="129"/>
        <v>0</v>
      </c>
      <c r="R353" s="143">
        <f t="shared" si="148"/>
        <v>0</v>
      </c>
      <c r="S353" s="144">
        <f t="shared" si="139"/>
        <v>0</v>
      </c>
      <c r="T353" s="144">
        <f t="shared" si="140"/>
        <v>0</v>
      </c>
      <c r="U353" s="169">
        <f t="shared" si="141"/>
        <v>0</v>
      </c>
      <c r="V353" s="143">
        <f t="shared" si="149"/>
        <v>0</v>
      </c>
      <c r="W353" s="144">
        <f t="shared" si="142"/>
        <v>0</v>
      </c>
      <c r="X353" s="144">
        <f t="shared" si="143"/>
        <v>0</v>
      </c>
      <c r="Y353" s="169">
        <f t="shared" si="144"/>
        <v>0</v>
      </c>
      <c r="Z353" s="151">
        <v>0</v>
      </c>
      <c r="AA353" s="151">
        <v>0</v>
      </c>
      <c r="AB353" s="151">
        <v>0</v>
      </c>
      <c r="AC353" s="151">
        <v>0</v>
      </c>
    </row>
    <row r="354" spans="1:29" s="61" customFormat="1" ht="11.25">
      <c r="A354" s="147">
        <f t="shared" si="130"/>
        <v>0</v>
      </c>
      <c r="B354" s="152">
        <f t="shared" si="131"/>
        <v>0</v>
      </c>
      <c r="C354" s="141">
        <f t="shared" si="132"/>
        <v>28</v>
      </c>
      <c r="D354" s="142">
        <v>335</v>
      </c>
      <c r="E354" s="143">
        <f t="shared" si="145"/>
        <v>0</v>
      </c>
      <c r="F354" s="144">
        <f t="shared" si="133"/>
        <v>0</v>
      </c>
      <c r="G354" s="144">
        <f t="shared" si="134"/>
        <v>0</v>
      </c>
      <c r="H354" s="169">
        <f t="shared" si="128"/>
        <v>0</v>
      </c>
      <c r="I354" s="143">
        <f t="shared" si="146"/>
        <v>0</v>
      </c>
      <c r="J354" s="144">
        <f t="shared" si="135"/>
        <v>0</v>
      </c>
      <c r="K354" s="144">
        <f t="shared" si="136"/>
        <v>0</v>
      </c>
      <c r="L354" s="169">
        <f t="shared" si="127"/>
        <v>0</v>
      </c>
      <c r="M354" s="143">
        <f t="shared" si="147"/>
        <v>0</v>
      </c>
      <c r="N354" s="144">
        <f t="shared" si="137"/>
        <v>0</v>
      </c>
      <c r="O354" s="144">
        <f t="shared" si="138"/>
        <v>0</v>
      </c>
      <c r="P354" s="169">
        <f t="shared" si="129"/>
        <v>0</v>
      </c>
      <c r="R354" s="143">
        <f t="shared" si="148"/>
        <v>0</v>
      </c>
      <c r="S354" s="144">
        <f t="shared" si="139"/>
        <v>0</v>
      </c>
      <c r="T354" s="144">
        <f t="shared" si="140"/>
        <v>0</v>
      </c>
      <c r="U354" s="169">
        <f t="shared" si="141"/>
        <v>0</v>
      </c>
      <c r="V354" s="143">
        <f t="shared" si="149"/>
        <v>0</v>
      </c>
      <c r="W354" s="144">
        <f t="shared" si="142"/>
        <v>0</v>
      </c>
      <c r="X354" s="144">
        <f t="shared" si="143"/>
        <v>0</v>
      </c>
      <c r="Y354" s="169">
        <f t="shared" si="144"/>
        <v>0</v>
      </c>
      <c r="Z354" s="151">
        <v>0</v>
      </c>
      <c r="AA354" s="151">
        <v>0</v>
      </c>
      <c r="AB354" s="151">
        <v>0</v>
      </c>
      <c r="AC354" s="151">
        <v>0</v>
      </c>
    </row>
    <row r="355" spans="1:29" s="61" customFormat="1" ht="12" thickBot="1">
      <c r="A355" s="153">
        <f t="shared" si="130"/>
        <v>0</v>
      </c>
      <c r="B355" s="154">
        <f t="shared" si="131"/>
        <v>0</v>
      </c>
      <c r="C355" s="155">
        <f t="shared" si="132"/>
        <v>28</v>
      </c>
      <c r="D355" s="156">
        <v>336</v>
      </c>
      <c r="E355" s="157">
        <f t="shared" si="145"/>
        <v>0</v>
      </c>
      <c r="F355" s="158">
        <f t="shared" si="133"/>
        <v>0</v>
      </c>
      <c r="G355" s="158">
        <f t="shared" si="134"/>
        <v>0</v>
      </c>
      <c r="H355" s="172">
        <f t="shared" si="128"/>
        <v>0</v>
      </c>
      <c r="I355" s="157">
        <f t="shared" si="146"/>
        <v>0</v>
      </c>
      <c r="J355" s="158">
        <f t="shared" si="135"/>
        <v>0</v>
      </c>
      <c r="K355" s="158">
        <f t="shared" si="136"/>
        <v>0</v>
      </c>
      <c r="L355" s="172">
        <f t="shared" si="127"/>
        <v>0</v>
      </c>
      <c r="M355" s="157">
        <f t="shared" si="147"/>
        <v>0</v>
      </c>
      <c r="N355" s="158">
        <f t="shared" si="137"/>
        <v>0</v>
      </c>
      <c r="O355" s="158">
        <f t="shared" si="138"/>
        <v>0</v>
      </c>
      <c r="P355" s="172">
        <f t="shared" si="129"/>
        <v>0</v>
      </c>
      <c r="R355" s="157">
        <f t="shared" si="148"/>
        <v>0</v>
      </c>
      <c r="S355" s="158">
        <f t="shared" si="139"/>
        <v>0</v>
      </c>
      <c r="T355" s="158">
        <f t="shared" si="140"/>
        <v>0</v>
      </c>
      <c r="U355" s="172">
        <f t="shared" si="141"/>
        <v>0</v>
      </c>
      <c r="V355" s="157">
        <f t="shared" si="149"/>
        <v>0</v>
      </c>
      <c r="W355" s="158">
        <f t="shared" si="142"/>
        <v>0</v>
      </c>
      <c r="X355" s="158">
        <f t="shared" si="143"/>
        <v>0</v>
      </c>
      <c r="Y355" s="172">
        <f t="shared" si="144"/>
        <v>0</v>
      </c>
      <c r="Z355" s="151">
        <v>0</v>
      </c>
      <c r="AA355" s="151">
        <v>0</v>
      </c>
      <c r="AB355" s="151">
        <v>0</v>
      </c>
      <c r="AC355" s="151">
        <v>0</v>
      </c>
    </row>
    <row r="356" spans="1:29" s="61" customFormat="1" ht="11.25">
      <c r="A356" s="147">
        <f t="shared" si="130"/>
        <v>0</v>
      </c>
      <c r="B356" s="152">
        <f t="shared" si="131"/>
        <v>0</v>
      </c>
      <c r="C356" s="141">
        <f t="shared" si="132"/>
        <v>29</v>
      </c>
      <c r="D356" s="142">
        <v>337</v>
      </c>
      <c r="E356" s="143">
        <f t="shared" si="145"/>
        <v>0</v>
      </c>
      <c r="F356" s="144">
        <f t="shared" si="133"/>
        <v>0</v>
      </c>
      <c r="G356" s="144">
        <f t="shared" si="134"/>
        <v>0</v>
      </c>
      <c r="H356" s="169">
        <f t="shared" si="128"/>
        <v>0</v>
      </c>
      <c r="I356" s="143">
        <f t="shared" si="146"/>
        <v>0</v>
      </c>
      <c r="J356" s="144">
        <f t="shared" si="135"/>
        <v>0</v>
      </c>
      <c r="K356" s="144">
        <f t="shared" si="136"/>
        <v>0</v>
      </c>
      <c r="L356" s="169">
        <f t="shared" si="127"/>
        <v>0</v>
      </c>
      <c r="M356" s="143">
        <f t="shared" si="147"/>
        <v>0</v>
      </c>
      <c r="N356" s="144">
        <f t="shared" si="137"/>
        <v>0</v>
      </c>
      <c r="O356" s="144">
        <f t="shared" si="138"/>
        <v>0</v>
      </c>
      <c r="P356" s="169">
        <f t="shared" si="129"/>
        <v>0</v>
      </c>
      <c r="R356" s="143">
        <f t="shared" si="148"/>
        <v>0</v>
      </c>
      <c r="S356" s="144">
        <f t="shared" si="139"/>
        <v>0</v>
      </c>
      <c r="T356" s="144">
        <f t="shared" si="140"/>
        <v>0</v>
      </c>
      <c r="U356" s="169">
        <f t="shared" si="141"/>
        <v>0</v>
      </c>
      <c r="V356" s="143">
        <f t="shared" si="149"/>
        <v>0</v>
      </c>
      <c r="W356" s="144">
        <f t="shared" si="142"/>
        <v>0</v>
      </c>
      <c r="X356" s="144">
        <f t="shared" si="143"/>
        <v>0</v>
      </c>
      <c r="Y356" s="169">
        <f t="shared" si="144"/>
        <v>0</v>
      </c>
      <c r="Z356" s="151">
        <v>0</v>
      </c>
      <c r="AA356" s="151">
        <v>0</v>
      </c>
      <c r="AB356" s="151">
        <v>0</v>
      </c>
      <c r="AC356" s="151">
        <v>0</v>
      </c>
    </row>
    <row r="357" spans="1:29" s="61" customFormat="1" ht="11.25">
      <c r="A357" s="147">
        <f t="shared" si="130"/>
        <v>0</v>
      </c>
      <c r="B357" s="152">
        <f t="shared" si="131"/>
        <v>0</v>
      </c>
      <c r="C357" s="141">
        <f t="shared" si="132"/>
        <v>29</v>
      </c>
      <c r="D357" s="142">
        <v>338</v>
      </c>
      <c r="E357" s="143">
        <f t="shared" si="145"/>
        <v>0</v>
      </c>
      <c r="F357" s="144">
        <f t="shared" si="133"/>
        <v>0</v>
      </c>
      <c r="G357" s="144">
        <f t="shared" si="134"/>
        <v>0</v>
      </c>
      <c r="H357" s="169">
        <f t="shared" si="128"/>
        <v>0</v>
      </c>
      <c r="I357" s="143">
        <f t="shared" si="146"/>
        <v>0</v>
      </c>
      <c r="J357" s="144">
        <f t="shared" si="135"/>
        <v>0</v>
      </c>
      <c r="K357" s="144">
        <f t="shared" si="136"/>
        <v>0</v>
      </c>
      <c r="L357" s="169">
        <f t="shared" si="127"/>
        <v>0</v>
      </c>
      <c r="M357" s="143">
        <f t="shared" si="147"/>
        <v>0</v>
      </c>
      <c r="N357" s="144">
        <f t="shared" si="137"/>
        <v>0</v>
      </c>
      <c r="O357" s="144">
        <f t="shared" si="138"/>
        <v>0</v>
      </c>
      <c r="P357" s="169">
        <f t="shared" si="129"/>
        <v>0</v>
      </c>
      <c r="R357" s="143">
        <f t="shared" si="148"/>
        <v>0</v>
      </c>
      <c r="S357" s="144">
        <f t="shared" si="139"/>
        <v>0</v>
      </c>
      <c r="T357" s="144">
        <f t="shared" si="140"/>
        <v>0</v>
      </c>
      <c r="U357" s="169">
        <f t="shared" si="141"/>
        <v>0</v>
      </c>
      <c r="V357" s="143">
        <f t="shared" si="149"/>
        <v>0</v>
      </c>
      <c r="W357" s="144">
        <f t="shared" si="142"/>
        <v>0</v>
      </c>
      <c r="X357" s="144">
        <f t="shared" si="143"/>
        <v>0</v>
      </c>
      <c r="Y357" s="169">
        <f t="shared" si="144"/>
        <v>0</v>
      </c>
      <c r="Z357" s="151">
        <v>0</v>
      </c>
      <c r="AA357" s="151">
        <v>0</v>
      </c>
      <c r="AB357" s="151">
        <v>0</v>
      </c>
      <c r="AC357" s="151">
        <v>0</v>
      </c>
    </row>
    <row r="358" spans="1:29" s="61" customFormat="1" ht="11.25">
      <c r="A358" s="147">
        <f t="shared" si="130"/>
        <v>0</v>
      </c>
      <c r="B358" s="152">
        <f t="shared" si="131"/>
        <v>0</v>
      </c>
      <c r="C358" s="141">
        <f t="shared" si="132"/>
        <v>29</v>
      </c>
      <c r="D358" s="142">
        <v>339</v>
      </c>
      <c r="E358" s="143">
        <f t="shared" si="145"/>
        <v>0</v>
      </c>
      <c r="F358" s="144">
        <f t="shared" si="133"/>
        <v>0</v>
      </c>
      <c r="G358" s="144">
        <f t="shared" si="134"/>
        <v>0</v>
      </c>
      <c r="H358" s="169">
        <f t="shared" si="128"/>
        <v>0</v>
      </c>
      <c r="I358" s="143">
        <f t="shared" si="146"/>
        <v>0</v>
      </c>
      <c r="J358" s="144">
        <f t="shared" si="135"/>
        <v>0</v>
      </c>
      <c r="K358" s="144">
        <f t="shared" si="136"/>
        <v>0</v>
      </c>
      <c r="L358" s="169">
        <f t="shared" si="127"/>
        <v>0</v>
      </c>
      <c r="M358" s="143">
        <f t="shared" si="147"/>
        <v>0</v>
      </c>
      <c r="N358" s="144">
        <f t="shared" si="137"/>
        <v>0</v>
      </c>
      <c r="O358" s="144">
        <f t="shared" si="138"/>
        <v>0</v>
      </c>
      <c r="P358" s="169">
        <f t="shared" si="129"/>
        <v>0</v>
      </c>
      <c r="R358" s="143">
        <f t="shared" si="148"/>
        <v>0</v>
      </c>
      <c r="S358" s="144">
        <f t="shared" si="139"/>
        <v>0</v>
      </c>
      <c r="T358" s="144">
        <f t="shared" si="140"/>
        <v>0</v>
      </c>
      <c r="U358" s="169">
        <f t="shared" si="141"/>
        <v>0</v>
      </c>
      <c r="V358" s="143">
        <f t="shared" si="149"/>
        <v>0</v>
      </c>
      <c r="W358" s="144">
        <f t="shared" si="142"/>
        <v>0</v>
      </c>
      <c r="X358" s="144">
        <f t="shared" si="143"/>
        <v>0</v>
      </c>
      <c r="Y358" s="169">
        <f t="shared" si="144"/>
        <v>0</v>
      </c>
      <c r="Z358" s="151">
        <v>0</v>
      </c>
      <c r="AA358" s="151">
        <v>0</v>
      </c>
      <c r="AB358" s="151">
        <v>0</v>
      </c>
      <c r="AC358" s="151">
        <v>0</v>
      </c>
    </row>
    <row r="359" spans="1:29" s="61" customFormat="1" ht="11.25">
      <c r="A359" s="147">
        <f t="shared" si="130"/>
        <v>0</v>
      </c>
      <c r="B359" s="152">
        <f t="shared" si="131"/>
        <v>0</v>
      </c>
      <c r="C359" s="141">
        <f t="shared" si="132"/>
        <v>29</v>
      </c>
      <c r="D359" s="142">
        <v>340</v>
      </c>
      <c r="E359" s="143">
        <f t="shared" si="145"/>
        <v>0</v>
      </c>
      <c r="F359" s="144">
        <f t="shared" si="133"/>
        <v>0</v>
      </c>
      <c r="G359" s="144">
        <f t="shared" si="134"/>
        <v>0</v>
      </c>
      <c r="H359" s="169">
        <f t="shared" si="128"/>
        <v>0</v>
      </c>
      <c r="I359" s="143">
        <f t="shared" si="146"/>
        <v>0</v>
      </c>
      <c r="J359" s="144">
        <f t="shared" si="135"/>
        <v>0</v>
      </c>
      <c r="K359" s="144">
        <f t="shared" si="136"/>
        <v>0</v>
      </c>
      <c r="L359" s="169">
        <f t="shared" si="127"/>
        <v>0</v>
      </c>
      <c r="M359" s="143">
        <f t="shared" si="147"/>
        <v>0</v>
      </c>
      <c r="N359" s="144">
        <f t="shared" si="137"/>
        <v>0</v>
      </c>
      <c r="O359" s="144">
        <f t="shared" si="138"/>
        <v>0</v>
      </c>
      <c r="P359" s="169">
        <f t="shared" si="129"/>
        <v>0</v>
      </c>
      <c r="R359" s="143">
        <f t="shared" si="148"/>
        <v>0</v>
      </c>
      <c r="S359" s="144">
        <f t="shared" si="139"/>
        <v>0</v>
      </c>
      <c r="T359" s="144">
        <f t="shared" si="140"/>
        <v>0</v>
      </c>
      <c r="U359" s="169">
        <f t="shared" si="141"/>
        <v>0</v>
      </c>
      <c r="V359" s="143">
        <f t="shared" si="149"/>
        <v>0</v>
      </c>
      <c r="W359" s="144">
        <f t="shared" si="142"/>
        <v>0</v>
      </c>
      <c r="X359" s="144">
        <f t="shared" si="143"/>
        <v>0</v>
      </c>
      <c r="Y359" s="169">
        <f t="shared" si="144"/>
        <v>0</v>
      </c>
      <c r="Z359" s="151">
        <v>0</v>
      </c>
      <c r="AA359" s="151">
        <v>0</v>
      </c>
      <c r="AB359" s="151">
        <v>0</v>
      </c>
      <c r="AC359" s="151">
        <v>0</v>
      </c>
    </row>
    <row r="360" spans="1:29" s="61" customFormat="1" ht="11.25">
      <c r="A360" s="147">
        <f t="shared" si="130"/>
        <v>0</v>
      </c>
      <c r="B360" s="152">
        <f t="shared" si="131"/>
        <v>0</v>
      </c>
      <c r="C360" s="141">
        <f t="shared" si="132"/>
        <v>29</v>
      </c>
      <c r="D360" s="142">
        <v>341</v>
      </c>
      <c r="E360" s="143">
        <f t="shared" si="145"/>
        <v>0</v>
      </c>
      <c r="F360" s="144">
        <f t="shared" si="133"/>
        <v>0</v>
      </c>
      <c r="G360" s="144">
        <f t="shared" si="134"/>
        <v>0</v>
      </c>
      <c r="H360" s="169">
        <f t="shared" si="128"/>
        <v>0</v>
      </c>
      <c r="I360" s="143">
        <f t="shared" si="146"/>
        <v>0</v>
      </c>
      <c r="J360" s="144">
        <f t="shared" si="135"/>
        <v>0</v>
      </c>
      <c r="K360" s="144">
        <f t="shared" si="136"/>
        <v>0</v>
      </c>
      <c r="L360" s="169">
        <f t="shared" si="127"/>
        <v>0</v>
      </c>
      <c r="M360" s="143">
        <f t="shared" si="147"/>
        <v>0</v>
      </c>
      <c r="N360" s="144">
        <f t="shared" si="137"/>
        <v>0</v>
      </c>
      <c r="O360" s="144">
        <f t="shared" si="138"/>
        <v>0</v>
      </c>
      <c r="P360" s="169">
        <f t="shared" si="129"/>
        <v>0</v>
      </c>
      <c r="R360" s="143">
        <f t="shared" si="148"/>
        <v>0</v>
      </c>
      <c r="S360" s="144">
        <f t="shared" si="139"/>
        <v>0</v>
      </c>
      <c r="T360" s="144">
        <f t="shared" si="140"/>
        <v>0</v>
      </c>
      <c r="U360" s="169">
        <f t="shared" si="141"/>
        <v>0</v>
      </c>
      <c r="V360" s="143">
        <f t="shared" si="149"/>
        <v>0</v>
      </c>
      <c r="W360" s="144">
        <f t="shared" si="142"/>
        <v>0</v>
      </c>
      <c r="X360" s="144">
        <f t="shared" si="143"/>
        <v>0</v>
      </c>
      <c r="Y360" s="169">
        <f t="shared" si="144"/>
        <v>0</v>
      </c>
      <c r="Z360" s="151">
        <v>0</v>
      </c>
      <c r="AA360" s="151">
        <v>0</v>
      </c>
      <c r="AB360" s="151">
        <v>0</v>
      </c>
      <c r="AC360" s="151">
        <v>0</v>
      </c>
    </row>
    <row r="361" spans="1:29" s="61" customFormat="1" ht="11.25">
      <c r="A361" s="147">
        <f t="shared" si="130"/>
        <v>0</v>
      </c>
      <c r="B361" s="152">
        <f t="shared" si="131"/>
        <v>0</v>
      </c>
      <c r="C361" s="141">
        <f t="shared" si="132"/>
        <v>29</v>
      </c>
      <c r="D361" s="142">
        <v>342</v>
      </c>
      <c r="E361" s="143">
        <f t="shared" si="145"/>
        <v>0</v>
      </c>
      <c r="F361" s="144">
        <f t="shared" si="133"/>
        <v>0</v>
      </c>
      <c r="G361" s="144">
        <f t="shared" si="134"/>
        <v>0</v>
      </c>
      <c r="H361" s="169">
        <f t="shared" si="128"/>
        <v>0</v>
      </c>
      <c r="I361" s="143">
        <f t="shared" si="146"/>
        <v>0</v>
      </c>
      <c r="J361" s="144">
        <f t="shared" si="135"/>
        <v>0</v>
      </c>
      <c r="K361" s="144">
        <f t="shared" si="136"/>
        <v>0</v>
      </c>
      <c r="L361" s="169">
        <f t="shared" si="127"/>
        <v>0</v>
      </c>
      <c r="M361" s="143">
        <f t="shared" si="147"/>
        <v>0</v>
      </c>
      <c r="N361" s="144">
        <f t="shared" si="137"/>
        <v>0</v>
      </c>
      <c r="O361" s="144">
        <f t="shared" si="138"/>
        <v>0</v>
      </c>
      <c r="P361" s="169">
        <f t="shared" si="129"/>
        <v>0</v>
      </c>
      <c r="R361" s="143">
        <f t="shared" si="148"/>
        <v>0</v>
      </c>
      <c r="S361" s="144">
        <f t="shared" si="139"/>
        <v>0</v>
      </c>
      <c r="T361" s="144">
        <f t="shared" si="140"/>
        <v>0</v>
      </c>
      <c r="U361" s="169">
        <f t="shared" si="141"/>
        <v>0</v>
      </c>
      <c r="V361" s="143">
        <f t="shared" si="149"/>
        <v>0</v>
      </c>
      <c r="W361" s="144">
        <f t="shared" si="142"/>
        <v>0</v>
      </c>
      <c r="X361" s="144">
        <f t="shared" si="143"/>
        <v>0</v>
      </c>
      <c r="Y361" s="169">
        <f t="shared" si="144"/>
        <v>0</v>
      </c>
      <c r="Z361" s="151">
        <v>0</v>
      </c>
      <c r="AA361" s="151">
        <v>0</v>
      </c>
      <c r="AB361" s="151">
        <v>0</v>
      </c>
      <c r="AC361" s="151">
        <v>0</v>
      </c>
    </row>
    <row r="362" spans="1:29" s="61" customFormat="1" ht="11.25">
      <c r="A362" s="147">
        <f t="shared" si="130"/>
        <v>0</v>
      </c>
      <c r="B362" s="152">
        <f t="shared" si="131"/>
        <v>0</v>
      </c>
      <c r="C362" s="141">
        <f t="shared" si="132"/>
        <v>29</v>
      </c>
      <c r="D362" s="142">
        <v>343</v>
      </c>
      <c r="E362" s="143">
        <f t="shared" si="145"/>
        <v>0</v>
      </c>
      <c r="F362" s="144">
        <f t="shared" si="133"/>
        <v>0</v>
      </c>
      <c r="G362" s="144">
        <f t="shared" si="134"/>
        <v>0</v>
      </c>
      <c r="H362" s="169">
        <f t="shared" si="128"/>
        <v>0</v>
      </c>
      <c r="I362" s="143">
        <f t="shared" si="146"/>
        <v>0</v>
      </c>
      <c r="J362" s="144">
        <f t="shared" si="135"/>
        <v>0</v>
      </c>
      <c r="K362" s="144">
        <f t="shared" si="136"/>
        <v>0</v>
      </c>
      <c r="L362" s="169">
        <f t="shared" si="127"/>
        <v>0</v>
      </c>
      <c r="M362" s="143">
        <f t="shared" si="147"/>
        <v>0</v>
      </c>
      <c r="N362" s="144">
        <f t="shared" si="137"/>
        <v>0</v>
      </c>
      <c r="O362" s="144">
        <f t="shared" si="138"/>
        <v>0</v>
      </c>
      <c r="P362" s="169">
        <f t="shared" si="129"/>
        <v>0</v>
      </c>
      <c r="R362" s="143">
        <f t="shared" si="148"/>
        <v>0</v>
      </c>
      <c r="S362" s="144">
        <f t="shared" si="139"/>
        <v>0</v>
      </c>
      <c r="T362" s="144">
        <f t="shared" si="140"/>
        <v>0</v>
      </c>
      <c r="U362" s="169">
        <f t="shared" si="141"/>
        <v>0</v>
      </c>
      <c r="V362" s="143">
        <f t="shared" si="149"/>
        <v>0</v>
      </c>
      <c r="W362" s="144">
        <f t="shared" si="142"/>
        <v>0</v>
      </c>
      <c r="X362" s="144">
        <f t="shared" si="143"/>
        <v>0</v>
      </c>
      <c r="Y362" s="169">
        <f t="shared" si="144"/>
        <v>0</v>
      </c>
      <c r="Z362" s="151">
        <v>0</v>
      </c>
      <c r="AA362" s="151">
        <v>0</v>
      </c>
      <c r="AB362" s="151">
        <v>0</v>
      </c>
      <c r="AC362" s="151">
        <v>0</v>
      </c>
    </row>
    <row r="363" spans="1:29" s="61" customFormat="1" ht="11.25">
      <c r="A363" s="147">
        <f t="shared" si="130"/>
        <v>0</v>
      </c>
      <c r="B363" s="152">
        <f t="shared" si="131"/>
        <v>0</v>
      </c>
      <c r="C363" s="141">
        <f t="shared" si="132"/>
        <v>29</v>
      </c>
      <c r="D363" s="142">
        <v>344</v>
      </c>
      <c r="E363" s="143">
        <f t="shared" si="145"/>
        <v>0</v>
      </c>
      <c r="F363" s="144">
        <f t="shared" si="133"/>
        <v>0</v>
      </c>
      <c r="G363" s="144">
        <f t="shared" si="134"/>
        <v>0</v>
      </c>
      <c r="H363" s="169">
        <f t="shared" si="128"/>
        <v>0</v>
      </c>
      <c r="I363" s="143">
        <f t="shared" si="146"/>
        <v>0</v>
      </c>
      <c r="J363" s="144">
        <f t="shared" si="135"/>
        <v>0</v>
      </c>
      <c r="K363" s="144">
        <f t="shared" si="136"/>
        <v>0</v>
      </c>
      <c r="L363" s="169">
        <f t="shared" si="127"/>
        <v>0</v>
      </c>
      <c r="M363" s="143">
        <f t="shared" si="147"/>
        <v>0</v>
      </c>
      <c r="N363" s="144">
        <f t="shared" si="137"/>
        <v>0</v>
      </c>
      <c r="O363" s="144">
        <f t="shared" si="138"/>
        <v>0</v>
      </c>
      <c r="P363" s="169">
        <f t="shared" si="129"/>
        <v>0</v>
      </c>
      <c r="R363" s="143">
        <f t="shared" si="148"/>
        <v>0</v>
      </c>
      <c r="S363" s="144">
        <f t="shared" si="139"/>
        <v>0</v>
      </c>
      <c r="T363" s="144">
        <f t="shared" si="140"/>
        <v>0</v>
      </c>
      <c r="U363" s="169">
        <f t="shared" si="141"/>
        <v>0</v>
      </c>
      <c r="V363" s="143">
        <f t="shared" si="149"/>
        <v>0</v>
      </c>
      <c r="W363" s="144">
        <f t="shared" si="142"/>
        <v>0</v>
      </c>
      <c r="X363" s="144">
        <f t="shared" si="143"/>
        <v>0</v>
      </c>
      <c r="Y363" s="169">
        <f t="shared" si="144"/>
        <v>0</v>
      </c>
      <c r="Z363" s="151">
        <v>0</v>
      </c>
      <c r="AA363" s="151">
        <v>0</v>
      </c>
      <c r="AB363" s="151">
        <v>0</v>
      </c>
      <c r="AC363" s="151">
        <v>0</v>
      </c>
    </row>
    <row r="364" spans="1:29" s="61" customFormat="1" ht="11.25">
      <c r="A364" s="147">
        <f t="shared" si="130"/>
        <v>0</v>
      </c>
      <c r="B364" s="152">
        <f t="shared" si="131"/>
        <v>0</v>
      </c>
      <c r="C364" s="141">
        <f t="shared" si="132"/>
        <v>29</v>
      </c>
      <c r="D364" s="142">
        <v>345</v>
      </c>
      <c r="E364" s="143">
        <f t="shared" si="145"/>
        <v>0</v>
      </c>
      <c r="F364" s="144">
        <f t="shared" si="133"/>
        <v>0</v>
      </c>
      <c r="G364" s="144">
        <f t="shared" si="134"/>
        <v>0</v>
      </c>
      <c r="H364" s="169">
        <f t="shared" si="128"/>
        <v>0</v>
      </c>
      <c r="I364" s="143">
        <f t="shared" si="146"/>
        <v>0</v>
      </c>
      <c r="J364" s="144">
        <f t="shared" si="135"/>
        <v>0</v>
      </c>
      <c r="K364" s="144">
        <f t="shared" si="136"/>
        <v>0</v>
      </c>
      <c r="L364" s="169">
        <f t="shared" si="127"/>
        <v>0</v>
      </c>
      <c r="M364" s="143">
        <f t="shared" si="147"/>
        <v>0</v>
      </c>
      <c r="N364" s="144">
        <f t="shared" si="137"/>
        <v>0</v>
      </c>
      <c r="O364" s="144">
        <f t="shared" si="138"/>
        <v>0</v>
      </c>
      <c r="P364" s="169">
        <f t="shared" si="129"/>
        <v>0</v>
      </c>
      <c r="R364" s="143">
        <f t="shared" si="148"/>
        <v>0</v>
      </c>
      <c r="S364" s="144">
        <f t="shared" si="139"/>
        <v>0</v>
      </c>
      <c r="T364" s="144">
        <f t="shared" si="140"/>
        <v>0</v>
      </c>
      <c r="U364" s="169">
        <f t="shared" si="141"/>
        <v>0</v>
      </c>
      <c r="V364" s="143">
        <f t="shared" si="149"/>
        <v>0</v>
      </c>
      <c r="W364" s="144">
        <f t="shared" si="142"/>
        <v>0</v>
      </c>
      <c r="X364" s="144">
        <f t="shared" si="143"/>
        <v>0</v>
      </c>
      <c r="Y364" s="169">
        <f t="shared" si="144"/>
        <v>0</v>
      </c>
      <c r="Z364" s="151">
        <v>0</v>
      </c>
      <c r="AA364" s="151">
        <v>0</v>
      </c>
      <c r="AB364" s="151">
        <v>0</v>
      </c>
      <c r="AC364" s="151">
        <v>0</v>
      </c>
    </row>
    <row r="365" spans="1:29" s="61" customFormat="1" ht="11.25">
      <c r="A365" s="147">
        <f t="shared" si="130"/>
        <v>0</v>
      </c>
      <c r="B365" s="152">
        <f t="shared" si="131"/>
        <v>0</v>
      </c>
      <c r="C365" s="141">
        <f t="shared" si="132"/>
        <v>29</v>
      </c>
      <c r="D365" s="142">
        <v>346</v>
      </c>
      <c r="E365" s="143">
        <f t="shared" si="145"/>
        <v>0</v>
      </c>
      <c r="F365" s="144">
        <f t="shared" si="133"/>
        <v>0</v>
      </c>
      <c r="G365" s="144">
        <f t="shared" si="134"/>
        <v>0</v>
      </c>
      <c r="H365" s="169">
        <f t="shared" si="128"/>
        <v>0</v>
      </c>
      <c r="I365" s="143">
        <f t="shared" si="146"/>
        <v>0</v>
      </c>
      <c r="J365" s="144">
        <f t="shared" si="135"/>
        <v>0</v>
      </c>
      <c r="K365" s="144">
        <f t="shared" si="136"/>
        <v>0</v>
      </c>
      <c r="L365" s="169">
        <f t="shared" si="127"/>
        <v>0</v>
      </c>
      <c r="M365" s="143">
        <f t="shared" si="147"/>
        <v>0</v>
      </c>
      <c r="N365" s="144">
        <f t="shared" si="137"/>
        <v>0</v>
      </c>
      <c r="O365" s="144">
        <f t="shared" si="138"/>
        <v>0</v>
      </c>
      <c r="P365" s="169">
        <f t="shared" si="129"/>
        <v>0</v>
      </c>
      <c r="R365" s="143">
        <f t="shared" si="148"/>
        <v>0</v>
      </c>
      <c r="S365" s="144">
        <f t="shared" si="139"/>
        <v>0</v>
      </c>
      <c r="T365" s="144">
        <f t="shared" si="140"/>
        <v>0</v>
      </c>
      <c r="U365" s="169">
        <f t="shared" si="141"/>
        <v>0</v>
      </c>
      <c r="V365" s="143">
        <f t="shared" si="149"/>
        <v>0</v>
      </c>
      <c r="W365" s="144">
        <f t="shared" si="142"/>
        <v>0</v>
      </c>
      <c r="X365" s="144">
        <f t="shared" si="143"/>
        <v>0</v>
      </c>
      <c r="Y365" s="169">
        <f t="shared" si="144"/>
        <v>0</v>
      </c>
      <c r="Z365" s="151">
        <v>0</v>
      </c>
      <c r="AA365" s="151">
        <v>0</v>
      </c>
      <c r="AB365" s="151">
        <v>0</v>
      </c>
      <c r="AC365" s="151">
        <v>0</v>
      </c>
    </row>
    <row r="366" spans="1:29" s="61" customFormat="1" ht="11.25">
      <c r="A366" s="147">
        <f t="shared" si="130"/>
        <v>0</v>
      </c>
      <c r="B366" s="152">
        <f t="shared" si="131"/>
        <v>0</v>
      </c>
      <c r="C366" s="141">
        <f t="shared" si="132"/>
        <v>29</v>
      </c>
      <c r="D366" s="142">
        <v>347</v>
      </c>
      <c r="E366" s="143">
        <f t="shared" si="145"/>
        <v>0</v>
      </c>
      <c r="F366" s="144">
        <f t="shared" si="133"/>
        <v>0</v>
      </c>
      <c r="G366" s="144">
        <f t="shared" si="134"/>
        <v>0</v>
      </c>
      <c r="H366" s="169">
        <f t="shared" si="128"/>
        <v>0</v>
      </c>
      <c r="I366" s="143">
        <f t="shared" si="146"/>
        <v>0</v>
      </c>
      <c r="J366" s="144">
        <f t="shared" si="135"/>
        <v>0</v>
      </c>
      <c r="K366" s="144">
        <f t="shared" si="136"/>
        <v>0</v>
      </c>
      <c r="L366" s="169">
        <f t="shared" si="127"/>
        <v>0</v>
      </c>
      <c r="M366" s="143">
        <f t="shared" si="147"/>
        <v>0</v>
      </c>
      <c r="N366" s="144">
        <f t="shared" si="137"/>
        <v>0</v>
      </c>
      <c r="O366" s="144">
        <f t="shared" si="138"/>
        <v>0</v>
      </c>
      <c r="P366" s="169">
        <f t="shared" si="129"/>
        <v>0</v>
      </c>
      <c r="R366" s="143">
        <f t="shared" si="148"/>
        <v>0</v>
      </c>
      <c r="S366" s="144">
        <f t="shared" si="139"/>
        <v>0</v>
      </c>
      <c r="T366" s="144">
        <f t="shared" si="140"/>
        <v>0</v>
      </c>
      <c r="U366" s="169">
        <f t="shared" si="141"/>
        <v>0</v>
      </c>
      <c r="V366" s="143">
        <f t="shared" si="149"/>
        <v>0</v>
      </c>
      <c r="W366" s="144">
        <f t="shared" si="142"/>
        <v>0</v>
      </c>
      <c r="X366" s="144">
        <f t="shared" si="143"/>
        <v>0</v>
      </c>
      <c r="Y366" s="169">
        <f t="shared" si="144"/>
        <v>0</v>
      </c>
      <c r="Z366" s="151">
        <v>0</v>
      </c>
      <c r="AA366" s="151">
        <v>0</v>
      </c>
      <c r="AB366" s="151">
        <v>0</v>
      </c>
      <c r="AC366" s="151">
        <v>0</v>
      </c>
    </row>
    <row r="367" spans="1:29" s="61" customFormat="1" ht="12" thickBot="1">
      <c r="A367" s="153">
        <f t="shared" si="130"/>
        <v>0</v>
      </c>
      <c r="B367" s="154">
        <f t="shared" si="131"/>
        <v>0</v>
      </c>
      <c r="C367" s="155">
        <f t="shared" si="132"/>
        <v>29</v>
      </c>
      <c r="D367" s="156">
        <v>348</v>
      </c>
      <c r="E367" s="157">
        <f t="shared" si="145"/>
        <v>0</v>
      </c>
      <c r="F367" s="158">
        <f t="shared" si="133"/>
        <v>0</v>
      </c>
      <c r="G367" s="158">
        <f t="shared" si="134"/>
        <v>0</v>
      </c>
      <c r="H367" s="172">
        <f t="shared" si="128"/>
        <v>0</v>
      </c>
      <c r="I367" s="157">
        <f t="shared" si="146"/>
        <v>0</v>
      </c>
      <c r="J367" s="158">
        <f t="shared" si="135"/>
        <v>0</v>
      </c>
      <c r="K367" s="158">
        <f t="shared" si="136"/>
        <v>0</v>
      </c>
      <c r="L367" s="172">
        <f t="shared" si="127"/>
        <v>0</v>
      </c>
      <c r="M367" s="157">
        <f t="shared" si="147"/>
        <v>0</v>
      </c>
      <c r="N367" s="158">
        <f t="shared" si="137"/>
        <v>0</v>
      </c>
      <c r="O367" s="158">
        <f t="shared" si="138"/>
        <v>0</v>
      </c>
      <c r="P367" s="172">
        <f t="shared" si="129"/>
        <v>0</v>
      </c>
      <c r="R367" s="157">
        <f t="shared" si="148"/>
        <v>0</v>
      </c>
      <c r="S367" s="158">
        <f t="shared" si="139"/>
        <v>0</v>
      </c>
      <c r="T367" s="158">
        <f t="shared" si="140"/>
        <v>0</v>
      </c>
      <c r="U367" s="172">
        <f t="shared" si="141"/>
        <v>0</v>
      </c>
      <c r="V367" s="157">
        <f t="shared" si="149"/>
        <v>0</v>
      </c>
      <c r="W367" s="158">
        <f t="shared" si="142"/>
        <v>0</v>
      </c>
      <c r="X367" s="158">
        <f t="shared" si="143"/>
        <v>0</v>
      </c>
      <c r="Y367" s="172">
        <f t="shared" si="144"/>
        <v>0</v>
      </c>
      <c r="Z367" s="151">
        <v>0</v>
      </c>
      <c r="AA367" s="151">
        <v>0</v>
      </c>
      <c r="AB367" s="151">
        <v>0</v>
      </c>
      <c r="AC367" s="151">
        <v>0</v>
      </c>
    </row>
    <row r="368" spans="1:29" s="61" customFormat="1" ht="11.25">
      <c r="A368" s="147">
        <f t="shared" si="130"/>
        <v>0</v>
      </c>
      <c r="B368" s="152">
        <f t="shared" si="131"/>
        <v>0</v>
      </c>
      <c r="C368" s="141">
        <f t="shared" si="132"/>
        <v>30</v>
      </c>
      <c r="D368" s="142">
        <v>349</v>
      </c>
      <c r="E368" s="143">
        <f t="shared" si="145"/>
        <v>0</v>
      </c>
      <c r="F368" s="144">
        <f t="shared" si="133"/>
        <v>0</v>
      </c>
      <c r="G368" s="144">
        <f t="shared" si="134"/>
        <v>0</v>
      </c>
      <c r="H368" s="169">
        <f t="shared" si="128"/>
        <v>0</v>
      </c>
      <c r="I368" s="143">
        <f t="shared" si="146"/>
        <v>0</v>
      </c>
      <c r="J368" s="144">
        <f t="shared" si="135"/>
        <v>0</v>
      </c>
      <c r="K368" s="144">
        <f t="shared" si="136"/>
        <v>0</v>
      </c>
      <c r="L368" s="169">
        <f t="shared" si="127"/>
        <v>0</v>
      </c>
      <c r="M368" s="143">
        <f t="shared" si="147"/>
        <v>0</v>
      </c>
      <c r="N368" s="144">
        <f t="shared" si="137"/>
        <v>0</v>
      </c>
      <c r="O368" s="144">
        <f t="shared" si="138"/>
        <v>0</v>
      </c>
      <c r="P368" s="169">
        <f t="shared" si="129"/>
        <v>0</v>
      </c>
      <c r="R368" s="143">
        <f t="shared" si="148"/>
        <v>0</v>
      </c>
      <c r="S368" s="144">
        <f t="shared" si="139"/>
        <v>0</v>
      </c>
      <c r="T368" s="144">
        <f t="shared" si="140"/>
        <v>0</v>
      </c>
      <c r="U368" s="169">
        <f t="shared" si="141"/>
        <v>0</v>
      </c>
      <c r="V368" s="143">
        <f t="shared" si="149"/>
        <v>0</v>
      </c>
      <c r="W368" s="144">
        <f t="shared" si="142"/>
        <v>0</v>
      </c>
      <c r="X368" s="144">
        <f t="shared" si="143"/>
        <v>0</v>
      </c>
      <c r="Y368" s="169">
        <f t="shared" si="144"/>
        <v>0</v>
      </c>
      <c r="Z368" s="151">
        <v>0</v>
      </c>
      <c r="AA368" s="151">
        <v>0</v>
      </c>
      <c r="AB368" s="151">
        <v>0</v>
      </c>
      <c r="AC368" s="151">
        <v>0</v>
      </c>
    </row>
    <row r="369" spans="1:29" s="61" customFormat="1" ht="11.25">
      <c r="A369" s="147">
        <f t="shared" si="130"/>
        <v>0</v>
      </c>
      <c r="B369" s="152">
        <f t="shared" si="131"/>
        <v>0</v>
      </c>
      <c r="C369" s="141">
        <f t="shared" si="132"/>
        <v>30</v>
      </c>
      <c r="D369" s="142">
        <v>350</v>
      </c>
      <c r="E369" s="143">
        <f t="shared" si="145"/>
        <v>0</v>
      </c>
      <c r="F369" s="144">
        <f t="shared" si="133"/>
        <v>0</v>
      </c>
      <c r="G369" s="144">
        <f t="shared" si="134"/>
        <v>0</v>
      </c>
      <c r="H369" s="169">
        <f t="shared" si="128"/>
        <v>0</v>
      </c>
      <c r="I369" s="143">
        <f t="shared" si="146"/>
        <v>0</v>
      </c>
      <c r="J369" s="144">
        <f t="shared" si="135"/>
        <v>0</v>
      </c>
      <c r="K369" s="144">
        <f t="shared" si="136"/>
        <v>0</v>
      </c>
      <c r="L369" s="169">
        <f t="shared" si="127"/>
        <v>0</v>
      </c>
      <c r="M369" s="143">
        <f t="shared" si="147"/>
        <v>0</v>
      </c>
      <c r="N369" s="144">
        <f t="shared" si="137"/>
        <v>0</v>
      </c>
      <c r="O369" s="144">
        <f t="shared" si="138"/>
        <v>0</v>
      </c>
      <c r="P369" s="169">
        <f t="shared" si="129"/>
        <v>0</v>
      </c>
      <c r="R369" s="143">
        <f t="shared" si="148"/>
        <v>0</v>
      </c>
      <c r="S369" s="144">
        <f t="shared" si="139"/>
        <v>0</v>
      </c>
      <c r="T369" s="144">
        <f t="shared" si="140"/>
        <v>0</v>
      </c>
      <c r="U369" s="169">
        <f t="shared" si="141"/>
        <v>0</v>
      </c>
      <c r="V369" s="143">
        <f t="shared" si="149"/>
        <v>0</v>
      </c>
      <c r="W369" s="144">
        <f t="shared" si="142"/>
        <v>0</v>
      </c>
      <c r="X369" s="144">
        <f t="shared" si="143"/>
        <v>0</v>
      </c>
      <c r="Y369" s="169">
        <f t="shared" si="144"/>
        <v>0</v>
      </c>
      <c r="Z369" s="151">
        <v>0</v>
      </c>
      <c r="AA369" s="151">
        <v>0</v>
      </c>
      <c r="AB369" s="151">
        <v>0</v>
      </c>
      <c r="AC369" s="151">
        <v>0</v>
      </c>
    </row>
    <row r="370" spans="1:29" s="61" customFormat="1" ht="11.25">
      <c r="A370" s="147">
        <f t="shared" si="130"/>
        <v>0</v>
      </c>
      <c r="B370" s="152">
        <f t="shared" si="131"/>
        <v>0</v>
      </c>
      <c r="C370" s="141">
        <f t="shared" si="132"/>
        <v>30</v>
      </c>
      <c r="D370" s="142">
        <v>351</v>
      </c>
      <c r="E370" s="143">
        <f t="shared" si="145"/>
        <v>0</v>
      </c>
      <c r="F370" s="144">
        <f t="shared" si="133"/>
        <v>0</v>
      </c>
      <c r="G370" s="144">
        <f t="shared" si="134"/>
        <v>0</v>
      </c>
      <c r="H370" s="169">
        <f t="shared" si="128"/>
        <v>0</v>
      </c>
      <c r="I370" s="143">
        <f t="shared" si="146"/>
        <v>0</v>
      </c>
      <c r="J370" s="144">
        <f t="shared" si="135"/>
        <v>0</v>
      </c>
      <c r="K370" s="144">
        <f t="shared" si="136"/>
        <v>0</v>
      </c>
      <c r="L370" s="169">
        <f t="shared" si="127"/>
        <v>0</v>
      </c>
      <c r="M370" s="143">
        <f t="shared" si="147"/>
        <v>0</v>
      </c>
      <c r="N370" s="144">
        <f t="shared" si="137"/>
        <v>0</v>
      </c>
      <c r="O370" s="144">
        <f t="shared" si="138"/>
        <v>0</v>
      </c>
      <c r="P370" s="169">
        <f t="shared" si="129"/>
        <v>0</v>
      </c>
      <c r="R370" s="143">
        <f t="shared" si="148"/>
        <v>0</v>
      </c>
      <c r="S370" s="144">
        <f t="shared" si="139"/>
        <v>0</v>
      </c>
      <c r="T370" s="144">
        <f t="shared" si="140"/>
        <v>0</v>
      </c>
      <c r="U370" s="169">
        <f t="shared" si="141"/>
        <v>0</v>
      </c>
      <c r="V370" s="143">
        <f t="shared" si="149"/>
        <v>0</v>
      </c>
      <c r="W370" s="144">
        <f t="shared" si="142"/>
        <v>0</v>
      </c>
      <c r="X370" s="144">
        <f t="shared" si="143"/>
        <v>0</v>
      </c>
      <c r="Y370" s="169">
        <f t="shared" si="144"/>
        <v>0</v>
      </c>
      <c r="Z370" s="151">
        <v>0</v>
      </c>
      <c r="AA370" s="151">
        <v>0</v>
      </c>
      <c r="AB370" s="151">
        <v>0</v>
      </c>
      <c r="AC370" s="151">
        <v>0</v>
      </c>
    </row>
    <row r="371" spans="1:29" s="61" customFormat="1" ht="11.25">
      <c r="A371" s="147">
        <f t="shared" si="130"/>
        <v>0</v>
      </c>
      <c r="B371" s="152">
        <f t="shared" si="131"/>
        <v>0</v>
      </c>
      <c r="C371" s="141">
        <f t="shared" si="132"/>
        <v>30</v>
      </c>
      <c r="D371" s="142">
        <v>352</v>
      </c>
      <c r="E371" s="143">
        <f t="shared" si="145"/>
        <v>0</v>
      </c>
      <c r="F371" s="144">
        <f t="shared" si="133"/>
        <v>0</v>
      </c>
      <c r="G371" s="144">
        <f t="shared" si="134"/>
        <v>0</v>
      </c>
      <c r="H371" s="169">
        <f t="shared" si="128"/>
        <v>0</v>
      </c>
      <c r="I371" s="143">
        <f t="shared" si="146"/>
        <v>0</v>
      </c>
      <c r="J371" s="144">
        <f t="shared" si="135"/>
        <v>0</v>
      </c>
      <c r="K371" s="144">
        <f t="shared" si="136"/>
        <v>0</v>
      </c>
      <c r="L371" s="169">
        <f t="shared" si="127"/>
        <v>0</v>
      </c>
      <c r="M371" s="143">
        <f t="shared" si="147"/>
        <v>0</v>
      </c>
      <c r="N371" s="144">
        <f t="shared" si="137"/>
        <v>0</v>
      </c>
      <c r="O371" s="144">
        <f t="shared" si="138"/>
        <v>0</v>
      </c>
      <c r="P371" s="169">
        <f t="shared" si="129"/>
        <v>0</v>
      </c>
      <c r="R371" s="143">
        <f t="shared" si="148"/>
        <v>0</v>
      </c>
      <c r="S371" s="144">
        <f t="shared" si="139"/>
        <v>0</v>
      </c>
      <c r="T371" s="144">
        <f t="shared" si="140"/>
        <v>0</v>
      </c>
      <c r="U371" s="169">
        <f t="shared" si="141"/>
        <v>0</v>
      </c>
      <c r="V371" s="143">
        <f t="shared" si="149"/>
        <v>0</v>
      </c>
      <c r="W371" s="144">
        <f t="shared" si="142"/>
        <v>0</v>
      </c>
      <c r="X371" s="144">
        <f t="shared" si="143"/>
        <v>0</v>
      </c>
      <c r="Y371" s="169">
        <f t="shared" si="144"/>
        <v>0</v>
      </c>
      <c r="Z371" s="151">
        <v>0</v>
      </c>
      <c r="AA371" s="151">
        <v>0</v>
      </c>
      <c r="AB371" s="151">
        <v>0</v>
      </c>
      <c r="AC371" s="151">
        <v>0</v>
      </c>
    </row>
    <row r="372" spans="1:29" s="61" customFormat="1" ht="11.25">
      <c r="A372" s="147">
        <f t="shared" si="130"/>
        <v>0</v>
      </c>
      <c r="B372" s="152">
        <f t="shared" si="131"/>
        <v>0</v>
      </c>
      <c r="C372" s="141">
        <f t="shared" si="132"/>
        <v>30</v>
      </c>
      <c r="D372" s="142">
        <v>353</v>
      </c>
      <c r="E372" s="143">
        <f t="shared" si="145"/>
        <v>0</v>
      </c>
      <c r="F372" s="144">
        <f t="shared" si="133"/>
        <v>0</v>
      </c>
      <c r="G372" s="144">
        <f t="shared" si="134"/>
        <v>0</v>
      </c>
      <c r="H372" s="169">
        <f t="shared" si="128"/>
        <v>0</v>
      </c>
      <c r="I372" s="143">
        <f t="shared" si="146"/>
        <v>0</v>
      </c>
      <c r="J372" s="144">
        <f t="shared" si="135"/>
        <v>0</v>
      </c>
      <c r="K372" s="144">
        <f t="shared" si="136"/>
        <v>0</v>
      </c>
      <c r="L372" s="169">
        <f t="shared" si="127"/>
        <v>0</v>
      </c>
      <c r="M372" s="143">
        <f t="shared" si="147"/>
        <v>0</v>
      </c>
      <c r="N372" s="144">
        <f t="shared" si="137"/>
        <v>0</v>
      </c>
      <c r="O372" s="144">
        <f t="shared" si="138"/>
        <v>0</v>
      </c>
      <c r="P372" s="169">
        <f t="shared" si="129"/>
        <v>0</v>
      </c>
      <c r="R372" s="143">
        <f t="shared" si="148"/>
        <v>0</v>
      </c>
      <c r="S372" s="144">
        <f t="shared" si="139"/>
        <v>0</v>
      </c>
      <c r="T372" s="144">
        <f t="shared" si="140"/>
        <v>0</v>
      </c>
      <c r="U372" s="169">
        <f t="shared" si="141"/>
        <v>0</v>
      </c>
      <c r="V372" s="143">
        <f t="shared" si="149"/>
        <v>0</v>
      </c>
      <c r="W372" s="144">
        <f t="shared" si="142"/>
        <v>0</v>
      </c>
      <c r="X372" s="144">
        <f t="shared" si="143"/>
        <v>0</v>
      </c>
      <c r="Y372" s="169">
        <f t="shared" si="144"/>
        <v>0</v>
      </c>
      <c r="Z372" s="151">
        <v>0</v>
      </c>
      <c r="AA372" s="151">
        <v>0</v>
      </c>
      <c r="AB372" s="151">
        <v>0</v>
      </c>
      <c r="AC372" s="151">
        <v>0</v>
      </c>
    </row>
    <row r="373" spans="1:29" s="61" customFormat="1" ht="11.25">
      <c r="A373" s="147">
        <f t="shared" si="130"/>
        <v>0</v>
      </c>
      <c r="B373" s="152">
        <f t="shared" si="131"/>
        <v>0</v>
      </c>
      <c r="C373" s="141">
        <f t="shared" si="132"/>
        <v>30</v>
      </c>
      <c r="D373" s="142">
        <v>354</v>
      </c>
      <c r="E373" s="143">
        <f t="shared" si="145"/>
        <v>0</v>
      </c>
      <c r="F373" s="144">
        <f t="shared" si="133"/>
        <v>0</v>
      </c>
      <c r="G373" s="144">
        <f t="shared" si="134"/>
        <v>0</v>
      </c>
      <c r="H373" s="169">
        <f t="shared" si="128"/>
        <v>0</v>
      </c>
      <c r="I373" s="143">
        <f t="shared" si="146"/>
        <v>0</v>
      </c>
      <c r="J373" s="144">
        <f t="shared" si="135"/>
        <v>0</v>
      </c>
      <c r="K373" s="144">
        <f t="shared" si="136"/>
        <v>0</v>
      </c>
      <c r="L373" s="169">
        <f t="shared" si="127"/>
        <v>0</v>
      </c>
      <c r="M373" s="143">
        <f t="shared" si="147"/>
        <v>0</v>
      </c>
      <c r="N373" s="144">
        <f t="shared" si="137"/>
        <v>0</v>
      </c>
      <c r="O373" s="144">
        <f t="shared" si="138"/>
        <v>0</v>
      </c>
      <c r="P373" s="169">
        <f t="shared" si="129"/>
        <v>0</v>
      </c>
      <c r="R373" s="143">
        <f t="shared" si="148"/>
        <v>0</v>
      </c>
      <c r="S373" s="144">
        <f t="shared" si="139"/>
        <v>0</v>
      </c>
      <c r="T373" s="144">
        <f t="shared" si="140"/>
        <v>0</v>
      </c>
      <c r="U373" s="169">
        <f t="shared" si="141"/>
        <v>0</v>
      </c>
      <c r="V373" s="143">
        <f t="shared" si="149"/>
        <v>0</v>
      </c>
      <c r="W373" s="144">
        <f t="shared" si="142"/>
        <v>0</v>
      </c>
      <c r="X373" s="144">
        <f t="shared" si="143"/>
        <v>0</v>
      </c>
      <c r="Y373" s="169">
        <f t="shared" si="144"/>
        <v>0</v>
      </c>
      <c r="Z373" s="151">
        <v>0</v>
      </c>
      <c r="AA373" s="151">
        <v>0</v>
      </c>
      <c r="AB373" s="151">
        <v>0</v>
      </c>
      <c r="AC373" s="151">
        <v>0</v>
      </c>
    </row>
    <row r="374" spans="1:29" s="61" customFormat="1" ht="11.25">
      <c r="A374" s="147">
        <f t="shared" si="130"/>
        <v>0</v>
      </c>
      <c r="B374" s="152">
        <f t="shared" si="131"/>
        <v>0</v>
      </c>
      <c r="C374" s="141">
        <f t="shared" si="132"/>
        <v>30</v>
      </c>
      <c r="D374" s="142">
        <v>355</v>
      </c>
      <c r="E374" s="143">
        <f t="shared" si="145"/>
        <v>0</v>
      </c>
      <c r="F374" s="144">
        <f t="shared" si="133"/>
        <v>0</v>
      </c>
      <c r="G374" s="144">
        <f t="shared" si="134"/>
        <v>0</v>
      </c>
      <c r="H374" s="169">
        <f t="shared" si="128"/>
        <v>0</v>
      </c>
      <c r="I374" s="143">
        <f t="shared" si="146"/>
        <v>0</v>
      </c>
      <c r="J374" s="144">
        <f t="shared" si="135"/>
        <v>0</v>
      </c>
      <c r="K374" s="144">
        <f t="shared" si="136"/>
        <v>0</v>
      </c>
      <c r="L374" s="169">
        <f t="shared" si="127"/>
        <v>0</v>
      </c>
      <c r="M374" s="143">
        <f t="shared" si="147"/>
        <v>0</v>
      </c>
      <c r="N374" s="144">
        <f t="shared" si="137"/>
        <v>0</v>
      </c>
      <c r="O374" s="144">
        <f t="shared" si="138"/>
        <v>0</v>
      </c>
      <c r="P374" s="169">
        <f t="shared" si="129"/>
        <v>0</v>
      </c>
      <c r="R374" s="143">
        <f t="shared" si="148"/>
        <v>0</v>
      </c>
      <c r="S374" s="144">
        <f t="shared" si="139"/>
        <v>0</v>
      </c>
      <c r="T374" s="144">
        <f t="shared" si="140"/>
        <v>0</v>
      </c>
      <c r="U374" s="169">
        <f t="shared" si="141"/>
        <v>0</v>
      </c>
      <c r="V374" s="143">
        <f t="shared" si="149"/>
        <v>0</v>
      </c>
      <c r="W374" s="144">
        <f t="shared" si="142"/>
        <v>0</v>
      </c>
      <c r="X374" s="144">
        <f t="shared" si="143"/>
        <v>0</v>
      </c>
      <c r="Y374" s="169">
        <f t="shared" si="144"/>
        <v>0</v>
      </c>
      <c r="Z374" s="151">
        <v>0</v>
      </c>
      <c r="AA374" s="151">
        <v>0</v>
      </c>
      <c r="AB374" s="151">
        <v>0</v>
      </c>
      <c r="AC374" s="151">
        <v>0</v>
      </c>
    </row>
    <row r="375" spans="1:29" s="61" customFormat="1" ht="11.25">
      <c r="A375" s="147">
        <f t="shared" si="130"/>
        <v>0</v>
      </c>
      <c r="B375" s="152">
        <f t="shared" si="131"/>
        <v>0</v>
      </c>
      <c r="C375" s="141">
        <f t="shared" si="132"/>
        <v>30</v>
      </c>
      <c r="D375" s="142">
        <v>356</v>
      </c>
      <c r="E375" s="143">
        <f t="shared" si="145"/>
        <v>0</v>
      </c>
      <c r="F375" s="144">
        <f t="shared" si="133"/>
        <v>0</v>
      </c>
      <c r="G375" s="144">
        <f t="shared" si="134"/>
        <v>0</v>
      </c>
      <c r="H375" s="169">
        <f t="shared" si="128"/>
        <v>0</v>
      </c>
      <c r="I375" s="143">
        <f t="shared" si="146"/>
        <v>0</v>
      </c>
      <c r="J375" s="144">
        <f t="shared" si="135"/>
        <v>0</v>
      </c>
      <c r="K375" s="144">
        <f t="shared" si="136"/>
        <v>0</v>
      </c>
      <c r="L375" s="169">
        <f t="shared" si="127"/>
        <v>0</v>
      </c>
      <c r="M375" s="143">
        <f t="shared" si="147"/>
        <v>0</v>
      </c>
      <c r="N375" s="144">
        <f t="shared" si="137"/>
        <v>0</v>
      </c>
      <c r="O375" s="144">
        <f t="shared" si="138"/>
        <v>0</v>
      </c>
      <c r="P375" s="169">
        <f t="shared" si="129"/>
        <v>0</v>
      </c>
      <c r="R375" s="143">
        <f t="shared" si="148"/>
        <v>0</v>
      </c>
      <c r="S375" s="144">
        <f t="shared" si="139"/>
        <v>0</v>
      </c>
      <c r="T375" s="144">
        <f t="shared" si="140"/>
        <v>0</v>
      </c>
      <c r="U375" s="169">
        <f t="shared" si="141"/>
        <v>0</v>
      </c>
      <c r="V375" s="143">
        <f t="shared" si="149"/>
        <v>0</v>
      </c>
      <c r="W375" s="144">
        <f t="shared" si="142"/>
        <v>0</v>
      </c>
      <c r="X375" s="144">
        <f t="shared" si="143"/>
        <v>0</v>
      </c>
      <c r="Y375" s="169">
        <f t="shared" si="144"/>
        <v>0</v>
      </c>
      <c r="Z375" s="151">
        <v>0</v>
      </c>
      <c r="AA375" s="151">
        <v>0</v>
      </c>
      <c r="AB375" s="151">
        <v>0</v>
      </c>
      <c r="AC375" s="151">
        <v>0</v>
      </c>
    </row>
    <row r="376" spans="1:29" s="61" customFormat="1" ht="11.25">
      <c r="A376" s="147">
        <f t="shared" si="130"/>
        <v>0</v>
      </c>
      <c r="B376" s="152">
        <f t="shared" si="131"/>
        <v>0</v>
      </c>
      <c r="C376" s="141">
        <f t="shared" si="132"/>
        <v>30</v>
      </c>
      <c r="D376" s="142">
        <v>357</v>
      </c>
      <c r="E376" s="143">
        <f t="shared" si="145"/>
        <v>0</v>
      </c>
      <c r="F376" s="144">
        <f t="shared" si="133"/>
        <v>0</v>
      </c>
      <c r="G376" s="144">
        <f t="shared" si="134"/>
        <v>0</v>
      </c>
      <c r="H376" s="169">
        <f t="shared" si="128"/>
        <v>0</v>
      </c>
      <c r="I376" s="143">
        <f t="shared" si="146"/>
        <v>0</v>
      </c>
      <c r="J376" s="144">
        <f t="shared" si="135"/>
        <v>0</v>
      </c>
      <c r="K376" s="144">
        <f t="shared" si="136"/>
        <v>0</v>
      </c>
      <c r="L376" s="169">
        <f t="shared" si="127"/>
        <v>0</v>
      </c>
      <c r="M376" s="143">
        <f t="shared" si="147"/>
        <v>0</v>
      </c>
      <c r="N376" s="144">
        <f t="shared" si="137"/>
        <v>0</v>
      </c>
      <c r="O376" s="144">
        <f t="shared" si="138"/>
        <v>0</v>
      </c>
      <c r="P376" s="169">
        <f t="shared" si="129"/>
        <v>0</v>
      </c>
      <c r="R376" s="143">
        <f t="shared" si="148"/>
        <v>0</v>
      </c>
      <c r="S376" s="144">
        <f t="shared" si="139"/>
        <v>0</v>
      </c>
      <c r="T376" s="144">
        <f t="shared" si="140"/>
        <v>0</v>
      </c>
      <c r="U376" s="169">
        <f t="shared" si="141"/>
        <v>0</v>
      </c>
      <c r="V376" s="143">
        <f t="shared" si="149"/>
        <v>0</v>
      </c>
      <c r="W376" s="144">
        <f t="shared" si="142"/>
        <v>0</v>
      </c>
      <c r="X376" s="144">
        <f t="shared" si="143"/>
        <v>0</v>
      </c>
      <c r="Y376" s="169">
        <f t="shared" si="144"/>
        <v>0</v>
      </c>
      <c r="Z376" s="151">
        <v>0</v>
      </c>
      <c r="AA376" s="151">
        <v>0</v>
      </c>
      <c r="AB376" s="151">
        <v>0</v>
      </c>
      <c r="AC376" s="151">
        <v>0</v>
      </c>
    </row>
    <row r="377" spans="1:29" s="61" customFormat="1" ht="11.25">
      <c r="A377" s="147">
        <f t="shared" si="130"/>
        <v>0</v>
      </c>
      <c r="B377" s="152">
        <f t="shared" si="131"/>
        <v>0</v>
      </c>
      <c r="C377" s="141">
        <f t="shared" si="132"/>
        <v>30</v>
      </c>
      <c r="D377" s="142">
        <v>358</v>
      </c>
      <c r="E377" s="143">
        <f t="shared" si="145"/>
        <v>0</v>
      </c>
      <c r="F377" s="144">
        <f t="shared" si="133"/>
        <v>0</v>
      </c>
      <c r="G377" s="144">
        <f t="shared" si="134"/>
        <v>0</v>
      </c>
      <c r="H377" s="169">
        <f t="shared" si="128"/>
        <v>0</v>
      </c>
      <c r="I377" s="143">
        <f t="shared" si="146"/>
        <v>0</v>
      </c>
      <c r="J377" s="144">
        <f t="shared" si="135"/>
        <v>0</v>
      </c>
      <c r="K377" s="144">
        <f t="shared" si="136"/>
        <v>0</v>
      </c>
      <c r="L377" s="169">
        <f t="shared" ref="L377:L415" si="150">IF(I377&lt;=0,0,L$13)</f>
        <v>0</v>
      </c>
      <c r="M377" s="143">
        <f t="shared" si="147"/>
        <v>0</v>
      </c>
      <c r="N377" s="144">
        <f t="shared" si="137"/>
        <v>0</v>
      </c>
      <c r="O377" s="144">
        <f t="shared" si="138"/>
        <v>0</v>
      </c>
      <c r="P377" s="169">
        <f t="shared" si="129"/>
        <v>0</v>
      </c>
      <c r="R377" s="143">
        <f t="shared" si="148"/>
        <v>0</v>
      </c>
      <c r="S377" s="144">
        <f t="shared" si="139"/>
        <v>0</v>
      </c>
      <c r="T377" s="144">
        <f t="shared" si="140"/>
        <v>0</v>
      </c>
      <c r="U377" s="169">
        <f t="shared" si="141"/>
        <v>0</v>
      </c>
      <c r="V377" s="143">
        <f t="shared" si="149"/>
        <v>0</v>
      </c>
      <c r="W377" s="144">
        <f t="shared" si="142"/>
        <v>0</v>
      </c>
      <c r="X377" s="144">
        <f t="shared" si="143"/>
        <v>0</v>
      </c>
      <c r="Y377" s="169">
        <f t="shared" si="144"/>
        <v>0</v>
      </c>
      <c r="Z377" s="151">
        <v>0</v>
      </c>
      <c r="AA377" s="151">
        <v>0</v>
      </c>
      <c r="AB377" s="151">
        <v>0</v>
      </c>
      <c r="AC377" s="151">
        <v>0</v>
      </c>
    </row>
    <row r="378" spans="1:29" s="61" customFormat="1" ht="11.25">
      <c r="A378" s="147">
        <f t="shared" si="130"/>
        <v>0</v>
      </c>
      <c r="B378" s="152">
        <f t="shared" si="131"/>
        <v>0</v>
      </c>
      <c r="C378" s="141">
        <f t="shared" si="132"/>
        <v>30</v>
      </c>
      <c r="D378" s="142">
        <v>359</v>
      </c>
      <c r="E378" s="143">
        <f t="shared" si="145"/>
        <v>0</v>
      </c>
      <c r="F378" s="144">
        <f t="shared" si="133"/>
        <v>0</v>
      </c>
      <c r="G378" s="144">
        <f t="shared" si="134"/>
        <v>0</v>
      </c>
      <c r="H378" s="169">
        <f t="shared" si="128"/>
        <v>0</v>
      </c>
      <c r="I378" s="143">
        <f t="shared" si="146"/>
        <v>0</v>
      </c>
      <c r="J378" s="144">
        <f t="shared" si="135"/>
        <v>0</v>
      </c>
      <c r="K378" s="144">
        <f t="shared" si="136"/>
        <v>0</v>
      </c>
      <c r="L378" s="169">
        <f t="shared" si="150"/>
        <v>0</v>
      </c>
      <c r="M378" s="143">
        <f t="shared" si="147"/>
        <v>0</v>
      </c>
      <c r="N378" s="144">
        <f t="shared" si="137"/>
        <v>0</v>
      </c>
      <c r="O378" s="144">
        <f t="shared" si="138"/>
        <v>0</v>
      </c>
      <c r="P378" s="169">
        <f t="shared" si="129"/>
        <v>0</v>
      </c>
      <c r="R378" s="143">
        <f t="shared" si="148"/>
        <v>0</v>
      </c>
      <c r="S378" s="144">
        <f t="shared" si="139"/>
        <v>0</v>
      </c>
      <c r="T378" s="144">
        <f t="shared" si="140"/>
        <v>0</v>
      </c>
      <c r="U378" s="169">
        <f t="shared" si="141"/>
        <v>0</v>
      </c>
      <c r="V378" s="143">
        <f t="shared" si="149"/>
        <v>0</v>
      </c>
      <c r="W378" s="144">
        <f t="shared" si="142"/>
        <v>0</v>
      </c>
      <c r="X378" s="144">
        <f t="shared" si="143"/>
        <v>0</v>
      </c>
      <c r="Y378" s="169">
        <f t="shared" si="144"/>
        <v>0</v>
      </c>
      <c r="Z378" s="151">
        <v>0</v>
      </c>
      <c r="AA378" s="151">
        <v>0</v>
      </c>
      <c r="AB378" s="151">
        <v>0</v>
      </c>
      <c r="AC378" s="151">
        <v>0</v>
      </c>
    </row>
    <row r="379" spans="1:29" s="61" customFormat="1" ht="12" thickBot="1">
      <c r="A379" s="153">
        <f t="shared" si="130"/>
        <v>0</v>
      </c>
      <c r="B379" s="154">
        <f t="shared" si="131"/>
        <v>0</v>
      </c>
      <c r="C379" s="155">
        <f t="shared" si="132"/>
        <v>30</v>
      </c>
      <c r="D379" s="156">
        <v>360</v>
      </c>
      <c r="E379" s="157">
        <f t="shared" si="145"/>
        <v>0</v>
      </c>
      <c r="F379" s="158">
        <f t="shared" si="133"/>
        <v>0</v>
      </c>
      <c r="G379" s="158">
        <f t="shared" si="134"/>
        <v>0</v>
      </c>
      <c r="H379" s="172">
        <f t="shared" si="128"/>
        <v>0</v>
      </c>
      <c r="I379" s="157">
        <f t="shared" si="146"/>
        <v>0</v>
      </c>
      <c r="J379" s="158">
        <f t="shared" si="135"/>
        <v>0</v>
      </c>
      <c r="K379" s="158">
        <f t="shared" si="136"/>
        <v>0</v>
      </c>
      <c r="L379" s="172">
        <f t="shared" si="150"/>
        <v>0</v>
      </c>
      <c r="M379" s="157">
        <f t="shared" si="147"/>
        <v>0</v>
      </c>
      <c r="N379" s="158">
        <f t="shared" si="137"/>
        <v>0</v>
      </c>
      <c r="O379" s="158">
        <f t="shared" si="138"/>
        <v>0</v>
      </c>
      <c r="P379" s="172">
        <f t="shared" si="129"/>
        <v>0</v>
      </c>
      <c r="R379" s="157">
        <f t="shared" si="148"/>
        <v>0</v>
      </c>
      <c r="S379" s="158">
        <f t="shared" si="139"/>
        <v>0</v>
      </c>
      <c r="T379" s="158">
        <f t="shared" si="140"/>
        <v>0</v>
      </c>
      <c r="U379" s="172">
        <f t="shared" si="141"/>
        <v>0</v>
      </c>
      <c r="V379" s="157">
        <f t="shared" si="149"/>
        <v>0</v>
      </c>
      <c r="W379" s="158">
        <f t="shared" si="142"/>
        <v>0</v>
      </c>
      <c r="X379" s="158">
        <f t="shared" si="143"/>
        <v>0</v>
      </c>
      <c r="Y379" s="172">
        <f t="shared" si="144"/>
        <v>0</v>
      </c>
      <c r="Z379" s="151">
        <v>0</v>
      </c>
      <c r="AA379" s="151">
        <v>0</v>
      </c>
      <c r="AB379" s="151">
        <v>0</v>
      </c>
      <c r="AC379" s="151">
        <v>0</v>
      </c>
    </row>
    <row r="380" spans="1:29" s="61" customFormat="1" ht="11.25">
      <c r="A380" s="147">
        <f t="shared" si="130"/>
        <v>0</v>
      </c>
      <c r="B380" s="152">
        <f t="shared" si="131"/>
        <v>0</v>
      </c>
      <c r="C380" s="141">
        <f t="shared" si="132"/>
        <v>31</v>
      </c>
      <c r="D380" s="142">
        <v>361</v>
      </c>
      <c r="E380" s="143">
        <f t="shared" si="145"/>
        <v>0</v>
      </c>
      <c r="F380" s="144">
        <f t="shared" si="133"/>
        <v>0</v>
      </c>
      <c r="G380" s="144">
        <f t="shared" si="134"/>
        <v>0</v>
      </c>
      <c r="H380" s="169">
        <f t="shared" si="128"/>
        <v>0</v>
      </c>
      <c r="I380" s="143">
        <f t="shared" si="146"/>
        <v>0</v>
      </c>
      <c r="J380" s="144">
        <f t="shared" si="135"/>
        <v>0</v>
      </c>
      <c r="K380" s="144">
        <f t="shared" si="136"/>
        <v>0</v>
      </c>
      <c r="L380" s="169">
        <f t="shared" si="150"/>
        <v>0</v>
      </c>
      <c r="M380" s="143">
        <f t="shared" si="147"/>
        <v>0</v>
      </c>
      <c r="N380" s="144">
        <f t="shared" si="137"/>
        <v>0</v>
      </c>
      <c r="O380" s="144">
        <f t="shared" si="138"/>
        <v>0</v>
      </c>
      <c r="P380" s="169">
        <f t="shared" si="129"/>
        <v>0</v>
      </c>
      <c r="R380" s="143">
        <f t="shared" si="148"/>
        <v>0</v>
      </c>
      <c r="S380" s="144">
        <f t="shared" si="139"/>
        <v>0</v>
      </c>
      <c r="T380" s="144">
        <f t="shared" si="140"/>
        <v>0</v>
      </c>
      <c r="U380" s="169">
        <f t="shared" si="141"/>
        <v>0</v>
      </c>
      <c r="V380" s="143">
        <f t="shared" si="149"/>
        <v>0</v>
      </c>
      <c r="W380" s="144">
        <f t="shared" si="142"/>
        <v>0</v>
      </c>
      <c r="X380" s="144">
        <f t="shared" si="143"/>
        <v>0</v>
      </c>
      <c r="Y380" s="169">
        <f t="shared" si="144"/>
        <v>0</v>
      </c>
      <c r="Z380" s="151">
        <v>0</v>
      </c>
      <c r="AA380" s="151">
        <v>0</v>
      </c>
      <c r="AB380" s="151">
        <v>0</v>
      </c>
      <c r="AC380" s="151">
        <v>0</v>
      </c>
    </row>
    <row r="381" spans="1:29" s="61" customFormat="1" ht="11.25">
      <c r="A381" s="147">
        <f t="shared" si="130"/>
        <v>0</v>
      </c>
      <c r="B381" s="152">
        <f t="shared" si="131"/>
        <v>0</v>
      </c>
      <c r="C381" s="141">
        <f t="shared" si="132"/>
        <v>31</v>
      </c>
      <c r="D381" s="142">
        <v>362</v>
      </c>
      <c r="E381" s="143">
        <f t="shared" si="145"/>
        <v>0</v>
      </c>
      <c r="F381" s="144">
        <f t="shared" si="133"/>
        <v>0</v>
      </c>
      <c r="G381" s="144">
        <f t="shared" si="134"/>
        <v>0</v>
      </c>
      <c r="H381" s="169">
        <f t="shared" si="128"/>
        <v>0</v>
      </c>
      <c r="I381" s="143">
        <f t="shared" si="146"/>
        <v>0</v>
      </c>
      <c r="J381" s="144">
        <f t="shared" si="135"/>
        <v>0</v>
      </c>
      <c r="K381" s="144">
        <f t="shared" si="136"/>
        <v>0</v>
      </c>
      <c r="L381" s="169">
        <f t="shared" si="150"/>
        <v>0</v>
      </c>
      <c r="M381" s="143">
        <f t="shared" si="147"/>
        <v>0</v>
      </c>
      <c r="N381" s="144">
        <f t="shared" si="137"/>
        <v>0</v>
      </c>
      <c r="O381" s="144">
        <f t="shared" si="138"/>
        <v>0</v>
      </c>
      <c r="P381" s="169">
        <f t="shared" si="129"/>
        <v>0</v>
      </c>
      <c r="R381" s="143">
        <f t="shared" si="148"/>
        <v>0</v>
      </c>
      <c r="S381" s="144">
        <f t="shared" si="139"/>
        <v>0</v>
      </c>
      <c r="T381" s="144">
        <f t="shared" si="140"/>
        <v>0</v>
      </c>
      <c r="U381" s="169">
        <f t="shared" si="141"/>
        <v>0</v>
      </c>
      <c r="V381" s="143">
        <f t="shared" si="149"/>
        <v>0</v>
      </c>
      <c r="W381" s="144">
        <f t="shared" si="142"/>
        <v>0</v>
      </c>
      <c r="X381" s="144">
        <f t="shared" si="143"/>
        <v>0</v>
      </c>
      <c r="Y381" s="169">
        <f t="shared" si="144"/>
        <v>0</v>
      </c>
      <c r="Z381" s="151">
        <v>0</v>
      </c>
      <c r="AA381" s="151">
        <v>0</v>
      </c>
      <c r="AB381" s="151">
        <v>0</v>
      </c>
      <c r="AC381" s="151">
        <v>0</v>
      </c>
    </row>
    <row r="382" spans="1:29" s="61" customFormat="1" ht="11.25">
      <c r="A382" s="147">
        <f t="shared" si="130"/>
        <v>0</v>
      </c>
      <c r="B382" s="152">
        <f t="shared" si="131"/>
        <v>0</v>
      </c>
      <c r="C382" s="141">
        <f t="shared" si="132"/>
        <v>31</v>
      </c>
      <c r="D382" s="142">
        <v>363</v>
      </c>
      <c r="E382" s="143">
        <f t="shared" si="145"/>
        <v>0</v>
      </c>
      <c r="F382" s="144">
        <f t="shared" si="133"/>
        <v>0</v>
      </c>
      <c r="G382" s="144">
        <f t="shared" si="134"/>
        <v>0</v>
      </c>
      <c r="H382" s="169">
        <f t="shared" si="128"/>
        <v>0</v>
      </c>
      <c r="I382" s="143">
        <f t="shared" si="146"/>
        <v>0</v>
      </c>
      <c r="J382" s="144">
        <f t="shared" si="135"/>
        <v>0</v>
      </c>
      <c r="K382" s="144">
        <f t="shared" si="136"/>
        <v>0</v>
      </c>
      <c r="L382" s="169">
        <f t="shared" si="150"/>
        <v>0</v>
      </c>
      <c r="M382" s="143">
        <f t="shared" si="147"/>
        <v>0</v>
      </c>
      <c r="N382" s="144">
        <f t="shared" si="137"/>
        <v>0</v>
      </c>
      <c r="O382" s="144">
        <f t="shared" si="138"/>
        <v>0</v>
      </c>
      <c r="P382" s="169">
        <f t="shared" si="129"/>
        <v>0</v>
      </c>
      <c r="R382" s="143">
        <f t="shared" si="148"/>
        <v>0</v>
      </c>
      <c r="S382" s="144">
        <f t="shared" si="139"/>
        <v>0</v>
      </c>
      <c r="T382" s="144">
        <f t="shared" si="140"/>
        <v>0</v>
      </c>
      <c r="U382" s="169">
        <f t="shared" si="141"/>
        <v>0</v>
      </c>
      <c r="V382" s="143">
        <f t="shared" si="149"/>
        <v>0</v>
      </c>
      <c r="W382" s="144">
        <f t="shared" si="142"/>
        <v>0</v>
      </c>
      <c r="X382" s="144">
        <f t="shared" si="143"/>
        <v>0</v>
      </c>
      <c r="Y382" s="169">
        <f t="shared" si="144"/>
        <v>0</v>
      </c>
      <c r="Z382" s="151">
        <v>0</v>
      </c>
      <c r="AA382" s="151">
        <v>0</v>
      </c>
      <c r="AB382" s="151">
        <v>0</v>
      </c>
      <c r="AC382" s="151">
        <v>0</v>
      </c>
    </row>
    <row r="383" spans="1:29" s="61" customFormat="1" ht="11.25">
      <c r="A383" s="147">
        <f t="shared" si="130"/>
        <v>0</v>
      </c>
      <c r="B383" s="152">
        <f t="shared" si="131"/>
        <v>0</v>
      </c>
      <c r="C383" s="141">
        <f t="shared" si="132"/>
        <v>31</v>
      </c>
      <c r="D383" s="142">
        <v>364</v>
      </c>
      <c r="E383" s="143">
        <f t="shared" si="145"/>
        <v>0</v>
      </c>
      <c r="F383" s="144">
        <f t="shared" si="133"/>
        <v>0</v>
      </c>
      <c r="G383" s="144">
        <f t="shared" si="134"/>
        <v>0</v>
      </c>
      <c r="H383" s="169">
        <f t="shared" si="128"/>
        <v>0</v>
      </c>
      <c r="I383" s="143">
        <f t="shared" si="146"/>
        <v>0</v>
      </c>
      <c r="J383" s="144">
        <f t="shared" si="135"/>
        <v>0</v>
      </c>
      <c r="K383" s="144">
        <f t="shared" si="136"/>
        <v>0</v>
      </c>
      <c r="L383" s="169">
        <f t="shared" si="150"/>
        <v>0</v>
      </c>
      <c r="M383" s="143">
        <f t="shared" si="147"/>
        <v>0</v>
      </c>
      <c r="N383" s="144">
        <f t="shared" si="137"/>
        <v>0</v>
      </c>
      <c r="O383" s="144">
        <f t="shared" si="138"/>
        <v>0</v>
      </c>
      <c r="P383" s="169">
        <f t="shared" si="129"/>
        <v>0</v>
      </c>
      <c r="R383" s="143">
        <f t="shared" si="148"/>
        <v>0</v>
      </c>
      <c r="S383" s="144">
        <f t="shared" si="139"/>
        <v>0</v>
      </c>
      <c r="T383" s="144">
        <f t="shared" si="140"/>
        <v>0</v>
      </c>
      <c r="U383" s="169">
        <f t="shared" si="141"/>
        <v>0</v>
      </c>
      <c r="V383" s="143">
        <f t="shared" si="149"/>
        <v>0</v>
      </c>
      <c r="W383" s="144">
        <f t="shared" si="142"/>
        <v>0</v>
      </c>
      <c r="X383" s="144">
        <f t="shared" si="143"/>
        <v>0</v>
      </c>
      <c r="Y383" s="169">
        <f t="shared" si="144"/>
        <v>0</v>
      </c>
      <c r="Z383" s="151">
        <v>0</v>
      </c>
      <c r="AA383" s="151">
        <v>0</v>
      </c>
      <c r="AB383" s="151">
        <v>0</v>
      </c>
      <c r="AC383" s="151">
        <v>0</v>
      </c>
    </row>
    <row r="384" spans="1:29" s="61" customFormat="1" ht="11.25">
      <c r="A384" s="147">
        <f t="shared" si="130"/>
        <v>0</v>
      </c>
      <c r="B384" s="152">
        <f t="shared" si="131"/>
        <v>0</v>
      </c>
      <c r="C384" s="141">
        <f t="shared" si="132"/>
        <v>31</v>
      </c>
      <c r="D384" s="142">
        <v>365</v>
      </c>
      <c r="E384" s="143">
        <f t="shared" si="145"/>
        <v>0</v>
      </c>
      <c r="F384" s="144">
        <f t="shared" si="133"/>
        <v>0</v>
      </c>
      <c r="G384" s="144">
        <f t="shared" si="134"/>
        <v>0</v>
      </c>
      <c r="H384" s="169">
        <f t="shared" si="128"/>
        <v>0</v>
      </c>
      <c r="I384" s="143">
        <f t="shared" si="146"/>
        <v>0</v>
      </c>
      <c r="J384" s="144">
        <f t="shared" si="135"/>
        <v>0</v>
      </c>
      <c r="K384" s="144">
        <f t="shared" si="136"/>
        <v>0</v>
      </c>
      <c r="L384" s="169">
        <f t="shared" si="150"/>
        <v>0</v>
      </c>
      <c r="M384" s="143">
        <f t="shared" si="147"/>
        <v>0</v>
      </c>
      <c r="N384" s="144">
        <f t="shared" si="137"/>
        <v>0</v>
      </c>
      <c r="O384" s="144">
        <f t="shared" si="138"/>
        <v>0</v>
      </c>
      <c r="P384" s="169">
        <f t="shared" si="129"/>
        <v>0</v>
      </c>
      <c r="R384" s="143">
        <f t="shared" si="148"/>
        <v>0</v>
      </c>
      <c r="S384" s="144">
        <f t="shared" si="139"/>
        <v>0</v>
      </c>
      <c r="T384" s="144">
        <f t="shared" si="140"/>
        <v>0</v>
      </c>
      <c r="U384" s="169">
        <f t="shared" si="141"/>
        <v>0</v>
      </c>
      <c r="V384" s="143">
        <f t="shared" si="149"/>
        <v>0</v>
      </c>
      <c r="W384" s="144">
        <f t="shared" si="142"/>
        <v>0</v>
      </c>
      <c r="X384" s="144">
        <f t="shared" si="143"/>
        <v>0</v>
      </c>
      <c r="Y384" s="169">
        <f t="shared" si="144"/>
        <v>0</v>
      </c>
      <c r="Z384" s="151">
        <v>0</v>
      </c>
      <c r="AA384" s="151">
        <v>0</v>
      </c>
      <c r="AB384" s="151">
        <v>0</v>
      </c>
      <c r="AC384" s="151">
        <v>0</v>
      </c>
    </row>
    <row r="385" spans="1:29" s="61" customFormat="1" ht="11.25">
      <c r="A385" s="147">
        <f t="shared" si="130"/>
        <v>0</v>
      </c>
      <c r="B385" s="152">
        <f t="shared" si="131"/>
        <v>0</v>
      </c>
      <c r="C385" s="141">
        <f t="shared" si="132"/>
        <v>31</v>
      </c>
      <c r="D385" s="142">
        <v>366</v>
      </c>
      <c r="E385" s="143">
        <f t="shared" si="145"/>
        <v>0</v>
      </c>
      <c r="F385" s="144">
        <f t="shared" si="133"/>
        <v>0</v>
      </c>
      <c r="G385" s="144">
        <f t="shared" si="134"/>
        <v>0</v>
      </c>
      <c r="H385" s="169">
        <f t="shared" si="128"/>
        <v>0</v>
      </c>
      <c r="I385" s="143">
        <f t="shared" si="146"/>
        <v>0</v>
      </c>
      <c r="J385" s="144">
        <f t="shared" si="135"/>
        <v>0</v>
      </c>
      <c r="K385" s="144">
        <f t="shared" si="136"/>
        <v>0</v>
      </c>
      <c r="L385" s="169">
        <f t="shared" si="150"/>
        <v>0</v>
      </c>
      <c r="M385" s="143">
        <f t="shared" si="147"/>
        <v>0</v>
      </c>
      <c r="N385" s="144">
        <f t="shared" si="137"/>
        <v>0</v>
      </c>
      <c r="O385" s="144">
        <f t="shared" si="138"/>
        <v>0</v>
      </c>
      <c r="P385" s="169">
        <f t="shared" si="129"/>
        <v>0</v>
      </c>
      <c r="R385" s="143">
        <f t="shared" si="148"/>
        <v>0</v>
      </c>
      <c r="S385" s="144">
        <f t="shared" si="139"/>
        <v>0</v>
      </c>
      <c r="T385" s="144">
        <f t="shared" si="140"/>
        <v>0</v>
      </c>
      <c r="U385" s="169">
        <f t="shared" si="141"/>
        <v>0</v>
      </c>
      <c r="V385" s="143">
        <f t="shared" si="149"/>
        <v>0</v>
      </c>
      <c r="W385" s="144">
        <f t="shared" si="142"/>
        <v>0</v>
      </c>
      <c r="X385" s="144">
        <f t="shared" si="143"/>
        <v>0</v>
      </c>
      <c r="Y385" s="169">
        <f t="shared" si="144"/>
        <v>0</v>
      </c>
      <c r="Z385" s="151">
        <v>0</v>
      </c>
      <c r="AA385" s="151">
        <v>0</v>
      </c>
      <c r="AB385" s="151">
        <v>0</v>
      </c>
      <c r="AC385" s="151">
        <v>0</v>
      </c>
    </row>
    <row r="386" spans="1:29" s="61" customFormat="1" ht="11.25">
      <c r="A386" s="147">
        <f t="shared" si="130"/>
        <v>0</v>
      </c>
      <c r="B386" s="152">
        <f t="shared" si="131"/>
        <v>0</v>
      </c>
      <c r="C386" s="141">
        <f t="shared" si="132"/>
        <v>31</v>
      </c>
      <c r="D386" s="142">
        <v>367</v>
      </c>
      <c r="E386" s="143">
        <f t="shared" si="145"/>
        <v>0</v>
      </c>
      <c r="F386" s="144">
        <f t="shared" si="133"/>
        <v>0</v>
      </c>
      <c r="G386" s="144">
        <f t="shared" si="134"/>
        <v>0</v>
      </c>
      <c r="H386" s="169">
        <f t="shared" si="128"/>
        <v>0</v>
      </c>
      <c r="I386" s="143">
        <f t="shared" si="146"/>
        <v>0</v>
      </c>
      <c r="J386" s="144">
        <f t="shared" si="135"/>
        <v>0</v>
      </c>
      <c r="K386" s="144">
        <f t="shared" si="136"/>
        <v>0</v>
      </c>
      <c r="L386" s="169">
        <f t="shared" si="150"/>
        <v>0</v>
      </c>
      <c r="M386" s="143">
        <f t="shared" si="147"/>
        <v>0</v>
      </c>
      <c r="N386" s="144">
        <f t="shared" si="137"/>
        <v>0</v>
      </c>
      <c r="O386" s="144">
        <f t="shared" si="138"/>
        <v>0</v>
      </c>
      <c r="P386" s="169">
        <f t="shared" si="129"/>
        <v>0</v>
      </c>
      <c r="R386" s="143">
        <f t="shared" si="148"/>
        <v>0</v>
      </c>
      <c r="S386" s="144">
        <f t="shared" si="139"/>
        <v>0</v>
      </c>
      <c r="T386" s="144">
        <f t="shared" si="140"/>
        <v>0</v>
      </c>
      <c r="U386" s="169">
        <f t="shared" si="141"/>
        <v>0</v>
      </c>
      <c r="V386" s="143">
        <f t="shared" si="149"/>
        <v>0</v>
      </c>
      <c r="W386" s="144">
        <f t="shared" si="142"/>
        <v>0</v>
      </c>
      <c r="X386" s="144">
        <f t="shared" si="143"/>
        <v>0</v>
      </c>
      <c r="Y386" s="169">
        <f t="shared" si="144"/>
        <v>0</v>
      </c>
      <c r="Z386" s="151">
        <v>0</v>
      </c>
      <c r="AA386" s="151">
        <v>0</v>
      </c>
      <c r="AB386" s="151">
        <v>0</v>
      </c>
      <c r="AC386" s="151">
        <v>0</v>
      </c>
    </row>
    <row r="387" spans="1:29" s="61" customFormat="1" ht="11.25">
      <c r="A387" s="147">
        <f t="shared" si="130"/>
        <v>0</v>
      </c>
      <c r="B387" s="152">
        <f t="shared" si="131"/>
        <v>0</v>
      </c>
      <c r="C387" s="141">
        <f t="shared" si="132"/>
        <v>31</v>
      </c>
      <c r="D387" s="142">
        <v>368</v>
      </c>
      <c r="E387" s="143">
        <f t="shared" si="145"/>
        <v>0</v>
      </c>
      <c r="F387" s="144">
        <f t="shared" si="133"/>
        <v>0</v>
      </c>
      <c r="G387" s="144">
        <f t="shared" si="134"/>
        <v>0</v>
      </c>
      <c r="H387" s="169">
        <f t="shared" si="128"/>
        <v>0</v>
      </c>
      <c r="I387" s="143">
        <f t="shared" si="146"/>
        <v>0</v>
      </c>
      <c r="J387" s="144">
        <f t="shared" si="135"/>
        <v>0</v>
      </c>
      <c r="K387" s="144">
        <f t="shared" si="136"/>
        <v>0</v>
      </c>
      <c r="L387" s="169">
        <f t="shared" si="150"/>
        <v>0</v>
      </c>
      <c r="M387" s="143">
        <f t="shared" si="147"/>
        <v>0</v>
      </c>
      <c r="N387" s="144">
        <f t="shared" si="137"/>
        <v>0</v>
      </c>
      <c r="O387" s="144">
        <f t="shared" si="138"/>
        <v>0</v>
      </c>
      <c r="P387" s="169">
        <f t="shared" si="129"/>
        <v>0</v>
      </c>
      <c r="R387" s="143">
        <f t="shared" si="148"/>
        <v>0</v>
      </c>
      <c r="S387" s="144">
        <f t="shared" si="139"/>
        <v>0</v>
      </c>
      <c r="T387" s="144">
        <f t="shared" si="140"/>
        <v>0</v>
      </c>
      <c r="U387" s="169">
        <f t="shared" si="141"/>
        <v>0</v>
      </c>
      <c r="V387" s="143">
        <f t="shared" si="149"/>
        <v>0</v>
      </c>
      <c r="W387" s="144">
        <f t="shared" si="142"/>
        <v>0</v>
      </c>
      <c r="X387" s="144">
        <f t="shared" si="143"/>
        <v>0</v>
      </c>
      <c r="Y387" s="169">
        <f t="shared" si="144"/>
        <v>0</v>
      </c>
      <c r="Z387" s="151">
        <v>0</v>
      </c>
      <c r="AA387" s="151">
        <v>0</v>
      </c>
      <c r="AB387" s="151">
        <v>0</v>
      </c>
      <c r="AC387" s="151">
        <v>0</v>
      </c>
    </row>
    <row r="388" spans="1:29" s="61" customFormat="1" ht="11.25">
      <c r="A388" s="147">
        <f t="shared" si="130"/>
        <v>0</v>
      </c>
      <c r="B388" s="152">
        <f t="shared" si="131"/>
        <v>0</v>
      </c>
      <c r="C388" s="141">
        <f t="shared" si="132"/>
        <v>31</v>
      </c>
      <c r="D388" s="142">
        <v>369</v>
      </c>
      <c r="E388" s="143">
        <f t="shared" si="145"/>
        <v>0</v>
      </c>
      <c r="F388" s="144">
        <f t="shared" si="133"/>
        <v>0</v>
      </c>
      <c r="G388" s="144">
        <f t="shared" si="134"/>
        <v>0</v>
      </c>
      <c r="H388" s="169">
        <f t="shared" si="128"/>
        <v>0</v>
      </c>
      <c r="I388" s="143">
        <f t="shared" si="146"/>
        <v>0</v>
      </c>
      <c r="J388" s="144">
        <f t="shared" si="135"/>
        <v>0</v>
      </c>
      <c r="K388" s="144">
        <f t="shared" si="136"/>
        <v>0</v>
      </c>
      <c r="L388" s="169">
        <f t="shared" si="150"/>
        <v>0</v>
      </c>
      <c r="M388" s="143">
        <f t="shared" si="147"/>
        <v>0</v>
      </c>
      <c r="N388" s="144">
        <f t="shared" si="137"/>
        <v>0</v>
      </c>
      <c r="O388" s="144">
        <f t="shared" si="138"/>
        <v>0</v>
      </c>
      <c r="P388" s="169">
        <f t="shared" si="129"/>
        <v>0</v>
      </c>
      <c r="R388" s="143">
        <f t="shared" si="148"/>
        <v>0</v>
      </c>
      <c r="S388" s="144">
        <f t="shared" si="139"/>
        <v>0</v>
      </c>
      <c r="T388" s="144">
        <f t="shared" si="140"/>
        <v>0</v>
      </c>
      <c r="U388" s="169">
        <f t="shared" si="141"/>
        <v>0</v>
      </c>
      <c r="V388" s="143">
        <f t="shared" si="149"/>
        <v>0</v>
      </c>
      <c r="W388" s="144">
        <f t="shared" si="142"/>
        <v>0</v>
      </c>
      <c r="X388" s="144">
        <f t="shared" si="143"/>
        <v>0</v>
      </c>
      <c r="Y388" s="169">
        <f t="shared" si="144"/>
        <v>0</v>
      </c>
      <c r="Z388" s="151">
        <v>0</v>
      </c>
      <c r="AA388" s="151">
        <v>0</v>
      </c>
      <c r="AB388" s="151">
        <v>0</v>
      </c>
      <c r="AC388" s="151">
        <v>0</v>
      </c>
    </row>
    <row r="389" spans="1:29" s="61" customFormat="1" ht="11.25">
      <c r="A389" s="147">
        <f t="shared" si="130"/>
        <v>0</v>
      </c>
      <c r="B389" s="152">
        <f t="shared" si="131"/>
        <v>0</v>
      </c>
      <c r="C389" s="141">
        <f t="shared" si="132"/>
        <v>31</v>
      </c>
      <c r="D389" s="142">
        <v>370</v>
      </c>
      <c r="E389" s="143">
        <f t="shared" si="145"/>
        <v>0</v>
      </c>
      <c r="F389" s="144">
        <f t="shared" si="133"/>
        <v>0</v>
      </c>
      <c r="G389" s="144">
        <f t="shared" si="134"/>
        <v>0</v>
      </c>
      <c r="H389" s="169">
        <f t="shared" ref="H389:H415" si="151">IF(E389&lt;=0,0,H$14)</f>
        <v>0</v>
      </c>
      <c r="I389" s="143">
        <f t="shared" si="146"/>
        <v>0</v>
      </c>
      <c r="J389" s="144">
        <f t="shared" si="135"/>
        <v>0</v>
      </c>
      <c r="K389" s="144">
        <f t="shared" si="136"/>
        <v>0</v>
      </c>
      <c r="L389" s="169">
        <f t="shared" si="150"/>
        <v>0</v>
      </c>
      <c r="M389" s="143">
        <f t="shared" si="147"/>
        <v>0</v>
      </c>
      <c r="N389" s="144">
        <f t="shared" si="137"/>
        <v>0</v>
      </c>
      <c r="O389" s="144">
        <f t="shared" si="138"/>
        <v>0</v>
      </c>
      <c r="P389" s="169">
        <f t="shared" ref="P389:P415" si="152">IF(M389&lt;=0,0,P$14)</f>
        <v>0</v>
      </c>
      <c r="R389" s="143">
        <f t="shared" si="148"/>
        <v>0</v>
      </c>
      <c r="S389" s="144">
        <f t="shared" si="139"/>
        <v>0</v>
      </c>
      <c r="T389" s="144">
        <f t="shared" si="140"/>
        <v>0</v>
      </c>
      <c r="U389" s="169">
        <f t="shared" si="141"/>
        <v>0</v>
      </c>
      <c r="V389" s="143">
        <f t="shared" si="149"/>
        <v>0</v>
      </c>
      <c r="W389" s="144">
        <f t="shared" si="142"/>
        <v>0</v>
      </c>
      <c r="X389" s="144">
        <f t="shared" si="143"/>
        <v>0</v>
      </c>
      <c r="Y389" s="169">
        <f t="shared" si="144"/>
        <v>0</v>
      </c>
      <c r="Z389" s="151">
        <v>0</v>
      </c>
      <c r="AA389" s="151">
        <v>0</v>
      </c>
      <c r="AB389" s="151">
        <v>0</v>
      </c>
      <c r="AC389" s="151">
        <v>0</v>
      </c>
    </row>
    <row r="390" spans="1:29" s="61" customFormat="1" ht="11.25">
      <c r="A390" s="147">
        <f t="shared" si="130"/>
        <v>0</v>
      </c>
      <c r="B390" s="152">
        <f t="shared" si="131"/>
        <v>0</v>
      </c>
      <c r="C390" s="141">
        <f t="shared" si="132"/>
        <v>31</v>
      </c>
      <c r="D390" s="142">
        <v>371</v>
      </c>
      <c r="E390" s="143">
        <f t="shared" si="145"/>
        <v>0</v>
      </c>
      <c r="F390" s="144">
        <f t="shared" si="133"/>
        <v>0</v>
      </c>
      <c r="G390" s="144">
        <f t="shared" si="134"/>
        <v>0</v>
      </c>
      <c r="H390" s="169">
        <f t="shared" si="151"/>
        <v>0</v>
      </c>
      <c r="I390" s="143">
        <f t="shared" si="146"/>
        <v>0</v>
      </c>
      <c r="J390" s="144">
        <f t="shared" si="135"/>
        <v>0</v>
      </c>
      <c r="K390" s="144">
        <f t="shared" si="136"/>
        <v>0</v>
      </c>
      <c r="L390" s="169">
        <f t="shared" si="150"/>
        <v>0</v>
      </c>
      <c r="M390" s="143">
        <f t="shared" si="147"/>
        <v>0</v>
      </c>
      <c r="N390" s="144">
        <f t="shared" si="137"/>
        <v>0</v>
      </c>
      <c r="O390" s="144">
        <f t="shared" si="138"/>
        <v>0</v>
      </c>
      <c r="P390" s="169">
        <f t="shared" si="152"/>
        <v>0</v>
      </c>
      <c r="R390" s="143">
        <f t="shared" si="148"/>
        <v>0</v>
      </c>
      <c r="S390" s="144">
        <f t="shared" si="139"/>
        <v>0</v>
      </c>
      <c r="T390" s="144">
        <f t="shared" si="140"/>
        <v>0</v>
      </c>
      <c r="U390" s="169">
        <f t="shared" si="141"/>
        <v>0</v>
      </c>
      <c r="V390" s="143">
        <f t="shared" si="149"/>
        <v>0</v>
      </c>
      <c r="W390" s="144">
        <f t="shared" si="142"/>
        <v>0</v>
      </c>
      <c r="X390" s="144">
        <f t="shared" si="143"/>
        <v>0</v>
      </c>
      <c r="Y390" s="169">
        <f t="shared" si="144"/>
        <v>0</v>
      </c>
      <c r="Z390" s="151">
        <v>0</v>
      </c>
      <c r="AA390" s="151">
        <v>0</v>
      </c>
      <c r="AB390" s="151">
        <v>0</v>
      </c>
      <c r="AC390" s="151">
        <v>0</v>
      </c>
    </row>
    <row r="391" spans="1:29" s="61" customFormat="1" ht="12" thickBot="1">
      <c r="A391" s="153">
        <f t="shared" si="130"/>
        <v>0</v>
      </c>
      <c r="B391" s="154">
        <f t="shared" si="131"/>
        <v>0</v>
      </c>
      <c r="C391" s="155">
        <f t="shared" si="132"/>
        <v>31</v>
      </c>
      <c r="D391" s="156">
        <v>372</v>
      </c>
      <c r="E391" s="157">
        <f t="shared" si="145"/>
        <v>0</v>
      </c>
      <c r="F391" s="158">
        <f t="shared" si="133"/>
        <v>0</v>
      </c>
      <c r="G391" s="158">
        <f t="shared" si="134"/>
        <v>0</v>
      </c>
      <c r="H391" s="172">
        <f t="shared" si="151"/>
        <v>0</v>
      </c>
      <c r="I391" s="157">
        <f t="shared" si="146"/>
        <v>0</v>
      </c>
      <c r="J391" s="158">
        <f t="shared" si="135"/>
        <v>0</v>
      </c>
      <c r="K391" s="158">
        <f t="shared" si="136"/>
        <v>0</v>
      </c>
      <c r="L391" s="172">
        <f t="shared" si="150"/>
        <v>0</v>
      </c>
      <c r="M391" s="157">
        <f t="shared" si="147"/>
        <v>0</v>
      </c>
      <c r="N391" s="158">
        <f t="shared" si="137"/>
        <v>0</v>
      </c>
      <c r="O391" s="158">
        <f t="shared" si="138"/>
        <v>0</v>
      </c>
      <c r="P391" s="172">
        <f t="shared" si="152"/>
        <v>0</v>
      </c>
      <c r="R391" s="157">
        <f t="shared" si="148"/>
        <v>0</v>
      </c>
      <c r="S391" s="158">
        <f t="shared" si="139"/>
        <v>0</v>
      </c>
      <c r="T391" s="158">
        <f t="shared" si="140"/>
        <v>0</v>
      </c>
      <c r="U391" s="172">
        <f t="shared" si="141"/>
        <v>0</v>
      </c>
      <c r="V391" s="157">
        <f t="shared" si="149"/>
        <v>0</v>
      </c>
      <c r="W391" s="158">
        <f t="shared" si="142"/>
        <v>0</v>
      </c>
      <c r="X391" s="158">
        <f t="shared" si="143"/>
        <v>0</v>
      </c>
      <c r="Y391" s="172">
        <f t="shared" si="144"/>
        <v>0</v>
      </c>
      <c r="Z391" s="151">
        <v>0</v>
      </c>
      <c r="AA391" s="151">
        <v>0</v>
      </c>
      <c r="AB391" s="151">
        <v>0</v>
      </c>
      <c r="AC391" s="151">
        <v>0</v>
      </c>
    </row>
    <row r="392" spans="1:29" s="61" customFormat="1" ht="11.25">
      <c r="A392" s="147">
        <f t="shared" si="130"/>
        <v>0</v>
      </c>
      <c r="B392" s="152">
        <f t="shared" si="131"/>
        <v>0</v>
      </c>
      <c r="C392" s="141">
        <f t="shared" si="132"/>
        <v>32</v>
      </c>
      <c r="D392" s="142">
        <v>373</v>
      </c>
      <c r="E392" s="143">
        <f t="shared" si="145"/>
        <v>0</v>
      </c>
      <c r="F392" s="144">
        <f t="shared" si="133"/>
        <v>0</v>
      </c>
      <c r="G392" s="144">
        <f t="shared" si="134"/>
        <v>0</v>
      </c>
      <c r="H392" s="169">
        <f t="shared" si="151"/>
        <v>0</v>
      </c>
      <c r="I392" s="143">
        <f t="shared" si="146"/>
        <v>0</v>
      </c>
      <c r="J392" s="144">
        <f t="shared" si="135"/>
        <v>0</v>
      </c>
      <c r="K392" s="144">
        <f t="shared" si="136"/>
        <v>0</v>
      </c>
      <c r="L392" s="169">
        <f t="shared" si="150"/>
        <v>0</v>
      </c>
      <c r="M392" s="143">
        <f t="shared" si="147"/>
        <v>0</v>
      </c>
      <c r="N392" s="144">
        <f t="shared" si="137"/>
        <v>0</v>
      </c>
      <c r="O392" s="144">
        <f t="shared" si="138"/>
        <v>0</v>
      </c>
      <c r="P392" s="169">
        <f t="shared" si="152"/>
        <v>0</v>
      </c>
      <c r="R392" s="143">
        <f t="shared" si="148"/>
        <v>0</v>
      </c>
      <c r="S392" s="144">
        <f t="shared" si="139"/>
        <v>0</v>
      </c>
      <c r="T392" s="144">
        <f t="shared" si="140"/>
        <v>0</v>
      </c>
      <c r="U392" s="169">
        <f t="shared" si="141"/>
        <v>0</v>
      </c>
      <c r="V392" s="143">
        <f t="shared" si="149"/>
        <v>0</v>
      </c>
      <c r="W392" s="144">
        <f t="shared" si="142"/>
        <v>0</v>
      </c>
      <c r="X392" s="144">
        <f t="shared" si="143"/>
        <v>0</v>
      </c>
      <c r="Y392" s="169">
        <f t="shared" si="144"/>
        <v>0</v>
      </c>
      <c r="Z392" s="151">
        <v>0</v>
      </c>
      <c r="AA392" s="151">
        <v>0</v>
      </c>
      <c r="AB392" s="151">
        <v>0</v>
      </c>
      <c r="AC392" s="151">
        <v>0</v>
      </c>
    </row>
    <row r="393" spans="1:29" s="61" customFormat="1" ht="11.25">
      <c r="A393" s="147">
        <f t="shared" si="130"/>
        <v>0</v>
      </c>
      <c r="B393" s="152">
        <f t="shared" si="131"/>
        <v>0</v>
      </c>
      <c r="C393" s="141">
        <f t="shared" si="132"/>
        <v>32</v>
      </c>
      <c r="D393" s="142">
        <v>374</v>
      </c>
      <c r="E393" s="143">
        <f t="shared" si="145"/>
        <v>0</v>
      </c>
      <c r="F393" s="144">
        <f t="shared" si="133"/>
        <v>0</v>
      </c>
      <c r="G393" s="144">
        <f t="shared" si="134"/>
        <v>0</v>
      </c>
      <c r="H393" s="169">
        <f t="shared" si="151"/>
        <v>0</v>
      </c>
      <c r="I393" s="143">
        <f t="shared" si="146"/>
        <v>0</v>
      </c>
      <c r="J393" s="144">
        <f t="shared" si="135"/>
        <v>0</v>
      </c>
      <c r="K393" s="144">
        <f t="shared" si="136"/>
        <v>0</v>
      </c>
      <c r="L393" s="169">
        <f t="shared" si="150"/>
        <v>0</v>
      </c>
      <c r="M393" s="143">
        <f t="shared" si="147"/>
        <v>0</v>
      </c>
      <c r="N393" s="144">
        <f t="shared" si="137"/>
        <v>0</v>
      </c>
      <c r="O393" s="144">
        <f t="shared" si="138"/>
        <v>0</v>
      </c>
      <c r="P393" s="169">
        <f t="shared" si="152"/>
        <v>0</v>
      </c>
      <c r="R393" s="143">
        <f t="shared" si="148"/>
        <v>0</v>
      </c>
      <c r="S393" s="144">
        <f t="shared" si="139"/>
        <v>0</v>
      </c>
      <c r="T393" s="144">
        <f t="shared" si="140"/>
        <v>0</v>
      </c>
      <c r="U393" s="169">
        <f t="shared" si="141"/>
        <v>0</v>
      </c>
      <c r="V393" s="143">
        <f t="shared" si="149"/>
        <v>0</v>
      </c>
      <c r="W393" s="144">
        <f t="shared" si="142"/>
        <v>0</v>
      </c>
      <c r="X393" s="144">
        <f t="shared" si="143"/>
        <v>0</v>
      </c>
      <c r="Y393" s="169">
        <f t="shared" si="144"/>
        <v>0</v>
      </c>
      <c r="Z393" s="151">
        <v>0</v>
      </c>
      <c r="AA393" s="151">
        <v>0</v>
      </c>
      <c r="AB393" s="151">
        <v>0</v>
      </c>
      <c r="AC393" s="151">
        <v>0</v>
      </c>
    </row>
    <row r="394" spans="1:29" s="61" customFormat="1" ht="11.25">
      <c r="A394" s="147">
        <f t="shared" si="130"/>
        <v>0</v>
      </c>
      <c r="B394" s="152">
        <f t="shared" si="131"/>
        <v>0</v>
      </c>
      <c r="C394" s="141">
        <f t="shared" si="132"/>
        <v>32</v>
      </c>
      <c r="D394" s="142">
        <v>375</v>
      </c>
      <c r="E394" s="143">
        <f t="shared" si="145"/>
        <v>0</v>
      </c>
      <c r="F394" s="144">
        <f t="shared" si="133"/>
        <v>0</v>
      </c>
      <c r="G394" s="144">
        <f t="shared" si="134"/>
        <v>0</v>
      </c>
      <c r="H394" s="169">
        <f t="shared" si="151"/>
        <v>0</v>
      </c>
      <c r="I394" s="143">
        <f t="shared" si="146"/>
        <v>0</v>
      </c>
      <c r="J394" s="144">
        <f t="shared" si="135"/>
        <v>0</v>
      </c>
      <c r="K394" s="144">
        <f t="shared" si="136"/>
        <v>0</v>
      </c>
      <c r="L394" s="169">
        <f t="shared" si="150"/>
        <v>0</v>
      </c>
      <c r="M394" s="143">
        <f t="shared" si="147"/>
        <v>0</v>
      </c>
      <c r="N394" s="144">
        <f t="shared" si="137"/>
        <v>0</v>
      </c>
      <c r="O394" s="144">
        <f t="shared" si="138"/>
        <v>0</v>
      </c>
      <c r="P394" s="169">
        <f t="shared" si="152"/>
        <v>0</v>
      </c>
      <c r="R394" s="143">
        <f t="shared" si="148"/>
        <v>0</v>
      </c>
      <c r="S394" s="144">
        <f t="shared" si="139"/>
        <v>0</v>
      </c>
      <c r="T394" s="144">
        <f t="shared" si="140"/>
        <v>0</v>
      </c>
      <c r="U394" s="169">
        <f t="shared" si="141"/>
        <v>0</v>
      </c>
      <c r="V394" s="143">
        <f t="shared" si="149"/>
        <v>0</v>
      </c>
      <c r="W394" s="144">
        <f t="shared" si="142"/>
        <v>0</v>
      </c>
      <c r="X394" s="144">
        <f t="shared" si="143"/>
        <v>0</v>
      </c>
      <c r="Y394" s="169">
        <f t="shared" si="144"/>
        <v>0</v>
      </c>
      <c r="Z394" s="151">
        <v>0</v>
      </c>
      <c r="AA394" s="151">
        <v>0</v>
      </c>
      <c r="AB394" s="151">
        <v>0</v>
      </c>
      <c r="AC394" s="151">
        <v>0</v>
      </c>
    </row>
    <row r="395" spans="1:29" s="61" customFormat="1" ht="11.25">
      <c r="A395" s="147">
        <f t="shared" si="130"/>
        <v>0</v>
      </c>
      <c r="B395" s="152">
        <f t="shared" si="131"/>
        <v>0</v>
      </c>
      <c r="C395" s="141">
        <f t="shared" si="132"/>
        <v>32</v>
      </c>
      <c r="D395" s="142">
        <v>376</v>
      </c>
      <c r="E395" s="143">
        <f t="shared" si="145"/>
        <v>0</v>
      </c>
      <c r="F395" s="144">
        <f t="shared" si="133"/>
        <v>0</v>
      </c>
      <c r="G395" s="144">
        <f t="shared" si="134"/>
        <v>0</v>
      </c>
      <c r="H395" s="169">
        <f t="shared" si="151"/>
        <v>0</v>
      </c>
      <c r="I395" s="143">
        <f t="shared" si="146"/>
        <v>0</v>
      </c>
      <c r="J395" s="144">
        <f t="shared" si="135"/>
        <v>0</v>
      </c>
      <c r="K395" s="144">
        <f t="shared" si="136"/>
        <v>0</v>
      </c>
      <c r="L395" s="169">
        <f t="shared" si="150"/>
        <v>0</v>
      </c>
      <c r="M395" s="143">
        <f t="shared" si="147"/>
        <v>0</v>
      </c>
      <c r="N395" s="144">
        <f t="shared" si="137"/>
        <v>0</v>
      </c>
      <c r="O395" s="144">
        <f t="shared" si="138"/>
        <v>0</v>
      </c>
      <c r="P395" s="169">
        <f t="shared" si="152"/>
        <v>0</v>
      </c>
      <c r="R395" s="143">
        <f t="shared" si="148"/>
        <v>0</v>
      </c>
      <c r="S395" s="144">
        <f t="shared" si="139"/>
        <v>0</v>
      </c>
      <c r="T395" s="144">
        <f t="shared" si="140"/>
        <v>0</v>
      </c>
      <c r="U395" s="169">
        <f t="shared" si="141"/>
        <v>0</v>
      </c>
      <c r="V395" s="143">
        <f t="shared" si="149"/>
        <v>0</v>
      </c>
      <c r="W395" s="144">
        <f t="shared" si="142"/>
        <v>0</v>
      </c>
      <c r="X395" s="144">
        <f t="shared" si="143"/>
        <v>0</v>
      </c>
      <c r="Y395" s="169">
        <f t="shared" si="144"/>
        <v>0</v>
      </c>
      <c r="Z395" s="151">
        <v>0</v>
      </c>
      <c r="AA395" s="151">
        <v>0</v>
      </c>
      <c r="AB395" s="151">
        <v>0</v>
      </c>
      <c r="AC395" s="151">
        <v>0</v>
      </c>
    </row>
    <row r="396" spans="1:29" s="61" customFormat="1" ht="11.25">
      <c r="A396" s="147">
        <f t="shared" si="130"/>
        <v>0</v>
      </c>
      <c r="B396" s="152">
        <f t="shared" si="131"/>
        <v>0</v>
      </c>
      <c r="C396" s="141">
        <f t="shared" si="132"/>
        <v>32</v>
      </c>
      <c r="D396" s="142">
        <v>377</v>
      </c>
      <c r="E396" s="143">
        <f t="shared" si="145"/>
        <v>0</v>
      </c>
      <c r="F396" s="144">
        <f t="shared" si="133"/>
        <v>0</v>
      </c>
      <c r="G396" s="144">
        <f t="shared" si="134"/>
        <v>0</v>
      </c>
      <c r="H396" s="169">
        <f t="shared" si="151"/>
        <v>0</v>
      </c>
      <c r="I396" s="143">
        <f t="shared" si="146"/>
        <v>0</v>
      </c>
      <c r="J396" s="144">
        <f t="shared" si="135"/>
        <v>0</v>
      </c>
      <c r="K396" s="144">
        <f t="shared" si="136"/>
        <v>0</v>
      </c>
      <c r="L396" s="169">
        <f t="shared" si="150"/>
        <v>0</v>
      </c>
      <c r="M396" s="143">
        <f t="shared" si="147"/>
        <v>0</v>
      </c>
      <c r="N396" s="144">
        <f t="shared" si="137"/>
        <v>0</v>
      </c>
      <c r="O396" s="144">
        <f t="shared" si="138"/>
        <v>0</v>
      </c>
      <c r="P396" s="169">
        <f t="shared" si="152"/>
        <v>0</v>
      </c>
      <c r="R396" s="143">
        <f t="shared" si="148"/>
        <v>0</v>
      </c>
      <c r="S396" s="144">
        <f t="shared" si="139"/>
        <v>0</v>
      </c>
      <c r="T396" s="144">
        <f t="shared" si="140"/>
        <v>0</v>
      </c>
      <c r="U396" s="169">
        <f t="shared" si="141"/>
        <v>0</v>
      </c>
      <c r="V396" s="143">
        <f t="shared" si="149"/>
        <v>0</v>
      </c>
      <c r="W396" s="144">
        <f t="shared" si="142"/>
        <v>0</v>
      </c>
      <c r="X396" s="144">
        <f t="shared" si="143"/>
        <v>0</v>
      </c>
      <c r="Y396" s="169">
        <f t="shared" si="144"/>
        <v>0</v>
      </c>
      <c r="Z396" s="151">
        <v>0</v>
      </c>
      <c r="AA396" s="151">
        <v>0</v>
      </c>
      <c r="AB396" s="151">
        <v>0</v>
      </c>
      <c r="AC396" s="151">
        <v>0</v>
      </c>
    </row>
    <row r="397" spans="1:29" s="61" customFormat="1" ht="11.25">
      <c r="A397" s="147">
        <f t="shared" si="130"/>
        <v>0</v>
      </c>
      <c r="B397" s="152">
        <f t="shared" si="131"/>
        <v>0</v>
      </c>
      <c r="C397" s="141">
        <f t="shared" si="132"/>
        <v>32</v>
      </c>
      <c r="D397" s="142">
        <v>378</v>
      </c>
      <c r="E397" s="143">
        <f t="shared" si="145"/>
        <v>0</v>
      </c>
      <c r="F397" s="144">
        <f t="shared" si="133"/>
        <v>0</v>
      </c>
      <c r="G397" s="144">
        <f t="shared" si="134"/>
        <v>0</v>
      </c>
      <c r="H397" s="169">
        <f t="shared" si="151"/>
        <v>0</v>
      </c>
      <c r="I397" s="143">
        <f t="shared" si="146"/>
        <v>0</v>
      </c>
      <c r="J397" s="144">
        <f t="shared" si="135"/>
        <v>0</v>
      </c>
      <c r="K397" s="144">
        <f t="shared" si="136"/>
        <v>0</v>
      </c>
      <c r="L397" s="169">
        <f t="shared" si="150"/>
        <v>0</v>
      </c>
      <c r="M397" s="143">
        <f t="shared" si="147"/>
        <v>0</v>
      </c>
      <c r="N397" s="144">
        <f t="shared" si="137"/>
        <v>0</v>
      </c>
      <c r="O397" s="144">
        <f t="shared" si="138"/>
        <v>0</v>
      </c>
      <c r="P397" s="169">
        <f t="shared" si="152"/>
        <v>0</v>
      </c>
      <c r="R397" s="143">
        <f t="shared" si="148"/>
        <v>0</v>
      </c>
      <c r="S397" s="144">
        <f t="shared" si="139"/>
        <v>0</v>
      </c>
      <c r="T397" s="144">
        <f t="shared" si="140"/>
        <v>0</v>
      </c>
      <c r="U397" s="169">
        <f t="shared" si="141"/>
        <v>0</v>
      </c>
      <c r="V397" s="143">
        <f t="shared" si="149"/>
        <v>0</v>
      </c>
      <c r="W397" s="144">
        <f t="shared" si="142"/>
        <v>0</v>
      </c>
      <c r="X397" s="144">
        <f t="shared" si="143"/>
        <v>0</v>
      </c>
      <c r="Y397" s="169">
        <f t="shared" si="144"/>
        <v>0</v>
      </c>
      <c r="Z397" s="151">
        <v>0</v>
      </c>
      <c r="AA397" s="151">
        <v>0</v>
      </c>
      <c r="AB397" s="151">
        <v>0</v>
      </c>
      <c r="AC397" s="151">
        <v>0</v>
      </c>
    </row>
    <row r="398" spans="1:29" s="61" customFormat="1" ht="11.25">
      <c r="A398" s="147">
        <f t="shared" si="130"/>
        <v>0</v>
      </c>
      <c r="B398" s="152">
        <f t="shared" si="131"/>
        <v>0</v>
      </c>
      <c r="C398" s="141">
        <f t="shared" si="132"/>
        <v>32</v>
      </c>
      <c r="D398" s="142">
        <v>379</v>
      </c>
      <c r="E398" s="143">
        <f t="shared" si="145"/>
        <v>0</v>
      </c>
      <c r="F398" s="144">
        <f t="shared" si="133"/>
        <v>0</v>
      </c>
      <c r="G398" s="144">
        <f t="shared" si="134"/>
        <v>0</v>
      </c>
      <c r="H398" s="169">
        <f t="shared" si="151"/>
        <v>0</v>
      </c>
      <c r="I398" s="143">
        <f t="shared" si="146"/>
        <v>0</v>
      </c>
      <c r="J398" s="144">
        <f t="shared" si="135"/>
        <v>0</v>
      </c>
      <c r="K398" s="144">
        <f t="shared" si="136"/>
        <v>0</v>
      </c>
      <c r="L398" s="169">
        <f t="shared" si="150"/>
        <v>0</v>
      </c>
      <c r="M398" s="143">
        <f t="shared" si="147"/>
        <v>0</v>
      </c>
      <c r="N398" s="144">
        <f t="shared" si="137"/>
        <v>0</v>
      </c>
      <c r="O398" s="144">
        <f t="shared" si="138"/>
        <v>0</v>
      </c>
      <c r="P398" s="169">
        <f t="shared" si="152"/>
        <v>0</v>
      </c>
      <c r="R398" s="143">
        <f t="shared" si="148"/>
        <v>0</v>
      </c>
      <c r="S398" s="144">
        <f t="shared" si="139"/>
        <v>0</v>
      </c>
      <c r="T398" s="144">
        <f t="shared" si="140"/>
        <v>0</v>
      </c>
      <c r="U398" s="169">
        <f t="shared" si="141"/>
        <v>0</v>
      </c>
      <c r="V398" s="143">
        <f t="shared" si="149"/>
        <v>0</v>
      </c>
      <c r="W398" s="144">
        <f t="shared" si="142"/>
        <v>0</v>
      </c>
      <c r="X398" s="144">
        <f t="shared" si="143"/>
        <v>0</v>
      </c>
      <c r="Y398" s="169">
        <f t="shared" si="144"/>
        <v>0</v>
      </c>
      <c r="Z398" s="151">
        <v>0</v>
      </c>
      <c r="AA398" s="151">
        <v>0</v>
      </c>
      <c r="AB398" s="151">
        <v>0</v>
      </c>
      <c r="AC398" s="151">
        <v>0</v>
      </c>
    </row>
    <row r="399" spans="1:29" s="61" customFormat="1" ht="11.25">
      <c r="A399" s="147">
        <f t="shared" si="130"/>
        <v>0</v>
      </c>
      <c r="B399" s="152">
        <f t="shared" si="131"/>
        <v>0</v>
      </c>
      <c r="C399" s="141">
        <f t="shared" si="132"/>
        <v>32</v>
      </c>
      <c r="D399" s="142">
        <v>380</v>
      </c>
      <c r="E399" s="143">
        <f t="shared" si="145"/>
        <v>0</v>
      </c>
      <c r="F399" s="144">
        <f t="shared" si="133"/>
        <v>0</v>
      </c>
      <c r="G399" s="144">
        <f t="shared" si="134"/>
        <v>0</v>
      </c>
      <c r="H399" s="169">
        <f t="shared" si="151"/>
        <v>0</v>
      </c>
      <c r="I399" s="143">
        <f t="shared" si="146"/>
        <v>0</v>
      </c>
      <c r="J399" s="144">
        <f t="shared" si="135"/>
        <v>0</v>
      </c>
      <c r="K399" s="144">
        <f t="shared" si="136"/>
        <v>0</v>
      </c>
      <c r="L399" s="169">
        <f t="shared" si="150"/>
        <v>0</v>
      </c>
      <c r="M399" s="143">
        <f t="shared" si="147"/>
        <v>0</v>
      </c>
      <c r="N399" s="144">
        <f t="shared" si="137"/>
        <v>0</v>
      </c>
      <c r="O399" s="144">
        <f t="shared" si="138"/>
        <v>0</v>
      </c>
      <c r="P399" s="169">
        <f t="shared" si="152"/>
        <v>0</v>
      </c>
      <c r="R399" s="143">
        <f t="shared" si="148"/>
        <v>0</v>
      </c>
      <c r="S399" s="144">
        <f t="shared" si="139"/>
        <v>0</v>
      </c>
      <c r="T399" s="144">
        <f t="shared" si="140"/>
        <v>0</v>
      </c>
      <c r="U399" s="169">
        <f t="shared" si="141"/>
        <v>0</v>
      </c>
      <c r="V399" s="143">
        <f t="shared" si="149"/>
        <v>0</v>
      </c>
      <c r="W399" s="144">
        <f t="shared" si="142"/>
        <v>0</v>
      </c>
      <c r="X399" s="144">
        <f t="shared" si="143"/>
        <v>0</v>
      </c>
      <c r="Y399" s="169">
        <f t="shared" si="144"/>
        <v>0</v>
      </c>
      <c r="Z399" s="151">
        <v>0</v>
      </c>
      <c r="AA399" s="151">
        <v>0</v>
      </c>
      <c r="AB399" s="151">
        <v>0</v>
      </c>
      <c r="AC399" s="151">
        <v>0</v>
      </c>
    </row>
    <row r="400" spans="1:29" s="61" customFormat="1" ht="11.25">
      <c r="A400" s="147">
        <f t="shared" si="130"/>
        <v>0</v>
      </c>
      <c r="B400" s="152">
        <f t="shared" si="131"/>
        <v>0</v>
      </c>
      <c r="C400" s="141">
        <f t="shared" si="132"/>
        <v>32</v>
      </c>
      <c r="D400" s="142">
        <v>381</v>
      </c>
      <c r="E400" s="143">
        <f t="shared" si="145"/>
        <v>0</v>
      </c>
      <c r="F400" s="144">
        <f t="shared" si="133"/>
        <v>0</v>
      </c>
      <c r="G400" s="144">
        <f t="shared" si="134"/>
        <v>0</v>
      </c>
      <c r="H400" s="169">
        <f t="shared" si="151"/>
        <v>0</v>
      </c>
      <c r="I400" s="143">
        <f t="shared" si="146"/>
        <v>0</v>
      </c>
      <c r="J400" s="144">
        <f t="shared" si="135"/>
        <v>0</v>
      </c>
      <c r="K400" s="144">
        <f t="shared" si="136"/>
        <v>0</v>
      </c>
      <c r="L400" s="169">
        <f t="shared" si="150"/>
        <v>0</v>
      </c>
      <c r="M400" s="143">
        <f t="shared" si="147"/>
        <v>0</v>
      </c>
      <c r="N400" s="144">
        <f t="shared" si="137"/>
        <v>0</v>
      </c>
      <c r="O400" s="144">
        <f t="shared" si="138"/>
        <v>0</v>
      </c>
      <c r="P400" s="169">
        <f t="shared" si="152"/>
        <v>0</v>
      </c>
      <c r="R400" s="143">
        <f t="shared" si="148"/>
        <v>0</v>
      </c>
      <c r="S400" s="144">
        <f t="shared" si="139"/>
        <v>0</v>
      </c>
      <c r="T400" s="144">
        <f t="shared" si="140"/>
        <v>0</v>
      </c>
      <c r="U400" s="169">
        <f t="shared" si="141"/>
        <v>0</v>
      </c>
      <c r="V400" s="143">
        <f t="shared" si="149"/>
        <v>0</v>
      </c>
      <c r="W400" s="144">
        <f t="shared" si="142"/>
        <v>0</v>
      </c>
      <c r="X400" s="144">
        <f t="shared" si="143"/>
        <v>0</v>
      </c>
      <c r="Y400" s="169">
        <f t="shared" si="144"/>
        <v>0</v>
      </c>
      <c r="Z400" s="151">
        <v>0</v>
      </c>
      <c r="AA400" s="151">
        <v>0</v>
      </c>
      <c r="AB400" s="151">
        <v>0</v>
      </c>
      <c r="AC400" s="151">
        <v>0</v>
      </c>
    </row>
    <row r="401" spans="1:29" s="61" customFormat="1" ht="11.25">
      <c r="A401" s="147">
        <f t="shared" si="130"/>
        <v>0</v>
      </c>
      <c r="B401" s="152">
        <f t="shared" si="131"/>
        <v>0</v>
      </c>
      <c r="C401" s="141">
        <f t="shared" si="132"/>
        <v>32</v>
      </c>
      <c r="D401" s="142">
        <v>382</v>
      </c>
      <c r="E401" s="143">
        <f t="shared" si="145"/>
        <v>0</v>
      </c>
      <c r="F401" s="144">
        <f t="shared" si="133"/>
        <v>0</v>
      </c>
      <c r="G401" s="144">
        <f t="shared" si="134"/>
        <v>0</v>
      </c>
      <c r="H401" s="169">
        <f t="shared" si="151"/>
        <v>0</v>
      </c>
      <c r="I401" s="143">
        <f t="shared" si="146"/>
        <v>0</v>
      </c>
      <c r="J401" s="144">
        <f t="shared" si="135"/>
        <v>0</v>
      </c>
      <c r="K401" s="144">
        <f t="shared" si="136"/>
        <v>0</v>
      </c>
      <c r="L401" s="169">
        <f t="shared" si="150"/>
        <v>0</v>
      </c>
      <c r="M401" s="143">
        <f t="shared" si="147"/>
        <v>0</v>
      </c>
      <c r="N401" s="144">
        <f t="shared" si="137"/>
        <v>0</v>
      </c>
      <c r="O401" s="144">
        <f t="shared" si="138"/>
        <v>0</v>
      </c>
      <c r="P401" s="169">
        <f t="shared" si="152"/>
        <v>0</v>
      </c>
      <c r="R401" s="143">
        <f t="shared" si="148"/>
        <v>0</v>
      </c>
      <c r="S401" s="144">
        <f t="shared" si="139"/>
        <v>0</v>
      </c>
      <c r="T401" s="144">
        <f t="shared" si="140"/>
        <v>0</v>
      </c>
      <c r="U401" s="169">
        <f t="shared" si="141"/>
        <v>0</v>
      </c>
      <c r="V401" s="143">
        <f t="shared" si="149"/>
        <v>0</v>
      </c>
      <c r="W401" s="144">
        <f t="shared" si="142"/>
        <v>0</v>
      </c>
      <c r="X401" s="144">
        <f t="shared" si="143"/>
        <v>0</v>
      </c>
      <c r="Y401" s="169">
        <f t="shared" si="144"/>
        <v>0</v>
      </c>
      <c r="Z401" s="151">
        <v>0</v>
      </c>
      <c r="AA401" s="151">
        <v>0</v>
      </c>
      <c r="AB401" s="151">
        <v>0</v>
      </c>
      <c r="AC401" s="151">
        <v>0</v>
      </c>
    </row>
    <row r="402" spans="1:29" s="61" customFormat="1" ht="11.25">
      <c r="A402" s="147">
        <f t="shared" si="130"/>
        <v>0</v>
      </c>
      <c r="B402" s="152">
        <f t="shared" si="131"/>
        <v>0</v>
      </c>
      <c r="C402" s="141">
        <f t="shared" si="132"/>
        <v>32</v>
      </c>
      <c r="D402" s="142">
        <v>383</v>
      </c>
      <c r="E402" s="143">
        <f t="shared" si="145"/>
        <v>0</v>
      </c>
      <c r="F402" s="144">
        <f t="shared" si="133"/>
        <v>0</v>
      </c>
      <c r="G402" s="144">
        <f t="shared" si="134"/>
        <v>0</v>
      </c>
      <c r="H402" s="169">
        <f t="shared" si="151"/>
        <v>0</v>
      </c>
      <c r="I402" s="143">
        <f t="shared" si="146"/>
        <v>0</v>
      </c>
      <c r="J402" s="144">
        <f t="shared" si="135"/>
        <v>0</v>
      </c>
      <c r="K402" s="144">
        <f t="shared" si="136"/>
        <v>0</v>
      </c>
      <c r="L402" s="169">
        <f t="shared" si="150"/>
        <v>0</v>
      </c>
      <c r="M402" s="143">
        <f t="shared" si="147"/>
        <v>0</v>
      </c>
      <c r="N402" s="144">
        <f t="shared" si="137"/>
        <v>0</v>
      </c>
      <c r="O402" s="144">
        <f t="shared" si="138"/>
        <v>0</v>
      </c>
      <c r="P402" s="169">
        <f t="shared" si="152"/>
        <v>0</v>
      </c>
      <c r="R402" s="143">
        <f t="shared" si="148"/>
        <v>0</v>
      </c>
      <c r="S402" s="144">
        <f t="shared" si="139"/>
        <v>0</v>
      </c>
      <c r="T402" s="144">
        <f t="shared" si="140"/>
        <v>0</v>
      </c>
      <c r="U402" s="169">
        <f t="shared" si="141"/>
        <v>0</v>
      </c>
      <c r="V402" s="143">
        <f t="shared" si="149"/>
        <v>0</v>
      </c>
      <c r="W402" s="144">
        <f t="shared" si="142"/>
        <v>0</v>
      </c>
      <c r="X402" s="144">
        <f t="shared" si="143"/>
        <v>0</v>
      </c>
      <c r="Y402" s="169">
        <f t="shared" si="144"/>
        <v>0</v>
      </c>
      <c r="Z402" s="151">
        <v>0</v>
      </c>
      <c r="AA402" s="151">
        <v>0</v>
      </c>
      <c r="AB402" s="151">
        <v>0</v>
      </c>
      <c r="AC402" s="151">
        <v>0</v>
      </c>
    </row>
    <row r="403" spans="1:29" s="61" customFormat="1" ht="12" thickBot="1">
      <c r="A403" s="153">
        <f t="shared" si="130"/>
        <v>0</v>
      </c>
      <c r="B403" s="154">
        <f t="shared" si="131"/>
        <v>0</v>
      </c>
      <c r="C403" s="155">
        <f t="shared" si="132"/>
        <v>32</v>
      </c>
      <c r="D403" s="156">
        <v>384</v>
      </c>
      <c r="E403" s="157">
        <f t="shared" si="145"/>
        <v>0</v>
      </c>
      <c r="F403" s="158">
        <f t="shared" si="133"/>
        <v>0</v>
      </c>
      <c r="G403" s="158">
        <f t="shared" si="134"/>
        <v>0</v>
      </c>
      <c r="H403" s="172">
        <f t="shared" si="151"/>
        <v>0</v>
      </c>
      <c r="I403" s="157">
        <f t="shared" si="146"/>
        <v>0</v>
      </c>
      <c r="J403" s="158">
        <f t="shared" si="135"/>
        <v>0</v>
      </c>
      <c r="K403" s="158">
        <f t="shared" si="136"/>
        <v>0</v>
      </c>
      <c r="L403" s="172">
        <f t="shared" si="150"/>
        <v>0</v>
      </c>
      <c r="M403" s="157">
        <f t="shared" si="147"/>
        <v>0</v>
      </c>
      <c r="N403" s="158">
        <f t="shared" si="137"/>
        <v>0</v>
      </c>
      <c r="O403" s="158">
        <f t="shared" si="138"/>
        <v>0</v>
      </c>
      <c r="P403" s="172">
        <f t="shared" si="152"/>
        <v>0</v>
      </c>
      <c r="R403" s="157">
        <f t="shared" si="148"/>
        <v>0</v>
      </c>
      <c r="S403" s="158">
        <f t="shared" si="139"/>
        <v>0</v>
      </c>
      <c r="T403" s="158">
        <f t="shared" si="140"/>
        <v>0</v>
      </c>
      <c r="U403" s="172">
        <f t="shared" si="141"/>
        <v>0</v>
      </c>
      <c r="V403" s="157">
        <f t="shared" si="149"/>
        <v>0</v>
      </c>
      <c r="W403" s="158">
        <f t="shared" si="142"/>
        <v>0</v>
      </c>
      <c r="X403" s="158">
        <f t="shared" si="143"/>
        <v>0</v>
      </c>
      <c r="Y403" s="172">
        <f t="shared" si="144"/>
        <v>0</v>
      </c>
      <c r="Z403" s="151">
        <v>0</v>
      </c>
      <c r="AA403" s="151">
        <v>0</v>
      </c>
      <c r="AB403" s="151">
        <v>0</v>
      </c>
      <c r="AC403" s="151">
        <v>0</v>
      </c>
    </row>
    <row r="404" spans="1:29" s="61" customFormat="1" ht="11.25">
      <c r="A404" s="147">
        <f t="shared" ref="A404:A415" si="153">VLOOKUP(D404,$A$10:$C$14,3)</f>
        <v>0</v>
      </c>
      <c r="B404" s="152">
        <f t="shared" ref="B404:B415" si="154">A404/12</f>
        <v>0</v>
      </c>
      <c r="C404" s="141">
        <f t="shared" ref="C404:C415" si="155">INT((D404+11)/12)</f>
        <v>33</v>
      </c>
      <c r="D404" s="142">
        <v>385</v>
      </c>
      <c r="E404" s="143">
        <f t="shared" si="145"/>
        <v>0</v>
      </c>
      <c r="F404" s="144">
        <f t="shared" ref="F404:F415" si="156">ROUND(E404*$B404,2)</f>
        <v>0</v>
      </c>
      <c r="G404" s="144">
        <f t="shared" ref="G404:G415" si="157">IF(E404&lt;H404,E404,H404-F404)</f>
        <v>0</v>
      </c>
      <c r="H404" s="169">
        <f t="shared" si="151"/>
        <v>0</v>
      </c>
      <c r="I404" s="143">
        <f t="shared" si="146"/>
        <v>0</v>
      </c>
      <c r="J404" s="144">
        <f t="shared" ref="J404:J415" si="158">ROUND(I404*$B404,2)</f>
        <v>0</v>
      </c>
      <c r="K404" s="144">
        <f t="shared" ref="K404:K415" si="159">IF(I404&lt;L404,I404,L404-J404)</f>
        <v>0</v>
      </c>
      <c r="L404" s="169">
        <f t="shared" si="150"/>
        <v>0</v>
      </c>
      <c r="M404" s="143">
        <f t="shared" si="147"/>
        <v>0</v>
      </c>
      <c r="N404" s="144">
        <f t="shared" ref="N404:N415" si="160">ROUND(M404*$B404,2)</f>
        <v>0</v>
      </c>
      <c r="O404" s="144">
        <f t="shared" ref="O404:O415" si="161">IF(M404&lt;P404,M404,P404-N404)</f>
        <v>0</v>
      </c>
      <c r="P404" s="169">
        <f t="shared" si="152"/>
        <v>0</v>
      </c>
      <c r="R404" s="143">
        <f t="shared" si="148"/>
        <v>0</v>
      </c>
      <c r="S404" s="144">
        <f t="shared" ref="S404:S415" si="162">ROUND(R404*$B404,2)</f>
        <v>0</v>
      </c>
      <c r="T404" s="144">
        <f t="shared" ref="T404:T415" si="163">IF(R404&lt;U404,R404,U404-S404)</f>
        <v>0</v>
      </c>
      <c r="U404" s="169">
        <f t="shared" ref="U404:U415" si="164">IF(R404&lt;=0,0,$Y$15)</f>
        <v>0</v>
      </c>
      <c r="V404" s="143">
        <f t="shared" si="149"/>
        <v>0</v>
      </c>
      <c r="W404" s="144">
        <f t="shared" ref="W404:W415" si="165">ROUND(V404*$B404,2)</f>
        <v>0</v>
      </c>
      <c r="X404" s="144">
        <f t="shared" ref="X404:X415" si="166">IF(V404&lt;Y404,V404,Y404-W404)</f>
        <v>0</v>
      </c>
      <c r="Y404" s="169">
        <f t="shared" ref="Y404:Y415" si="167">IF(V404&lt;=0,0,PMT(B404,($B$2-D404+1),V404*-1))</f>
        <v>0</v>
      </c>
      <c r="Z404" s="151">
        <v>0</v>
      </c>
      <c r="AA404" s="151">
        <v>0</v>
      </c>
      <c r="AB404" s="151">
        <v>0</v>
      </c>
      <c r="AC404" s="151">
        <v>0</v>
      </c>
    </row>
    <row r="405" spans="1:29" s="61" customFormat="1" ht="11.25">
      <c r="A405" s="147">
        <f t="shared" si="153"/>
        <v>0</v>
      </c>
      <c r="B405" s="152">
        <f t="shared" si="154"/>
        <v>0</v>
      </c>
      <c r="C405" s="141">
        <f t="shared" si="155"/>
        <v>33</v>
      </c>
      <c r="D405" s="142">
        <v>386</v>
      </c>
      <c r="E405" s="143">
        <f t="shared" ref="E405:E415" si="168">IF(E404&lt;H404,0,E404-G404)</f>
        <v>0</v>
      </c>
      <c r="F405" s="144">
        <f t="shared" si="156"/>
        <v>0</v>
      </c>
      <c r="G405" s="144">
        <f t="shared" si="157"/>
        <v>0</v>
      </c>
      <c r="H405" s="169">
        <f t="shared" si="151"/>
        <v>0</v>
      </c>
      <c r="I405" s="143">
        <f t="shared" ref="I405:I415" si="169">IF(I404&lt;L404,0,I404-K404)</f>
        <v>0</v>
      </c>
      <c r="J405" s="144">
        <f t="shared" si="158"/>
        <v>0</v>
      </c>
      <c r="K405" s="144">
        <f t="shared" si="159"/>
        <v>0</v>
      </c>
      <c r="L405" s="169">
        <f t="shared" si="150"/>
        <v>0</v>
      </c>
      <c r="M405" s="143">
        <f t="shared" ref="M405:M415" si="170">IF(M404&lt;P404,0,M404-O404)</f>
        <v>0</v>
      </c>
      <c r="N405" s="144">
        <f t="shared" si="160"/>
        <v>0</v>
      </c>
      <c r="O405" s="144">
        <f t="shared" si="161"/>
        <v>0</v>
      </c>
      <c r="P405" s="169">
        <f t="shared" si="152"/>
        <v>0</v>
      </c>
      <c r="R405" s="143">
        <f t="shared" ref="R405:R415" si="171">IF(R404&lt;U404,0,R404-T404)</f>
        <v>0</v>
      </c>
      <c r="S405" s="144">
        <f t="shared" si="162"/>
        <v>0</v>
      </c>
      <c r="T405" s="144">
        <f t="shared" si="163"/>
        <v>0</v>
      </c>
      <c r="U405" s="169">
        <f t="shared" si="164"/>
        <v>0</v>
      </c>
      <c r="V405" s="143">
        <f t="shared" ref="V405:V415" si="172">IF(V404&lt;Y404,0,V404-X404)</f>
        <v>0</v>
      </c>
      <c r="W405" s="144">
        <f t="shared" si="165"/>
        <v>0</v>
      </c>
      <c r="X405" s="144">
        <f t="shared" si="166"/>
        <v>0</v>
      </c>
      <c r="Y405" s="169">
        <f t="shared" si="167"/>
        <v>0</v>
      </c>
      <c r="Z405" s="151">
        <v>0</v>
      </c>
      <c r="AA405" s="151">
        <v>0</v>
      </c>
      <c r="AB405" s="151">
        <v>0</v>
      </c>
      <c r="AC405" s="151">
        <v>0</v>
      </c>
    </row>
    <row r="406" spans="1:29" s="61" customFormat="1" ht="11.25">
      <c r="A406" s="147">
        <f t="shared" si="153"/>
        <v>0</v>
      </c>
      <c r="B406" s="152">
        <f t="shared" si="154"/>
        <v>0</v>
      </c>
      <c r="C406" s="141">
        <f t="shared" si="155"/>
        <v>33</v>
      </c>
      <c r="D406" s="142">
        <v>387</v>
      </c>
      <c r="E406" s="143">
        <f t="shared" si="168"/>
        <v>0</v>
      </c>
      <c r="F406" s="144">
        <f t="shared" si="156"/>
        <v>0</v>
      </c>
      <c r="G406" s="144">
        <f t="shared" si="157"/>
        <v>0</v>
      </c>
      <c r="H406" s="169">
        <f t="shared" si="151"/>
        <v>0</v>
      </c>
      <c r="I406" s="143">
        <f t="shared" si="169"/>
        <v>0</v>
      </c>
      <c r="J406" s="144">
        <f t="shared" si="158"/>
        <v>0</v>
      </c>
      <c r="K406" s="144">
        <f t="shared" si="159"/>
        <v>0</v>
      </c>
      <c r="L406" s="169">
        <f t="shared" si="150"/>
        <v>0</v>
      </c>
      <c r="M406" s="143">
        <f t="shared" si="170"/>
        <v>0</v>
      </c>
      <c r="N406" s="144">
        <f t="shared" si="160"/>
        <v>0</v>
      </c>
      <c r="O406" s="144">
        <f t="shared" si="161"/>
        <v>0</v>
      </c>
      <c r="P406" s="169">
        <f t="shared" si="152"/>
        <v>0</v>
      </c>
      <c r="R406" s="143">
        <f t="shared" si="171"/>
        <v>0</v>
      </c>
      <c r="S406" s="144">
        <f t="shared" si="162"/>
        <v>0</v>
      </c>
      <c r="T406" s="144">
        <f t="shared" si="163"/>
        <v>0</v>
      </c>
      <c r="U406" s="169">
        <f t="shared" si="164"/>
        <v>0</v>
      </c>
      <c r="V406" s="143">
        <f t="shared" si="172"/>
        <v>0</v>
      </c>
      <c r="W406" s="144">
        <f t="shared" si="165"/>
        <v>0</v>
      </c>
      <c r="X406" s="144">
        <f t="shared" si="166"/>
        <v>0</v>
      </c>
      <c r="Y406" s="169">
        <f t="shared" si="167"/>
        <v>0</v>
      </c>
      <c r="Z406" s="151">
        <v>0</v>
      </c>
      <c r="AA406" s="151">
        <v>0</v>
      </c>
      <c r="AB406" s="151">
        <v>0</v>
      </c>
      <c r="AC406" s="151">
        <v>0</v>
      </c>
    </row>
    <row r="407" spans="1:29" s="61" customFormat="1" ht="11.25">
      <c r="A407" s="147">
        <f t="shared" si="153"/>
        <v>0</v>
      </c>
      <c r="B407" s="152">
        <f t="shared" si="154"/>
        <v>0</v>
      </c>
      <c r="C407" s="141">
        <f t="shared" si="155"/>
        <v>33</v>
      </c>
      <c r="D407" s="142">
        <v>388</v>
      </c>
      <c r="E407" s="143">
        <f t="shared" si="168"/>
        <v>0</v>
      </c>
      <c r="F407" s="144">
        <f t="shared" si="156"/>
        <v>0</v>
      </c>
      <c r="G407" s="144">
        <f t="shared" si="157"/>
        <v>0</v>
      </c>
      <c r="H407" s="169">
        <f t="shared" si="151"/>
        <v>0</v>
      </c>
      <c r="I407" s="143">
        <f t="shared" si="169"/>
        <v>0</v>
      </c>
      <c r="J407" s="144">
        <f t="shared" si="158"/>
        <v>0</v>
      </c>
      <c r="K407" s="144">
        <f t="shared" si="159"/>
        <v>0</v>
      </c>
      <c r="L407" s="169">
        <f t="shared" si="150"/>
        <v>0</v>
      </c>
      <c r="M407" s="143">
        <f t="shared" si="170"/>
        <v>0</v>
      </c>
      <c r="N407" s="144">
        <f t="shared" si="160"/>
        <v>0</v>
      </c>
      <c r="O407" s="144">
        <f t="shared" si="161"/>
        <v>0</v>
      </c>
      <c r="P407" s="169">
        <f t="shared" si="152"/>
        <v>0</v>
      </c>
      <c r="R407" s="143">
        <f t="shared" si="171"/>
        <v>0</v>
      </c>
      <c r="S407" s="144">
        <f t="shared" si="162"/>
        <v>0</v>
      </c>
      <c r="T407" s="144">
        <f t="shared" si="163"/>
        <v>0</v>
      </c>
      <c r="U407" s="169">
        <f t="shared" si="164"/>
        <v>0</v>
      </c>
      <c r="V407" s="143">
        <f t="shared" si="172"/>
        <v>0</v>
      </c>
      <c r="W407" s="144">
        <f t="shared" si="165"/>
        <v>0</v>
      </c>
      <c r="X407" s="144">
        <f t="shared" si="166"/>
        <v>0</v>
      </c>
      <c r="Y407" s="169">
        <f t="shared" si="167"/>
        <v>0</v>
      </c>
      <c r="Z407" s="151">
        <v>0</v>
      </c>
      <c r="AA407" s="151">
        <v>0</v>
      </c>
      <c r="AB407" s="151">
        <v>0</v>
      </c>
      <c r="AC407" s="151">
        <v>0</v>
      </c>
    </row>
    <row r="408" spans="1:29" s="61" customFormat="1" ht="11.25">
      <c r="A408" s="147">
        <f t="shared" si="153"/>
        <v>0</v>
      </c>
      <c r="B408" s="152">
        <f t="shared" si="154"/>
        <v>0</v>
      </c>
      <c r="C408" s="141">
        <f t="shared" si="155"/>
        <v>33</v>
      </c>
      <c r="D408" s="142">
        <v>389</v>
      </c>
      <c r="E408" s="143">
        <f t="shared" si="168"/>
        <v>0</v>
      </c>
      <c r="F408" s="144">
        <f t="shared" si="156"/>
        <v>0</v>
      </c>
      <c r="G408" s="144">
        <f t="shared" si="157"/>
        <v>0</v>
      </c>
      <c r="H408" s="169">
        <f t="shared" si="151"/>
        <v>0</v>
      </c>
      <c r="I408" s="143">
        <f t="shared" si="169"/>
        <v>0</v>
      </c>
      <c r="J408" s="144">
        <f t="shared" si="158"/>
        <v>0</v>
      </c>
      <c r="K408" s="144">
        <f t="shared" si="159"/>
        <v>0</v>
      </c>
      <c r="L408" s="169">
        <f t="shared" si="150"/>
        <v>0</v>
      </c>
      <c r="M408" s="143">
        <f t="shared" si="170"/>
        <v>0</v>
      </c>
      <c r="N408" s="144">
        <f t="shared" si="160"/>
        <v>0</v>
      </c>
      <c r="O408" s="144">
        <f t="shared" si="161"/>
        <v>0</v>
      </c>
      <c r="P408" s="169">
        <f t="shared" si="152"/>
        <v>0</v>
      </c>
      <c r="R408" s="143">
        <f t="shared" si="171"/>
        <v>0</v>
      </c>
      <c r="S408" s="144">
        <f t="shared" si="162"/>
        <v>0</v>
      </c>
      <c r="T408" s="144">
        <f t="shared" si="163"/>
        <v>0</v>
      </c>
      <c r="U408" s="169">
        <f t="shared" si="164"/>
        <v>0</v>
      </c>
      <c r="V408" s="143">
        <f t="shared" si="172"/>
        <v>0</v>
      </c>
      <c r="W408" s="144">
        <f t="shared" si="165"/>
        <v>0</v>
      </c>
      <c r="X408" s="144">
        <f t="shared" si="166"/>
        <v>0</v>
      </c>
      <c r="Y408" s="169">
        <f t="shared" si="167"/>
        <v>0</v>
      </c>
      <c r="Z408" s="151">
        <v>0</v>
      </c>
      <c r="AA408" s="151">
        <v>0</v>
      </c>
      <c r="AB408" s="151">
        <v>0</v>
      </c>
      <c r="AC408" s="151">
        <v>0</v>
      </c>
    </row>
    <row r="409" spans="1:29" s="61" customFormat="1" ht="11.25">
      <c r="A409" s="147">
        <f t="shared" si="153"/>
        <v>0</v>
      </c>
      <c r="B409" s="152">
        <f t="shared" si="154"/>
        <v>0</v>
      </c>
      <c r="C409" s="141">
        <f t="shared" si="155"/>
        <v>33</v>
      </c>
      <c r="D409" s="142">
        <v>390</v>
      </c>
      <c r="E409" s="143">
        <f t="shared" si="168"/>
        <v>0</v>
      </c>
      <c r="F409" s="144">
        <f t="shared" si="156"/>
        <v>0</v>
      </c>
      <c r="G409" s="144">
        <f t="shared" si="157"/>
        <v>0</v>
      </c>
      <c r="H409" s="169">
        <f t="shared" si="151"/>
        <v>0</v>
      </c>
      <c r="I409" s="143">
        <f t="shared" si="169"/>
        <v>0</v>
      </c>
      <c r="J409" s="144">
        <f t="shared" si="158"/>
        <v>0</v>
      </c>
      <c r="K409" s="144">
        <f t="shared" si="159"/>
        <v>0</v>
      </c>
      <c r="L409" s="169">
        <f t="shared" si="150"/>
        <v>0</v>
      </c>
      <c r="M409" s="143">
        <f t="shared" si="170"/>
        <v>0</v>
      </c>
      <c r="N409" s="144">
        <f t="shared" si="160"/>
        <v>0</v>
      </c>
      <c r="O409" s="144">
        <f t="shared" si="161"/>
        <v>0</v>
      </c>
      <c r="P409" s="169">
        <f t="shared" si="152"/>
        <v>0</v>
      </c>
      <c r="R409" s="143">
        <f t="shared" si="171"/>
        <v>0</v>
      </c>
      <c r="S409" s="144">
        <f t="shared" si="162"/>
        <v>0</v>
      </c>
      <c r="T409" s="144">
        <f t="shared" si="163"/>
        <v>0</v>
      </c>
      <c r="U409" s="169">
        <f t="shared" si="164"/>
        <v>0</v>
      </c>
      <c r="V409" s="143">
        <f t="shared" si="172"/>
        <v>0</v>
      </c>
      <c r="W409" s="144">
        <f t="shared" si="165"/>
        <v>0</v>
      </c>
      <c r="X409" s="144">
        <f t="shared" si="166"/>
        <v>0</v>
      </c>
      <c r="Y409" s="169">
        <f t="shared" si="167"/>
        <v>0</v>
      </c>
      <c r="Z409" s="151">
        <v>0</v>
      </c>
      <c r="AA409" s="151">
        <v>0</v>
      </c>
      <c r="AB409" s="151">
        <v>0</v>
      </c>
      <c r="AC409" s="151">
        <v>0</v>
      </c>
    </row>
    <row r="410" spans="1:29" s="61" customFormat="1" ht="11.25">
      <c r="A410" s="147">
        <f t="shared" si="153"/>
        <v>0</v>
      </c>
      <c r="B410" s="152">
        <f t="shared" si="154"/>
        <v>0</v>
      </c>
      <c r="C410" s="141">
        <f t="shared" si="155"/>
        <v>33</v>
      </c>
      <c r="D410" s="142">
        <v>391</v>
      </c>
      <c r="E410" s="143">
        <f t="shared" si="168"/>
        <v>0</v>
      </c>
      <c r="F410" s="144">
        <f t="shared" si="156"/>
        <v>0</v>
      </c>
      <c r="G410" s="144">
        <f t="shared" si="157"/>
        <v>0</v>
      </c>
      <c r="H410" s="169">
        <f t="shared" si="151"/>
        <v>0</v>
      </c>
      <c r="I410" s="143">
        <f t="shared" si="169"/>
        <v>0</v>
      </c>
      <c r="J410" s="144">
        <f t="shared" si="158"/>
        <v>0</v>
      </c>
      <c r="K410" s="144">
        <f t="shared" si="159"/>
        <v>0</v>
      </c>
      <c r="L410" s="169">
        <f t="shared" si="150"/>
        <v>0</v>
      </c>
      <c r="M410" s="143">
        <f t="shared" si="170"/>
        <v>0</v>
      </c>
      <c r="N410" s="144">
        <f t="shared" si="160"/>
        <v>0</v>
      </c>
      <c r="O410" s="144">
        <f t="shared" si="161"/>
        <v>0</v>
      </c>
      <c r="P410" s="169">
        <f t="shared" si="152"/>
        <v>0</v>
      </c>
      <c r="R410" s="143">
        <f t="shared" si="171"/>
        <v>0</v>
      </c>
      <c r="S410" s="144">
        <f t="shared" si="162"/>
        <v>0</v>
      </c>
      <c r="T410" s="144">
        <f t="shared" si="163"/>
        <v>0</v>
      </c>
      <c r="U410" s="169">
        <f t="shared" si="164"/>
        <v>0</v>
      </c>
      <c r="V410" s="143">
        <f t="shared" si="172"/>
        <v>0</v>
      </c>
      <c r="W410" s="144">
        <f t="shared" si="165"/>
        <v>0</v>
      </c>
      <c r="X410" s="144">
        <f t="shared" si="166"/>
        <v>0</v>
      </c>
      <c r="Y410" s="169">
        <f t="shared" si="167"/>
        <v>0</v>
      </c>
      <c r="Z410" s="151">
        <v>0</v>
      </c>
      <c r="AA410" s="151">
        <v>0</v>
      </c>
      <c r="AB410" s="151">
        <v>0</v>
      </c>
      <c r="AC410" s="151">
        <v>0</v>
      </c>
    </row>
    <row r="411" spans="1:29" s="61" customFormat="1" ht="11.25">
      <c r="A411" s="147">
        <f t="shared" si="153"/>
        <v>0</v>
      </c>
      <c r="B411" s="152">
        <f t="shared" si="154"/>
        <v>0</v>
      </c>
      <c r="C411" s="141">
        <f t="shared" si="155"/>
        <v>33</v>
      </c>
      <c r="D411" s="142">
        <v>392</v>
      </c>
      <c r="E411" s="143">
        <f t="shared" si="168"/>
        <v>0</v>
      </c>
      <c r="F411" s="144">
        <f t="shared" si="156"/>
        <v>0</v>
      </c>
      <c r="G411" s="144">
        <f t="shared" si="157"/>
        <v>0</v>
      </c>
      <c r="H411" s="169">
        <f t="shared" si="151"/>
        <v>0</v>
      </c>
      <c r="I411" s="143">
        <f t="shared" si="169"/>
        <v>0</v>
      </c>
      <c r="J411" s="144">
        <f t="shared" si="158"/>
        <v>0</v>
      </c>
      <c r="K411" s="144">
        <f t="shared" si="159"/>
        <v>0</v>
      </c>
      <c r="L411" s="169">
        <f t="shared" si="150"/>
        <v>0</v>
      </c>
      <c r="M411" s="143">
        <f t="shared" si="170"/>
        <v>0</v>
      </c>
      <c r="N411" s="144">
        <f t="shared" si="160"/>
        <v>0</v>
      </c>
      <c r="O411" s="144">
        <f t="shared" si="161"/>
        <v>0</v>
      </c>
      <c r="P411" s="169">
        <f t="shared" si="152"/>
        <v>0</v>
      </c>
      <c r="R411" s="143">
        <f t="shared" si="171"/>
        <v>0</v>
      </c>
      <c r="S411" s="144">
        <f t="shared" si="162"/>
        <v>0</v>
      </c>
      <c r="T411" s="144">
        <f t="shared" si="163"/>
        <v>0</v>
      </c>
      <c r="U411" s="169">
        <f t="shared" si="164"/>
        <v>0</v>
      </c>
      <c r="V411" s="143">
        <f t="shared" si="172"/>
        <v>0</v>
      </c>
      <c r="W411" s="144">
        <f t="shared" si="165"/>
        <v>0</v>
      </c>
      <c r="X411" s="144">
        <f t="shared" si="166"/>
        <v>0</v>
      </c>
      <c r="Y411" s="169">
        <f t="shared" si="167"/>
        <v>0</v>
      </c>
      <c r="Z411" s="151">
        <v>0</v>
      </c>
      <c r="AA411" s="151">
        <v>0</v>
      </c>
      <c r="AB411" s="151">
        <v>0</v>
      </c>
      <c r="AC411" s="151">
        <v>0</v>
      </c>
    </row>
    <row r="412" spans="1:29" s="61" customFormat="1" ht="11.25">
      <c r="A412" s="147">
        <f t="shared" si="153"/>
        <v>0</v>
      </c>
      <c r="B412" s="152">
        <f t="shared" si="154"/>
        <v>0</v>
      </c>
      <c r="C412" s="141">
        <f t="shared" si="155"/>
        <v>33</v>
      </c>
      <c r="D412" s="142">
        <v>393</v>
      </c>
      <c r="E412" s="143">
        <f t="shared" si="168"/>
        <v>0</v>
      </c>
      <c r="F412" s="144">
        <f t="shared" si="156"/>
        <v>0</v>
      </c>
      <c r="G412" s="144">
        <f t="shared" si="157"/>
        <v>0</v>
      </c>
      <c r="H412" s="169">
        <f t="shared" si="151"/>
        <v>0</v>
      </c>
      <c r="I412" s="143">
        <f t="shared" si="169"/>
        <v>0</v>
      </c>
      <c r="J412" s="144">
        <f t="shared" si="158"/>
        <v>0</v>
      </c>
      <c r="K412" s="144">
        <f t="shared" si="159"/>
        <v>0</v>
      </c>
      <c r="L412" s="169">
        <f t="shared" si="150"/>
        <v>0</v>
      </c>
      <c r="M412" s="143">
        <f t="shared" si="170"/>
        <v>0</v>
      </c>
      <c r="N412" s="144">
        <f t="shared" si="160"/>
        <v>0</v>
      </c>
      <c r="O412" s="144">
        <f t="shared" si="161"/>
        <v>0</v>
      </c>
      <c r="P412" s="169">
        <f t="shared" si="152"/>
        <v>0</v>
      </c>
      <c r="R412" s="143">
        <f t="shared" si="171"/>
        <v>0</v>
      </c>
      <c r="S412" s="144">
        <f t="shared" si="162"/>
        <v>0</v>
      </c>
      <c r="T412" s="144">
        <f t="shared" si="163"/>
        <v>0</v>
      </c>
      <c r="U412" s="169">
        <f t="shared" si="164"/>
        <v>0</v>
      </c>
      <c r="V412" s="143">
        <f t="shared" si="172"/>
        <v>0</v>
      </c>
      <c r="W412" s="144">
        <f t="shared" si="165"/>
        <v>0</v>
      </c>
      <c r="X412" s="144">
        <f t="shared" si="166"/>
        <v>0</v>
      </c>
      <c r="Y412" s="169">
        <f t="shared" si="167"/>
        <v>0</v>
      </c>
      <c r="Z412" s="151">
        <v>0</v>
      </c>
      <c r="AA412" s="151">
        <v>0</v>
      </c>
      <c r="AB412" s="151">
        <v>0</v>
      </c>
      <c r="AC412" s="151">
        <v>0</v>
      </c>
    </row>
    <row r="413" spans="1:29" s="61" customFormat="1" ht="11.25">
      <c r="A413" s="147">
        <f t="shared" si="153"/>
        <v>0</v>
      </c>
      <c r="B413" s="152">
        <f t="shared" si="154"/>
        <v>0</v>
      </c>
      <c r="C413" s="141">
        <f t="shared" si="155"/>
        <v>33</v>
      </c>
      <c r="D413" s="142">
        <v>394</v>
      </c>
      <c r="E413" s="143">
        <f t="shared" si="168"/>
        <v>0</v>
      </c>
      <c r="F413" s="144">
        <f t="shared" si="156"/>
        <v>0</v>
      </c>
      <c r="G413" s="144">
        <f t="shared" si="157"/>
        <v>0</v>
      </c>
      <c r="H413" s="169">
        <f t="shared" si="151"/>
        <v>0</v>
      </c>
      <c r="I413" s="143">
        <f t="shared" si="169"/>
        <v>0</v>
      </c>
      <c r="J413" s="144">
        <f t="shared" si="158"/>
        <v>0</v>
      </c>
      <c r="K413" s="144">
        <f t="shared" si="159"/>
        <v>0</v>
      </c>
      <c r="L413" s="169">
        <f t="shared" si="150"/>
        <v>0</v>
      </c>
      <c r="M413" s="143">
        <f t="shared" si="170"/>
        <v>0</v>
      </c>
      <c r="N413" s="144">
        <f t="shared" si="160"/>
        <v>0</v>
      </c>
      <c r="O413" s="144">
        <f t="shared" si="161"/>
        <v>0</v>
      </c>
      <c r="P413" s="169">
        <f t="shared" si="152"/>
        <v>0</v>
      </c>
      <c r="R413" s="143">
        <f t="shared" si="171"/>
        <v>0</v>
      </c>
      <c r="S413" s="144">
        <f t="shared" si="162"/>
        <v>0</v>
      </c>
      <c r="T413" s="144">
        <f t="shared" si="163"/>
        <v>0</v>
      </c>
      <c r="U413" s="169">
        <f t="shared" si="164"/>
        <v>0</v>
      </c>
      <c r="V413" s="143">
        <f t="shared" si="172"/>
        <v>0</v>
      </c>
      <c r="W413" s="144">
        <f t="shared" si="165"/>
        <v>0</v>
      </c>
      <c r="X413" s="144">
        <f t="shared" si="166"/>
        <v>0</v>
      </c>
      <c r="Y413" s="169">
        <f t="shared" si="167"/>
        <v>0</v>
      </c>
      <c r="Z413" s="151">
        <v>0</v>
      </c>
      <c r="AA413" s="151">
        <v>0</v>
      </c>
      <c r="AB413" s="151">
        <v>0</v>
      </c>
      <c r="AC413" s="151">
        <v>0</v>
      </c>
    </row>
    <row r="414" spans="1:29" s="61" customFormat="1" ht="11.25">
      <c r="A414" s="147">
        <f t="shared" si="153"/>
        <v>0</v>
      </c>
      <c r="B414" s="152">
        <f t="shared" si="154"/>
        <v>0</v>
      </c>
      <c r="C414" s="141">
        <f t="shared" si="155"/>
        <v>33</v>
      </c>
      <c r="D414" s="142">
        <v>395</v>
      </c>
      <c r="E414" s="143">
        <f t="shared" si="168"/>
        <v>0</v>
      </c>
      <c r="F414" s="144">
        <f t="shared" si="156"/>
        <v>0</v>
      </c>
      <c r="G414" s="144">
        <f t="shared" si="157"/>
        <v>0</v>
      </c>
      <c r="H414" s="169">
        <f t="shared" si="151"/>
        <v>0</v>
      </c>
      <c r="I414" s="143">
        <f t="shared" si="169"/>
        <v>0</v>
      </c>
      <c r="J414" s="144">
        <f t="shared" si="158"/>
        <v>0</v>
      </c>
      <c r="K414" s="144">
        <f t="shared" si="159"/>
        <v>0</v>
      </c>
      <c r="L414" s="169">
        <f t="shared" si="150"/>
        <v>0</v>
      </c>
      <c r="M414" s="143">
        <f t="shared" si="170"/>
        <v>0</v>
      </c>
      <c r="N414" s="144">
        <f t="shared" si="160"/>
        <v>0</v>
      </c>
      <c r="O414" s="144">
        <f t="shared" si="161"/>
        <v>0</v>
      </c>
      <c r="P414" s="169">
        <f t="shared" si="152"/>
        <v>0</v>
      </c>
      <c r="R414" s="143">
        <f t="shared" si="171"/>
        <v>0</v>
      </c>
      <c r="S414" s="144">
        <f t="shared" si="162"/>
        <v>0</v>
      </c>
      <c r="T414" s="144">
        <f t="shared" si="163"/>
        <v>0</v>
      </c>
      <c r="U414" s="169">
        <f t="shared" si="164"/>
        <v>0</v>
      </c>
      <c r="V414" s="143">
        <f t="shared" si="172"/>
        <v>0</v>
      </c>
      <c r="W414" s="144">
        <f t="shared" si="165"/>
        <v>0</v>
      </c>
      <c r="X414" s="144">
        <f t="shared" si="166"/>
        <v>0</v>
      </c>
      <c r="Y414" s="169">
        <f t="shared" si="167"/>
        <v>0</v>
      </c>
      <c r="Z414" s="151">
        <v>0</v>
      </c>
      <c r="AA414" s="151">
        <v>0</v>
      </c>
      <c r="AB414" s="151">
        <v>0</v>
      </c>
      <c r="AC414" s="151">
        <v>0</v>
      </c>
    </row>
    <row r="415" spans="1:29" s="61" customFormat="1" ht="12" thickBot="1">
      <c r="A415" s="153">
        <f t="shared" si="153"/>
        <v>0</v>
      </c>
      <c r="B415" s="154">
        <f t="shared" si="154"/>
        <v>0</v>
      </c>
      <c r="C415" s="155">
        <f t="shared" si="155"/>
        <v>33</v>
      </c>
      <c r="D415" s="156">
        <v>396</v>
      </c>
      <c r="E415" s="157">
        <f t="shared" si="168"/>
        <v>0</v>
      </c>
      <c r="F415" s="158">
        <f t="shared" si="156"/>
        <v>0</v>
      </c>
      <c r="G415" s="158">
        <f t="shared" si="157"/>
        <v>0</v>
      </c>
      <c r="H415" s="172">
        <f t="shared" si="151"/>
        <v>0</v>
      </c>
      <c r="I415" s="157">
        <f t="shared" si="169"/>
        <v>0</v>
      </c>
      <c r="J415" s="158">
        <f t="shared" si="158"/>
        <v>0</v>
      </c>
      <c r="K415" s="158">
        <f t="shared" si="159"/>
        <v>0</v>
      </c>
      <c r="L415" s="172">
        <f t="shared" si="150"/>
        <v>0</v>
      </c>
      <c r="M415" s="157">
        <f t="shared" si="170"/>
        <v>0</v>
      </c>
      <c r="N415" s="158">
        <f t="shared" si="160"/>
        <v>0</v>
      </c>
      <c r="O415" s="158">
        <f t="shared" si="161"/>
        <v>0</v>
      </c>
      <c r="P415" s="172">
        <f t="shared" si="152"/>
        <v>0</v>
      </c>
      <c r="R415" s="157">
        <f t="shared" si="171"/>
        <v>0</v>
      </c>
      <c r="S415" s="158">
        <f t="shared" si="162"/>
        <v>0</v>
      </c>
      <c r="T415" s="158">
        <f t="shared" si="163"/>
        <v>0</v>
      </c>
      <c r="U415" s="172">
        <f t="shared" si="164"/>
        <v>0</v>
      </c>
      <c r="V415" s="157">
        <f t="shared" si="172"/>
        <v>0</v>
      </c>
      <c r="W415" s="158">
        <f t="shared" si="165"/>
        <v>0</v>
      </c>
      <c r="X415" s="158">
        <f t="shared" si="166"/>
        <v>0</v>
      </c>
      <c r="Y415" s="172">
        <f t="shared" si="167"/>
        <v>0</v>
      </c>
      <c r="Z415" s="151">
        <v>0</v>
      </c>
      <c r="AA415" s="151">
        <v>0</v>
      </c>
      <c r="AB415" s="151">
        <v>0</v>
      </c>
      <c r="AC415" s="151">
        <v>0</v>
      </c>
    </row>
  </sheetData>
  <sheetProtection algorithmName="SHA-512" hashValue="/7Rk+NONg2ShPOMS5p4UIaMqk6CvLjTE7pChUqfv2DxnIjX87ZU3zS99VQ/Wm1pR4LPH9H5O9aNXgTd/13X/rA==" saltValue="13w/eOw+rB4QA3sf7cWQkQ==" spinCount="100000" sheet="1" objects="1" scenarios="1" selectLockedCells="1" selectUnlockedCells="1"/>
  <conditionalFormatting sqref="H11:H13">
    <cfRule type="cellIs" dxfId="2" priority="3" stopIfTrue="1" operator="lessThan">
      <formula>H10</formula>
    </cfRule>
  </conditionalFormatting>
  <conditionalFormatting sqref="L11:L13">
    <cfRule type="cellIs" dxfId="1" priority="2" stopIfTrue="1" operator="lessThan">
      <formula>L10</formula>
    </cfRule>
  </conditionalFormatting>
  <conditionalFormatting sqref="P11:P14">
    <cfRule type="cellIs" dxfId="0" priority="1" stopIfTrue="1" operator="lessThan">
      <formula>P10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314750-8B5D-40A6-B87C-431526BAC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84</vt:i4>
      </vt:variant>
    </vt:vector>
  </HeadingPairs>
  <TitlesOfParts>
    <vt:vector size="91" baseType="lpstr">
      <vt:lpstr>1.ลดดอกเบี้ย</vt:lpstr>
      <vt:lpstr>2.นำเสนอดอกเบี้ย</vt:lpstr>
      <vt:lpstr>ตาราง-HL-เสนอลด</vt:lpstr>
      <vt:lpstr>ตาราง-HL-ตามมติ</vt:lpstr>
      <vt:lpstr>ตาราง-MP-ตามมติ</vt:lpstr>
      <vt:lpstr>ตาราง-MP-เสนอลด</vt:lpstr>
      <vt:lpstr>pam</vt:lpstr>
      <vt:lpstr>'ตาราง-HL-ตามมติ'!Print_Area</vt:lpstr>
      <vt:lpstr>'ตาราง-HL-เสนอลด'!Print_Area</vt:lpstr>
      <vt:lpstr>'ตาราง-MP-ตามมติ'!Print_Area</vt:lpstr>
      <vt:lpstr>'ตาราง-MP-เสนอลด'!Print_Area</vt:lpstr>
      <vt:lpstr>'ตาราง-HL-ตามมติ'!Print_Titles</vt:lpstr>
      <vt:lpstr>'ตาราง-HL-เสนอลด'!Print_Titles</vt:lpstr>
      <vt:lpstr>'ตาราง-MP-ตามมติ'!Print_Titles</vt:lpstr>
      <vt:lpstr>'ตาราง-MP-เสนอลด'!Print_Titles</vt:lpstr>
      <vt:lpstr>กระบี่</vt:lpstr>
      <vt:lpstr>กรุงเทพมหานคร</vt:lpstr>
      <vt:lpstr>กาญจนบุรี</vt:lpstr>
      <vt:lpstr>กาฬสินธุ์</vt:lpstr>
      <vt:lpstr>กำแพงเพชร</vt:lpstr>
      <vt:lpstr>ขอนแก่น</vt:lpstr>
      <vt:lpstr>จันทบุรี</vt:lpstr>
      <vt:lpstr>ฉะเชิงเทรา</vt:lpstr>
      <vt:lpstr>ชลบุรี</vt:lpstr>
      <vt:lpstr>ชัยนาท</vt:lpstr>
      <vt:lpstr>ชัยภูมิ</vt:lpstr>
      <vt:lpstr>ชุมพร</vt:lpstr>
      <vt:lpstr>เชียงราย</vt:lpstr>
      <vt:lpstr>เชียงใหม่</vt:lpstr>
      <vt:lpstr>ตรัง</vt:lpstr>
      <vt:lpstr>ตราด</vt:lpstr>
      <vt:lpstr>ตาก</vt:lpstr>
      <vt:lpstr>นครนายก</vt:lpstr>
      <vt:lpstr>นครปฐม</vt:lpstr>
      <vt:lpstr>นครพนม</vt:lpstr>
      <vt:lpstr>นครราชสีมา</vt:lpstr>
      <vt:lpstr>นครศรีธรรมราช</vt:lpstr>
      <vt:lpstr>นครสวรรค์</vt:lpstr>
      <vt:lpstr>นนทบุรี</vt:lpstr>
      <vt:lpstr>นราธิวาส</vt:lpstr>
      <vt:lpstr>น่าน</vt:lpstr>
      <vt:lpstr>บุรีรัมย์</vt:lpstr>
      <vt:lpstr>ปทุมธานี</vt:lpstr>
      <vt:lpstr>ประจวบคีรีขันธ์</vt:lpstr>
      <vt:lpstr>ปราจีนบุรี</vt:lpstr>
      <vt:lpstr>ปัตตานี</vt:lpstr>
      <vt:lpstr>พระนครศรีอยุธยา</vt:lpstr>
      <vt:lpstr>พะเยา</vt:lpstr>
      <vt:lpstr>พังงา</vt:lpstr>
      <vt:lpstr>พัทลุง</vt:lpstr>
      <vt:lpstr>พิจิตร</vt:lpstr>
      <vt:lpstr>พิษณุโลก</vt:lpstr>
      <vt:lpstr>เพชรบุรี</vt:lpstr>
      <vt:lpstr>เพชรบูรณ์</vt:lpstr>
      <vt:lpstr>แพร่</vt:lpstr>
      <vt:lpstr>ภูเก็ต</vt:lpstr>
      <vt:lpstr>มหาสารคาม</vt:lpstr>
      <vt:lpstr>มุกดาหาร</vt:lpstr>
      <vt:lpstr>แม่ฮ่องสอน</vt:lpstr>
      <vt:lpstr>ยโสธร</vt:lpstr>
      <vt:lpstr>ยะลา</vt:lpstr>
      <vt:lpstr>ร้อยเอ็ด</vt:lpstr>
      <vt:lpstr>ระนอง</vt:lpstr>
      <vt:lpstr>ระยอง</vt:lpstr>
      <vt:lpstr>ราชบุรี</vt:lpstr>
      <vt:lpstr>ลพบุรี</vt:lpstr>
      <vt:lpstr>ลำปาง</vt:lpstr>
      <vt:lpstr>ลำพูน</vt:lpstr>
      <vt:lpstr>เลย</vt:lpstr>
      <vt:lpstr>ศีรสะเกษ</vt:lpstr>
      <vt:lpstr>สกลนคร</vt:lpstr>
      <vt:lpstr>สงขลา</vt:lpstr>
      <vt:lpstr>สตูล</vt:lpstr>
      <vt:lpstr>สมุทรปราการ</vt:lpstr>
      <vt:lpstr>สมุทรสงคราม</vt:lpstr>
      <vt:lpstr>สมุทรสาคร</vt:lpstr>
      <vt:lpstr>สระแก้ว</vt:lpstr>
      <vt:lpstr>สระบุรี</vt:lpstr>
      <vt:lpstr>สิงห์บุรี</vt:lpstr>
      <vt:lpstr>สุโขทัย</vt:lpstr>
      <vt:lpstr>สุพรรณบุรี</vt:lpstr>
      <vt:lpstr>สุราษฎร์ธานี</vt:lpstr>
      <vt:lpstr>สุรินทร์</vt:lpstr>
      <vt:lpstr>หนองคาย</vt:lpstr>
      <vt:lpstr>หนองบัวลำภู</vt:lpstr>
      <vt:lpstr>อ่างทอง</vt:lpstr>
      <vt:lpstr>อำนาจเจริญ</vt:lpstr>
      <vt:lpstr>อุดรธานี</vt:lpstr>
      <vt:lpstr>อุตรดิตถ์</vt:lpstr>
      <vt:lpstr>อุทัยธานี</vt:lpstr>
      <vt:lpstr>อุบลราชธานี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Itticheth Sayankuldilok</dc:creator>
  <cp:lastModifiedBy>Itticheth Sayankuldilok</cp:lastModifiedBy>
  <cp:lastPrinted>2026-07-27T09:56:12Z</cp:lastPrinted>
  <dcterms:created xsi:type="dcterms:W3CDTF">2025-06-10T15:23:06Z</dcterms:created>
  <dcterms:modified xsi:type="dcterms:W3CDTF">2026-08-03T04:42:57Z</dcterms:modified>
</cp:coreProperties>
</file>